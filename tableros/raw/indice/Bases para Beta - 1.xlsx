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isco JC\BB-Ultimos nueva compu\MEGABASE\0000000000000000000000000000000 INFO PROVINCIAL Y SERVICIOS CONEXOS\"/>
    </mc:Choice>
  </mc:AlternateContent>
  <bookViews>
    <workbookView xWindow="0" yWindow="0" windowWidth="23040" windowHeight="9204" firstSheet="4" activeTab="10"/>
  </bookViews>
  <sheets>
    <sheet name="GENERAL" sheetId="5" r:id="rId1"/>
    <sheet name="Provincia 1" sheetId="6" r:id="rId2"/>
    <sheet name="Org tematica" sheetId="7" r:id="rId3"/>
    <sheet name="Lista de bases y notas" sheetId="1" r:id="rId4"/>
    <sheet name="Calculos Ranking" sheetId="10" r:id="rId5"/>
    <sheet name="9 PB3" sheetId="8" r:id="rId6"/>
    <sheet name="9 PB 3 - A" sheetId="3" r:id="rId7"/>
    <sheet name="9 PB 3 - B" sheetId="4" r:id="rId8"/>
    <sheet name="9 PB 3 - C" sheetId="9" r:id="rId9"/>
    <sheet name="43 PB11" sheetId="11" r:id="rId10"/>
    <sheet name="43 PB11 - A" sheetId="13" r:id="rId11"/>
    <sheet name="Hoja3" sheetId="12" r:id="rId12"/>
  </sheets>
  <externalReferences>
    <externalReference r:id="rId13"/>
  </externalReferences>
  <definedNames>
    <definedName name="_xlnm._FilterDatabase" localSheetId="10" hidden="1">'43 PB11 - A'!$A$1:$R$3661</definedName>
    <definedName name="_xlnm._FilterDatabase" localSheetId="6" hidden="1">'9 PB 3 - A'!$A$1:$J$2533</definedName>
    <definedName name="_xlnm._FilterDatabase" localSheetId="7" hidden="1">'9 PB 3 - B'!$A$1:$J$1</definedName>
    <definedName name="_xlnm._FilterDatabase" localSheetId="8" hidden="1">'9 PB 3 - C'!$A$1:$G$1</definedName>
    <definedName name="_xlnm._FilterDatabase" localSheetId="4" hidden="1">'Calculos Ranking'!$A$1:$I$274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" i="13" l="1"/>
  <c r="M292" i="10" l="1"/>
  <c r="L292" i="10"/>
  <c r="M263" i="10"/>
  <c r="L263" i="10"/>
  <c r="M234" i="10"/>
  <c r="L234" i="10"/>
  <c r="M205" i="10"/>
  <c r="L205" i="10"/>
  <c r="M179" i="10"/>
  <c r="L179" i="10"/>
  <c r="M151" i="10"/>
  <c r="L151" i="10"/>
  <c r="M125" i="10"/>
  <c r="L125" i="10"/>
  <c r="M99" i="10"/>
  <c r="L99" i="10"/>
  <c r="H78" i="8" l="1"/>
  <c r="I78" i="8"/>
  <c r="J78" i="8"/>
  <c r="H79" i="8"/>
  <c r="I79" i="8"/>
  <c r="J79" i="8"/>
  <c r="J81" i="8" s="1"/>
  <c r="H69" i="8"/>
  <c r="I69" i="8"/>
  <c r="J69" i="8"/>
  <c r="H70" i="8"/>
  <c r="I70" i="8"/>
  <c r="J70" i="8"/>
  <c r="H71" i="8"/>
  <c r="I71" i="8"/>
  <c r="J71" i="8"/>
  <c r="H72" i="8"/>
  <c r="I72" i="8"/>
  <c r="J72" i="8"/>
  <c r="H73" i="8"/>
  <c r="I73" i="8"/>
  <c r="J73" i="8"/>
  <c r="H74" i="8"/>
  <c r="I74" i="8"/>
  <c r="J74" i="8"/>
  <c r="H75" i="8"/>
  <c r="I75" i="8"/>
  <c r="J75" i="8"/>
  <c r="H76" i="8"/>
  <c r="I76" i="8"/>
  <c r="J76" i="8"/>
  <c r="H77" i="8"/>
  <c r="I77" i="8"/>
  <c r="J77" i="8"/>
  <c r="I68" i="8"/>
  <c r="J68" i="8"/>
  <c r="H68" i="8"/>
  <c r="I49" i="8"/>
  <c r="I50" i="8"/>
  <c r="I51" i="8"/>
  <c r="I52" i="8"/>
  <c r="I53" i="8"/>
  <c r="I54" i="8"/>
  <c r="I55" i="8"/>
  <c r="I56" i="8"/>
  <c r="I57" i="8"/>
  <c r="I58" i="8"/>
  <c r="I59" i="8"/>
  <c r="I48" i="8"/>
  <c r="H49" i="8"/>
  <c r="H50" i="8"/>
  <c r="H51" i="8"/>
  <c r="H52" i="8"/>
  <c r="H53" i="8"/>
  <c r="H54" i="8"/>
  <c r="H55" i="8"/>
  <c r="H56" i="8"/>
  <c r="H57" i="8"/>
  <c r="H58" i="8"/>
  <c r="H59" i="8"/>
  <c r="H48" i="8"/>
  <c r="H45" i="7"/>
  <c r="G45" i="7"/>
  <c r="F45" i="7"/>
  <c r="H43" i="7"/>
  <c r="G43" i="7"/>
  <c r="F43" i="7"/>
  <c r="H42" i="7"/>
  <c r="G42" i="7"/>
  <c r="F42" i="7"/>
  <c r="H41" i="7"/>
  <c r="G41" i="7"/>
  <c r="F41" i="7"/>
  <c r="H40" i="7"/>
  <c r="G40" i="7"/>
  <c r="F40" i="7"/>
  <c r="H24" i="7"/>
  <c r="G24" i="7"/>
  <c r="F24" i="7"/>
  <c r="H22" i="7"/>
  <c r="G22" i="7"/>
  <c r="F22" i="7"/>
  <c r="H21" i="7"/>
  <c r="G21" i="7"/>
  <c r="F21" i="7"/>
  <c r="H20" i="7"/>
  <c r="G20" i="7"/>
  <c r="F20" i="7"/>
  <c r="H19" i="7"/>
  <c r="G19" i="7"/>
  <c r="F19" i="7"/>
  <c r="H18" i="7"/>
  <c r="G18" i="7"/>
  <c r="F18" i="7"/>
  <c r="H17" i="7"/>
  <c r="G17" i="7"/>
  <c r="F17" i="7"/>
  <c r="H10" i="7"/>
  <c r="G10" i="7"/>
  <c r="F10" i="7"/>
  <c r="H9" i="7"/>
  <c r="G9" i="7"/>
  <c r="F9" i="7"/>
  <c r="H8" i="7"/>
  <c r="G8" i="7"/>
  <c r="F8" i="7"/>
  <c r="M209" i="5"/>
  <c r="I62" i="8" l="1"/>
  <c r="I82" i="8"/>
  <c r="J82" i="8"/>
  <c r="I81" i="8"/>
  <c r="I61" i="8"/>
</calcChain>
</file>

<file path=xl/sharedStrings.xml><?xml version="1.0" encoding="utf-8"?>
<sst xmlns="http://schemas.openxmlformats.org/spreadsheetml/2006/main" count="32348" uniqueCount="2677">
  <si>
    <t>Cultivo</t>
  </si>
  <si>
    <t>Campaña</t>
  </si>
  <si>
    <t>Provincia</t>
  </si>
  <si>
    <t>Departamento</t>
  </si>
  <si>
    <t>idProvincia</t>
  </si>
  <si>
    <t>idDepartamento</t>
  </si>
  <si>
    <t>Sup. Sembrada (Ha)</t>
  </si>
  <si>
    <t>Sup. Cosechada (Ha)</t>
  </si>
  <si>
    <t>Producción (Tn)</t>
  </si>
  <si>
    <t>Rendimiento (Kg/Ha)</t>
  </si>
  <si>
    <t>Algodón</t>
  </si>
  <si>
    <t>SANTIAGO DEL ESTERO</t>
  </si>
  <si>
    <t>AGUIRRE</t>
  </si>
  <si>
    <t>2000/01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</si>
  <si>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</si>
  <si>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</si>
  <si>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</si>
  <si>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</si>
  <si>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</si>
  <si>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</si>
  <si>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</si>
  <si>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</si>
  <si>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</si>
  <si>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</si>
  <si>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</si>
  <si>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</si>
  <si>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ALBERDI</t>
  </si>
  <si>
    <t>ATAMISQUI</t>
  </si>
  <si>
    <t>AVELLANEDA</t>
  </si>
  <si>
    <t>BANDA</t>
  </si>
  <si>
    <t>BELGRANO</t>
  </si>
  <si>
    <t>CAPITAL</t>
  </si>
  <si>
    <t>CHOYA</t>
  </si>
  <si>
    <t>COPO</t>
  </si>
  <si>
    <t>FIGUEROA</t>
  </si>
  <si>
    <t>GENERAL TABOADA</t>
  </si>
  <si>
    <t>GUASAYAN</t>
  </si>
  <si>
    <t>JIMENEZ</t>
  </si>
  <si>
    <t>JUAN F. IBARRA</t>
  </si>
  <si>
    <t>LORETO</t>
  </si>
  <si>
    <t>MITRE</t>
  </si>
  <si>
    <t>MORENO</t>
  </si>
  <si>
    <t>OJO DE AGUA</t>
  </si>
  <si>
    <t>PELLEGRINI</t>
  </si>
  <si>
    <t>RIO HONDO</t>
  </si>
  <si>
    <t>ROBLES</t>
  </si>
  <si>
    <t>SAN MARTIN</t>
  </si>
  <si>
    <t>SARMIENTO</t>
  </si>
  <si>
    <t>SILIPICA</t>
  </si>
  <si>
    <t>Avena</t>
  </si>
  <si>
    <t>2025/26</t>
  </si>
  <si>
    <t>RIVADAVIA</t>
  </si>
  <si>
    <t>Cártamo</t>
  </si>
  <si>
    <t>Cebada total</t>
  </si>
  <si>
    <t>Centeno</t>
  </si>
  <si>
    <t>Colza</t>
  </si>
  <si>
    <t>Garbanzo</t>
  </si>
  <si>
    <t>Girasol</t>
  </si>
  <si>
    <t>QUEBRACHOS</t>
  </si>
  <si>
    <t>Lenteja</t>
  </si>
  <si>
    <t>Lino</t>
  </si>
  <si>
    <t>Maíz</t>
  </si>
  <si>
    <t>Maní</t>
  </si>
  <si>
    <t>Mijo</t>
  </si>
  <si>
    <t>Poroto negro</t>
  </si>
  <si>
    <t>Poroto otros</t>
  </si>
  <si>
    <t>Poroto total</t>
  </si>
  <si>
    <t>Soja 1ra</t>
  </si>
  <si>
    <t>Soja 2da</t>
  </si>
  <si>
    <t>Soja total</t>
  </si>
  <si>
    <t>Sorgo</t>
  </si>
  <si>
    <t>Trigo candeal</t>
  </si>
  <si>
    <t>Trigo total</t>
  </si>
  <si>
    <t>LISTA DE BASES Y NOTAS</t>
  </si>
  <si>
    <t>Base/hoja</t>
  </si>
  <si>
    <t>Contenido</t>
  </si>
  <si>
    <t>Observaciones</t>
  </si>
  <si>
    <t>9 PB 3 - A</t>
  </si>
  <si>
    <t>Data de Santiago por departamento</t>
  </si>
  <si>
    <t>9 PB 3 - B</t>
  </si>
  <si>
    <t>Data provincias NOA y Total pais</t>
  </si>
  <si>
    <t>Verás que hay soja de 1ra, soja de 2da y "soja total" para los casos de participacion porcentual Y SUMA DE TOTALES DEBES CONSIDERAR 
SÓLO "SOJA TOTAL" (o Trigo total, etc.). LOS DATOS INDUVIDUALES SE MUESTRAN SEPARADOS. Si no se entiende o me estoy explicando mal, llamame y te explico. Es importante el dato de "soja de 1ra y de 2da, porque TIENE QUE VER CON LA FECHA DE SIEMBRA, y eso es un dato muy valioso.</t>
  </si>
  <si>
    <t>Campañas 2014/2015 hasta 2025/6 (en algunos casos hasta 2024/25). Esta base, luego se va a enlazar y relacionar con la base de "avances de siembra y cosecha", lo que va a permitir conocer fechas de siembra límites e inicios de cosecha (variables cada año).</t>
  </si>
  <si>
    <t xml:space="preserve">Para realizar las comparaciones y participación en la región y el pais. SOLO CONSIDERAREMOS LA CAMPAÑA 2024/25 (por eso va una sola. Dado que no saqué la data del total provincial, por favor sumá los departamentos de cada provincia por cultivo. </t>
  </si>
  <si>
    <t>TUCUMAN</t>
  </si>
  <si>
    <t>BURRUYACU</t>
  </si>
  <si>
    <t>CRUZ ALTA</t>
  </si>
  <si>
    <t>GRANEROS</t>
  </si>
  <si>
    <t>LA COCHA</t>
  </si>
  <si>
    <t>LEALES</t>
  </si>
  <si>
    <t>TRANCAS</t>
  </si>
  <si>
    <t>SIMOCA</t>
  </si>
  <si>
    <t>TAFI DEL VALLE</t>
  </si>
  <si>
    <t>Poroto alubia</t>
  </si>
  <si>
    <t>CHICLIGASTA</t>
  </si>
  <si>
    <t>FAMAILLA</t>
  </si>
  <si>
    <t>JUAN B. ALBERDI</t>
  </si>
  <si>
    <t>LULES</t>
  </si>
  <si>
    <t>MONTEROS</t>
  </si>
  <si>
    <t>RIO CHICO</t>
  </si>
  <si>
    <t>TAFI VIEJO</t>
  </si>
  <si>
    <t>YERBA BUENA</t>
  </si>
  <si>
    <t>SALTA</t>
  </si>
  <si>
    <t>ANTA</t>
  </si>
  <si>
    <t>METAN</t>
  </si>
  <si>
    <t>Alpiste</t>
  </si>
  <si>
    <t>CERRILLOS</t>
  </si>
  <si>
    <t>CHICOANA</t>
  </si>
  <si>
    <t>GENERAL GUEMES</t>
  </si>
  <si>
    <t>LA VINA</t>
  </si>
  <si>
    <t>CACHI</t>
  </si>
  <si>
    <t>GENERAL JOSE DE SAN MARTIN</t>
  </si>
  <si>
    <t>ORAN</t>
  </si>
  <si>
    <t>ROSARIO DE LA FRONTERA</t>
  </si>
  <si>
    <t>ROSARIO DE LERMA</t>
  </si>
  <si>
    <t>GUACHIPAS</t>
  </si>
  <si>
    <t>LA CALDERA</t>
  </si>
  <si>
    <t>LA CANDELARIA</t>
  </si>
  <si>
    <t>JUJUY</t>
  </si>
  <si>
    <t>SAN PEDRO</t>
  </si>
  <si>
    <t>SANTA BARBARA</t>
  </si>
  <si>
    <t>DR. MANUEL BELGRANO</t>
  </si>
  <si>
    <t>EL CARMEN</t>
  </si>
  <si>
    <t>LEDESMA</t>
  </si>
  <si>
    <t>PALPALA</t>
  </si>
  <si>
    <t>SAN ANTONIO</t>
  </si>
  <si>
    <t>VALLE GRANDE</t>
  </si>
  <si>
    <t>CATAMARCA</t>
  </si>
  <si>
    <t>CAPAYAN</t>
  </si>
  <si>
    <t>SANTA ROSA</t>
  </si>
  <si>
    <t>EL ALTO</t>
  </si>
  <si>
    <t>LA PAZ</t>
  </si>
  <si>
    <t>VALLE VIEJO</t>
  </si>
  <si>
    <t>Menu</t>
  </si>
  <si>
    <t>Nro base</t>
  </si>
  <si>
    <t>Ubicación</t>
  </si>
  <si>
    <t>Descripción</t>
  </si>
  <si>
    <t>Productos</t>
  </si>
  <si>
    <t>Var unit 1</t>
  </si>
  <si>
    <t>Var unit 2</t>
  </si>
  <si>
    <t>Var unit 3</t>
  </si>
  <si>
    <t>Var geog 1</t>
  </si>
  <si>
    <t>Var geog 2</t>
  </si>
  <si>
    <t>Frecuencia</t>
  </si>
  <si>
    <t>Inicio</t>
  </si>
  <si>
    <t>Ultimo</t>
  </si>
  <si>
    <t>Registros</t>
  </si>
  <si>
    <t>Fuente</t>
  </si>
  <si>
    <t>Observ</t>
  </si>
  <si>
    <t>PB 1</t>
  </si>
  <si>
    <t>Existencias granos y procesados por provincia</t>
  </si>
  <si>
    <t>volumen</t>
  </si>
  <si>
    <t>tn</t>
  </si>
  <si>
    <t>prov</t>
  </si>
  <si>
    <t>mensual</t>
  </si>
  <si>
    <t>MAGyP</t>
  </si>
  <si>
    <t>Molienda de arroz por provincia</t>
  </si>
  <si>
    <t>Molienda de cereales</t>
  </si>
  <si>
    <t>pais</t>
  </si>
  <si>
    <t>Molienda de oleaginosas y producción</t>
  </si>
  <si>
    <t>Molienda de oleaginosas y producción por provincia</t>
  </si>
  <si>
    <t>Molienda de trigo pan por provincia</t>
  </si>
  <si>
    <t>Stocks granos en acopios e industria</t>
  </si>
  <si>
    <t>PB 2</t>
  </si>
  <si>
    <t>Precios frutas y hortalizas MCBA por variedad, calidad y origen</t>
  </si>
  <si>
    <t>precio</t>
  </si>
  <si>
    <t>$/kg</t>
  </si>
  <si>
    <t>MCBA</t>
  </si>
  <si>
    <t>Las variantes variedad, calidad y envase multiplican las variables</t>
  </si>
  <si>
    <t>PB 3</t>
  </si>
  <si>
    <t>Superficies, producción y rendimientos por provincia y departamento</t>
  </si>
  <si>
    <t>ha</t>
  </si>
  <si>
    <t>kg/ha</t>
  </si>
  <si>
    <t>depart</t>
  </si>
  <si>
    <t>Por la cantidad de campañas, hay productos no homogéneos</t>
  </si>
  <si>
    <t>PB 4</t>
  </si>
  <si>
    <t>Produccion, consumo, expo, impo e industralizacion mundial</t>
  </si>
  <si>
    <t>stock</t>
  </si>
  <si>
    <t>lts</t>
  </si>
  <si>
    <t>USDA</t>
  </si>
  <si>
    <t>Mapa Agroalimentario mundial</t>
  </si>
  <si>
    <t>PB 5</t>
  </si>
  <si>
    <t>Precios locales algodón (CAA)</t>
  </si>
  <si>
    <t>U$D/kg</t>
  </si>
  <si>
    <t>U$D/tn</t>
  </si>
  <si>
    <t>c/U$D/libra</t>
  </si>
  <si>
    <t>Pais</t>
  </si>
  <si>
    <t>export</t>
  </si>
  <si>
    <t>CAA</t>
  </si>
  <si>
    <t>Variantes calidad fibra y semilla</t>
  </si>
  <si>
    <t>PB 6</t>
  </si>
  <si>
    <t>Precios FOB Oficiales</t>
  </si>
  <si>
    <t>Precios vigentes y no vigentes</t>
  </si>
  <si>
    <t>PB 7</t>
  </si>
  <si>
    <t>Empleo y remuneraciones por prov y depto - Sector agropecuario</t>
  </si>
  <si>
    <t>$/mes</t>
  </si>
  <si>
    <t>Cantid empleados</t>
  </si>
  <si>
    <t>Min. Cap Humano</t>
  </si>
  <si>
    <t>Empleo y remuneraciones por prov y depto - Todos los sectores</t>
  </si>
  <si>
    <t>Permite comparar partiipacion entre seectores y diferencias en el ingreso</t>
  </si>
  <si>
    <t>PB 8</t>
  </si>
  <si>
    <t>Tipos de cambio - BNA, MAE y BCRA 3500</t>
  </si>
  <si>
    <t>$/U$D</t>
  </si>
  <si>
    <t>MECON</t>
  </si>
  <si>
    <t>PB 9</t>
  </si>
  <si>
    <t>Producción y ventas de bioetanol totales y por insumo (maiz y caña)</t>
  </si>
  <si>
    <t>m3</t>
  </si>
  <si>
    <t>Secret Energia</t>
  </si>
  <si>
    <t>12 variables total</t>
  </si>
  <si>
    <t>Producción y ventas bioetanol por provincia</t>
  </si>
  <si>
    <t>Producción y ventas (a petroleras) de bioetanol totales por provincia</t>
  </si>
  <si>
    <t>loc</t>
  </si>
  <si>
    <t>220 variables combinadas</t>
  </si>
  <si>
    <t>Producción,  Ventas al corte y Exportaciones de Biodiesel</t>
  </si>
  <si>
    <t>Producción,  y ventas al cortey Exportaciones de Biodiesel por provincia</t>
  </si>
  <si>
    <t>Biodiesel- producción y ventas al mercado interno por empresa</t>
  </si>
  <si>
    <t>Exportaciones de biodiesel por destino</t>
  </si>
  <si>
    <t>pais origen</t>
  </si>
  <si>
    <t>pais dest</t>
  </si>
  <si>
    <t xml:space="preserve">EMAE (Estimador Mensual Actividad Económica) por rama  </t>
  </si>
  <si>
    <t>indice</t>
  </si>
  <si>
    <t>Empleo con asalariados registrados por cod activ (4 digitos) por prov</t>
  </si>
  <si>
    <t>cantidad</t>
  </si>
  <si>
    <t>personas</t>
  </si>
  <si>
    <t>38 actividades sectoriales agroalimentarias</t>
  </si>
  <si>
    <t>Empleo con asalariados registrados por sector y subsector por prov</t>
  </si>
  <si>
    <t>PB 10</t>
  </si>
  <si>
    <t>Indice de productividad agrícola internacional por pais</t>
  </si>
  <si>
    <t>indices</t>
  </si>
  <si>
    <t>cantidades</t>
  </si>
  <si>
    <t>anual</t>
  </si>
  <si>
    <t>20 variables, 62 años</t>
  </si>
  <si>
    <t>Oferta y demanda mundial de fibra de algodón</t>
  </si>
  <si>
    <t>fardos</t>
  </si>
  <si>
    <t>Venta de maquinaria agricola nacional e importada</t>
  </si>
  <si>
    <t>monto</t>
  </si>
  <si>
    <t>trimestral</t>
  </si>
  <si>
    <t>INDEC</t>
  </si>
  <si>
    <t>Salario Peon Rural</t>
  </si>
  <si>
    <t>PB 31</t>
  </si>
  <si>
    <t>Cantidad de apiarios y colmenas por provincia y departamento RENAPA</t>
  </si>
  <si>
    <t>permanente</t>
  </si>
  <si>
    <t>S/D</t>
  </si>
  <si>
    <t xml:space="preserve">Población argentina desde 2010 y proyecciones a 2040- por Provincia </t>
  </si>
  <si>
    <t>sexo</t>
  </si>
  <si>
    <t>rango etario</t>
  </si>
  <si>
    <t>Tipo real de cambio en países del mundo</t>
  </si>
  <si>
    <t>$local/U$D</t>
  </si>
  <si>
    <t>mundial</t>
  </si>
  <si>
    <t>SISA - Registro actividades por tipo y empresa</t>
  </si>
  <si>
    <t>empresa</t>
  </si>
  <si>
    <t>localidad</t>
  </si>
  <si>
    <t>ARCA</t>
  </si>
  <si>
    <t>48 tipificaciones</t>
  </si>
  <si>
    <t>PB 11</t>
  </si>
  <si>
    <t>SISA - Registro actividades bovinas</t>
  </si>
  <si>
    <t>Activos, suspendidos y de baja</t>
  </si>
  <si>
    <t>PB 17</t>
  </si>
  <si>
    <t>SISA - Registro actividades porcinas</t>
  </si>
  <si>
    <t>SIOCAL - Registro carnes</t>
  </si>
  <si>
    <t>PB 12</t>
  </si>
  <si>
    <t>SIOCAL - Registro lácteos</t>
  </si>
  <si>
    <t>Empresas registradas en el Registro Nac de Com y Fiscaliz de Semillas</t>
  </si>
  <si>
    <t>INASE</t>
  </si>
  <si>
    <t>Catálogo de cultivares y semillas INASE</t>
  </si>
  <si>
    <t>especies</t>
  </si>
  <si>
    <t>Base ingresos hacienda  a Liniers-MAG</t>
  </si>
  <si>
    <t>categorias</t>
  </si>
  <si>
    <t>cabezas</t>
  </si>
  <si>
    <t>kg</t>
  </si>
  <si>
    <t>MAG</t>
  </si>
  <si>
    <t>Producción semanal Etanol USA</t>
  </si>
  <si>
    <t>miles barriles</t>
  </si>
  <si>
    <t>semanal</t>
  </si>
  <si>
    <t>EIA</t>
  </si>
  <si>
    <t>Energy Information Agency</t>
  </si>
  <si>
    <t>Cantidad de plantas de producción etanol USA - capacidad, por Estado</t>
  </si>
  <si>
    <t>Millones galones</t>
  </si>
  <si>
    <t>Producción materia seca forraje por provincia y dto y promedio</t>
  </si>
  <si>
    <t>superficie</t>
  </si>
  <si>
    <t>%</t>
  </si>
  <si>
    <t>quincenal</t>
  </si>
  <si>
    <t>IPCVA</t>
  </si>
  <si>
    <t>Indicadores bovinos históricos 111 años</t>
  </si>
  <si>
    <t>indicadores</t>
  </si>
  <si>
    <t>Precios comparativos Novillo Mercosur</t>
  </si>
  <si>
    <t>mercados</t>
  </si>
  <si>
    <t>Precios comparativos Novillo USA, Australia, Canada</t>
  </si>
  <si>
    <t>Indicadores bovinos 1990 a 2026</t>
  </si>
  <si>
    <t>Stocks por categoría, provincia y departamento. Estratos productivos</t>
  </si>
  <si>
    <t>Faena, producción y peso promedio por provincia</t>
  </si>
  <si>
    <t>Faena mensual por categoría, peso promedio. Matriz OD fletes</t>
  </si>
  <si>
    <t>PB 13</t>
  </si>
  <si>
    <t>DTV - Aceitumas</t>
  </si>
  <si>
    <t>Movimientos</t>
  </si>
  <si>
    <t>diario</t>
  </si>
  <si>
    <t>SENASA</t>
  </si>
  <si>
    <t>DTV - Ajo</t>
  </si>
  <si>
    <t>DTV - Algodón, semilla fibra, fibrilla, desperrdicio</t>
  </si>
  <si>
    <t>DTV - Almendra</t>
  </si>
  <si>
    <t>DTV - Arandano</t>
  </si>
  <si>
    <t>DTV - Batata</t>
  </si>
  <si>
    <t>DTV - Cebolla</t>
  </si>
  <si>
    <t>DTV - Cerezas</t>
  </si>
  <si>
    <t>DTV - Ciruelas</t>
  </si>
  <si>
    <t>DTV - Ciruelas desecadas</t>
  </si>
  <si>
    <t>DTV - Damasco</t>
  </si>
  <si>
    <t>DTV - Durazno</t>
  </si>
  <si>
    <t>DTV - Frambuesa</t>
  </si>
  <si>
    <t>DTV - Higo fresco y disecado</t>
  </si>
  <si>
    <t>DTV - Kiwi</t>
  </si>
  <si>
    <t>DTV - Kumquat</t>
  </si>
  <si>
    <t>DTV - Lima</t>
  </si>
  <si>
    <t>DTV - Limon</t>
  </si>
  <si>
    <t>DTV - Mandarina</t>
  </si>
  <si>
    <t>DTV - Mango</t>
  </si>
  <si>
    <t>DTV - Manzana</t>
  </si>
  <si>
    <t>DTV - Naranja (octubre a diciembre)</t>
  </si>
  <si>
    <t>DTV - Nuez</t>
  </si>
  <si>
    <t>DTV - Palta</t>
  </si>
  <si>
    <t>DTV - Papa (septiembre a diciembre)</t>
  </si>
  <si>
    <t>DTV - Papa otras (Andina, Lisa y Oca)</t>
  </si>
  <si>
    <t>DTV - Papaya</t>
  </si>
  <si>
    <t>DTV - Pelon</t>
  </si>
  <si>
    <t>DTV - Pera</t>
  </si>
  <si>
    <t>DTV - Pimiento</t>
  </si>
  <si>
    <t>DTV - Pomelo</t>
  </si>
  <si>
    <t>DTV - Tuna</t>
  </si>
  <si>
    <t xml:space="preserve">PB 13 </t>
  </si>
  <si>
    <t>DTV - Uva</t>
  </si>
  <si>
    <t>DTV - Uva Pasa</t>
  </si>
  <si>
    <t>PB 14</t>
  </si>
  <si>
    <t>DTE - Movimientos bovinos por provincia, dto y categoria</t>
  </si>
  <si>
    <t>DTE</t>
  </si>
  <si>
    <t>PB 15</t>
  </si>
  <si>
    <t>Precios combustibles por tipo, bandera y provincia - al público</t>
  </si>
  <si>
    <t>$/lt</t>
  </si>
  <si>
    <t>promedio mensual</t>
  </si>
  <si>
    <t>Volúmenes vendidos combustibles por tipo, bandera y prov - al público</t>
  </si>
  <si>
    <t>Volumen</t>
  </si>
  <si>
    <t>Total mensual</t>
  </si>
  <si>
    <t>Volúmenes y precios de combustibles en ESS del pais, unitaria.</t>
  </si>
  <si>
    <t xml:space="preserve">Volumen </t>
  </si>
  <si>
    <t xml:space="preserve">Precio </t>
  </si>
  <si>
    <t>PB 16</t>
  </si>
  <si>
    <t>Operaciones SIOCARNES BOVINOS - Categoria, origen, precio vol</t>
  </si>
  <si>
    <t>Cabezas, Kg y precio</t>
  </si>
  <si>
    <t>Operaciones SIOCARNES PORCINOS - Categoria, origen, precio vol</t>
  </si>
  <si>
    <t>Existencias porcinos por estrato, categoria, provincia y departamento</t>
  </si>
  <si>
    <t>Cabezas</t>
  </si>
  <si>
    <t>UP</t>
  </si>
  <si>
    <t>estacional</t>
  </si>
  <si>
    <t>Faena porcina por provincia</t>
  </si>
  <si>
    <t>Faena porcina por establecimiento faenador por provincia</t>
  </si>
  <si>
    <t>Faena porcina por usuario (matarife, frigorifico, etc.)</t>
  </si>
  <si>
    <t>Faena porcina por categoría</t>
  </si>
  <si>
    <t>Faena porcina por categoria, peso promedio y producción carne</t>
  </si>
  <si>
    <t>PB 18</t>
  </si>
  <si>
    <t>Existencias de aves reproductoras y Pollitos BB</t>
  </si>
  <si>
    <t xml:space="preserve">PB 18 </t>
  </si>
  <si>
    <t>Cantidad de establecimientos produccion avícola por provincia</t>
  </si>
  <si>
    <t>Plantas</t>
  </si>
  <si>
    <t>Totales y por tipo</t>
  </si>
  <si>
    <t>Faena bovina  por categoría</t>
  </si>
  <si>
    <t>Faena bovina por provincia</t>
  </si>
  <si>
    <t>Faena bovina por establecimiento faenador por provincia</t>
  </si>
  <si>
    <t>Faena bovina  por usuario (matarife, frigorifico, etc.)</t>
  </si>
  <si>
    <t>Indice Compuesto de Actividad Económica - ICA</t>
  </si>
  <si>
    <t xml:space="preserve">BCR </t>
  </si>
  <si>
    <t>PBI a precios de mercado y productor - por sector</t>
  </si>
  <si>
    <t>sectores</t>
  </si>
  <si>
    <t>BCR - INDEC</t>
  </si>
  <si>
    <t>PBI a precios dcorrientes - por sector</t>
  </si>
  <si>
    <t>Oferta y demanda globales a precios corrientes</t>
  </si>
  <si>
    <t>Indice de precios implícitos PBI por sector</t>
  </si>
  <si>
    <t>IPIM (Indice Produccion Industrial Manufacturero) por sector</t>
  </si>
  <si>
    <t>PB 20</t>
  </si>
  <si>
    <t>Datos horarios estaciones SMN</t>
  </si>
  <si>
    <t>Estaciones</t>
  </si>
  <si>
    <t>provincia</t>
  </si>
  <si>
    <t>departamento</t>
  </si>
  <si>
    <t>diaria</t>
  </si>
  <si>
    <t>SMN</t>
  </si>
  <si>
    <t>Estadísticas Climatológicas Normales - período 1991-2020</t>
  </si>
  <si>
    <t>promedio</t>
  </si>
  <si>
    <t>Datos 114 estaciones meteorológicas INTA</t>
  </si>
  <si>
    <t>INTA</t>
  </si>
  <si>
    <t>Utilización de la capacidad instalada - Nivel gral y sectoriales</t>
  </si>
  <si>
    <t>Indice de Expectativas Industriales - IEI</t>
  </si>
  <si>
    <t>BCR - UADE</t>
  </si>
  <si>
    <t>Agregados monetarios</t>
  </si>
  <si>
    <t>BCRA</t>
  </si>
  <si>
    <t>Encuesta supermercados y mayoristas</t>
  </si>
  <si>
    <t>ICC - Indice Confianza del Consumidor</t>
  </si>
  <si>
    <t>UTDT</t>
  </si>
  <si>
    <t>Universidad Torcuato Di Tella</t>
  </si>
  <si>
    <t>ISSP - Indicador Sintético de Servicios Públicos (inc transporte carga)</t>
  </si>
  <si>
    <t>Ventas de combustibles</t>
  </si>
  <si>
    <t>Indices tipo de cambio multilaterales</t>
  </si>
  <si>
    <t>Indices de precios de materias primas en U$D</t>
  </si>
  <si>
    <t>productos agroalimentarios</t>
  </si>
  <si>
    <t>Recaudacion impositiva, incluye derechos exportacion</t>
  </si>
  <si>
    <t>MECON - DNIAF</t>
  </si>
  <si>
    <t>PB 21</t>
  </si>
  <si>
    <t>DJVE aprobadas</t>
  </si>
  <si>
    <t>tns</t>
  </si>
  <si>
    <t>31/4/2026</t>
  </si>
  <si>
    <t>PB 22</t>
  </si>
  <si>
    <t>Balance alimentario por país y productos</t>
  </si>
  <si>
    <t>paises</t>
  </si>
  <si>
    <t>Latam</t>
  </si>
  <si>
    <t>FAO</t>
  </si>
  <si>
    <t>Encuesta supermercados - Indice ventas a precios constantes</t>
  </si>
  <si>
    <t>Encuesta supermercados - Indice ventas a precios corrientes</t>
  </si>
  <si>
    <t>Encuesta supermercados - Ventas a precios corrientes y constantes</t>
  </si>
  <si>
    <t>Encuesta supermercados - Ventas totales por canal y medio pago</t>
  </si>
  <si>
    <t>Encuesta supermercados - Ventas totales por grupo art. Por provincia</t>
  </si>
  <si>
    <t>provincias</t>
  </si>
  <si>
    <t>Encuesta superm. - Ventas totales por grupo operac. Por provincia</t>
  </si>
  <si>
    <t>Calendario cosecha por provincia y mes - todos los cultivos (en %)</t>
  </si>
  <si>
    <t>Remuneracion empleo por provincia por rama actividad</t>
  </si>
  <si>
    <t>PB 23</t>
  </si>
  <si>
    <t>Parque automotor por tipo por provincia</t>
  </si>
  <si>
    <t>ADEFA</t>
  </si>
  <si>
    <t>Patentamientos por categorias, en unidades</t>
  </si>
  <si>
    <t>Patentamientos en unidades totales por provincia</t>
  </si>
  <si>
    <t>indicador</t>
  </si>
  <si>
    <t>Patentamientos en unidades transporte carga por provincia</t>
  </si>
  <si>
    <t>Patentamientos acoplados por provincia</t>
  </si>
  <si>
    <t>PB 24</t>
  </si>
  <si>
    <t>Patentamientos MAVI por provincia</t>
  </si>
  <si>
    <t>Producto Interno Bruto, por categoría a precios 2004 (1.3.1)</t>
  </si>
  <si>
    <t>VAB precios basicos por rama actividad economica (1.3.2.)</t>
  </si>
  <si>
    <t>VBP precios basicos por rama actividad economica (1.6.2.)</t>
  </si>
  <si>
    <t>IPC por productos canasta - Regiones y pais</t>
  </si>
  <si>
    <t>productos</t>
  </si>
  <si>
    <t>5 regiones</t>
  </si>
  <si>
    <t>Warrants emitidos por producto y provincia</t>
  </si>
  <si>
    <t>Ingreso camiones a puertos, por producto. Incluye vagones</t>
  </si>
  <si>
    <t>puertos</t>
  </si>
  <si>
    <t>DTE - Movimientos porcinos por provincia, dto y categoria</t>
  </si>
  <si>
    <t>departam</t>
  </si>
  <si>
    <t>DTE - Movimientos ovinos por provincia y departamento</t>
  </si>
  <si>
    <t>PB 25</t>
  </si>
  <si>
    <t>DTE - Movimientos cama de pollos por provincia y departamento</t>
  </si>
  <si>
    <t>DTE - Movimientos cueros y pieles por provincia y departamento</t>
  </si>
  <si>
    <t>DTE - Movimientos guano aviar por provincia y departamento</t>
  </si>
  <si>
    <t>DTE - Movimientos lana sucia Vellón por provincia y departamento</t>
  </si>
  <si>
    <t>DTE - Movimientos lana sucia NO Vellón por provincia y departamento</t>
  </si>
  <si>
    <t>Existiencias EAC (Engorde A Corral) por provincia, dto y categoria</t>
  </si>
  <si>
    <t>Existencias en tambos por provincia, dto y categoria - Establecimientos</t>
  </si>
  <si>
    <t>PB 30</t>
  </si>
  <si>
    <t>Existencias bubalinos por provincia, dto y categoria - RENSPAs</t>
  </si>
  <si>
    <t>Existencias bovinos campos cuota Hilton por provincia, dto y cat.</t>
  </si>
  <si>
    <t>DTE - Movimientos aviares por provincia, dto y categoria</t>
  </si>
  <si>
    <t>PB 26</t>
  </si>
  <si>
    <t>Existencias ovinas totales y por categoría por provincia</t>
  </si>
  <si>
    <t>Existencias ovinas por categoría por departamento - 2025</t>
  </si>
  <si>
    <t>Existencias ovinas por estrato, categoria por departamento  - 2025</t>
  </si>
  <si>
    <t>Existencias bovinas por categoria, estrato y departamento 2014 a 2022</t>
  </si>
  <si>
    <t>PB 27</t>
  </si>
  <si>
    <t>Establecimientos educativos por prov, dto y localidad - tipo enseñanza</t>
  </si>
  <si>
    <t>Precio huevos 3 provincias</t>
  </si>
  <si>
    <t>Indicadores avícolas</t>
  </si>
  <si>
    <t>Magyp</t>
  </si>
  <si>
    <t>Existencias de aves por tipo RENAVI</t>
  </si>
  <si>
    <t>categorías</t>
  </si>
  <si>
    <t>Indice de costro produccion pollos parrileros Bs As y Entre Ríos</t>
  </si>
  <si>
    <t>Cantidad de Plantas de Faena por Provincia, nacionales y provinciales</t>
  </si>
  <si>
    <t>Faena mensual de aves, totales país</t>
  </si>
  <si>
    <t>Faena mensual de aves, por provincia</t>
  </si>
  <si>
    <t>Exportaciones mensuales pollo (entero, trozado, etc.) país. Cant y monto</t>
  </si>
  <si>
    <t>Importaciones mensuales pollo (entero, trozado, etc.) país. Cant y monto</t>
  </si>
  <si>
    <t>Consumo mensual per cápita carne aviar - Argentina</t>
  </si>
  <si>
    <t>Precio mensual pollo eviscerado mayorista y consumidor.</t>
  </si>
  <si>
    <t>Relación máiz-pollo</t>
  </si>
  <si>
    <t>Industrialización mensual de huevos</t>
  </si>
  <si>
    <t>Precio del huevo - Mayorista y monorista</t>
  </si>
  <si>
    <t>Relación máiz-huevo</t>
  </si>
  <si>
    <t>PB 28</t>
  </si>
  <si>
    <t>Existencias de equidos por provincia, dto, estrato y categoría</t>
  </si>
  <si>
    <t>PB 29</t>
  </si>
  <si>
    <t>Existencias de caprinos por provincia, departamento y categoría - 2025</t>
  </si>
  <si>
    <t>Existencias caprinos por provincia por categoría - 2009 a 2025</t>
  </si>
  <si>
    <t>Estratificación por provincia stock, establecimientos y UP</t>
  </si>
  <si>
    <t>Faena y producción mensual caprina</t>
  </si>
  <si>
    <t>Faena mensual caprina por categoría</t>
  </si>
  <si>
    <t>Faena mensual caprina por provincia</t>
  </si>
  <si>
    <t>Existencias bubalinos por provincia y categoria - serie 2015 a 2025</t>
  </si>
  <si>
    <t>Datos de cuencas lecheras por provincia</t>
  </si>
  <si>
    <t>Precio por lt leche pagado al productor por provincia</t>
  </si>
  <si>
    <t>Precio prom pagado al prod ($/Kg Sólidos útiles) en leche x prov</t>
  </si>
  <si>
    <t>Precio prom pagado al prod de grasa butirosa ($/kg) en leche x prov</t>
  </si>
  <si>
    <t>Contenido en % de grasa y proteina por provincia y nacional - leche</t>
  </si>
  <si>
    <t>Variación intermensual e interanual de la producc de leche por prov.</t>
  </si>
  <si>
    <t>Faena y producción mensual ovina</t>
  </si>
  <si>
    <t>Faena mensual ovina por categoría</t>
  </si>
  <si>
    <t>Faena mensual ovina por provincia</t>
  </si>
  <si>
    <t>PB 32</t>
  </si>
  <si>
    <t>Resgistros operaciones INV vinos y subproductos</t>
  </si>
  <si>
    <t>INV</t>
  </si>
  <si>
    <t>superm</t>
  </si>
  <si>
    <t>Se listan las bases donde figuran datos provinciales a escala de provincia y de departamento para el sistema</t>
  </si>
  <si>
    <t>RNPA - SOLO SANTIAGO</t>
  </si>
  <si>
    <t>Agricultura</t>
  </si>
  <si>
    <t>1.a</t>
  </si>
  <si>
    <t>Cultivos extensivos</t>
  </si>
  <si>
    <t>1.a.1</t>
  </si>
  <si>
    <t>Granos</t>
  </si>
  <si>
    <t>1.a.2</t>
  </si>
  <si>
    <t>Oleaginosas</t>
  </si>
  <si>
    <t>1.a.3</t>
  </si>
  <si>
    <t>1.a.4</t>
  </si>
  <si>
    <t>Legumbres</t>
  </si>
  <si>
    <t>1.b</t>
  </si>
  <si>
    <t>Cultivos intensivos</t>
  </si>
  <si>
    <t>1.b.1</t>
  </si>
  <si>
    <t>Frutas y hortalizas</t>
  </si>
  <si>
    <t>1.c</t>
  </si>
  <si>
    <t>Pasturas y forrajes</t>
  </si>
  <si>
    <t>Ganadería</t>
  </si>
  <si>
    <t>2.a</t>
  </si>
  <si>
    <t>Bovinos</t>
  </si>
  <si>
    <t>2.a.1</t>
  </si>
  <si>
    <t>Carne</t>
  </si>
  <si>
    <t>2.a.2</t>
  </si>
  <si>
    <t>Leche</t>
  </si>
  <si>
    <t>2.b</t>
  </si>
  <si>
    <t>Ovinos</t>
  </si>
  <si>
    <t>2.c</t>
  </si>
  <si>
    <t>Bubalinos</t>
  </si>
  <si>
    <t>2.d</t>
  </si>
  <si>
    <t>Caprinos</t>
  </si>
  <si>
    <t>2.e</t>
  </si>
  <si>
    <t>Equinos</t>
  </si>
  <si>
    <t>2.f</t>
  </si>
  <si>
    <t>Porcinos</t>
  </si>
  <si>
    <t>2.g</t>
  </si>
  <si>
    <t>Apicola</t>
  </si>
  <si>
    <t>General</t>
  </si>
  <si>
    <t>Empleo</t>
  </si>
  <si>
    <t>Economía</t>
  </si>
  <si>
    <t>Industria</t>
  </si>
  <si>
    <t>6.a</t>
  </si>
  <si>
    <t>Insumo agricola</t>
  </si>
  <si>
    <t>Molinos</t>
  </si>
  <si>
    <t>Desmotadoras</t>
  </si>
  <si>
    <t>6.b</t>
  </si>
  <si>
    <t>Insumo animal</t>
  </si>
  <si>
    <t>Faena</t>
  </si>
  <si>
    <t>Tambos</t>
  </si>
  <si>
    <t>6.c</t>
  </si>
  <si>
    <t>Alimentario</t>
  </si>
  <si>
    <t>BASE DE CULTIVOS EXTENSIVOS</t>
  </si>
  <si>
    <t>Variables:</t>
  </si>
  <si>
    <t>Sup. Sembrada</t>
  </si>
  <si>
    <t>Sup Cosechada</t>
  </si>
  <si>
    <t>Producción</t>
  </si>
  <si>
    <t>Rendimientos</t>
  </si>
  <si>
    <t>Unidades:</t>
  </si>
  <si>
    <t>Unid temporal</t>
  </si>
  <si>
    <t>Campaña (se expresa designando 2 años seguidos, por ejemplo 2025/26)</t>
  </si>
  <si>
    <t>Período:</t>
  </si>
  <si>
    <t>Si bien la serie es de más de 30 años, a efectos del demo sólo tomaremos 10 campañas</t>
  </si>
  <si>
    <t>Observaciones:</t>
  </si>
  <si>
    <t>Existen cultivos de verano y cultivos de invierno (cosecha "gruesa" y "fina") cuando se saquen porcentajes de participación, DEBEN SER SEPARADAS (sino la suma será mayor al todo)</t>
  </si>
  <si>
    <t>Unidades geográficas:</t>
  </si>
  <si>
    <t>a) Total provincia</t>
  </si>
  <si>
    <t>b) Total x depart.</t>
  </si>
  <si>
    <t xml:space="preserve">Modos visualización: </t>
  </si>
  <si>
    <t>POR CULTIVO</t>
  </si>
  <si>
    <t>CON MAPA y Selección de una lista (lista "plana" o menú desplegable, lo vemos) y mostrará los datos por departamento en Superficie sembrada. Al hacer mouseover, mostrará los otros 3 datos</t>
  </si>
  <si>
    <t>El total provincial se mostrará en la parte inferior. Opción de "ver todas las campañas" llevará a gráficos de evolución sin ver el mapa (pop up u otra página?) SIEMPRE ULTIMA CAMPAÑA</t>
  </si>
  <si>
    <t>Se podrá seleccionar por campaña de un menú desplegable</t>
  </si>
  <si>
    <t>Abajo van muestras de los tipos de gráficos a emplear</t>
  </si>
  <si>
    <t>POR DEPART.</t>
  </si>
  <si>
    <t>Tocando click en cada departamento, éste se abre (pop up u otra página?) y muestra toda la información del cultivo de la última campaña. Se mostrará la Opción de "ver todas las campañas"</t>
  </si>
  <si>
    <t>o seleccionar otra en particular</t>
  </si>
  <si>
    <t xml:space="preserve">Opción de "cartera de cultivos":  se mostrará la composición porcentual de los cultivos de verano y de invierno de la última campaña. Ver "todas las campañas" o seleccionar alguna en particular. </t>
  </si>
  <si>
    <t>Sólo superficies y producción. También podrán consultarse la evolución de los rendimientos.</t>
  </si>
  <si>
    <t>RANKING PROV</t>
  </si>
  <si>
    <t>Ranking de departamentos por cultivo (produccion y rendimiento)</t>
  </si>
  <si>
    <t>CALCULOS A REALIZAR</t>
  </si>
  <si>
    <t>a)</t>
  </si>
  <si>
    <r>
      <rPr>
        <b/>
        <sz val="11"/>
        <color theme="1"/>
        <rFont val="Calibri"/>
        <family val="2"/>
        <scheme val="minor"/>
      </rPr>
      <t>Variación anual</t>
    </r>
    <r>
      <rPr>
        <sz val="11"/>
        <color theme="1"/>
        <rFont val="Calibri"/>
        <family val="2"/>
        <scheme val="minor"/>
      </rPr>
      <t>: Variación porcentual para los casos de consultas de "todas las campañas" y sólo para las variables SUPERFICIE SEMBRADA y PRODUCCIÓN</t>
    </r>
  </si>
  <si>
    <t>b)</t>
  </si>
  <si>
    <r>
      <rPr>
        <b/>
        <sz val="11"/>
        <color theme="1"/>
        <rFont val="Calibri"/>
        <family val="2"/>
        <scheme val="minor"/>
      </rPr>
      <t>Variación decádica</t>
    </r>
    <r>
      <rPr>
        <sz val="11"/>
        <color theme="1"/>
        <rFont val="Calibri"/>
        <family val="2"/>
        <scheme val="minor"/>
      </rPr>
      <t>: Variación porcentual entre la primera y última campaña, para los casos de consultas de "todas las campañas" y sólo para las variables SUPERFICIE SEMBRADA y PRODUCCIÓN</t>
    </r>
  </si>
  <si>
    <t>c)</t>
  </si>
  <si>
    <r>
      <rPr>
        <b/>
        <sz val="11"/>
        <color theme="1"/>
        <rFont val="Calibri"/>
        <family val="2"/>
        <scheme val="minor"/>
      </rPr>
      <t>Variación de rendimientos</t>
    </r>
    <r>
      <rPr>
        <sz val="11"/>
        <color theme="1"/>
        <rFont val="Calibri"/>
        <family val="2"/>
        <scheme val="minor"/>
      </rPr>
      <t>: Variación porcentual entre extremos de la serie y variación promedio (la más importante)</t>
    </r>
  </si>
  <si>
    <t>d)</t>
  </si>
  <si>
    <r>
      <rPr>
        <b/>
        <sz val="11"/>
        <color theme="1"/>
        <rFont val="Calibri"/>
        <family val="2"/>
        <scheme val="minor"/>
      </rPr>
      <t>Participaciones porcentuales</t>
    </r>
    <r>
      <rPr>
        <sz val="11"/>
        <color theme="1"/>
        <rFont val="Calibri"/>
        <family val="2"/>
        <scheme val="minor"/>
      </rPr>
      <t>: Según ya se expresara en los textos arriba expresados. Generadas en los gráficos</t>
    </r>
  </si>
  <si>
    <t>e)</t>
  </si>
  <si>
    <r>
      <rPr>
        <b/>
        <sz val="11"/>
        <color theme="1"/>
        <rFont val="Calibri"/>
        <family val="2"/>
        <scheme val="minor"/>
      </rPr>
      <t>Participaciones porcentuales 2</t>
    </r>
    <r>
      <rPr>
        <sz val="11"/>
        <color theme="1"/>
        <rFont val="Calibri"/>
        <family val="2"/>
        <scheme val="minor"/>
      </rPr>
      <t>: Sgo del estero en el NOA y en el pais</t>
    </r>
  </si>
  <si>
    <t>f)</t>
  </si>
  <si>
    <t>TABLAS Y GRAFICOS</t>
  </si>
  <si>
    <t>Total provincia</t>
  </si>
  <si>
    <t>PAIS</t>
  </si>
  <si>
    <t>Sup. Cosechada</t>
  </si>
  <si>
    <t>Rendimiento</t>
  </si>
  <si>
    <t>Total pais</t>
  </si>
  <si>
    <t>Arveja</t>
  </si>
  <si>
    <t>9 PB 3 - C</t>
  </si>
  <si>
    <t>Datos país</t>
  </si>
  <si>
    <t>Totales Argentina - Para calcular participación del país</t>
  </si>
  <si>
    <t>Soja</t>
  </si>
  <si>
    <t>Santiago del Estero - Evolución de la superficie sembrada de soja, en ha. Campañas 13/14 a 24/25</t>
  </si>
  <si>
    <r>
      <rPr>
        <b/>
        <i/>
        <sz val="11"/>
        <color theme="1"/>
        <rFont val="Calibri"/>
        <family val="2"/>
        <scheme val="minor"/>
      </rPr>
      <t>Fuente:</t>
    </r>
    <r>
      <rPr>
        <sz val="11"/>
        <color theme="1"/>
        <rFont val="Calibri"/>
        <family val="2"/>
        <scheme val="minor"/>
      </rPr>
      <t xml:space="preserve"> Magyp</t>
    </r>
  </si>
  <si>
    <t>Var. total</t>
  </si>
  <si>
    <t>Var. Anual Pr.</t>
  </si>
  <si>
    <t>Santiago del Estero - Evolución de la producción y rendimientos de soja - Campañas 13/14 a 24/25</t>
  </si>
  <si>
    <t>Producc (tn)</t>
  </si>
  <si>
    <t>Rend. (kg/ha)</t>
  </si>
  <si>
    <t>Produccion</t>
  </si>
  <si>
    <t>invierno</t>
  </si>
  <si>
    <t>VERANO</t>
  </si>
  <si>
    <t>Poroto</t>
  </si>
  <si>
    <t>VER COMBINACIÓN DE COLORES</t>
  </si>
  <si>
    <t>QUE SE MUESTREN LOS VALORES CON MOUSEOVER</t>
  </si>
  <si>
    <t>QUE SE MUESTREN LOS % CON MOUSEOVER</t>
  </si>
  <si>
    <t>Catamarca</t>
  </si>
  <si>
    <t>Jujuy</t>
  </si>
  <si>
    <t>Salta</t>
  </si>
  <si>
    <t>Tucumán</t>
  </si>
  <si>
    <t>Sgo. del Estero</t>
  </si>
  <si>
    <t>Poner líneas guía en Catamarca y Jujuy</t>
  </si>
  <si>
    <t>Producción soja (tn</t>
  </si>
  <si>
    <r>
      <rPr>
        <b/>
        <sz val="11"/>
        <color theme="1"/>
        <rFont val="Calibri"/>
        <family val="2"/>
        <scheme val="minor"/>
      </rPr>
      <t>VBP - Valor Bruto de la Producción</t>
    </r>
    <r>
      <rPr>
        <sz val="11"/>
        <color theme="1"/>
        <rFont val="Calibri"/>
        <family val="2"/>
        <scheme val="minor"/>
      </rPr>
      <t xml:space="preserve"> - PPP x producción (</t>
    </r>
    <r>
      <rPr>
        <b/>
        <sz val="11"/>
        <color rgb="FFFF0000"/>
        <rFont val="Calibri"/>
        <family val="2"/>
        <scheme val="minor"/>
      </rPr>
      <t>LO VAMOS A COLOCAR LUEGO DE QUE ARME LA BASE DE PRECIOS Y FLETES</t>
    </r>
    <r>
      <rPr>
        <sz val="11"/>
        <color theme="1"/>
        <rFont val="Calibri"/>
        <family val="2"/>
        <scheme val="minor"/>
      </rPr>
      <t>)</t>
    </r>
  </si>
  <si>
    <t>NOTAS SOBRE LOS GRÁFICOS Y TABLAS</t>
  </si>
  <si>
    <t>Van los mismos tipos de gráficos para TODOS LOS CULTIVOS Y PARA LAS OPCIONES GEOGRÁFICAS</t>
  </si>
  <si>
    <t>Los formatos de gráficos se mantienen SIEMPRE en todos los casos de datos, así como la uniformidad de colores y estilos (sino sería un carnaval)</t>
  </si>
  <si>
    <t>Para otros tipos de gráficos, se incorporarán oportunamente, POR EJEMPLO SERIES DE PRECIOS</t>
  </si>
  <si>
    <t>FORMATO POR DEPARTAMENTO</t>
  </si>
  <si>
    <t>Producción de soja en NOA - participación por provincia - Campaña 2024/25 - en %</t>
  </si>
  <si>
    <t>GRAF 1</t>
  </si>
  <si>
    <t>GRAF 2</t>
  </si>
  <si>
    <t>GRAF 3</t>
  </si>
  <si>
    <t>GRAF 4</t>
  </si>
  <si>
    <t>GRAF 5</t>
  </si>
  <si>
    <t>A partir de seleccionar los cultivos del menú (que yo sugeriría colocar DEBAJO del gráfico) podrán verse los datos de cada uno de ellos</t>
  </si>
  <si>
    <t xml:space="preserve">CUANDO SE INCORPOREN LAS BASES DE ACTIVIDADES GANADERAS, DATOS GENERALES, ECONOMICOS, ETC. SE "INTEGRARÁN" EN LA VISUALIZACIÓN DEPARTAMENTAL </t>
  </si>
  <si>
    <t>Los datos se visualizarán a través de GRAF 1 y GRAF 2</t>
  </si>
  <si>
    <t>También se colocará una tabla con la posición del departamento en el RANKING de cultivos en cada campaña</t>
  </si>
  <si>
    <t>RANKING DEPARTAMENTAL DE CULTIVOS EXTENSIVOS</t>
  </si>
  <si>
    <t>DEBE HACERSE LO MISMO PARA CULTIVOS INVIERNO</t>
  </si>
  <si>
    <t>Desde el mapa de la provincia, se selecccionará el departamento a visualizar y se desplegará un listado de cultivos del departamento y GRAF 3 - VERANO E INVIERNO Y TOTALES EN LA VARIABLE PRODUCCIÓN.</t>
  </si>
  <si>
    <t>Hay que prever agregar llamadas con icono de pregunta para aclaraciones técnicas o metodológicas.</t>
  </si>
  <si>
    <t>Se elaborarán 2 tipos de Ranking: por cultivo y el total producido (verano + invierno)</t>
  </si>
  <si>
    <t>MUY IMPORTANTE!!!!!!!!!</t>
  </si>
  <si>
    <t>PARA LOS GRAFICOS Y TOTALES DEBEN TOMARSE SOLAMENTE EL QUE DICE "TOTAL" - Ejemplo: Está "soja de 1a y soja de 2da" DEBE TOMARSE SOJA TOTAL Y NO SUMAR TODO!!!!</t>
  </si>
  <si>
    <t>PORQUE SINO, ESTARÍAS DUPLICANDO LAS CANTIDADES !!!! Lo mismo para "poroto" y Trigo (por eso tenés "trigo total" y "poroto total" o la Cebada.</t>
  </si>
  <si>
    <t>Por ejemplo, en soja hay que poner un botón de "ver detalle" y a través de GRAF 3 ver cuanto de soja de 1a y de 2da hay para cada caso (o poroto o trigo)</t>
  </si>
  <si>
    <t>AGREGAR BOTÓN DE "VER DETALLE" PARA SOJA DE 1a y 2da</t>
  </si>
  <si>
    <t>Un tercer tipo de ranking tomará el promedio de rendimientos DE LAS ULTIMAS 3 CAMPAÑAS.</t>
  </si>
  <si>
    <t>Había pensado en la variante de un mapa del NOA con porcentajes, pero esto es, por lejos</t>
  </si>
  <si>
    <t>más representativo de la participación de Santiago</t>
  </si>
  <si>
    <t>RENDIMIENTOS</t>
  </si>
  <si>
    <t>Promedio 3 camp</t>
  </si>
  <si>
    <t>Ranking</t>
  </si>
  <si>
    <t>1°</t>
  </si>
  <si>
    <t>2°</t>
  </si>
  <si>
    <t>3°</t>
  </si>
  <si>
    <t>4°</t>
  </si>
  <si>
    <t>5°</t>
  </si>
  <si>
    <t>6°</t>
  </si>
  <si>
    <t>7°</t>
  </si>
  <si>
    <t>8°</t>
  </si>
  <si>
    <t>9°</t>
  </si>
  <si>
    <t>10°</t>
  </si>
  <si>
    <t>11°</t>
  </si>
  <si>
    <t>12°</t>
  </si>
  <si>
    <t>13°</t>
  </si>
  <si>
    <t>14°</t>
  </si>
  <si>
    <t>15°</t>
  </si>
  <si>
    <t>16°</t>
  </si>
  <si>
    <t>°</t>
  </si>
  <si>
    <t>17°</t>
  </si>
  <si>
    <t>18°</t>
  </si>
  <si>
    <t>19°</t>
  </si>
  <si>
    <t>20°</t>
  </si>
  <si>
    <t>21°</t>
  </si>
  <si>
    <t>22°</t>
  </si>
  <si>
    <t>23°</t>
  </si>
  <si>
    <t>24°</t>
  </si>
  <si>
    <t>25°</t>
  </si>
  <si>
    <t>26°</t>
  </si>
  <si>
    <t>ACA EJEMPLO DE RANGING DE SOJA (RESTARIA EL RANKING POR EL TOTAL DE CULTIVOS, PERO EL PRINCIPIO ES EL MISMO)</t>
  </si>
  <si>
    <t xml:space="preserve">Ranking Producción de soja por departamento - Campañas 2014/15 a 2024/25 </t>
  </si>
  <si>
    <t>2020/19</t>
  </si>
  <si>
    <t>2019/18</t>
  </si>
  <si>
    <t>2018/17</t>
  </si>
  <si>
    <t>2017/16</t>
  </si>
  <si>
    <t>2016/15</t>
  </si>
  <si>
    <t>2015/14</t>
  </si>
  <si>
    <t>Ranking de rendimientos de SOJA por departamento promedio últimas 3 campañas (en kg/ha)</t>
  </si>
  <si>
    <t>COMPLETAR POR SISTEMA</t>
  </si>
  <si>
    <t>ACCESO</t>
  </si>
  <si>
    <t xml:space="preserve">POR </t>
  </si>
  <si>
    <t>TERRITORIO</t>
  </si>
  <si>
    <t>TEMA</t>
  </si>
  <si>
    <t>RECURSOS FORRAJEROS</t>
  </si>
  <si>
    <t>43 -PB 11</t>
  </si>
  <si>
    <t>año</t>
  </si>
  <si>
    <t>n mes</t>
  </si>
  <si>
    <t>mes</t>
  </si>
  <si>
    <t>quincena</t>
  </si>
  <si>
    <t>Deepartamento</t>
  </si>
  <si>
    <r>
      <t>Muy bajo</t>
    </r>
    <r>
      <rPr>
        <b/>
        <sz val="10"/>
        <color theme="1"/>
        <rFont val="Calibri"/>
        <family val="2"/>
      </rPr>
      <t xml:space="preserve">  (5% de los años) en ha</t>
    </r>
  </si>
  <si>
    <r>
      <t xml:space="preserve">Bajo </t>
    </r>
    <r>
      <rPr>
        <b/>
        <sz val="10"/>
        <color theme="1"/>
        <rFont val="Calibri"/>
        <family val="2"/>
      </rPr>
      <t>(25% de los años)  en ha</t>
    </r>
  </si>
  <si>
    <r>
      <t>Promedio</t>
    </r>
    <r>
      <rPr>
        <b/>
        <sz val="10"/>
        <color theme="1"/>
        <rFont val="Calibri"/>
        <family val="2"/>
      </rPr>
      <t xml:space="preserve"> (40% de los años)  en ha</t>
    </r>
  </si>
  <si>
    <r>
      <t xml:space="preserve">Alto  </t>
    </r>
    <r>
      <rPr>
        <b/>
        <sz val="10"/>
        <color theme="1"/>
        <rFont val="Calibri"/>
        <family val="2"/>
      </rPr>
      <t>(25% de los años)  en ha</t>
    </r>
  </si>
  <si>
    <r>
      <t xml:space="preserve">Muy alto  </t>
    </r>
    <r>
      <rPr>
        <b/>
        <sz val="10"/>
        <color theme="1"/>
        <rFont val="Calibri"/>
        <family val="2"/>
      </rPr>
      <t>(5% de los años)  en ha</t>
    </r>
  </si>
  <si>
    <t>Sin dato o agricultura -  en ha</t>
  </si>
  <si>
    <t>Total -  en ha</t>
  </si>
  <si>
    <r>
      <t>Muy bajo</t>
    </r>
    <r>
      <rPr>
        <b/>
        <sz val="10"/>
        <color theme="1"/>
        <rFont val="Calibri"/>
        <family val="2"/>
      </rPr>
      <t xml:space="preserve">  (5% de los años) en % de la superf.</t>
    </r>
  </si>
  <si>
    <r>
      <t xml:space="preserve">Bajo  </t>
    </r>
    <r>
      <rPr>
        <b/>
        <sz val="10"/>
        <color theme="1"/>
        <rFont val="Calibri"/>
        <family val="2"/>
      </rPr>
      <t>(25% de los años)  en % de la superf.</t>
    </r>
  </si>
  <si>
    <r>
      <t>Promedio</t>
    </r>
    <r>
      <rPr>
        <b/>
        <sz val="10"/>
        <color theme="1"/>
        <rFont val="Calibri"/>
        <family val="2"/>
      </rPr>
      <t xml:space="preserve"> (40% de los años)  en % de la superf.</t>
    </r>
  </si>
  <si>
    <r>
      <t xml:space="preserve">Alto  </t>
    </r>
    <r>
      <rPr>
        <b/>
        <sz val="10"/>
        <color theme="1"/>
        <rFont val="Calibri"/>
        <family val="2"/>
      </rPr>
      <t>(25% de los años)  en % de la superf.</t>
    </r>
  </si>
  <si>
    <r>
      <t xml:space="preserve">Muy alto  </t>
    </r>
    <r>
      <rPr>
        <b/>
        <sz val="10"/>
        <color theme="1"/>
        <rFont val="Calibri"/>
        <family val="2"/>
      </rPr>
      <t>(5% de los años)  en % de la superf.</t>
    </r>
  </si>
  <si>
    <t>enero</t>
  </si>
  <si>
    <t>1ra</t>
  </si>
  <si>
    <t>JUAN F, IBARRA</t>
  </si>
  <si>
    <t>SALAVINA</t>
  </si>
  <si>
    <t>2da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</si>
  <si>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</si>
  <si>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</si>
  <si>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</si>
  <si>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</si>
  <si>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</si>
  <si>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</si>
  <si>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</si>
  <si>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</si>
  <si>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</si>
  <si>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</si>
  <si>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</si>
  <si>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10869,66</t>
  </si>
  <si>
    <t>41620,18</t>
  </si>
  <si>
    <t>111621,83</t>
  </si>
  <si>
    <t>13385,95</t>
  </si>
  <si>
    <t>150574,52</t>
  </si>
  <si>
    <t>433311,48</t>
  </si>
  <si>
    <t>48876,88</t>
  </si>
  <si>
    <t>82822,43</t>
  </si>
  <si>
    <t>488348,72</t>
  </si>
  <si>
    <t>55958,92</t>
  </si>
  <si>
    <t>300894,81</t>
  </si>
  <si>
    <t>1302393,32</t>
  </si>
  <si>
    <t>150,06</t>
  </si>
  <si>
    <t>768,39</t>
  </si>
  <si>
    <t>32473,59</t>
  </si>
  <si>
    <t>2422,06</t>
  </si>
  <si>
    <t>170610,03</t>
  </si>
  <si>
    <t>226689,62</t>
  </si>
  <si>
    <t>2368,34</t>
  </si>
  <si>
    <t>7301,33</t>
  </si>
  <si>
    <t>216765,58</t>
  </si>
  <si>
    <t>76935,58</t>
  </si>
  <si>
    <t>21491,89</t>
  </si>
  <si>
    <t>373104,58</t>
  </si>
  <si>
    <t>11135,43</t>
  </si>
  <si>
    <t>45474,41</t>
  </si>
  <si>
    <t>33554,00</t>
  </si>
  <si>
    <t>1765,69</t>
  </si>
  <si>
    <t>197448,22</t>
  </si>
  <si>
    <t>354392,05</t>
  </si>
  <si>
    <t>303,22</t>
  </si>
  <si>
    <t>1668,69</t>
  </si>
  <si>
    <t>5036,58</t>
  </si>
  <si>
    <t>1599,83</t>
  </si>
  <si>
    <t>216226,47</t>
  </si>
  <si>
    <t>230086,50</t>
  </si>
  <si>
    <t>813,19</t>
  </si>
  <si>
    <t>24501,23</t>
  </si>
  <si>
    <t>68712,33</t>
  </si>
  <si>
    <t>51423,91</t>
  </si>
  <si>
    <t>52420,32</t>
  </si>
  <si>
    <t>251948,69</t>
  </si>
  <si>
    <t>3836,07</t>
  </si>
  <si>
    <t>25666,14</t>
  </si>
  <si>
    <t>208095,21</t>
  </si>
  <si>
    <t>19925,67</t>
  </si>
  <si>
    <t>192093,66</t>
  </si>
  <si>
    <t>609521,81</t>
  </si>
  <si>
    <t>22280,69</t>
  </si>
  <si>
    <t>87131,04</t>
  </si>
  <si>
    <t>713510,21</t>
  </si>
  <si>
    <t>78142,52</t>
  </si>
  <si>
    <t>42129,07</t>
  </si>
  <si>
    <t>1352056,79</t>
  </si>
  <si>
    <t>11229,60</t>
  </si>
  <si>
    <t>68643,90</t>
  </si>
  <si>
    <t>323904,36</t>
  </si>
  <si>
    <t>26994,27</t>
  </si>
  <si>
    <t>97318,46</t>
  </si>
  <si>
    <t>713628,83</t>
  </si>
  <si>
    <t>16787,91</t>
  </si>
  <si>
    <t>70947,64</t>
  </si>
  <si>
    <t>115625,95</t>
  </si>
  <si>
    <t>48982,72</t>
  </si>
  <si>
    <t>286610,87</t>
  </si>
  <si>
    <t>605861,20</t>
  </si>
  <si>
    <t>1311,67</t>
  </si>
  <si>
    <t>4056,91</t>
  </si>
  <si>
    <t>62857,90</t>
  </si>
  <si>
    <t>1012,50</t>
  </si>
  <si>
    <t>141610,78</t>
  </si>
  <si>
    <t>258886,87</t>
  </si>
  <si>
    <t>11299,18</t>
  </si>
  <si>
    <t>62346,35</t>
  </si>
  <si>
    <t>40639,33</t>
  </si>
  <si>
    <t>330,02</t>
  </si>
  <si>
    <t>311636,30</t>
  </si>
  <si>
    <t>524073,86</t>
  </si>
  <si>
    <t>45353,37</t>
  </si>
  <si>
    <t>57989,22</t>
  </si>
  <si>
    <t>414354,87</t>
  </si>
  <si>
    <t>97074,35</t>
  </si>
  <si>
    <t>204818,21</t>
  </si>
  <si>
    <t>927958,42</t>
  </si>
  <si>
    <t>956,09</t>
  </si>
  <si>
    <t>3399,21</t>
  </si>
  <si>
    <t>104076,28</t>
  </si>
  <si>
    <t>14167,46</t>
  </si>
  <si>
    <t>182711,92</t>
  </si>
  <si>
    <t>331195,17</t>
  </si>
  <si>
    <t>3147,90</t>
  </si>
  <si>
    <t>22055,11</t>
  </si>
  <si>
    <t>96209,48</t>
  </si>
  <si>
    <t>6769,53</t>
  </si>
  <si>
    <t>47801,25</t>
  </si>
  <si>
    <t>326305,02</t>
  </si>
  <si>
    <t>1406,43</t>
  </si>
  <si>
    <t>5512,36</t>
  </si>
  <si>
    <t>2047,99</t>
  </si>
  <si>
    <t>101,23</t>
  </si>
  <si>
    <t>3759,63</t>
  </si>
  <si>
    <t>18714,33</t>
  </si>
  <si>
    <t>1816,71</t>
  </si>
  <si>
    <t>13815,05</t>
  </si>
  <si>
    <t>67768,26</t>
  </si>
  <si>
    <t>85468,96</t>
  </si>
  <si>
    <t>432675,41</t>
  </si>
  <si>
    <t>620824,34</t>
  </si>
  <si>
    <t>1092,51</t>
  </si>
  <si>
    <t>12133,74</t>
  </si>
  <si>
    <t>21591,96</t>
  </si>
  <si>
    <t>17174,43</t>
  </si>
  <si>
    <t>117427,87</t>
  </si>
  <si>
    <t>185575,49</t>
  </si>
  <si>
    <t>514,15</t>
  </si>
  <si>
    <t>2720,13</t>
  </si>
  <si>
    <t>165028,12</t>
  </si>
  <si>
    <t>69709,55</t>
  </si>
  <si>
    <t>105438,50</t>
  </si>
  <si>
    <t>371477,13</t>
  </si>
  <si>
    <t>1777,96</t>
  </si>
  <si>
    <t>2508,28</t>
  </si>
  <si>
    <t>63516,89</t>
  </si>
  <si>
    <t>5743,67</t>
  </si>
  <si>
    <t>122608,44</t>
  </si>
  <si>
    <t>215729,29</t>
  </si>
  <si>
    <t>2893,64</t>
  </si>
  <si>
    <t>9862,30</t>
  </si>
  <si>
    <t>97940,20</t>
  </si>
  <si>
    <t>31370,07</t>
  </si>
  <si>
    <t>5933,06</t>
  </si>
  <si>
    <t>211202,41</t>
  </si>
  <si>
    <t>2574,86</t>
  </si>
  <si>
    <t>5808,82</t>
  </si>
  <si>
    <t>32281,21</t>
  </si>
  <si>
    <t>3776,45</t>
  </si>
  <si>
    <t>73977,21</t>
  </si>
  <si>
    <t>134096,09</t>
  </si>
  <si>
    <t>559,69</t>
  </si>
  <si>
    <t>5258,13</t>
  </si>
  <si>
    <t>117085,55</t>
  </si>
  <si>
    <t>33931,41</t>
  </si>
  <si>
    <t>92302,83</t>
  </si>
  <si>
    <t>309330,85</t>
  </si>
  <si>
    <t>5479,11</t>
  </si>
  <si>
    <t>23883,55</t>
  </si>
  <si>
    <t>34223,84</t>
  </si>
  <si>
    <t>7455,74</t>
  </si>
  <si>
    <t>23803,28</t>
  </si>
  <si>
    <t>149075,00</t>
  </si>
  <si>
    <t>106730,33</t>
  </si>
  <si>
    <t>734077,43</t>
  </si>
  <si>
    <t>45529,32</t>
  </si>
  <si>
    <t>8423,35</t>
  </si>
  <si>
    <t>303760,82</t>
  </si>
  <si>
    <t>1461770,36</t>
  </si>
  <si>
    <t>958,95</t>
  </si>
  <si>
    <t>829,53</t>
  </si>
  <si>
    <t>48053,87</t>
  </si>
  <si>
    <t>1869,13</t>
  </si>
  <si>
    <t>45379,03</t>
  </si>
  <si>
    <t>110314,40</t>
  </si>
  <si>
    <t>115147,48</t>
  </si>
  <si>
    <t>341731,20</t>
  </si>
  <si>
    <t>94463,21</t>
  </si>
  <si>
    <t>1795,68</t>
  </si>
  <si>
    <t>405082,81</t>
  </si>
  <si>
    <t>20263,91</t>
  </si>
  <si>
    <t>102963,11</t>
  </si>
  <si>
    <t>17213,50</t>
  </si>
  <si>
    <t>135,25</t>
  </si>
  <si>
    <t>184034,54</t>
  </si>
  <si>
    <t>292,57</t>
  </si>
  <si>
    <t>24855,63</t>
  </si>
  <si>
    <t>6870,82</t>
  </si>
  <si>
    <t>221,85</t>
  </si>
  <si>
    <t>143669,67</t>
  </si>
  <si>
    <t>3155,19</t>
  </si>
  <si>
    <t>17157,42</t>
  </si>
  <si>
    <t>113644,13</t>
  </si>
  <si>
    <t>11555,81</t>
  </si>
  <si>
    <t>101341,13</t>
  </si>
  <si>
    <t>15145,79</t>
  </si>
  <si>
    <t>42535,33</t>
  </si>
  <si>
    <t>9343,88</t>
  </si>
  <si>
    <t>238,00</t>
  </si>
  <si>
    <t>249099,26</t>
  </si>
  <si>
    <t>1453,60</t>
  </si>
  <si>
    <t>5457,34</t>
  </si>
  <si>
    <t>1706,90</t>
  </si>
  <si>
    <t>292,94</t>
  </si>
  <si>
    <t>216289,36</t>
  </si>
  <si>
    <t>851,82</t>
  </si>
  <si>
    <t>23352,35</t>
  </si>
  <si>
    <t>74334,38</t>
  </si>
  <si>
    <t>47464,56</t>
  </si>
  <si>
    <t>49765,03</t>
  </si>
  <si>
    <t>8232,26</t>
  </si>
  <si>
    <t>99426,40</t>
  </si>
  <si>
    <t>19646,78</t>
  </si>
  <si>
    <t>60,92</t>
  </si>
  <si>
    <t>327326,92</t>
  </si>
  <si>
    <t>98464,62</t>
  </si>
  <si>
    <t>355118,74</t>
  </si>
  <si>
    <t>154900,54</t>
  </si>
  <si>
    <t>1839,20</t>
  </si>
  <si>
    <t>65217,14</t>
  </si>
  <si>
    <t>21409,11</t>
  </si>
  <si>
    <t>151763,19</t>
  </si>
  <si>
    <t>62620,02</t>
  </si>
  <si>
    <t>1881,85</t>
  </si>
  <si>
    <t>168011,29</t>
  </si>
  <si>
    <t>25371,89</t>
  </si>
  <si>
    <t>79957,65</t>
  </si>
  <si>
    <t>67931,31</t>
  </si>
  <si>
    <t>7997,41</t>
  </si>
  <si>
    <t>357952,20</t>
  </si>
  <si>
    <t>1634,30</t>
  </si>
  <si>
    <t>4047,33</t>
  </si>
  <si>
    <t>32628,17</t>
  </si>
  <si>
    <t>155,69</t>
  </si>
  <si>
    <t>193365,28</t>
  </si>
  <si>
    <t>17593,33</t>
  </si>
  <si>
    <t>67962,39</t>
  </si>
  <si>
    <t>11794,51</t>
  </si>
  <si>
    <t>430,95</t>
  </si>
  <si>
    <t>365552,00</t>
  </si>
  <si>
    <t>53000,42</t>
  </si>
  <si>
    <t>97445,17</t>
  </si>
  <si>
    <t>137663,22</t>
  </si>
  <si>
    <t>9632,68</t>
  </si>
  <si>
    <t>370540,86</t>
  </si>
  <si>
    <t>1735,81</t>
  </si>
  <si>
    <t>28514,20</t>
  </si>
  <si>
    <t>12925,24</t>
  </si>
  <si>
    <t>159,48</t>
  </si>
  <si>
    <t>177455,46</t>
  </si>
  <si>
    <t>6105,85</t>
  </si>
  <si>
    <t>8964,61</t>
  </si>
  <si>
    <t>307,54</t>
  </si>
  <si>
    <t>22,04</t>
  </si>
  <si>
    <t>1380,98</t>
  </si>
  <si>
    <t>9844,22</t>
  </si>
  <si>
    <t>48340,92</t>
  </si>
  <si>
    <t>104181,79</t>
  </si>
  <si>
    <t>16828,99</t>
  </si>
  <si>
    <t>330226,32</t>
  </si>
  <si>
    <t>5313,18</t>
  </si>
  <si>
    <t>13979,45</t>
  </si>
  <si>
    <t>21561,80</t>
  </si>
  <si>
    <t>6831,57</t>
  </si>
  <si>
    <t>121178,80</t>
  </si>
  <si>
    <t>2452,06</t>
  </si>
  <si>
    <t>50308,12</t>
  </si>
  <si>
    <t>36397,39</t>
  </si>
  <si>
    <t>915,53</t>
  </si>
  <si>
    <t>102506,74</t>
  </si>
  <si>
    <t>2207,55</t>
  </si>
  <si>
    <t>3970,29</t>
  </si>
  <si>
    <t>65724,24</t>
  </si>
  <si>
    <t>21003,17</t>
  </si>
  <si>
    <t>105334,12</t>
  </si>
  <si>
    <t>3537,79</t>
  </si>
  <si>
    <t>16831,65</t>
  </si>
  <si>
    <t>66046,77</t>
  </si>
  <si>
    <t>29596,20</t>
  </si>
  <si>
    <t>16045,87</t>
  </si>
  <si>
    <t>4542,41</t>
  </si>
  <si>
    <t>10279,24</t>
  </si>
  <si>
    <t>4194,64</t>
  </si>
  <si>
    <t>92,09</t>
  </si>
  <si>
    <t>97472,92</t>
  </si>
  <si>
    <t>2105,22</t>
  </si>
  <si>
    <t>61525,36</t>
  </si>
  <si>
    <t>27662,89</t>
  </si>
  <si>
    <t>1520,53</t>
  </si>
  <si>
    <t>78219,77</t>
  </si>
  <si>
    <t>5950,86</t>
  </si>
  <si>
    <t>24347,67</t>
  </si>
  <si>
    <t>27152,47</t>
  </si>
  <si>
    <t>7304,78</t>
  </si>
  <si>
    <t>34151,75</t>
  </si>
  <si>
    <t>100520,63</t>
  </si>
  <si>
    <t>726908,83</t>
  </si>
  <si>
    <t>40063,64</t>
  </si>
  <si>
    <t>5663,75</t>
  </si>
  <si>
    <t>293975,09</t>
  </si>
  <si>
    <t>699,63</t>
  </si>
  <si>
    <t>12252,17</t>
  </si>
  <si>
    <t>4499,09</t>
  </si>
  <si>
    <t>51,85</t>
  </si>
  <si>
    <t>53107,66</t>
  </si>
  <si>
    <t>10339,93</t>
  </si>
  <si>
    <t>114271,63</t>
  </si>
  <si>
    <t>14558,09</t>
  </si>
  <si>
    <t>814,55</t>
  </si>
  <si>
    <t>78428,26</t>
  </si>
  <si>
    <t>235954,51</t>
  </si>
  <si>
    <t>371989,19</t>
  </si>
  <si>
    <t>60285,40</t>
  </si>
  <si>
    <t>1192,31</t>
  </si>
  <si>
    <t>342621,35</t>
  </si>
  <si>
    <t>35980,45</t>
  </si>
  <si>
    <t>129075,67</t>
  </si>
  <si>
    <t>18017,48</t>
  </si>
  <si>
    <t>37,27</t>
  </si>
  <si>
    <t>116020,97</t>
  </si>
  <si>
    <t>3283,09</t>
  </si>
  <si>
    <t>74639,03</t>
  </si>
  <si>
    <t>3799,26</t>
  </si>
  <si>
    <t>117,00</t>
  </si>
  <si>
    <t>92471,90</t>
  </si>
  <si>
    <t>8925,78</t>
  </si>
  <si>
    <t>75782,24</t>
  </si>
  <si>
    <t>53451,29</t>
  </si>
  <si>
    <t>529,02</t>
  </si>
  <si>
    <t>20885,59</t>
  </si>
  <si>
    <t>47678,73</t>
  </si>
  <si>
    <t>79197,59</t>
  </si>
  <si>
    <t>5260,71</t>
  </si>
  <si>
    <t>117,18</t>
  </si>
  <si>
    <t>185957,86</t>
  </si>
  <si>
    <t>2783,73</t>
  </si>
  <si>
    <t>7166,65</t>
  </si>
  <si>
    <t>882,85</t>
  </si>
  <si>
    <t>18,02</t>
  </si>
  <si>
    <t>216264,02</t>
  </si>
  <si>
    <t>478,01</t>
  </si>
  <si>
    <t>19937,63</t>
  </si>
  <si>
    <t>81729,68</t>
  </si>
  <si>
    <t>38428,79</t>
  </si>
  <si>
    <t>46153,43</t>
  </si>
  <si>
    <t>34160,08</t>
  </si>
  <si>
    <t>177515,95</t>
  </si>
  <si>
    <t>48371,68</t>
  </si>
  <si>
    <t>1073,56</t>
  </si>
  <si>
    <t>97365,31</t>
  </si>
  <si>
    <t>226208,83</t>
  </si>
  <si>
    <t>527254,95</t>
  </si>
  <si>
    <t>72995,77</t>
  </si>
  <si>
    <t>1159,31</t>
  </si>
  <si>
    <t>89094,75</t>
  </si>
  <si>
    <t>43335,05</t>
  </si>
  <si>
    <t>189993,33</t>
  </si>
  <si>
    <t>39742,15</t>
  </si>
  <si>
    <t>702,68</t>
  </si>
  <si>
    <t>235090,34</t>
  </si>
  <si>
    <t>35738,48</t>
  </si>
  <si>
    <t>127227,39</t>
  </si>
  <si>
    <t>47975,90</t>
  </si>
  <si>
    <t>2126,53</t>
  </si>
  <si>
    <t>279731,78</t>
  </si>
  <si>
    <t>15728,75</t>
  </si>
  <si>
    <t>60020,09</t>
  </si>
  <si>
    <t>9494,96</t>
  </si>
  <si>
    <t>104035,14</t>
  </si>
  <si>
    <t>48627,23</t>
  </si>
  <si>
    <t>77187,18</t>
  </si>
  <si>
    <t>5937,02</t>
  </si>
  <si>
    <t>292,91</t>
  </si>
  <si>
    <t>355174,27</t>
  </si>
  <si>
    <t>76583,58</t>
  </si>
  <si>
    <t>168948,29</t>
  </si>
  <si>
    <t>94794,50</t>
  </si>
  <si>
    <t>4592,40</t>
  </si>
  <si>
    <t>289267,44</t>
  </si>
  <si>
    <t>6802,18</t>
  </si>
  <si>
    <t>80679,68</t>
  </si>
  <si>
    <t>20871,27</t>
  </si>
  <si>
    <t>286,45</t>
  </si>
  <si>
    <t>97176,74</t>
  </si>
  <si>
    <t>8839,53</t>
  </si>
  <si>
    <t>4432,29</t>
  </si>
  <si>
    <t>262,65</t>
  </si>
  <si>
    <t>29,18</t>
  </si>
  <si>
    <t>3653,46</t>
  </si>
  <si>
    <t>31378,11</t>
  </si>
  <si>
    <t>139866,86</t>
  </si>
  <si>
    <t>84378,09</t>
  </si>
  <si>
    <t>4704,19</t>
  </si>
  <si>
    <t>186043,22</t>
  </si>
  <si>
    <t>5393,29</t>
  </si>
  <si>
    <t>15998,16</t>
  </si>
  <si>
    <t>21988,85</t>
  </si>
  <si>
    <t>3025,90</t>
  </si>
  <si>
    <t>116448,97</t>
  </si>
  <si>
    <t>12570,29</t>
  </si>
  <si>
    <t>136701,93</t>
  </si>
  <si>
    <t>24361,88</t>
  </si>
  <si>
    <t>1171,09</t>
  </si>
  <si>
    <t>52580,25</t>
  </si>
  <si>
    <t>4330,83</t>
  </si>
  <si>
    <t>19104,16</t>
  </si>
  <si>
    <t>58016,36</t>
  </si>
  <si>
    <t>1507,29</t>
  </si>
  <si>
    <t>78652,80</t>
  </si>
  <si>
    <t>4283,01</t>
  </si>
  <si>
    <t>20539,88</t>
  </si>
  <si>
    <t>59025,21</t>
  </si>
  <si>
    <t>23212,23</t>
  </si>
  <si>
    <t>11146,01</t>
  </si>
  <si>
    <t>11582,33</t>
  </si>
  <si>
    <t>21026,32</t>
  </si>
  <si>
    <t>2935,40</t>
  </si>
  <si>
    <t>9,45</t>
  </si>
  <si>
    <t>82461,45</t>
  </si>
  <si>
    <t>7487,48</t>
  </si>
  <si>
    <t>99900,23</t>
  </si>
  <si>
    <t>19946,45</t>
  </si>
  <si>
    <t>475,33</t>
  </si>
  <si>
    <t>18934,13</t>
  </si>
  <si>
    <t>5602,39</t>
  </si>
  <si>
    <t>26490,97</t>
  </si>
  <si>
    <t>23975,21</t>
  </si>
  <si>
    <t>2640,20</t>
  </si>
  <si>
    <t>37372,19</t>
  </si>
  <si>
    <t>76643,57</t>
  </si>
  <si>
    <t>608757,88</t>
  </si>
  <si>
    <t>52973,13</t>
  </si>
  <si>
    <t>10361,60</t>
  </si>
  <si>
    <t>343338,85</t>
  </si>
  <si>
    <t>4419,77</t>
  </si>
  <si>
    <t>32863,63</t>
  </si>
  <si>
    <t>10016,20</t>
  </si>
  <si>
    <t>47,08</t>
  </si>
  <si>
    <t>13985,32</t>
  </si>
  <si>
    <t>23109,35</t>
  </si>
  <si>
    <t>141886,42</t>
  </si>
  <si>
    <t>10463,94</t>
  </si>
  <si>
    <t>690,99</t>
  </si>
  <si>
    <t>41624,44</t>
  </si>
  <si>
    <t>194593,75</t>
  </si>
  <si>
    <t>358331,71</t>
  </si>
  <si>
    <t>113749,31</t>
  </si>
  <si>
    <t>4163,79</t>
  </si>
  <si>
    <t>262909,76</t>
  </si>
  <si>
    <t>7795,78</t>
  </si>
  <si>
    <t>36195,94</t>
  </si>
  <si>
    <t>208569,61</t>
  </si>
  <si>
    <t>20594,16</t>
  </si>
  <si>
    <t>70770,43</t>
  </si>
  <si>
    <t>444,40</t>
  </si>
  <si>
    <t>5387,22</t>
  </si>
  <si>
    <t>141944,69</t>
  </si>
  <si>
    <t>25049,77</t>
  </si>
  <si>
    <t>19031,39</t>
  </si>
  <si>
    <t>3591,38</t>
  </si>
  <si>
    <t>10266,49</t>
  </si>
  <si>
    <t>244090,24</t>
  </si>
  <si>
    <t>31188,93</t>
  </si>
  <si>
    <t>18884,80</t>
  </si>
  <si>
    <t>24061,59</t>
  </si>
  <si>
    <t>87211,50</t>
  </si>
  <si>
    <t>48742,33</t>
  </si>
  <si>
    <t>2572,55</t>
  </si>
  <si>
    <t>65055,38</t>
  </si>
  <si>
    <t>738,22</t>
  </si>
  <si>
    <t>4778,93</t>
  </si>
  <si>
    <t>2540,49</t>
  </si>
  <si>
    <t>357,37</t>
  </si>
  <si>
    <t>215487,91</t>
  </si>
  <si>
    <t>2952,74</t>
  </si>
  <si>
    <t>37096,41</t>
  </si>
  <si>
    <t>68107,36</t>
  </si>
  <si>
    <t>23072,01</t>
  </si>
  <si>
    <t>43422,84</t>
  </si>
  <si>
    <t>25254,08</t>
  </si>
  <si>
    <t>148202,86</t>
  </si>
  <si>
    <t>111486,50</t>
  </si>
  <si>
    <t>3438,91</t>
  </si>
  <si>
    <t>30732,20</t>
  </si>
  <si>
    <t>81216,67</t>
  </si>
  <si>
    <t>323806,97</t>
  </si>
  <si>
    <t>314942,94</t>
  </si>
  <si>
    <t>18936,19</t>
  </si>
  <si>
    <t>34697,21</t>
  </si>
  <si>
    <t>47601,97</t>
  </si>
  <si>
    <t>122951,64</t>
  </si>
  <si>
    <t>229863,95</t>
  </si>
  <si>
    <t>15962,44</t>
  </si>
  <si>
    <t>45272,79</t>
  </si>
  <si>
    <t>11672,12</t>
  </si>
  <si>
    <t>38705,06</t>
  </si>
  <si>
    <t>187374,04</t>
  </si>
  <si>
    <t>16679,80</t>
  </si>
  <si>
    <t>239846,24</t>
  </si>
  <si>
    <t>5288,69</t>
  </si>
  <si>
    <t>45124,58</t>
  </si>
  <si>
    <t>49949,51</t>
  </si>
  <si>
    <t>288,36</t>
  </si>
  <si>
    <t>35221,13</t>
  </si>
  <si>
    <t>66431,55</t>
  </si>
  <si>
    <t>165908,49</t>
  </si>
  <si>
    <t>25965,12</t>
  </si>
  <si>
    <t>749,16</t>
  </si>
  <si>
    <t>150101,11</t>
  </si>
  <si>
    <t>22578,22</t>
  </si>
  <si>
    <t>31805,04</t>
  </si>
  <si>
    <t>513118,16</t>
  </si>
  <si>
    <t>58732,14</t>
  </si>
  <si>
    <t>177238,02</t>
  </si>
  <si>
    <t>2053,27</t>
  </si>
  <si>
    <t>45522,74</t>
  </si>
  <si>
    <t>103742,39</t>
  </si>
  <si>
    <t>1838,23</t>
  </si>
  <si>
    <t>34475,44</t>
  </si>
  <si>
    <t>790,59</t>
  </si>
  <si>
    <t>3865,29</t>
  </si>
  <si>
    <t>2207,75</t>
  </si>
  <si>
    <t>189,82</t>
  </si>
  <si>
    <t>6320,37</t>
  </si>
  <si>
    <t>4350,52</t>
  </si>
  <si>
    <t>77771,37</t>
  </si>
  <si>
    <t>258051,57</t>
  </si>
  <si>
    <t>38220,76</t>
  </si>
  <si>
    <t>96044,83</t>
  </si>
  <si>
    <t>4176,60</t>
  </si>
  <si>
    <t>15350,22</t>
  </si>
  <si>
    <t>21190,68</t>
  </si>
  <si>
    <t>1670,81</t>
  </si>
  <si>
    <t>116700,40</t>
  </si>
  <si>
    <t>430,26</t>
  </si>
  <si>
    <t>10702,97</t>
  </si>
  <si>
    <t>203343,53</t>
  </si>
  <si>
    <t>16606,20</t>
  </si>
  <si>
    <t>5995,24</t>
  </si>
  <si>
    <t>5596,07</t>
  </si>
  <si>
    <t>39509,73</t>
  </si>
  <si>
    <t>42786,35</t>
  </si>
  <si>
    <t>3981,82</t>
  </si>
  <si>
    <t>38162,62</t>
  </si>
  <si>
    <t>9716,00</t>
  </si>
  <si>
    <t>32997,39</t>
  </si>
  <si>
    <t>68613,27</t>
  </si>
  <si>
    <t>11949,98</t>
  </si>
  <si>
    <t>3044,59</t>
  </si>
  <si>
    <t>1971,59</t>
  </si>
  <si>
    <t>6329,57</t>
  </si>
  <si>
    <t>47581,68</t>
  </si>
  <si>
    <t>6543,67</t>
  </si>
  <si>
    <t>50342,34</t>
  </si>
  <si>
    <t>589,01</t>
  </si>
  <si>
    <t>5043,73</t>
  </si>
  <si>
    <t>212050,50</t>
  </si>
  <si>
    <t>27631,28</t>
  </si>
  <si>
    <t>2262,87</t>
  </si>
  <si>
    <t>11336,47</t>
  </si>
  <si>
    <t>44050,15</t>
  </si>
  <si>
    <t>22671,51</t>
  </si>
  <si>
    <t>4125,54</t>
  </si>
  <si>
    <t>5908,92</t>
  </si>
  <si>
    <t>21531,78</t>
  </si>
  <si>
    <t>148570,00</t>
  </si>
  <si>
    <t>362201,16</t>
  </si>
  <si>
    <t>44990,28</t>
  </si>
  <si>
    <t>167570,38</t>
  </si>
  <si>
    <t>845,76</t>
  </si>
  <si>
    <t>2112,30</t>
  </si>
  <si>
    <t>68657,01</t>
  </si>
  <si>
    <t>10419,95</t>
  </si>
  <si>
    <t>9290,75</t>
  </si>
  <si>
    <t>2382,13</t>
  </si>
  <si>
    <t>32137,49</t>
  </si>
  <si>
    <t>126010,14</t>
  </si>
  <si>
    <t>14534,76</t>
  </si>
  <si>
    <t>7780,90</t>
  </si>
  <si>
    <t>227832,05</t>
  </si>
  <si>
    <t>202945,68</t>
  </si>
  <si>
    <t>7257,26</t>
  </si>
  <si>
    <t>262034,03</t>
  </si>
  <si>
    <t>1216285,50</t>
  </si>
  <si>
    <t>23105,25</t>
  </si>
  <si>
    <t>209153,11</t>
  </si>
  <si>
    <t>47854,56</t>
  </si>
  <si>
    <t>58117,86</t>
  </si>
  <si>
    <t>424777,91</t>
  </si>
  <si>
    <t>4274,78</t>
  </si>
  <si>
    <t>152362,41</t>
  </si>
  <si>
    <t>12059,81</t>
  </si>
  <si>
    <t>2441,13</t>
  </si>
  <si>
    <t>226361,61</t>
  </si>
  <si>
    <t>6426,31</t>
  </si>
  <si>
    <t>274463,42</t>
  </si>
  <si>
    <t>32632,88</t>
  </si>
  <si>
    <t>3387,34</t>
  </si>
  <si>
    <t>371107,89</t>
  </si>
  <si>
    <t>54865,34</t>
  </si>
  <si>
    <t>70842,03</t>
  </si>
  <si>
    <t>2766,64</t>
  </si>
  <si>
    <t>61992,44</t>
  </si>
  <si>
    <t>339545,02</t>
  </si>
  <si>
    <t>2291,50</t>
  </si>
  <si>
    <t>4585,29</t>
  </si>
  <si>
    <t>437,89</t>
  </si>
  <si>
    <t>216132,49</t>
  </si>
  <si>
    <t>229833,37</t>
  </si>
  <si>
    <t>53042,73</t>
  </si>
  <si>
    <t>49625,57</t>
  </si>
  <si>
    <t>8993,93</t>
  </si>
  <si>
    <t>46184,85</t>
  </si>
  <si>
    <t>247887,69</t>
  </si>
  <si>
    <t>102243,12</t>
  </si>
  <si>
    <t>225323,73</t>
  </si>
  <si>
    <t>2708,15</t>
  </si>
  <si>
    <t>23868,19</t>
  </si>
  <si>
    <t>593138,66</t>
  </si>
  <si>
    <t>157812,95</t>
  </si>
  <si>
    <t>535357,71</t>
  </si>
  <si>
    <t>61641,73</t>
  </si>
  <si>
    <t>35481,47</t>
  </si>
  <si>
    <t>1324058,49</t>
  </si>
  <si>
    <t>128544,52</t>
  </si>
  <si>
    <t>235379,45</t>
  </si>
  <si>
    <t>11187,89</t>
  </si>
  <si>
    <t>41692,25</t>
  </si>
  <si>
    <t>673745,73</t>
  </si>
  <si>
    <t>23375,79</t>
  </si>
  <si>
    <t>220558,23</t>
  </si>
  <si>
    <t>53362,55</t>
  </si>
  <si>
    <t>237554,84</t>
  </si>
  <si>
    <t>597008,24</t>
  </si>
  <si>
    <t>7901,66</t>
  </si>
  <si>
    <t>108413,84</t>
  </si>
  <si>
    <t>869,24</t>
  </si>
  <si>
    <t>33454,83</t>
  </si>
  <si>
    <t>258335,86</t>
  </si>
  <si>
    <t>120310,79</t>
  </si>
  <si>
    <t>55834,83</t>
  </si>
  <si>
    <t>1577,14</t>
  </si>
  <si>
    <t>145357,03</t>
  </si>
  <si>
    <t>493083,34</t>
  </si>
  <si>
    <t>20386,99</t>
  </si>
  <si>
    <t>434047,24</t>
  </si>
  <si>
    <t>235705,16</t>
  </si>
  <si>
    <t>162989,81</t>
  </si>
  <si>
    <t>910222,33</t>
  </si>
  <si>
    <t>29407,58</t>
  </si>
  <si>
    <t>128163,66</t>
  </si>
  <si>
    <t>1891,55</t>
  </si>
  <si>
    <t>13435,05</t>
  </si>
  <si>
    <t>329003,44</t>
  </si>
  <si>
    <t>3715,15</t>
  </si>
  <si>
    <t>2996,43</t>
  </si>
  <si>
    <t>560,24</t>
  </si>
  <si>
    <t>6294,54</t>
  </si>
  <si>
    <t>18000,65</t>
  </si>
  <si>
    <t>111410,00</t>
  </si>
  <si>
    <t>149640,58</t>
  </si>
  <si>
    <t>10415,47</t>
  </si>
  <si>
    <t>47579,38</t>
  </si>
  <si>
    <t>616427,65</t>
  </si>
  <si>
    <t>12231,13</t>
  </si>
  <si>
    <t>24653,78</t>
  </si>
  <si>
    <t>2262,90</t>
  </si>
  <si>
    <t>117036,76</t>
  </si>
  <si>
    <t>183965,75</t>
  </si>
  <si>
    <t>4504,41</t>
  </si>
  <si>
    <t>216777,33</t>
  </si>
  <si>
    <t>49852,04</t>
  </si>
  <si>
    <t>4134,51</t>
  </si>
  <si>
    <t>371216,24</t>
  </si>
  <si>
    <t>7191,04</t>
  </si>
  <si>
    <t>102910,64</t>
  </si>
  <si>
    <t>5296,42</t>
  </si>
  <si>
    <t>36029,87</t>
  </si>
  <si>
    <t>213575,55</t>
  </si>
  <si>
    <t>11825,08</t>
  </si>
  <si>
    <t>115672,17</t>
  </si>
  <si>
    <t>38318,37</t>
  </si>
  <si>
    <t>2088,62</t>
  </si>
  <si>
    <t>204753,51</t>
  </si>
  <si>
    <t>5099,59</t>
  </si>
  <si>
    <t>52099,43</t>
  </si>
  <si>
    <t>3232,22</t>
  </si>
  <si>
    <t>49541,56</t>
  </si>
  <si>
    <t>131894,88</t>
  </si>
  <si>
    <t>3394,92</t>
  </si>
  <si>
    <t>201963,30</t>
  </si>
  <si>
    <t>45793,82</t>
  </si>
  <si>
    <t>4,34</t>
  </si>
  <si>
    <t>308853,26</t>
  </si>
  <si>
    <t>32183,89</t>
  </si>
  <si>
    <t>25539,42</t>
  </si>
  <si>
    <t>4876,46</t>
  </si>
  <si>
    <t>9461,15</t>
  </si>
  <si>
    <t>138503,33</t>
  </si>
  <si>
    <t>226535,06</t>
  </si>
  <si>
    <t>265324,97</t>
  </si>
  <si>
    <t>38652,12</t>
  </si>
  <si>
    <t>207642,33</t>
  </si>
  <si>
    <t>1435858,89</t>
  </si>
  <si>
    <t>785,84</t>
  </si>
  <si>
    <t>81488,02</t>
  </si>
  <si>
    <t>6600,83</t>
  </si>
  <si>
    <t>8733,41</t>
  </si>
  <si>
    <t>110272,09</t>
  </si>
  <si>
    <t>11924,28</t>
  </si>
  <si>
    <t>171173,98</t>
  </si>
  <si>
    <t>41641,01</t>
  </si>
  <si>
    <t>8032,55</t>
  </si>
  <si>
    <t>323726,42</t>
  </si>
  <si>
    <t>47944,59</t>
  </si>
  <si>
    <t>115928,03</t>
  </si>
  <si>
    <t>402953,38</t>
  </si>
  <si>
    <t>66271,04</t>
  </si>
  <si>
    <t>427129,33</t>
  </si>
  <si>
    <t>24001,84</t>
  </si>
  <si>
    <t>78793,95</t>
  </si>
  <si>
    <t>99160,69</t>
  </si>
  <si>
    <t>4173,47</t>
  </si>
  <si>
    <t>58949,60</t>
  </si>
  <si>
    <t>2476,74</t>
  </si>
  <si>
    <t>46061,41</t>
  </si>
  <si>
    <t>36998,56</t>
  </si>
  <si>
    <t>1057,40</t>
  </si>
  <si>
    <t>11812,72</t>
  </si>
  <si>
    <t>14718,41</t>
  </si>
  <si>
    <t>77615,82</t>
  </si>
  <si>
    <t>66680,55</t>
  </si>
  <si>
    <t>2140,92</t>
  </si>
  <si>
    <t>3763,66</t>
  </si>
  <si>
    <t>20823,61</t>
  </si>
  <si>
    <t>44486,41</t>
  </si>
  <si>
    <t>48557,28</t>
  </si>
  <si>
    <t>1710,61</t>
  </si>
  <si>
    <t>159216,80</t>
  </si>
  <si>
    <t>876,05</t>
  </si>
  <si>
    <t>2771,81</t>
  </si>
  <si>
    <t>4304,77</t>
  </si>
  <si>
    <t>287,13</t>
  </si>
  <si>
    <t>215991,69</t>
  </si>
  <si>
    <t>2581,52</t>
  </si>
  <si>
    <t>38358,19</t>
  </si>
  <si>
    <t>58106,72</t>
  </si>
  <si>
    <t>15214,47</t>
  </si>
  <si>
    <t>44667,00</t>
  </si>
  <si>
    <t>5552,90</t>
  </si>
  <si>
    <t>34997,18</t>
  </si>
  <si>
    <t>187957,31</t>
  </si>
  <si>
    <t>79157,78</t>
  </si>
  <si>
    <t>173974,52</t>
  </si>
  <si>
    <t>71549,83</t>
  </si>
  <si>
    <t>263026,49</t>
  </si>
  <si>
    <t>317090,98</t>
  </si>
  <si>
    <t>38414,26</t>
  </si>
  <si>
    <t>218360,23</t>
  </si>
  <si>
    <t>28038,98</t>
  </si>
  <si>
    <t>149366,77</t>
  </si>
  <si>
    <t>118227,67</t>
  </si>
  <si>
    <t>1798,04</t>
  </si>
  <si>
    <t>72061,72</t>
  </si>
  <si>
    <t>26492,86</t>
  </si>
  <si>
    <t>54267,93</t>
  </si>
  <si>
    <t>130810,69</t>
  </si>
  <si>
    <t>7003,10</t>
  </si>
  <si>
    <t>246448,57</t>
  </si>
  <si>
    <t>8080,87</t>
  </si>
  <si>
    <t>32917,57</t>
  </si>
  <si>
    <t>49724,56</t>
  </si>
  <si>
    <t>1084,10</t>
  </si>
  <si>
    <t>77803,55</t>
  </si>
  <si>
    <t>15207,53</t>
  </si>
  <si>
    <t>63036,10</t>
  </si>
  <si>
    <t>59051,05</t>
  </si>
  <si>
    <t>2501,04</t>
  </si>
  <si>
    <t>231116,56</t>
  </si>
  <si>
    <t>98451,87</t>
  </si>
  <si>
    <t>138566,59</t>
  </si>
  <si>
    <t>143377,63</t>
  </si>
  <si>
    <t>13263,14</t>
  </si>
  <si>
    <t>302794,19</t>
  </si>
  <si>
    <t>2077,37</t>
  </si>
  <si>
    <t>48198,64</t>
  </si>
  <si>
    <t>45864,46</t>
  </si>
  <si>
    <t>4051,21</t>
  </si>
  <si>
    <t>129441,94</t>
  </si>
  <si>
    <t>266,51</t>
  </si>
  <si>
    <t>2211,12</t>
  </si>
  <si>
    <t>5922,12</t>
  </si>
  <si>
    <t>1858,04</t>
  </si>
  <si>
    <t>3836,02</t>
  </si>
  <si>
    <t>1859,33</t>
  </si>
  <si>
    <t>28516,47</t>
  </si>
  <si>
    <t>252493,62</t>
  </si>
  <si>
    <t>109020,35</t>
  </si>
  <si>
    <t>121335,82</t>
  </si>
  <si>
    <t>716,98</t>
  </si>
  <si>
    <t>5133,06</t>
  </si>
  <si>
    <t>33680,81</t>
  </si>
  <si>
    <t>10919,88</t>
  </si>
  <si>
    <t>117660,51</t>
  </si>
  <si>
    <t>2854,05</t>
  </si>
  <si>
    <t>21208,30</t>
  </si>
  <si>
    <t>181103,62</t>
  </si>
  <si>
    <t>28575,83</t>
  </si>
  <si>
    <t>4167,26</t>
  </si>
  <si>
    <t>5485,60</t>
  </si>
  <si>
    <t>19203,81</t>
  </si>
  <si>
    <t>58687,26</t>
  </si>
  <si>
    <t>2990,54</t>
  </si>
  <si>
    <t>66915,62</t>
  </si>
  <si>
    <t>4480,03</t>
  </si>
  <si>
    <t>11779,69</t>
  </si>
  <si>
    <t>96010,70</t>
  </si>
  <si>
    <t>21062,01</t>
  </si>
  <si>
    <t>3668,13</t>
  </si>
  <si>
    <t>9635,53</t>
  </si>
  <si>
    <t>18567,91</t>
  </si>
  <si>
    <t>16662,91</t>
  </si>
  <si>
    <t>642,55</t>
  </si>
  <si>
    <t>60785,56</t>
  </si>
  <si>
    <t>7052,91</t>
  </si>
  <si>
    <t>59949,59</t>
  </si>
  <si>
    <t>55406,78</t>
  </si>
  <si>
    <t>817,42</t>
  </si>
  <si>
    <t>1822,18</t>
  </si>
  <si>
    <t>12913,60</t>
  </si>
  <si>
    <t>63956,26</t>
  </si>
  <si>
    <t>12577,66</t>
  </si>
  <si>
    <t>2168,76</t>
  </si>
  <si>
    <t>7589,70</t>
  </si>
  <si>
    <t>50378,49</t>
  </si>
  <si>
    <t>493452,53</t>
  </si>
  <si>
    <t>149146,80</t>
  </si>
  <si>
    <t>25605,53</t>
  </si>
  <si>
    <t>157823,42</t>
  </si>
  <si>
    <t>1854,86</t>
  </si>
  <si>
    <t>13468,96</t>
  </si>
  <si>
    <t>30336,20</t>
  </si>
  <si>
    <t>2699,97</t>
  </si>
  <si>
    <t>28022,44</t>
  </si>
  <si>
    <t>12362,40</t>
  </si>
  <si>
    <t>48091,97</t>
  </si>
  <si>
    <t>72038,84</t>
  </si>
  <si>
    <t>3269,43</t>
  </si>
  <si>
    <t>6875,96</t>
  </si>
  <si>
    <t>17109,28</t>
  </si>
  <si>
    <t>46110,13</t>
  </si>
  <si>
    <t>537499,45</t>
  </si>
  <si>
    <t>109291,55</t>
  </si>
  <si>
    <t>261123,68</t>
  </si>
  <si>
    <t>1302393,77</t>
  </si>
  <si>
    <t>6067,91</t>
  </si>
  <si>
    <t>19474,92</t>
  </si>
  <si>
    <t>220931,45</t>
  </si>
  <si>
    <t>47066,44</t>
  </si>
  <si>
    <t>49720,66</t>
  </si>
  <si>
    <t>433311,44</t>
  </si>
  <si>
    <t>164,25</t>
  </si>
  <si>
    <t>5269,95</t>
  </si>
  <si>
    <t>141957,78</t>
  </si>
  <si>
    <t>15114,97</t>
  </si>
  <si>
    <t>3239,55</t>
  </si>
  <si>
    <t>226689,38</t>
  </si>
  <si>
    <t>1253,09</t>
  </si>
  <si>
    <t>4059,33</t>
  </si>
  <si>
    <t>257169,08</t>
  </si>
  <si>
    <t>22571,01</t>
  </si>
  <si>
    <t>3274,96</t>
  </si>
  <si>
    <t>373104,40</t>
  </si>
  <si>
    <t>23037,61</t>
  </si>
  <si>
    <t>55011,05</t>
  </si>
  <si>
    <t>92967,37</t>
  </si>
  <si>
    <t>6751,68</t>
  </si>
  <si>
    <t>66709,87</t>
  </si>
  <si>
    <t>354391,76</t>
  </si>
  <si>
    <t>217,09</t>
  </si>
  <si>
    <t>1022,97</t>
  </si>
  <si>
    <t>7434,14</t>
  </si>
  <si>
    <t>1205,99</t>
  </si>
  <si>
    <t>216203,53</t>
  </si>
  <si>
    <t>230086,24</t>
  </si>
  <si>
    <t>3520,39</t>
  </si>
  <si>
    <t>28374,07</t>
  </si>
  <si>
    <t>78127,19</t>
  </si>
  <si>
    <t>22614,91</t>
  </si>
  <si>
    <t>44447,91</t>
  </si>
  <si>
    <t>251948,86</t>
  </si>
  <si>
    <t>1959,29</t>
  </si>
  <si>
    <t>21487,11</t>
  </si>
  <si>
    <t>282790,78</t>
  </si>
  <si>
    <t>190955,81</t>
  </si>
  <si>
    <t>26465,87</t>
  </si>
  <si>
    <t>609521,87</t>
  </si>
  <si>
    <t>13257,96</t>
  </si>
  <si>
    <t>68365,21</t>
  </si>
  <si>
    <t>674026,49</t>
  </si>
  <si>
    <t>151406,24</t>
  </si>
  <si>
    <t>59429,18</t>
  </si>
  <si>
    <t>1352055,51</t>
  </si>
  <si>
    <t>177219,50</t>
  </si>
  <si>
    <t>131560,62</t>
  </si>
  <si>
    <t>5154,05</t>
  </si>
  <si>
    <t>51152,76</t>
  </si>
  <si>
    <t>713628,98</t>
  </si>
  <si>
    <t>5757,48</t>
  </si>
  <si>
    <t>15281,17</t>
  </si>
  <si>
    <t>242353,90</t>
  </si>
  <si>
    <t>29010,36</t>
  </si>
  <si>
    <t>237425,25</t>
  </si>
  <si>
    <t>2624,01</t>
  </si>
  <si>
    <t>10555,36</t>
  </si>
  <si>
    <t>111699,85</t>
  </si>
  <si>
    <t>3854,39</t>
  </si>
  <si>
    <t>33440,76</t>
  </si>
  <si>
    <t>258886,74</t>
  </si>
  <si>
    <t>25131,55</t>
  </si>
  <si>
    <t>88500,07</t>
  </si>
  <si>
    <t>79202,54</t>
  </si>
  <si>
    <t>3987,38</t>
  </si>
  <si>
    <t>155665,87</t>
  </si>
  <si>
    <t>524074,32</t>
  </si>
  <si>
    <t>37047,18</t>
  </si>
  <si>
    <t>68877,86</t>
  </si>
  <si>
    <t>367422,56</t>
  </si>
  <si>
    <t>29060,85</t>
  </si>
  <si>
    <t>162564,49</t>
  </si>
  <si>
    <t>927959,02</t>
  </si>
  <si>
    <t>870,55</t>
  </si>
  <si>
    <t>21510,41</t>
  </si>
  <si>
    <t>147028,30</t>
  </si>
  <si>
    <t>31089,49</t>
  </si>
  <si>
    <t>10242,73</t>
  </si>
  <si>
    <t>331195,63</t>
  </si>
  <si>
    <t>178,15</t>
  </si>
  <si>
    <t>2675,24</t>
  </si>
  <si>
    <t>6090,90</t>
  </si>
  <si>
    <t>1572,19</t>
  </si>
  <si>
    <t>2961,47</t>
  </si>
  <si>
    <t>3249,84</t>
  </si>
  <si>
    <t>22886,68</t>
  </si>
  <si>
    <t>275037,57</t>
  </si>
  <si>
    <t>187548,62</t>
  </si>
  <si>
    <t>35358,44</t>
  </si>
  <si>
    <t>620824,21</t>
  </si>
  <si>
    <t>1432,55</t>
  </si>
  <si>
    <t>8093,50</t>
  </si>
  <si>
    <t>30235,87</t>
  </si>
  <si>
    <t>12967,72</t>
  </si>
  <si>
    <t>117472,29</t>
  </si>
  <si>
    <t>185575,52</t>
  </si>
  <si>
    <t>306,72</t>
  </si>
  <si>
    <t>1227,53</t>
  </si>
  <si>
    <t>225079,99</t>
  </si>
  <si>
    <t>114861,54</t>
  </si>
  <si>
    <t>4167,09</t>
  </si>
  <si>
    <t>2944,75</t>
  </si>
  <si>
    <t>8946,50</t>
  </si>
  <si>
    <t>92258,14</t>
  </si>
  <si>
    <t>3725,04</t>
  </si>
  <si>
    <t>46376,07</t>
  </si>
  <si>
    <t>215729,36</t>
  </si>
  <si>
    <t>6215,88</t>
  </si>
  <si>
    <t>17215,85</t>
  </si>
  <si>
    <t>76164,86</t>
  </si>
  <si>
    <t>9968,80</t>
  </si>
  <si>
    <t>1094,80</t>
  </si>
  <si>
    <t>211202,48</t>
  </si>
  <si>
    <t>5501,39</t>
  </si>
  <si>
    <t>13234,99</t>
  </si>
  <si>
    <t>33165,54</t>
  </si>
  <si>
    <t>1690,95</t>
  </si>
  <si>
    <t>49109,14</t>
  </si>
  <si>
    <t>134096,20</t>
  </si>
  <si>
    <t>881,86</t>
  </si>
  <si>
    <t>9163,67</t>
  </si>
  <si>
    <t>186240,07</t>
  </si>
  <si>
    <t>23914,75</t>
  </si>
  <si>
    <t>309330,63</t>
  </si>
  <si>
    <t>25446,89</t>
  </si>
  <si>
    <t>79888,56</t>
  </si>
  <si>
    <t>7930,65</t>
  </si>
  <si>
    <t>1025,91</t>
  </si>
  <si>
    <t>1746,41</t>
  </si>
  <si>
    <t>149074,81</t>
  </si>
  <si>
    <t>66177,97</t>
  </si>
  <si>
    <t>560309,28</t>
  </si>
  <si>
    <t>90788,60</t>
  </si>
  <si>
    <t>11701,30</t>
  </si>
  <si>
    <t>263319,45</t>
  </si>
  <si>
    <t>1461770,89</t>
  </si>
  <si>
    <t>723,17</t>
  </si>
  <si>
    <t>7300,86</t>
  </si>
  <si>
    <t>51432,28</t>
  </si>
  <si>
    <t>7184,73</t>
  </si>
  <si>
    <t>8564,42</t>
  </si>
  <si>
    <t>110314,47</t>
  </si>
  <si>
    <t>3968,17</t>
  </si>
  <si>
    <t>12136,05</t>
  </si>
  <si>
    <t>200338,11</t>
  </si>
  <si>
    <t>32357,90</t>
  </si>
  <si>
    <t>5550,77</t>
  </si>
  <si>
    <t>326305,04</t>
  </si>
  <si>
    <t>27307,59</t>
  </si>
  <si>
    <t>86634,16</t>
  </si>
  <si>
    <t>444558,19</t>
  </si>
  <si>
    <t>42345,19</t>
  </si>
  <si>
    <t>260314,24</t>
  </si>
  <si>
    <t>8796,50</t>
  </si>
  <si>
    <t>27428,96</t>
  </si>
  <si>
    <t>195036,18</t>
  </si>
  <si>
    <t>36888,59</t>
  </si>
  <si>
    <t>49146,49</t>
  </si>
  <si>
    <t>1003,06</t>
  </si>
  <si>
    <t>49420,33</t>
  </si>
  <si>
    <t>16829,41</t>
  </si>
  <si>
    <t>317,34</t>
  </si>
  <si>
    <t>25971,88</t>
  </si>
  <si>
    <t>3044,82</t>
  </si>
  <si>
    <t>22677,90</t>
  </si>
  <si>
    <t>121793,72</t>
  </si>
  <si>
    <t>5406,95</t>
  </si>
  <si>
    <t>3518,86</t>
  </si>
  <si>
    <t>15313,25</t>
  </si>
  <si>
    <t>56395,83</t>
  </si>
  <si>
    <t>69000,74</t>
  </si>
  <si>
    <t>1994,47</t>
  </si>
  <si>
    <t>97272,33</t>
  </si>
  <si>
    <t>126,10</t>
  </si>
  <si>
    <t>888,82</t>
  </si>
  <si>
    <t>7407,89</t>
  </si>
  <si>
    <t>1141,28</t>
  </si>
  <si>
    <t>216294,93</t>
  </si>
  <si>
    <t>2564,93</t>
  </si>
  <si>
    <t>31420,99</t>
  </si>
  <si>
    <t>69164,88</t>
  </si>
  <si>
    <t>20017,28</t>
  </si>
  <si>
    <t>57520,41</t>
  </si>
  <si>
    <t>4500,67</t>
  </si>
  <si>
    <t>27391,66</t>
  </si>
  <si>
    <t>276368,04</t>
  </si>
  <si>
    <t>26509,82</t>
  </si>
  <si>
    <t>64324,39</t>
  </si>
  <si>
    <t>27427,46</t>
  </si>
  <si>
    <t>215016,61</t>
  </si>
  <si>
    <t>416278,36</t>
  </si>
  <si>
    <t>27291,19</t>
  </si>
  <si>
    <t>35592,64</t>
  </si>
  <si>
    <t>64908,34</t>
  </si>
  <si>
    <t>270865,88</t>
  </si>
  <si>
    <t>41182,54</t>
  </si>
  <si>
    <t>611,60</t>
  </si>
  <si>
    <t>65397,47</t>
  </si>
  <si>
    <t>7138,67</t>
  </si>
  <si>
    <t>15313,90</t>
  </si>
  <si>
    <t>244437,54</t>
  </si>
  <si>
    <t>33193,29</t>
  </si>
  <si>
    <t>238655,45</t>
  </si>
  <si>
    <t>5808,17</t>
  </si>
  <si>
    <t>63324,95</t>
  </si>
  <si>
    <t>27506,63</t>
  </si>
  <si>
    <t>256,07</t>
  </si>
  <si>
    <t>33087,90</t>
  </si>
  <si>
    <t>37802,77</t>
  </si>
  <si>
    <t>128942,83</t>
  </si>
  <si>
    <t>43124,10</t>
  </si>
  <si>
    <t>1195,84</t>
  </si>
  <si>
    <t>155657,84</t>
  </si>
  <si>
    <t>43109,66</t>
  </si>
  <si>
    <t>76961,90</t>
  </si>
  <si>
    <t>354037,32</t>
  </si>
  <si>
    <t>56134,89</t>
  </si>
  <si>
    <t>162972,81</t>
  </si>
  <si>
    <t>3273,47</t>
  </si>
  <si>
    <t>44220,26</t>
  </si>
  <si>
    <t>59193,79</t>
  </si>
  <si>
    <t>1400,11</t>
  </si>
  <si>
    <t>61334,99</t>
  </si>
  <si>
    <t>462,40</t>
  </si>
  <si>
    <t>3488,12</t>
  </si>
  <si>
    <t>5680,50</t>
  </si>
  <si>
    <t>1717,38</t>
  </si>
  <si>
    <t>2204,95</t>
  </si>
  <si>
    <t>37754,77</t>
  </si>
  <si>
    <t>76755,38</t>
  </si>
  <si>
    <t>205081,79</t>
  </si>
  <si>
    <t>27277,55</t>
  </si>
  <si>
    <t>148167,13</t>
  </si>
  <si>
    <t>2040,28</t>
  </si>
  <si>
    <t>11709,36</t>
  </si>
  <si>
    <t>27502,23</t>
  </si>
  <si>
    <t>8563,61</t>
  </si>
  <si>
    <t>117226,37</t>
  </si>
  <si>
    <t>2452,86</t>
  </si>
  <si>
    <t>22794,21</t>
  </si>
  <si>
    <t>176725,26</t>
  </si>
  <si>
    <t>12826,74</t>
  </si>
  <si>
    <t>6438,16</t>
  </si>
  <si>
    <t>51323,07</t>
  </si>
  <si>
    <t>17956,29</t>
  </si>
  <si>
    <t>829,93</t>
  </si>
  <si>
    <t>41147,33</t>
  </si>
  <si>
    <t>10545,94</t>
  </si>
  <si>
    <t>46405,73</t>
  </si>
  <si>
    <t>48488,11</t>
  </si>
  <si>
    <t>4815,69</t>
  </si>
  <si>
    <t>1334,78</t>
  </si>
  <si>
    <t>4161,76</t>
  </si>
  <si>
    <t>12307,60</t>
  </si>
  <si>
    <t>33572,20</t>
  </si>
  <si>
    <t>2417,30</t>
  </si>
  <si>
    <t>48939,97</t>
  </si>
  <si>
    <t>5093,55</t>
  </si>
  <si>
    <t>44051,92</t>
  </si>
  <si>
    <t>84416,55</t>
  </si>
  <si>
    <t>2403,34</t>
  </si>
  <si>
    <t>116,69</t>
  </si>
  <si>
    <t>47114,22</t>
  </si>
  <si>
    <t>74187,76</t>
  </si>
  <si>
    <t>4284,97</t>
  </si>
  <si>
    <t>562,82</t>
  </si>
  <si>
    <t>2456,71</t>
  </si>
  <si>
    <t>54396,92</t>
  </si>
  <si>
    <t>574469,60</t>
  </si>
  <si>
    <t>86962,20</t>
  </si>
  <si>
    <t>11174,75</t>
  </si>
  <si>
    <t>267937,65</t>
  </si>
  <si>
    <t>1188,58</t>
  </si>
  <si>
    <t>12633,29</t>
  </si>
  <si>
    <t>29839,21</t>
  </si>
  <si>
    <t>1480,75</t>
  </si>
  <si>
    <t>8621,35</t>
  </si>
  <si>
    <t>6623,45</t>
  </si>
  <si>
    <t>20802,46</t>
  </si>
  <si>
    <t>187868,71</t>
  </si>
  <si>
    <t>13425,78</t>
  </si>
  <si>
    <t>5294,27</t>
  </si>
  <si>
    <t>69486,59</t>
  </si>
  <si>
    <t>153854,93</t>
  </si>
  <si>
    <t>363853,13</t>
  </si>
  <si>
    <t>42168,27</t>
  </si>
  <si>
    <t>260228,74</t>
  </si>
  <si>
    <t>9701,31</t>
  </si>
  <si>
    <t>40782,33</t>
  </si>
  <si>
    <t>169840,41</t>
  </si>
  <si>
    <t>37459,24</t>
  </si>
  <si>
    <t>53468,54</t>
  </si>
  <si>
    <t>4585,57</t>
  </si>
  <si>
    <t>95317,66</t>
  </si>
  <si>
    <t>9725,74</t>
  </si>
  <si>
    <t>256,00</t>
  </si>
  <si>
    <t>24652,80</t>
  </si>
  <si>
    <t>9322,81</t>
  </si>
  <si>
    <t>56372,90</t>
  </si>
  <si>
    <t>96070,62</t>
  </si>
  <si>
    <t>5022,52</t>
  </si>
  <si>
    <t>3419,01</t>
  </si>
  <si>
    <t>20774,17</t>
  </si>
  <si>
    <t>66318,51</t>
  </si>
  <si>
    <t>61122,46</t>
  </si>
  <si>
    <t>4969,67</t>
  </si>
  <si>
    <t>84259,73</t>
  </si>
  <si>
    <t>343,63</t>
  </si>
  <si>
    <t>1722,50</t>
  </si>
  <si>
    <t>4486,84</t>
  </si>
  <si>
    <t>519,93</t>
  </si>
  <si>
    <t>216256,95</t>
  </si>
  <si>
    <t>6522,94</t>
  </si>
  <si>
    <t>63265,89</t>
  </si>
  <si>
    <t>35108,34</t>
  </si>
  <si>
    <t>8413,89</t>
  </si>
  <si>
    <t>53528,86</t>
  </si>
  <si>
    <t>14047,66</t>
  </si>
  <si>
    <t>68871,54</t>
  </si>
  <si>
    <t>209552,29</t>
  </si>
  <si>
    <t>25534,05</t>
  </si>
  <si>
    <t>60700,01</t>
  </si>
  <si>
    <t>41344,95</t>
  </si>
  <si>
    <t>245447,43</t>
  </si>
  <si>
    <t>364038,14</t>
  </si>
  <si>
    <t>28356,75</t>
  </si>
  <si>
    <t>35914,87</t>
  </si>
  <si>
    <t>138005,23</t>
  </si>
  <si>
    <t>254129,72</t>
  </si>
  <si>
    <t>42702,92</t>
  </si>
  <si>
    <t>1211,69</t>
  </si>
  <si>
    <t>64317,63</t>
  </si>
  <si>
    <t>11223,99</t>
  </si>
  <si>
    <t>37907,09</t>
  </si>
  <si>
    <t>180833,70</t>
  </si>
  <si>
    <t>35705,21</t>
  </si>
  <si>
    <t>237090,35</t>
  </si>
  <si>
    <t>22634,13</t>
  </si>
  <si>
    <t>77394,47</t>
  </si>
  <si>
    <t>21154,23</t>
  </si>
  <si>
    <t>699,35</t>
  </si>
  <si>
    <t>36881,04</t>
  </si>
  <si>
    <t>45419,15</t>
  </si>
  <si>
    <t>116667,09</t>
  </si>
  <si>
    <t>53548,95</t>
  </si>
  <si>
    <t>7018,85</t>
  </si>
  <si>
    <t>157185,72</t>
  </si>
  <si>
    <t>53496,89</t>
  </si>
  <si>
    <t>93308,78</t>
  </si>
  <si>
    <t>323444,61</t>
  </si>
  <si>
    <t>51413,71</t>
  </si>
  <si>
    <t>169169,80</t>
  </si>
  <si>
    <t>8437,81</t>
  </si>
  <si>
    <t>105373,83</t>
  </si>
  <si>
    <t>32589,56</t>
  </si>
  <si>
    <t>378,24</t>
  </si>
  <si>
    <t>60527,02</t>
  </si>
  <si>
    <t>1617,36</t>
  </si>
  <si>
    <t>6384,88</t>
  </si>
  <si>
    <t>3224,88</t>
  </si>
  <si>
    <t>626,00</t>
  </si>
  <si>
    <t>1323,51</t>
  </si>
  <si>
    <t>16667,98</t>
  </si>
  <si>
    <t>95952,41</t>
  </si>
  <si>
    <t>157375,84</t>
  </si>
  <si>
    <t>24591,95</t>
  </si>
  <si>
    <t>191092,11</t>
  </si>
  <si>
    <t>4052,23</t>
  </si>
  <si>
    <t>22613,58</t>
  </si>
  <si>
    <t>12630,66</t>
  </si>
  <si>
    <t>2529,01</t>
  </si>
  <si>
    <t>121699,80</t>
  </si>
  <si>
    <t>6995,62</t>
  </si>
  <si>
    <t>49087,13</t>
  </si>
  <si>
    <t>126130,47</t>
  </si>
  <si>
    <t>18319,93</t>
  </si>
  <si>
    <t>7752,09</t>
  </si>
  <si>
    <t>7176,66</t>
  </si>
  <si>
    <t>48714,60</t>
  </si>
  <si>
    <t>24651,80</t>
  </si>
  <si>
    <t>1769,27</t>
  </si>
  <si>
    <t>49854,16</t>
  </si>
  <si>
    <t>13061,20</t>
  </si>
  <si>
    <t>44029,34</t>
  </si>
  <si>
    <t>46794,41</t>
  </si>
  <si>
    <t>4085,17</t>
  </si>
  <si>
    <t>1114,38</t>
  </si>
  <si>
    <t>5651,64</t>
  </si>
  <si>
    <t>15863,32</t>
  </si>
  <si>
    <t>26306,98</t>
  </si>
  <si>
    <t>2298,39</t>
  </si>
  <si>
    <t>50259,58</t>
  </si>
  <si>
    <t>8830,45</t>
  </si>
  <si>
    <t>67466,69</t>
  </si>
  <si>
    <t>67458,30</t>
  </si>
  <si>
    <t>3072,83</t>
  </si>
  <si>
    <t>381,54</t>
  </si>
  <si>
    <t>38554,38</t>
  </si>
  <si>
    <t>81995,87</t>
  </si>
  <si>
    <t>3896,49</t>
  </si>
  <si>
    <t>429,35</t>
  </si>
  <si>
    <t>2599,27</t>
  </si>
  <si>
    <t>48872,72</t>
  </si>
  <si>
    <t>301570,86</t>
  </si>
  <si>
    <t>290149,85</t>
  </si>
  <si>
    <t>64714,05</t>
  </si>
  <si>
    <t>183672,82</t>
  </si>
  <si>
    <t>1930,39</t>
  </si>
  <si>
    <t>22452,65</t>
  </si>
  <si>
    <t>20840,19</t>
  </si>
  <si>
    <t>1249,79</t>
  </si>
  <si>
    <t>8562,44</t>
  </si>
  <si>
    <t>5524,24</t>
  </si>
  <si>
    <t>26274,77</t>
  </si>
  <si>
    <t>155725,75</t>
  </si>
  <si>
    <t>10152,57</t>
  </si>
  <si>
    <t>12077,05</t>
  </si>
  <si>
    <t>83655,24</t>
  </si>
  <si>
    <t>173830,61</t>
  </si>
  <si>
    <t>321860,17</t>
  </si>
  <si>
    <t>24374,75</t>
  </si>
  <si>
    <t>263471,75</t>
  </si>
  <si>
    <t>12192,71</t>
  </si>
  <si>
    <t>55943,77</t>
  </si>
  <si>
    <t>122213,85</t>
  </si>
  <si>
    <t>11819,57</t>
  </si>
  <si>
    <t>64267,98</t>
  </si>
  <si>
    <t>12252,21</t>
  </si>
  <si>
    <t>118960,31</t>
  </si>
  <si>
    <t>4447,11</t>
  </si>
  <si>
    <t>146,13</t>
  </si>
  <si>
    <t>33045,27</t>
  </si>
  <si>
    <t>12677,41</t>
  </si>
  <si>
    <t>94724,21</t>
  </si>
  <si>
    <t>36986,16</t>
  </si>
  <si>
    <t>442,46</t>
  </si>
  <si>
    <t>5048,41</t>
  </si>
  <si>
    <t>28342,14</t>
  </si>
  <si>
    <t>85616,60</t>
  </si>
  <si>
    <t>26202,33</t>
  </si>
  <si>
    <t>1279,74</t>
  </si>
  <si>
    <t>118078,67</t>
  </si>
  <si>
    <t>432,98</t>
  </si>
  <si>
    <t>2201,07</t>
  </si>
  <si>
    <t>4209,05</t>
  </si>
  <si>
    <t>673,90</t>
  </si>
  <si>
    <t>215998,30</t>
  </si>
  <si>
    <t>3360,42</t>
  </si>
  <si>
    <t>59631,05</t>
  </si>
  <si>
    <t>37420,04</t>
  </si>
  <si>
    <t>8625,98</t>
  </si>
  <si>
    <t>53474,19</t>
  </si>
  <si>
    <t>20625,72</t>
  </si>
  <si>
    <t>130631,32</t>
  </si>
  <si>
    <t>115656,86</t>
  </si>
  <si>
    <t>6473,02</t>
  </si>
  <si>
    <t>72428,67</t>
  </si>
  <si>
    <t>55782,25</t>
  </si>
  <si>
    <t>273718,22</t>
  </si>
  <si>
    <t>342828,82</t>
  </si>
  <si>
    <t>20071,02</t>
  </si>
  <si>
    <t>36774,36</t>
  </si>
  <si>
    <t>144715,13</t>
  </si>
  <si>
    <t>278863,42</t>
  </si>
  <si>
    <t>30465,10</t>
  </si>
  <si>
    <t>621,31</t>
  </si>
  <si>
    <t>96380,85</t>
  </si>
  <si>
    <t>22196,63</t>
  </si>
  <si>
    <t>74341,65</t>
  </si>
  <si>
    <t>104621,20</t>
  </si>
  <si>
    <t>18684,11</t>
  </si>
  <si>
    <t>242139,14</t>
  </si>
  <si>
    <t>12779,96</t>
  </si>
  <si>
    <t>88671,61</t>
  </si>
  <si>
    <t>9615,38</t>
  </si>
  <si>
    <t>75,67</t>
  </si>
  <si>
    <t>57562,19</t>
  </si>
  <si>
    <t>37702,24</t>
  </si>
  <si>
    <t>109029,17</t>
  </si>
  <si>
    <t>48073,18</t>
  </si>
  <si>
    <t>2940,91</t>
  </si>
  <si>
    <t>183032,43</t>
  </si>
  <si>
    <t>81847,82</t>
  </si>
  <si>
    <t>159769,89</t>
  </si>
  <si>
    <t>189760,45</t>
  </si>
  <si>
    <t>17667,08</t>
  </si>
  <si>
    <t>185604,13</t>
  </si>
  <si>
    <t>18641,74</t>
  </si>
  <si>
    <t>111660,01</t>
  </si>
  <si>
    <t>19323,46</t>
  </si>
  <si>
    <t>146,58</t>
  </si>
  <si>
    <t>79518,21</t>
  </si>
  <si>
    <t>2697,83</t>
  </si>
  <si>
    <t>6325,96</t>
  </si>
  <si>
    <t>3127,81</t>
  </si>
  <si>
    <t>446,04</t>
  </si>
  <si>
    <t>1127,74</t>
  </si>
  <si>
    <t>43026,16</t>
  </si>
  <si>
    <t>172396,34</t>
  </si>
  <si>
    <t>30584,22</t>
  </si>
  <si>
    <t>205,00</t>
  </si>
  <si>
    <t>192934,47</t>
  </si>
  <si>
    <t>3100,62</t>
  </si>
  <si>
    <t>18996,83</t>
  </si>
  <si>
    <t>10655,48</t>
  </si>
  <si>
    <t>2517,08</t>
  </si>
  <si>
    <t>131338,79</t>
  </si>
  <si>
    <t>19291,34</t>
  </si>
  <si>
    <t>118610,30</t>
  </si>
  <si>
    <t>33778,00</t>
  </si>
  <si>
    <t>998,70</t>
  </si>
  <si>
    <t>4925,03</t>
  </si>
  <si>
    <t>10043,04</t>
  </si>
  <si>
    <t>57744,50</t>
  </si>
  <si>
    <t>18668,90</t>
  </si>
  <si>
    <t>951,36</t>
  </si>
  <si>
    <t>59350,60</t>
  </si>
  <si>
    <t>10113,04</t>
  </si>
  <si>
    <t>62446,85</t>
  </si>
  <si>
    <t>24922,19</t>
  </si>
  <si>
    <t>1203,10</t>
  </si>
  <si>
    <t>6453,42</t>
  </si>
  <si>
    <t>9150,76</t>
  </si>
  <si>
    <t>24778,25</t>
  </si>
  <si>
    <t>13938,91</t>
  </si>
  <si>
    <t>944,90</t>
  </si>
  <si>
    <t>54170,56</t>
  </si>
  <si>
    <t>15622,69</t>
  </si>
  <si>
    <t>102288,86</t>
  </si>
  <si>
    <t>30965,55</t>
  </si>
  <si>
    <t>1366,40</t>
  </si>
  <si>
    <t>1571,40</t>
  </si>
  <si>
    <t>31466,22</t>
  </si>
  <si>
    <t>73056,98</t>
  </si>
  <si>
    <t>3751,25</t>
  </si>
  <si>
    <t>542,90</t>
  </si>
  <si>
    <t>14930,39</t>
  </si>
  <si>
    <t>36179,37</t>
  </si>
  <si>
    <t>189381,83</t>
  </si>
  <si>
    <t>298010,10</t>
  </si>
  <si>
    <t>92239,40</t>
  </si>
  <si>
    <t>382188,21</t>
  </si>
  <si>
    <t>4919,30</t>
  </si>
  <si>
    <t>33270,59</t>
  </si>
  <si>
    <t>16001,43</t>
  </si>
  <si>
    <t>663,71</t>
  </si>
  <si>
    <t>8557,73</t>
  </si>
  <si>
    <t>10872,34</t>
  </si>
  <si>
    <t>64230,11</t>
  </si>
  <si>
    <t>58752,77</t>
  </si>
  <si>
    <t>1113,81</t>
  </si>
  <si>
    <t>11766,14</t>
  </si>
  <si>
    <t>12082,11</t>
  </si>
  <si>
    <t>47410,33</t>
  </si>
  <si>
    <t>141721,09</t>
  </si>
  <si>
    <t>19112,42</t>
  </si>
  <si>
    <t>56615,93</t>
  </si>
  <si>
    <t>64566,47</t>
  </si>
  <si>
    <t>127564,34</t>
  </si>
  <si>
    <t>430524,00</t>
  </si>
  <si>
    <t>52779,56</t>
  </si>
  <si>
    <t>260996,12</t>
  </si>
  <si>
    <t>16554,44</t>
  </si>
  <si>
    <t>80506,92</t>
  </si>
  <si>
    <t>17710,62</t>
  </si>
  <si>
    <t>3855,15</t>
  </si>
  <si>
    <t>40432,21</t>
  </si>
  <si>
    <t>15080,00</t>
  </si>
  <si>
    <t>84311,92</t>
  </si>
  <si>
    <t>79145,43</t>
  </si>
  <si>
    <t>22402,97</t>
  </si>
  <si>
    <t>6910,30</t>
  </si>
  <si>
    <t>5377,86</t>
  </si>
  <si>
    <t>9835,91</t>
  </si>
  <si>
    <t>65044,24</t>
  </si>
  <si>
    <t>70132,14</t>
  </si>
  <si>
    <t>175916,70</t>
  </si>
  <si>
    <t>271,89</t>
  </si>
  <si>
    <t>1999,87</t>
  </si>
  <si>
    <t>5594,00</t>
  </si>
  <si>
    <t>807,93</t>
  </si>
  <si>
    <t>215871,22</t>
  </si>
  <si>
    <t>4458,96</t>
  </si>
  <si>
    <t>90553,76</t>
  </si>
  <si>
    <t>31280,95</t>
  </si>
  <si>
    <t>9924,12</t>
  </si>
  <si>
    <t>44091,55</t>
  </si>
  <si>
    <t>8245,02</t>
  </si>
  <si>
    <t>28377,32</t>
  </si>
  <si>
    <t>99227,95</t>
  </si>
  <si>
    <t>97609,41</t>
  </si>
  <si>
    <t>313321,46</t>
  </si>
  <si>
    <t>47957,09</t>
  </si>
  <si>
    <t>243233,68</t>
  </si>
  <si>
    <t>417312,04</t>
  </si>
  <si>
    <t>29245,44</t>
  </si>
  <si>
    <t>34918,62</t>
  </si>
  <si>
    <t>20218,63</t>
  </si>
  <si>
    <t>64075,79</t>
  </si>
  <si>
    <t>313990,07</t>
  </si>
  <si>
    <t>82603,41</t>
  </si>
  <si>
    <t>38915,63</t>
  </si>
  <si>
    <t>36153,17</t>
  </si>
  <si>
    <t>121023,55</t>
  </si>
  <si>
    <t>73805,57</t>
  </si>
  <si>
    <t>10969,97</t>
  </si>
  <si>
    <t>234170,62</t>
  </si>
  <si>
    <t>2053,17</t>
  </si>
  <si>
    <t>7373,93</t>
  </si>
  <si>
    <t>31526,90</t>
  </si>
  <si>
    <t>19914,10</t>
  </si>
  <si>
    <t>168960,16</t>
  </si>
  <si>
    <t>7180,46</t>
  </si>
  <si>
    <t>24440,02</t>
  </si>
  <si>
    <t>136708,32</t>
  </si>
  <si>
    <t>47983,10</t>
  </si>
  <si>
    <t>228775,78</t>
  </si>
  <si>
    <t>42141,37</t>
  </si>
  <si>
    <t>97053,16</t>
  </si>
  <si>
    <t>308163,46</t>
  </si>
  <si>
    <t>105786,39</t>
  </si>
  <si>
    <t>167408,67</t>
  </si>
  <si>
    <t>5705,04</t>
  </si>
  <si>
    <t>30540,96</t>
  </si>
  <si>
    <t>41075,30</t>
  </si>
  <si>
    <t>41990,84</t>
  </si>
  <si>
    <t>173560,89</t>
  </si>
  <si>
    <t>5443,64</t>
  </si>
  <si>
    <t>16723,36</t>
  </si>
  <si>
    <t>141034,72</t>
  </si>
  <si>
    <t>64944,45</t>
  </si>
  <si>
    <t>47274,99</t>
  </si>
  <si>
    <t>4175,04</t>
  </si>
  <si>
    <t>5590,92</t>
  </si>
  <si>
    <t>1247,22</t>
  </si>
  <si>
    <t>281,33</t>
  </si>
  <si>
    <t>4257,30</t>
  </si>
  <si>
    <t>30751,87</t>
  </si>
  <si>
    <t>98085,14</t>
  </si>
  <si>
    <t>43785,70</t>
  </si>
  <si>
    <t>17137,89</t>
  </si>
  <si>
    <t>319621,99</t>
  </si>
  <si>
    <t>8642,54</t>
  </si>
  <si>
    <t>43176,92</t>
  </si>
  <si>
    <t>3557,77</t>
  </si>
  <si>
    <t>577,67</t>
  </si>
  <si>
    <t>115270,68</t>
  </si>
  <si>
    <t>9732,20</t>
  </si>
  <si>
    <t>54314,16</t>
  </si>
  <si>
    <t>111636,65</t>
  </si>
  <si>
    <t>42815,14</t>
  </si>
  <si>
    <t>39922,60</t>
  </si>
  <si>
    <t>1218,49</t>
  </si>
  <si>
    <t>72,95</t>
  </si>
  <si>
    <t>3119,38</t>
  </si>
  <si>
    <t>7070,32</t>
  </si>
  <si>
    <t>202685,50</t>
  </si>
  <si>
    <t>4418,01</t>
  </si>
  <si>
    <t>18311,72</t>
  </si>
  <si>
    <t>64122,07</t>
  </si>
  <si>
    <t>55570,46</t>
  </si>
  <si>
    <t>28155,81</t>
  </si>
  <si>
    <t>2655,86</t>
  </si>
  <si>
    <t>4708,80</t>
  </si>
  <si>
    <t>25019,07</t>
  </si>
  <si>
    <t>13473,09</t>
  </si>
  <si>
    <t>75614,27</t>
  </si>
  <si>
    <t>32031,17</t>
  </si>
  <si>
    <t>89814,66</t>
  </si>
  <si>
    <t>45825,24</t>
  </si>
  <si>
    <t>14847,58</t>
  </si>
  <si>
    <t>33602,66</t>
  </si>
  <si>
    <t>8992,57</t>
  </si>
  <si>
    <t>44014,37</t>
  </si>
  <si>
    <t>19455,32</t>
  </si>
  <si>
    <t>4786,83</t>
  </si>
  <si>
    <t>17039,32</t>
  </si>
  <si>
    <t>45878,51</t>
  </si>
  <si>
    <t>392989,47</t>
  </si>
  <si>
    <t>176581,34</t>
  </si>
  <si>
    <t>47869,79</t>
  </si>
  <si>
    <t>222986,64</t>
  </si>
  <si>
    <t>808,08</t>
  </si>
  <si>
    <t>434,36</t>
  </si>
  <si>
    <t>11438,04</t>
  </si>
  <si>
    <t>34472,46</t>
  </si>
  <si>
    <t>60882,10</t>
  </si>
  <si>
    <t>12997,28</t>
  </si>
  <si>
    <t>59671,76</t>
  </si>
  <si>
    <t>122476,17</t>
  </si>
  <si>
    <t>19818,20</t>
  </si>
  <si>
    <t>59772,68</t>
  </si>
  <si>
    <t>60244,44</t>
  </si>
  <si>
    <t>118502,67</t>
  </si>
  <si>
    <t>440871,02</t>
  </si>
  <si>
    <t>180792,97</t>
  </si>
  <si>
    <t>257271,78</t>
  </si>
  <si>
    <t>26018,52</t>
  </si>
  <si>
    <t>74619,74</t>
  </si>
  <si>
    <t>43708,94</t>
  </si>
  <si>
    <t>6314,77</t>
  </si>
  <si>
    <t>12363,97</t>
  </si>
  <si>
    <t>8074,91</t>
  </si>
  <si>
    <t>35915,72</t>
  </si>
  <si>
    <t>156107,89</t>
  </si>
  <si>
    <t>41771,01</t>
  </si>
  <si>
    <t>5194,58</t>
  </si>
  <si>
    <t>5043,66</t>
  </si>
  <si>
    <t>12156,84</t>
  </si>
  <si>
    <t>91679,19</t>
  </si>
  <si>
    <t>117040,60</t>
  </si>
  <si>
    <t>92249,83</t>
  </si>
  <si>
    <t>281,54</t>
  </si>
  <si>
    <t>1769,58</t>
  </si>
  <si>
    <t>5935,23</t>
  </si>
  <si>
    <t>1767,19</t>
  </si>
  <si>
    <t>215811,61</t>
  </si>
  <si>
    <t>11741,47</t>
  </si>
  <si>
    <t>118067,70</t>
  </si>
  <si>
    <t>15615,58</t>
  </si>
  <si>
    <t>5318,71</t>
  </si>
  <si>
    <t>49590,00</t>
  </si>
  <si>
    <t>21285,32</t>
  </si>
  <si>
    <t>52551,99</t>
  </si>
  <si>
    <t>229035,25</t>
  </si>
  <si>
    <t>131746,63</t>
  </si>
  <si>
    <t>56071,79</t>
  </si>
  <si>
    <t>26916,20</t>
  </si>
  <si>
    <t>101668,61</t>
  </si>
  <si>
    <t>547457,20</t>
  </si>
  <si>
    <t>143471,77</t>
  </si>
  <si>
    <t>71604,08</t>
  </si>
  <si>
    <t>13759,48</t>
  </si>
  <si>
    <t>36552,66</t>
  </si>
  <si>
    <t>277964,23</t>
  </si>
  <si>
    <t>202164,88</t>
  </si>
  <si>
    <t>65609,56</t>
  </si>
  <si>
    <t>29548,62</t>
  </si>
  <si>
    <t>120572,34</t>
  </si>
  <si>
    <t>67255,41</t>
  </si>
  <si>
    <t>13126,20</t>
  </si>
  <si>
    <t>237938,55</t>
  </si>
  <si>
    <t>2698,89</t>
  </si>
  <si>
    <t>13863,90</t>
  </si>
  <si>
    <t>98966,81</t>
  </si>
  <si>
    <t>59005,46</t>
  </si>
  <si>
    <t>33276,75</t>
  </si>
  <si>
    <t>4127,25</t>
  </si>
  <si>
    <t>20069,00</t>
  </si>
  <si>
    <t>164755,11</t>
  </si>
  <si>
    <t>103815,92</t>
  </si>
  <si>
    <t>157938,54</t>
  </si>
  <si>
    <t>43909,50</t>
  </si>
  <si>
    <t>103737,29</t>
  </si>
  <si>
    <t>266726,17</t>
  </si>
  <si>
    <t>131076,60</t>
  </si>
  <si>
    <t>202860,54</t>
  </si>
  <si>
    <t>33643,33</t>
  </si>
  <si>
    <t>65316,83</t>
  </si>
  <si>
    <t>66444,54</t>
  </si>
  <si>
    <t>36946,03</t>
  </si>
  <si>
    <t>62059,94</t>
  </si>
  <si>
    <t>5964,75</t>
  </si>
  <si>
    <t>27298,06</t>
  </si>
  <si>
    <t>151004,57</t>
  </si>
  <si>
    <t>41236,72</t>
  </si>
  <si>
    <t>9713,20</t>
  </si>
  <si>
    <t>4048,64</t>
  </si>
  <si>
    <t>8067,64</t>
  </si>
  <si>
    <t>1345,90</t>
  </si>
  <si>
    <t>77,17</t>
  </si>
  <si>
    <t>131,23</t>
  </si>
  <si>
    <t>23478,57</t>
  </si>
  <si>
    <t>78234,51</t>
  </si>
  <si>
    <t>105752,43</t>
  </si>
  <si>
    <t>20181,46</t>
  </si>
  <si>
    <t>225050,17</t>
  </si>
  <si>
    <t>11559,03</t>
  </si>
  <si>
    <t>41551,13</t>
  </si>
  <si>
    <t>2461,58</t>
  </si>
  <si>
    <t>425,44</t>
  </si>
  <si>
    <t>118194,25</t>
  </si>
  <si>
    <t>4794,27</t>
  </si>
  <si>
    <t>36064,93</t>
  </si>
  <si>
    <t>165231,83</t>
  </si>
  <si>
    <t>33133,27</t>
  </si>
  <si>
    <t>4105,73</t>
  </si>
  <si>
    <t>3006,99</t>
  </si>
  <si>
    <t>1619,48</t>
  </si>
  <si>
    <t>44540,25</t>
  </si>
  <si>
    <t>115453,45</t>
  </si>
  <si>
    <t>44589,38</t>
  </si>
  <si>
    <t>8085,98</t>
  </si>
  <si>
    <t>33225,50</t>
  </si>
  <si>
    <t>74558,58</t>
  </si>
  <si>
    <t>16830,71</t>
  </si>
  <si>
    <t>2721,33</t>
  </si>
  <si>
    <t>2040,30</t>
  </si>
  <si>
    <t>7512,67</t>
  </si>
  <si>
    <t>37428,15</t>
  </si>
  <si>
    <t>19720,96</t>
  </si>
  <si>
    <t>49531,16</t>
  </si>
  <si>
    <t>19514,82</t>
  </si>
  <si>
    <t>81151,62</t>
  </si>
  <si>
    <t>64403,43</t>
  </si>
  <si>
    <t>10467,84</t>
  </si>
  <si>
    <t>27,74</t>
  </si>
  <si>
    <t>24597,23</t>
  </si>
  <si>
    <t>72536,28</t>
  </si>
  <si>
    <t>8999,07</t>
  </si>
  <si>
    <t>2255,12</t>
  </si>
  <si>
    <t>2782,02</t>
  </si>
  <si>
    <t>14579,05</t>
  </si>
  <si>
    <t>146972,19</t>
  </si>
  <si>
    <t>138579,36</t>
  </si>
  <si>
    <t>61208,92</t>
  </si>
  <si>
    <t>807846,00</t>
  </si>
  <si>
    <t>1327,54</t>
  </si>
  <si>
    <t>1722,94</t>
  </si>
  <si>
    <t>46811,07</t>
  </si>
  <si>
    <t>42491,57</t>
  </si>
  <si>
    <t>8861,72</t>
  </si>
  <si>
    <t>17884,60</t>
  </si>
  <si>
    <t>74293,23</t>
  </si>
  <si>
    <t>100609,81</t>
  </si>
  <si>
    <t>10719,91</t>
  </si>
  <si>
    <t>78550,25</t>
  </si>
  <si>
    <t>55998,79</t>
  </si>
  <si>
    <t>127810,34</t>
  </si>
  <si>
    <t>467871,40</t>
  </si>
  <si>
    <t>143320,80</t>
  </si>
  <si>
    <t>259785,96</t>
  </si>
  <si>
    <t>27032,90</t>
  </si>
  <si>
    <t>93581,81</t>
  </si>
  <si>
    <t>24962,36</t>
  </si>
  <si>
    <t>2386,99</t>
  </si>
  <si>
    <t>6287,00</t>
  </si>
  <si>
    <t>10275,86</t>
  </si>
  <si>
    <t>54467,69</t>
  </si>
  <si>
    <t>131588,59</t>
  </si>
  <si>
    <t>13037,11</t>
  </si>
  <si>
    <t>4420,85</t>
  </si>
  <si>
    <t>5947,31</t>
  </si>
  <si>
    <t>22593,11</t>
  </si>
  <si>
    <t>84281,36</t>
  </si>
  <si>
    <t>85558,49</t>
  </si>
  <si>
    <t>95055,02</t>
  </si>
  <si>
    <t>101,14</t>
  </si>
  <si>
    <t>1919,20</t>
  </si>
  <si>
    <t>4586,98</t>
  </si>
  <si>
    <t>958,91</t>
  </si>
  <si>
    <t>216415,12</t>
  </si>
  <si>
    <t>940,65</t>
  </si>
  <si>
    <t>52755,06</t>
  </si>
  <si>
    <t>42342,73</t>
  </si>
  <si>
    <t>18680,92</t>
  </si>
  <si>
    <t>43662,13</t>
  </si>
  <si>
    <t>23146,53</t>
  </si>
  <si>
    <t>83623,93</t>
  </si>
  <si>
    <t>179761,28</t>
  </si>
  <si>
    <t>91975,70</t>
  </si>
  <si>
    <t>56770,08</t>
  </si>
  <si>
    <t>17512,47</t>
  </si>
  <si>
    <t>59170,46</t>
  </si>
  <si>
    <t>768107,06</t>
  </si>
  <si>
    <t>182899,55</t>
  </si>
  <si>
    <t>35133,53</t>
  </si>
  <si>
    <t>14422,52</t>
  </si>
  <si>
    <t>58402,67</t>
  </si>
  <si>
    <t>283341,95</t>
  </si>
  <si>
    <t>80796,70</t>
  </si>
  <si>
    <t>55721,22</t>
  </si>
  <si>
    <t>29155,25</t>
  </si>
  <si>
    <t>117128,56</t>
  </si>
  <si>
    <t>77943,21</t>
  </si>
  <si>
    <t>17292,29</t>
  </si>
  <si>
    <t>238795,57</t>
  </si>
  <si>
    <t>5188,89</t>
  </si>
  <si>
    <t>30391,58</t>
  </si>
  <si>
    <t>80437,30</t>
  </si>
  <si>
    <t>38049,48</t>
  </si>
  <si>
    <t>33018,50</t>
  </si>
  <si>
    <t>5866,37</t>
  </si>
  <si>
    <t>33187,82</t>
  </si>
  <si>
    <t>152023,63</t>
  </si>
  <si>
    <t>59527,04</t>
  </si>
  <si>
    <t>161689,25</t>
  </si>
  <si>
    <t>47767,25</t>
  </si>
  <si>
    <t>115527,66</t>
  </si>
  <si>
    <t>304127,59</t>
  </si>
  <si>
    <t>65697,21</t>
  </si>
  <si>
    <t>195553,29</t>
  </si>
  <si>
    <t>34793,03</t>
  </si>
  <si>
    <t>75211,79</t>
  </si>
  <si>
    <t>69619,36</t>
  </si>
  <si>
    <t>32783,82</t>
  </si>
  <si>
    <t>51504,23</t>
  </si>
  <si>
    <t>9640,64</t>
  </si>
  <si>
    <t>73966,57</t>
  </si>
  <si>
    <t>84412,51</t>
  </si>
  <si>
    <t>13407,55</t>
  </si>
  <si>
    <t>24721,86</t>
  </si>
  <si>
    <t>2217,13</t>
  </si>
  <si>
    <t>7160,10</t>
  </si>
  <si>
    <t>3094,37</t>
  </si>
  <si>
    <t>697,86</t>
  </si>
  <si>
    <t>17,63</t>
  </si>
  <si>
    <t>42954,16</t>
  </si>
  <si>
    <t>185355,34</t>
  </si>
  <si>
    <t>28718,10</t>
  </si>
  <si>
    <t>3767,73</t>
  </si>
  <si>
    <t>229190,27</t>
  </si>
  <si>
    <t>1755,00</t>
  </si>
  <si>
    <t>27893,00</t>
  </si>
  <si>
    <t>12447,50</t>
  </si>
  <si>
    <t>3452,56</t>
  </si>
  <si>
    <t>115864,36</t>
  </si>
  <si>
    <t>16145,36</t>
  </si>
  <si>
    <t>107966,11</t>
  </si>
  <si>
    <t>39967,80</t>
  </si>
  <si>
    <t>7766,31</t>
  </si>
  <si>
    <t>62276,54</t>
  </si>
  <si>
    <t>1786,88</t>
  </si>
  <si>
    <t>4775,68</t>
  </si>
  <si>
    <t>49701,69</t>
  </si>
  <si>
    <t>87837,30</t>
  </si>
  <si>
    <t>46135,87</t>
  </si>
  <si>
    <t>215633,50</t>
  </si>
  <si>
    <t>8861,08</t>
  </si>
  <si>
    <t>41230,32</t>
  </si>
  <si>
    <t>65378,00</t>
  </si>
  <si>
    <t>23242,65</t>
  </si>
  <si>
    <t>5126,12</t>
  </si>
  <si>
    <t>211180,14</t>
  </si>
  <si>
    <t>2137,52</t>
  </si>
  <si>
    <t>11465,89</t>
  </si>
  <si>
    <t>33342,29</t>
  </si>
  <si>
    <t>9366,92</t>
  </si>
  <si>
    <t>50161,73</t>
  </si>
  <si>
    <t>26073,66</t>
  </si>
  <si>
    <t>131806,01</t>
  </si>
  <si>
    <t>28951,18</t>
  </si>
  <si>
    <t>1684,42</t>
  </si>
  <si>
    <t>1786,64</t>
  </si>
  <si>
    <t>29999,04</t>
  </si>
  <si>
    <t>73100,76</t>
  </si>
  <si>
    <t>7913,38</t>
  </si>
  <si>
    <t>2382,51</t>
  </si>
  <si>
    <t>2867,36</t>
  </si>
  <si>
    <t>8665,21</t>
  </si>
  <si>
    <t>47433,00</t>
  </si>
  <si>
    <t>23734,17</t>
  </si>
  <si>
    <t>8201,23</t>
  </si>
  <si>
    <t>1307967,24</t>
  </si>
  <si>
    <t>1457784,70</t>
  </si>
  <si>
    <t>1328,79</t>
  </si>
  <si>
    <t>4392,00</t>
  </si>
  <si>
    <t>48186,50</t>
  </si>
  <si>
    <t>26375,85</t>
  </si>
  <si>
    <t>9137,30</t>
  </si>
  <si>
    <t>20666,14</t>
  </si>
  <si>
    <t>99365,46</t>
  </si>
  <si>
    <t>74298,22</t>
  </si>
  <si>
    <t>5347,32</t>
  </si>
  <si>
    <t>51157,40</t>
  </si>
  <si>
    <t>56396,11</t>
  </si>
  <si>
    <t>132527,78</t>
  </si>
  <si>
    <t>380458,29</t>
  </si>
  <si>
    <t>302857,98</t>
  </si>
  <si>
    <t>257040,81</t>
  </si>
  <si>
    <t>26995,40</t>
  </si>
  <si>
    <t>82685,60</t>
  </si>
  <si>
    <t>32284,86</t>
  </si>
  <si>
    <t>3804,70</t>
  </si>
  <si>
    <t>7566,64</t>
  </si>
  <si>
    <t>8505,32</t>
  </si>
  <si>
    <t>43031,31</t>
  </si>
  <si>
    <t>143717,00</t>
  </si>
  <si>
    <t>22849,76</t>
  </si>
  <si>
    <t>3331,91</t>
  </si>
  <si>
    <t>5053,44</t>
  </si>
  <si>
    <t>16938,39</t>
  </si>
  <si>
    <t>77440,89</t>
  </si>
  <si>
    <t>118281,69</t>
  </si>
  <si>
    <t>90420,97</t>
  </si>
  <si>
    <t>217,81</t>
  </si>
  <si>
    <t>2074,58</t>
  </si>
  <si>
    <t>4262,61</t>
  </si>
  <si>
    <t>1036,60</t>
  </si>
  <si>
    <t>215672,78</t>
  </si>
  <si>
    <t>1118,41</t>
  </si>
  <si>
    <t>59297,40</t>
  </si>
  <si>
    <t>38002,29</t>
  </si>
  <si>
    <t>14608,76</t>
  </si>
  <si>
    <t>45997,61</t>
  </si>
  <si>
    <t>20379,68</t>
  </si>
  <si>
    <t>76216,58</t>
  </si>
  <si>
    <t>177248,20</t>
  </si>
  <si>
    <t>131388,05</t>
  </si>
  <si>
    <t>54110,71</t>
  </si>
  <si>
    <t>18396,22</t>
  </si>
  <si>
    <t>55042,38</t>
  </si>
  <si>
    <t>684519,69</t>
  </si>
  <si>
    <t>382351,76</t>
  </si>
  <si>
    <t>34639,28</t>
  </si>
  <si>
    <t>12101,41</t>
  </si>
  <si>
    <t>40980,31</t>
  </si>
  <si>
    <t>277989,06</t>
  </si>
  <si>
    <t>164974,12</t>
  </si>
  <si>
    <t>62814,02</t>
  </si>
  <si>
    <t>28832,52</t>
  </si>
  <si>
    <t>128079,11</t>
  </si>
  <si>
    <t>75061,47</t>
  </si>
  <si>
    <t>19238,48</t>
  </si>
  <si>
    <t>233714,38</t>
  </si>
  <si>
    <t>3443,47</t>
  </si>
  <si>
    <t>20072,17</t>
  </si>
  <si>
    <t>80319,01</t>
  </si>
  <si>
    <t>70794,12</t>
  </si>
  <si>
    <t>33106,83</t>
  </si>
  <si>
    <t>4743,90</t>
  </si>
  <si>
    <t>23815,09</t>
  </si>
  <si>
    <t>133534,42</t>
  </si>
  <si>
    <t>124962,37</t>
  </si>
  <si>
    <t>159186,40</t>
  </si>
  <si>
    <t>47367,67</t>
  </si>
  <si>
    <t>125211,82</t>
  </si>
  <si>
    <t>266393,27</t>
  </si>
  <si>
    <t>96856,65</t>
  </si>
  <si>
    <t>199119,12</t>
  </si>
  <si>
    <t>35036,92</t>
  </si>
  <si>
    <t>71810,06</t>
  </si>
  <si>
    <t>67648,58</t>
  </si>
  <si>
    <t>50653,05</t>
  </si>
  <si>
    <t>45883,92</t>
  </si>
  <si>
    <t>9393,35</t>
  </si>
  <si>
    <t>108875,03</t>
  </si>
  <si>
    <t>53566,00</t>
  </si>
  <si>
    <t>3935,62</t>
  </si>
  <si>
    <t>6420,65</t>
  </si>
  <si>
    <t>2169,78</t>
  </si>
  <si>
    <t>7197,70</t>
  </si>
  <si>
    <t>2643,43</t>
  </si>
  <si>
    <t>474,98</t>
  </si>
  <si>
    <t>923,44</t>
  </si>
  <si>
    <t>25214,09</t>
  </si>
  <si>
    <t>178194,25</t>
  </si>
  <si>
    <t>46864,90</t>
  </si>
  <si>
    <t>9409,42</t>
  </si>
  <si>
    <t>164028,60</t>
  </si>
  <si>
    <t>3069,45</t>
  </si>
  <si>
    <t>27093,07</t>
  </si>
  <si>
    <t>11372,59</t>
  </si>
  <si>
    <t>3773,50</t>
  </si>
  <si>
    <t>117811,08</t>
  </si>
  <si>
    <t>9101,15</t>
  </si>
  <si>
    <t>88399,99</t>
  </si>
  <si>
    <t>76738,39</t>
  </si>
  <si>
    <t>5699,60</t>
  </si>
  <si>
    <t>5566,28</t>
  </si>
  <si>
    <t>3101,21</t>
  </si>
  <si>
    <t>2181,21</t>
  </si>
  <si>
    <t>44509,02</t>
  </si>
  <si>
    <t>111629,87</t>
  </si>
  <si>
    <t>42834,76</t>
  </si>
  <si>
    <t>214761,88</t>
  </si>
  <si>
    <t>13706,97</t>
  </si>
  <si>
    <t>47597,98</t>
  </si>
  <si>
    <t>59454,94</t>
  </si>
  <si>
    <t>16345,11</t>
  </si>
  <si>
    <t>6961,80</t>
  </si>
  <si>
    <t>211066,06</t>
  </si>
  <si>
    <t>1566,01</t>
  </si>
  <si>
    <t>10085,63</t>
  </si>
  <si>
    <t>32856,34</t>
  </si>
  <si>
    <t>17003,12</t>
  </si>
  <si>
    <t>49489,31</t>
  </si>
  <si>
    <t>20783,96</t>
  </si>
  <si>
    <t>137958,76</t>
  </si>
  <si>
    <t>26499,22</t>
  </si>
  <si>
    <t>2171,89</t>
  </si>
  <si>
    <t>622,01</t>
  </si>
  <si>
    <t>51930,45</t>
  </si>
  <si>
    <t>65269,09</t>
  </si>
  <si>
    <t>4008,04</t>
  </si>
  <si>
    <t>1434,41</t>
  </si>
  <si>
    <t>7607,14</t>
  </si>
  <si>
    <t>69841,39</t>
  </si>
  <si>
    <t>537818,49</t>
  </si>
  <si>
    <t>147823,20</t>
  </si>
  <si>
    <t>31861,78</t>
  </si>
  <si>
    <t>213093,83</t>
  </si>
  <si>
    <t>1448991,45</t>
  </si>
  <si>
    <t>1191,30</t>
  </si>
  <si>
    <t>2904,80</t>
  </si>
  <si>
    <t>37048,72</t>
  </si>
  <si>
    <t>49035,02</t>
  </si>
  <si>
    <t>8889,41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</si>
</sst>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8EB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1EA06"/>
        <bgColor indexed="64"/>
      </patternFill>
    </fill>
    <fill>
      <patternFill patternType="solid">
        <fgColor rgb="FF00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3">
    <xf numFmtId="0" fontId="0" fillId="0" borderId="0" xfId="0"/>
    <xf numFmtId="3" fontId="0" fillId="0" borderId="0" xfId="0" applyNumberFormat="1"/>
    <xf numFmtId="0" fontId="2" fillId="0" borderId="0" xfId="0" applyFont="1"/>
    <xf numFmtId="3" fontId="2" fillId="0" borderId="0" xfId="0" applyNumberFormat="1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5" fillId="0" borderId="0" xfId="1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3" fontId="0" fillId="0" borderId="1" xfId="0" applyNumberFormat="1" applyBorder="1"/>
    <xf numFmtId="0" fontId="0" fillId="0" borderId="0" xfId="0" applyFill="1" applyBorder="1"/>
    <xf numFmtId="14" fontId="0" fillId="0" borderId="0" xfId="0" applyNumberFormat="1" applyAlignment="1">
      <alignment horizontal="right"/>
    </xf>
    <xf numFmtId="0" fontId="0" fillId="4" borderId="0" xfId="0" applyFill="1" applyBorder="1"/>
    <xf numFmtId="0" fontId="0" fillId="5" borderId="0" xfId="0" applyFill="1"/>
    <xf numFmtId="0" fontId="0" fillId="2" borderId="0" xfId="0" applyFill="1" applyBorder="1"/>
    <xf numFmtId="14" fontId="0" fillId="2" borderId="0" xfId="0" applyNumberFormat="1" applyFill="1"/>
    <xf numFmtId="3" fontId="0" fillId="2" borderId="0" xfId="0" applyNumberFormat="1" applyFill="1"/>
    <xf numFmtId="0" fontId="0" fillId="0" borderId="0" xfId="0" applyAlignment="1">
      <alignment horizontal="right"/>
    </xf>
    <xf numFmtId="3" fontId="0" fillId="0" borderId="0" xfId="0" applyNumberFormat="1" applyFill="1"/>
    <xf numFmtId="0" fontId="0" fillId="0" borderId="0" xfId="0" applyFill="1"/>
    <xf numFmtId="0" fontId="2" fillId="0" borderId="0" xfId="0" applyFont="1" applyFill="1"/>
    <xf numFmtId="3" fontId="3" fillId="2" borderId="2" xfId="0" applyNumberFormat="1" applyFont="1" applyFill="1" applyBorder="1"/>
    <xf numFmtId="3" fontId="2" fillId="0" borderId="0" xfId="0" applyNumberFormat="1" applyFont="1" applyFill="1" applyAlignment="1">
      <alignment horizontal="right"/>
    </xf>
    <xf numFmtId="0" fontId="3" fillId="0" borderId="3" xfId="0" applyFont="1" applyBorder="1"/>
    <xf numFmtId="0" fontId="1" fillId="0" borderId="0" xfId="0" applyFont="1" applyAlignment="1">
      <alignment horizontal="right"/>
    </xf>
    <xf numFmtId="0" fontId="0" fillId="0" borderId="3" xfId="0" applyBorder="1"/>
    <xf numFmtId="0" fontId="0" fillId="0" borderId="0" xfId="0" applyBorder="1"/>
    <xf numFmtId="0" fontId="5" fillId="0" borderId="3" xfId="1" applyBorder="1"/>
    <xf numFmtId="0" fontId="1" fillId="0" borderId="0" xfId="0" applyFont="1" applyFill="1" applyBorder="1" applyAlignment="1">
      <alignment horizontal="right"/>
    </xf>
    <xf numFmtId="0" fontId="0" fillId="0" borderId="4" xfId="0" applyBorder="1"/>
    <xf numFmtId="0" fontId="0" fillId="0" borderId="3" xfId="0" applyFill="1" applyBorder="1"/>
    <xf numFmtId="0" fontId="0" fillId="0" borderId="3" xfId="0" applyBorder="1" applyAlignment="1">
      <alignment horizontal="center"/>
    </xf>
    <xf numFmtId="0" fontId="3" fillId="2" borderId="0" xfId="0" applyFont="1" applyFill="1"/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3" fontId="7" fillId="0" borderId="8" xfId="0" applyNumberFormat="1" applyFont="1" applyBorder="1"/>
    <xf numFmtId="0" fontId="7" fillId="0" borderId="4" xfId="0" applyFont="1" applyBorder="1" applyAlignment="1">
      <alignment horizontal="center"/>
    </xf>
    <xf numFmtId="3" fontId="7" fillId="0" borderId="9" xfId="0" applyNumberFormat="1" applyFont="1" applyBorder="1"/>
    <xf numFmtId="164" fontId="7" fillId="0" borderId="0" xfId="0" applyNumberFormat="1" applyFont="1" applyFill="1" applyBorder="1"/>
    <xf numFmtId="0" fontId="6" fillId="0" borderId="10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3" fontId="7" fillId="0" borderId="0" xfId="0" applyNumberFormat="1" applyFont="1" applyBorder="1"/>
    <xf numFmtId="3" fontId="7" fillId="0" borderId="1" xfId="0" applyNumberFormat="1" applyFont="1" applyBorder="1"/>
    <xf numFmtId="0" fontId="0" fillId="0" borderId="5" xfId="0" applyBorder="1" applyAlignment="1">
      <alignment horizontal="right"/>
    </xf>
    <xf numFmtId="164" fontId="7" fillId="0" borderId="6" xfId="0" applyNumberFormat="1" applyFont="1" applyFill="1" applyBorder="1"/>
    <xf numFmtId="0" fontId="0" fillId="0" borderId="4" xfId="0" applyBorder="1" applyAlignment="1">
      <alignment horizontal="right"/>
    </xf>
    <xf numFmtId="164" fontId="7" fillId="0" borderId="9" xfId="0" applyNumberFormat="1" applyFont="1" applyFill="1" applyBorder="1"/>
    <xf numFmtId="164" fontId="7" fillId="0" borderId="10" xfId="0" applyNumberFormat="1" applyFont="1" applyFill="1" applyBorder="1"/>
    <xf numFmtId="164" fontId="7" fillId="0" borderId="1" xfId="0" applyNumberFormat="1" applyFont="1" applyFill="1" applyBorder="1"/>
    <xf numFmtId="10" fontId="0" fillId="0" borderId="0" xfId="0" applyNumberFormat="1"/>
    <xf numFmtId="164" fontId="9" fillId="0" borderId="0" xfId="0" applyNumberFormat="1" applyFont="1" applyFill="1" applyBorder="1"/>
    <xf numFmtId="0" fontId="3" fillId="0" borderId="0" xfId="0" applyFont="1" applyFill="1"/>
    <xf numFmtId="0" fontId="3" fillId="2" borderId="2" xfId="0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3" fillId="0" borderId="0" xfId="0" applyFont="1" applyBorder="1" applyAlignment="1">
      <alignment horizontal="right"/>
    </xf>
    <xf numFmtId="0" fontId="3" fillId="0" borderId="0" xfId="0" applyFont="1" applyBorder="1"/>
    <xf numFmtId="0" fontId="0" fillId="0" borderId="15" xfId="0" applyBorder="1"/>
    <xf numFmtId="0" fontId="0" fillId="0" borderId="16" xfId="0" applyBorder="1"/>
    <xf numFmtId="0" fontId="3" fillId="0" borderId="17" xfId="0" applyFont="1" applyBorder="1"/>
    <xf numFmtId="0" fontId="0" fillId="0" borderId="17" xfId="0" applyBorder="1"/>
    <xf numFmtId="0" fontId="0" fillId="0" borderId="18" xfId="0" applyBorder="1"/>
    <xf numFmtId="0" fontId="3" fillId="0" borderId="12" xfId="0" applyFont="1" applyBorder="1" applyAlignment="1">
      <alignment horizontal="right"/>
    </xf>
    <xf numFmtId="0" fontId="3" fillId="0" borderId="12" xfId="0" applyFont="1" applyBorder="1"/>
    <xf numFmtId="0" fontId="3" fillId="0" borderId="0" xfId="0" applyFont="1" applyAlignment="1">
      <alignment horizontal="left"/>
    </xf>
    <xf numFmtId="0" fontId="0" fillId="6" borderId="0" xfId="0" applyFill="1"/>
    <xf numFmtId="0" fontId="2" fillId="6" borderId="0" xfId="0" applyFont="1" applyFill="1"/>
    <xf numFmtId="0" fontId="0" fillId="0" borderId="0" xfId="0" applyFill="1" applyAlignment="1">
      <alignment horizontal="right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1" fontId="12" fillId="0" borderId="20" xfId="0" applyNumberFormat="1" applyFont="1" applyBorder="1" applyAlignment="1">
      <alignment horizontal="center"/>
    </xf>
    <xf numFmtId="1" fontId="12" fillId="0" borderId="0" xfId="0" applyNumberFormat="1" applyFont="1" applyBorder="1" applyAlignment="1">
      <alignment horizontal="center"/>
    </xf>
    <xf numFmtId="1" fontId="12" fillId="0" borderId="0" xfId="0" applyNumberFormat="1" applyFont="1" applyAlignment="1">
      <alignment horizontal="left"/>
    </xf>
    <xf numFmtId="0" fontId="12" fillId="0" borderId="20" xfId="0" applyFont="1" applyBorder="1" applyAlignment="1">
      <alignment horizontal="left"/>
    </xf>
    <xf numFmtId="3" fontId="12" fillId="0" borderId="0" xfId="0" applyNumberFormat="1" applyFont="1" applyAlignment="1">
      <alignment horizontal="right"/>
    </xf>
    <xf numFmtId="3" fontId="12" fillId="0" borderId="20" xfId="0" applyNumberFormat="1" applyFont="1" applyBorder="1" applyAlignment="1">
      <alignment horizontal="right"/>
    </xf>
    <xf numFmtId="9" fontId="12" fillId="0" borderId="0" xfId="0" applyNumberFormat="1" applyFont="1" applyAlignment="1">
      <alignment horizontal="center"/>
    </xf>
    <xf numFmtId="9" fontId="12" fillId="0" borderId="20" xfId="0" applyNumberFormat="1" applyFont="1" applyBorder="1" applyAlignment="1">
      <alignment horizontal="center"/>
    </xf>
    <xf numFmtId="0" fontId="0" fillId="0" borderId="0" xfId="0" applyFont="1" applyAlignment="1"/>
    <xf numFmtId="1" fontId="12" fillId="0" borderId="0" xfId="0" applyNumberFormat="1" applyFont="1"/>
    <xf numFmtId="0" fontId="12" fillId="0" borderId="20" xfId="0" applyFont="1" applyBorder="1"/>
    <xf numFmtId="0" fontId="13" fillId="0" borderId="20" xfId="0" applyFont="1" applyBorder="1"/>
    <xf numFmtId="1" fontId="13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0" fontId="13" fillId="0" borderId="0" xfId="0" applyFont="1" applyBorder="1" applyAlignment="1"/>
    <xf numFmtId="9" fontId="12" fillId="0" borderId="0" xfId="0" applyNumberFormat="1" applyFont="1" applyBorder="1" applyAlignment="1">
      <alignment horizontal="center"/>
    </xf>
    <xf numFmtId="1" fontId="13" fillId="0" borderId="0" xfId="0" applyNumberFormat="1" applyFont="1" applyAlignment="1">
      <alignment horizontal="center"/>
    </xf>
    <xf numFmtId="0" fontId="13" fillId="0" borderId="0" xfId="0" applyFont="1" applyAlignment="1"/>
    <xf numFmtId="1" fontId="14" fillId="0" borderId="0" xfId="0" applyNumberFormat="1" applyFont="1" applyAlignment="1"/>
    <xf numFmtId="1" fontId="13" fillId="0" borderId="0" xfId="0" applyNumberFormat="1" applyFont="1" applyBorder="1" applyAlignment="1"/>
    <xf numFmtId="0" fontId="12" fillId="0" borderId="0" xfId="0" applyFont="1" applyAlignment="1">
      <alignment horizontal="center"/>
    </xf>
    <xf numFmtId="0" fontId="12" fillId="0" borderId="0" xfId="0" applyFont="1" applyBorder="1" applyAlignment="1">
      <alignment horizontal="center"/>
    </xf>
    <xf numFmtId="3" fontId="0" fillId="0" borderId="0" xfId="0" applyNumberFormat="1" applyFont="1" applyAlignment="1">
      <alignment horizontal="right"/>
    </xf>
    <xf numFmtId="9" fontId="0" fillId="0" borderId="0" xfId="0" applyNumberFormat="1" applyFont="1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ysClr val="windowText" lastClr="000000"/>
                </a:solidFill>
              </a:rPr>
              <a:t>Soja, evolución</a:t>
            </a:r>
            <a:r>
              <a:rPr lang="en-US" sz="1100" b="1" baseline="0">
                <a:solidFill>
                  <a:sysClr val="windowText" lastClr="000000"/>
                </a:solidFill>
              </a:rPr>
              <a:t> de la s</a:t>
            </a:r>
            <a:r>
              <a:rPr lang="en-US" sz="1100" b="1">
                <a:solidFill>
                  <a:sysClr val="windowText" lastClr="000000"/>
                </a:solidFill>
              </a:rPr>
              <a:t>up. Sembrada (Ha)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 PB3'!$R$51</c:f>
              <c:strCache>
                <c:ptCount val="1"/>
                <c:pt idx="0">
                  <c:v>Sup. Sembrada (Ha)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'9 PB3'!$Q$52:$Q$63</c:f>
              <c:strCache>
                <c:ptCount val="12"/>
                <c:pt idx="0">
                  <c:v>2013/14</c:v>
                </c:pt>
                <c:pt idx="1">
                  <c:v>2014/15</c:v>
                </c:pt>
                <c:pt idx="2">
                  <c:v>2015/16</c:v>
                </c:pt>
                <c:pt idx="3">
                  <c:v>2016/17</c:v>
                </c:pt>
                <c:pt idx="4">
                  <c:v>2017/18</c:v>
                </c:pt>
                <c:pt idx="5">
                  <c:v>2018/19</c:v>
                </c:pt>
                <c:pt idx="6">
                  <c:v>2019/20</c:v>
                </c:pt>
                <c:pt idx="7">
                  <c:v>2020/21</c:v>
                </c:pt>
                <c:pt idx="8">
                  <c:v>2021/22</c:v>
                </c:pt>
                <c:pt idx="9">
                  <c:v>2022/23</c:v>
                </c:pt>
                <c:pt idx="10">
                  <c:v>2023/24</c:v>
                </c:pt>
                <c:pt idx="11">
                  <c:v>2024/25</c:v>
                </c:pt>
              </c:strCache>
            </c:strRef>
          </c:cat>
          <c:val>
            <c:numRef>
              <c:f>'9 PB3'!$R$52:$R$63</c:f>
              <c:numCache>
                <c:formatCode>#,##0</c:formatCode>
                <c:ptCount val="12"/>
                <c:pt idx="0">
                  <c:v>970350</c:v>
                </c:pt>
                <c:pt idx="1">
                  <c:v>869000</c:v>
                </c:pt>
                <c:pt idx="2">
                  <c:v>980572</c:v>
                </c:pt>
                <c:pt idx="3">
                  <c:v>871840</c:v>
                </c:pt>
                <c:pt idx="4">
                  <c:v>894290</c:v>
                </c:pt>
                <c:pt idx="5">
                  <c:v>1028772</c:v>
                </c:pt>
                <c:pt idx="6">
                  <c:v>1057280</c:v>
                </c:pt>
                <c:pt idx="7">
                  <c:v>1078150</c:v>
                </c:pt>
                <c:pt idx="8">
                  <c:v>1078120</c:v>
                </c:pt>
                <c:pt idx="9">
                  <c:v>1129500</c:v>
                </c:pt>
                <c:pt idx="10">
                  <c:v>1123180</c:v>
                </c:pt>
                <c:pt idx="11">
                  <c:v>1415045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6E-436F-BA78-6BF4D2E59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548444904"/>
        <c:axId val="548444248"/>
      </c:barChart>
      <c:catAx>
        <c:axId val="548444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444248"/>
        <c:crosses val="autoZero"/>
        <c:auto val="1"/>
        <c:lblAlgn val="ctr"/>
        <c:lblOffset val="100"/>
        <c:noMultiLvlLbl val="0"/>
      </c:catAx>
      <c:valAx>
        <c:axId val="548444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444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solidFill>
                  <a:sysClr val="windowText" lastClr="000000"/>
                </a:solidFill>
              </a:rPr>
              <a:t>Soja</a:t>
            </a:r>
            <a:r>
              <a:rPr lang="en-US" sz="1050" baseline="0">
                <a:solidFill>
                  <a:sysClr val="windowText" lastClr="000000"/>
                </a:solidFill>
              </a:rPr>
              <a:t> - Evolución de la producción y rendimientos</a:t>
            </a:r>
            <a:endParaRPr lang="en-US" sz="1050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 PB3'!$R$66</c:f>
              <c:strCache>
                <c:ptCount val="1"/>
                <c:pt idx="0">
                  <c:v>Producción (Tn)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'9 PB3'!$Q$67:$Q$78</c:f>
              <c:strCache>
                <c:ptCount val="12"/>
                <c:pt idx="0">
                  <c:v>2013/14</c:v>
                </c:pt>
                <c:pt idx="1">
                  <c:v>2014/15</c:v>
                </c:pt>
                <c:pt idx="2">
                  <c:v>2015/16</c:v>
                </c:pt>
                <c:pt idx="3">
                  <c:v>2016/17</c:v>
                </c:pt>
                <c:pt idx="4">
                  <c:v>2017/18</c:v>
                </c:pt>
                <c:pt idx="5">
                  <c:v>2018/19</c:v>
                </c:pt>
                <c:pt idx="6">
                  <c:v>2019/20</c:v>
                </c:pt>
                <c:pt idx="7">
                  <c:v>2020/21</c:v>
                </c:pt>
                <c:pt idx="8">
                  <c:v>2021/22</c:v>
                </c:pt>
                <c:pt idx="9">
                  <c:v>2022/23</c:v>
                </c:pt>
                <c:pt idx="10">
                  <c:v>2023/24</c:v>
                </c:pt>
                <c:pt idx="11">
                  <c:v>2024/25</c:v>
                </c:pt>
              </c:strCache>
            </c:strRef>
          </c:cat>
          <c:val>
            <c:numRef>
              <c:f>'9 PB3'!$R$67:$R$78</c:f>
              <c:numCache>
                <c:formatCode>#,##0</c:formatCode>
                <c:ptCount val="12"/>
                <c:pt idx="0">
                  <c:v>2737945</c:v>
                </c:pt>
                <c:pt idx="1">
                  <c:v>1915310</c:v>
                </c:pt>
                <c:pt idx="2">
                  <c:v>2498134</c:v>
                </c:pt>
                <c:pt idx="3">
                  <c:v>3159862</c:v>
                </c:pt>
                <c:pt idx="4">
                  <c:v>2353796</c:v>
                </c:pt>
                <c:pt idx="5">
                  <c:v>3142543</c:v>
                </c:pt>
                <c:pt idx="6">
                  <c:v>3377967</c:v>
                </c:pt>
                <c:pt idx="7">
                  <c:v>3603230</c:v>
                </c:pt>
                <c:pt idx="8">
                  <c:v>3340985</c:v>
                </c:pt>
                <c:pt idx="9">
                  <c:v>2823432</c:v>
                </c:pt>
                <c:pt idx="10">
                  <c:v>3030971</c:v>
                </c:pt>
                <c:pt idx="11">
                  <c:v>2895233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6C-4319-98EF-12FC90A26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843533264"/>
        <c:axId val="843536216"/>
      </c:barChart>
      <c:lineChart>
        <c:grouping val="standard"/>
        <c:varyColors val="0"/>
        <c:ser>
          <c:idx val="1"/>
          <c:order val="1"/>
          <c:tx>
            <c:strRef>
              <c:f>'9 PB3'!$S$66</c:f>
              <c:strCache>
                <c:ptCount val="1"/>
                <c:pt idx="0">
                  <c:v>Rendimiento (Kg/Ha)</c:v>
                </c:pt>
              </c:strCache>
            </c:strRef>
          </c:tx>
          <c:spPr>
            <a:ln w="412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'9 PB3'!$Q$67:$Q$78</c:f>
              <c:strCache>
                <c:ptCount val="12"/>
                <c:pt idx="0">
                  <c:v>2013/14</c:v>
                </c:pt>
                <c:pt idx="1">
                  <c:v>2014/15</c:v>
                </c:pt>
                <c:pt idx="2">
                  <c:v>2015/16</c:v>
                </c:pt>
                <c:pt idx="3">
                  <c:v>2016/17</c:v>
                </c:pt>
                <c:pt idx="4">
                  <c:v>2017/18</c:v>
                </c:pt>
                <c:pt idx="5">
                  <c:v>2018/19</c:v>
                </c:pt>
                <c:pt idx="6">
                  <c:v>2019/20</c:v>
                </c:pt>
                <c:pt idx="7">
                  <c:v>2020/21</c:v>
                </c:pt>
                <c:pt idx="8">
                  <c:v>2021/22</c:v>
                </c:pt>
                <c:pt idx="9">
                  <c:v>2022/23</c:v>
                </c:pt>
                <c:pt idx="10">
                  <c:v>2023/24</c:v>
                </c:pt>
                <c:pt idx="11">
                  <c:v>2024/25</c:v>
                </c:pt>
              </c:strCache>
            </c:strRef>
          </c:cat>
          <c:val>
            <c:numRef>
              <c:f>'9 PB3'!$S$67:$S$78</c:f>
              <c:numCache>
                <c:formatCode>#,##0</c:formatCode>
                <c:ptCount val="12"/>
                <c:pt idx="0">
                  <c:v>2822</c:v>
                </c:pt>
                <c:pt idx="1">
                  <c:v>2460</c:v>
                </c:pt>
                <c:pt idx="2">
                  <c:v>2653</c:v>
                </c:pt>
                <c:pt idx="3">
                  <c:v>3650</c:v>
                </c:pt>
                <c:pt idx="4">
                  <c:v>2653</c:v>
                </c:pt>
                <c:pt idx="5">
                  <c:v>3208</c:v>
                </c:pt>
                <c:pt idx="6">
                  <c:v>3212</c:v>
                </c:pt>
                <c:pt idx="7">
                  <c:v>3342</c:v>
                </c:pt>
                <c:pt idx="8">
                  <c:v>3099</c:v>
                </c:pt>
                <c:pt idx="9">
                  <c:v>2500</c:v>
                </c:pt>
                <c:pt idx="10">
                  <c:v>2742</c:v>
                </c:pt>
                <c:pt idx="11">
                  <c:v>2307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6C-4319-98EF-12FC90A26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9923512"/>
        <c:axId val="1026297128"/>
      </c:lineChart>
      <c:catAx>
        <c:axId val="84353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536216"/>
        <c:crosses val="autoZero"/>
        <c:auto val="1"/>
        <c:lblAlgn val="ctr"/>
        <c:lblOffset val="100"/>
        <c:noMultiLvlLbl val="0"/>
      </c:catAx>
      <c:valAx>
        <c:axId val="843536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533264"/>
        <c:crosses val="autoZero"/>
        <c:crossBetween val="between"/>
        <c:majorUnit val="400000"/>
      </c:valAx>
      <c:valAx>
        <c:axId val="1026297128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923512"/>
        <c:crosses val="max"/>
        <c:crossBetween val="between"/>
      </c:valAx>
      <c:catAx>
        <c:axId val="7799235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6297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ysClr val="windowText" lastClr="000000"/>
                </a:solidFill>
              </a:rPr>
              <a:t>Evolución</a:t>
            </a:r>
            <a:r>
              <a:rPr lang="en-US" sz="1000" baseline="0">
                <a:solidFill>
                  <a:sysClr val="windowText" lastClr="000000"/>
                </a:solidFill>
              </a:rPr>
              <a:t> de la producción por cartera de cultivos de VERANO - Campañas 2014/15 a 2024/25 - En tn</a:t>
            </a:r>
            <a:endParaRPr lang="en-US" sz="1000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'9 PB3'!$R$83</c:f>
              <c:strCache>
                <c:ptCount val="1"/>
                <c:pt idx="0">
                  <c:v>Algodón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'9 PB3'!$Q$84:$Q$94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'9 PB3'!$R$84:$R$94</c:f>
              <c:numCache>
                <c:formatCode>#,##0</c:formatCode>
                <c:ptCount val="11"/>
                <c:pt idx="0">
                  <c:v>326120</c:v>
                </c:pt>
                <c:pt idx="1">
                  <c:v>292090</c:v>
                </c:pt>
                <c:pt idx="2">
                  <c:v>330448</c:v>
                </c:pt>
                <c:pt idx="3">
                  <c:v>394649</c:v>
                </c:pt>
                <c:pt idx="4">
                  <c:v>551040</c:v>
                </c:pt>
                <c:pt idx="5">
                  <c:v>555715</c:v>
                </c:pt>
                <c:pt idx="6">
                  <c:v>500110</c:v>
                </c:pt>
                <c:pt idx="7">
                  <c:v>642082</c:v>
                </c:pt>
                <c:pt idx="8">
                  <c:v>339228</c:v>
                </c:pt>
                <c:pt idx="9">
                  <c:v>595011</c:v>
                </c:pt>
                <c:pt idx="10">
                  <c:v>440033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36-4071-AAF0-7E5D2A7DBC92}"/>
            </c:ext>
          </c:extLst>
        </c:ser>
        <c:ser>
          <c:idx val="1"/>
          <c:order val="1"/>
          <c:tx>
            <c:strRef>
              <c:f>'9 PB3'!$S$83</c:f>
              <c:strCache>
                <c:ptCount val="1"/>
                <c:pt idx="0">
                  <c:v>Girasol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'9 PB3'!$Q$84:$Q$94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'9 PB3'!$S$84:$S$94</c:f>
              <c:numCache>
                <c:formatCode>#,##0</c:formatCode>
                <c:ptCount val="11"/>
                <c:pt idx="0">
                  <c:v>17610</c:v>
                </c:pt>
                <c:pt idx="1">
                  <c:v>10300</c:v>
                </c:pt>
                <c:pt idx="2">
                  <c:v>71530</c:v>
                </c:pt>
                <c:pt idx="3">
                  <c:v>47470</c:v>
                </c:pt>
                <c:pt idx="4">
                  <c:v>222218</c:v>
                </c:pt>
                <c:pt idx="5">
                  <c:v>151461</c:v>
                </c:pt>
                <c:pt idx="6">
                  <c:v>54443</c:v>
                </c:pt>
                <c:pt idx="7">
                  <c:v>45026</c:v>
                </c:pt>
                <c:pt idx="8">
                  <c:v>70695</c:v>
                </c:pt>
                <c:pt idx="9">
                  <c:v>21457</c:v>
                </c:pt>
                <c:pt idx="10">
                  <c:v>73052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36-4071-AAF0-7E5D2A7DBC92}"/>
            </c:ext>
          </c:extLst>
        </c:ser>
        <c:ser>
          <c:idx val="2"/>
          <c:order val="2"/>
          <c:tx>
            <c:strRef>
              <c:f>'9 PB3'!$T$83</c:f>
              <c:strCache>
                <c:ptCount val="1"/>
                <c:pt idx="0">
                  <c:v>Maíz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'9 PB3'!$Q$84:$Q$94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'9 PB3'!$T$84:$T$94</c:f>
              <c:numCache>
                <c:formatCode>#,##0</c:formatCode>
                <c:ptCount val="11"/>
                <c:pt idx="0">
                  <c:v>2407550</c:v>
                </c:pt>
                <c:pt idx="1">
                  <c:v>4262476</c:v>
                </c:pt>
                <c:pt idx="2">
                  <c:v>4483905</c:v>
                </c:pt>
                <c:pt idx="3">
                  <c:v>3661765</c:v>
                </c:pt>
                <c:pt idx="4">
                  <c:v>4405979</c:v>
                </c:pt>
                <c:pt idx="5">
                  <c:v>5653025</c:v>
                </c:pt>
                <c:pt idx="6">
                  <c:v>5138847</c:v>
                </c:pt>
                <c:pt idx="7">
                  <c:v>5386950</c:v>
                </c:pt>
                <c:pt idx="8">
                  <c:v>4549312</c:v>
                </c:pt>
                <c:pt idx="9">
                  <c:v>1551073</c:v>
                </c:pt>
                <c:pt idx="10">
                  <c:v>1612241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36-4071-AAF0-7E5D2A7DBC92}"/>
            </c:ext>
          </c:extLst>
        </c:ser>
        <c:ser>
          <c:idx val="3"/>
          <c:order val="3"/>
          <c:tx>
            <c:strRef>
              <c:f>'9 PB3'!$U$83</c:f>
              <c:strCache>
                <c:ptCount val="1"/>
                <c:pt idx="0">
                  <c:v>Soja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'9 PB3'!$Q$84:$Q$94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'9 PB3'!$U$84:$U$94</c:f>
              <c:numCache>
                <c:formatCode>#,##0</c:formatCode>
                <c:ptCount val="11"/>
                <c:pt idx="0">
                  <c:v>1915310</c:v>
                </c:pt>
                <c:pt idx="1">
                  <c:v>2498134</c:v>
                </c:pt>
                <c:pt idx="2">
                  <c:v>3159862</c:v>
                </c:pt>
                <c:pt idx="3">
                  <c:v>2353796</c:v>
                </c:pt>
                <c:pt idx="4">
                  <c:v>3142543</c:v>
                </c:pt>
                <c:pt idx="5">
                  <c:v>3377967</c:v>
                </c:pt>
                <c:pt idx="6">
                  <c:v>3603230</c:v>
                </c:pt>
                <c:pt idx="7">
                  <c:v>3340985</c:v>
                </c:pt>
                <c:pt idx="8">
                  <c:v>2823432</c:v>
                </c:pt>
                <c:pt idx="9">
                  <c:v>3030971</c:v>
                </c:pt>
                <c:pt idx="10">
                  <c:v>2895233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36-4071-AAF0-7E5D2A7DBC92}"/>
            </c:ext>
          </c:extLst>
        </c:ser>
        <c:ser>
          <c:idx val="4"/>
          <c:order val="4"/>
          <c:tx>
            <c:strRef>
              <c:f>'9 PB3'!$V$83</c:f>
              <c:strCache>
                <c:ptCount val="1"/>
                <c:pt idx="0">
                  <c:v>Sorgo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'9 PB3'!$Q$84:$Q$94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'9 PB3'!$V$84:$V$94</c:f>
              <c:numCache>
                <c:formatCode>#,##0</c:formatCode>
                <c:ptCount val="11"/>
                <c:pt idx="0">
                  <c:v>308840</c:v>
                </c:pt>
                <c:pt idx="1">
                  <c:v>484050</c:v>
                </c:pt>
                <c:pt idx="2">
                  <c:v>304490</c:v>
                </c:pt>
                <c:pt idx="3">
                  <c:v>151185</c:v>
                </c:pt>
                <c:pt idx="4">
                  <c:v>218056</c:v>
                </c:pt>
                <c:pt idx="5">
                  <c:v>240331</c:v>
                </c:pt>
                <c:pt idx="6">
                  <c:v>402233</c:v>
                </c:pt>
                <c:pt idx="7">
                  <c:v>375926</c:v>
                </c:pt>
                <c:pt idx="8">
                  <c:v>352529</c:v>
                </c:pt>
                <c:pt idx="9">
                  <c:v>314300</c:v>
                </c:pt>
                <c:pt idx="10">
                  <c:v>325826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36-4071-AAF0-7E5D2A7DBC92}"/>
            </c:ext>
          </c:extLst>
        </c:ser>
        <c:ser>
          <c:idx val="5"/>
          <c:order val="5"/>
          <c:tx>
            <c:strRef>
              <c:f>'9 PB3'!$W$83</c:f>
              <c:strCache>
                <c:ptCount val="1"/>
                <c:pt idx="0">
                  <c:v>Poroto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'9 PB3'!$Q$84:$Q$94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'9 PB3'!$W$84:$W$94</c:f>
              <c:numCache>
                <c:formatCode>#,##0</c:formatCode>
                <c:ptCount val="11"/>
                <c:pt idx="0">
                  <c:v>83400</c:v>
                </c:pt>
                <c:pt idx="1">
                  <c:v>96700</c:v>
                </c:pt>
                <c:pt idx="2">
                  <c:v>93600</c:v>
                </c:pt>
                <c:pt idx="3">
                  <c:v>105700</c:v>
                </c:pt>
                <c:pt idx="4">
                  <c:v>117600</c:v>
                </c:pt>
                <c:pt idx="5">
                  <c:v>112399</c:v>
                </c:pt>
                <c:pt idx="6">
                  <c:v>126768</c:v>
                </c:pt>
                <c:pt idx="7">
                  <c:v>96325</c:v>
                </c:pt>
                <c:pt idx="8">
                  <c:v>200120</c:v>
                </c:pt>
                <c:pt idx="9">
                  <c:v>97686</c:v>
                </c:pt>
                <c:pt idx="10">
                  <c:v>193944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36-4071-AAF0-7E5D2A7DB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349039056"/>
        <c:axId val="1349039384"/>
      </c:barChart>
      <c:catAx>
        <c:axId val="1349039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039384"/>
        <c:crosses val="autoZero"/>
        <c:auto val="1"/>
        <c:lblAlgn val="ctr"/>
        <c:lblOffset val="100"/>
        <c:noMultiLvlLbl val="0"/>
      </c:catAx>
      <c:valAx>
        <c:axId val="1349039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03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baseline="0">
                <a:solidFill>
                  <a:sysClr val="windowText" lastClr="000000"/>
                </a:solidFill>
                <a:effectLst/>
              </a:rPr>
              <a:t>Evolución de la producción por cartera de cultivos de VERANO - Campañas 2014/15 a 2024/25 - En %</a:t>
            </a:r>
            <a:endParaRPr lang="en-US" sz="1000">
              <a:solidFill>
                <a:sysClr val="windowText" lastClr="000000"/>
              </a:solidFill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'9 PB3'!$R$83</c:f>
              <c:strCache>
                <c:ptCount val="1"/>
                <c:pt idx="0">
                  <c:v>Algodón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'9 PB3'!$Q$84:$Q$94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'9 PB3'!$R$84:$R$94</c:f>
              <c:numCache>
                <c:formatCode>#,##0</c:formatCode>
                <c:ptCount val="11"/>
                <c:pt idx="0">
                  <c:v>326120</c:v>
                </c:pt>
                <c:pt idx="1">
                  <c:v>292090</c:v>
                </c:pt>
                <c:pt idx="2">
                  <c:v>330448</c:v>
                </c:pt>
                <c:pt idx="3">
                  <c:v>394649</c:v>
                </c:pt>
                <c:pt idx="4">
                  <c:v>551040</c:v>
                </c:pt>
                <c:pt idx="5">
                  <c:v>555715</c:v>
                </c:pt>
                <c:pt idx="6">
                  <c:v>500110</c:v>
                </c:pt>
                <c:pt idx="7">
                  <c:v>642082</c:v>
                </c:pt>
                <c:pt idx="8">
                  <c:v>339228</c:v>
                </c:pt>
                <c:pt idx="9">
                  <c:v>595011</c:v>
                </c:pt>
                <c:pt idx="10">
                  <c:v>440033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AF-4828-A568-C3816AB03D6A}"/>
            </c:ext>
          </c:extLst>
        </c:ser>
        <c:ser>
          <c:idx val="1"/>
          <c:order val="1"/>
          <c:tx>
            <c:strRef>
              <c:f>'9 PB3'!$S$83</c:f>
              <c:strCache>
                <c:ptCount val="1"/>
                <c:pt idx="0">
                  <c:v>Girasol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'9 PB3'!$Q$84:$Q$94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'9 PB3'!$S$84:$S$94</c:f>
              <c:numCache>
                <c:formatCode>#,##0</c:formatCode>
                <c:ptCount val="11"/>
                <c:pt idx="0">
                  <c:v>17610</c:v>
                </c:pt>
                <c:pt idx="1">
                  <c:v>10300</c:v>
                </c:pt>
                <c:pt idx="2">
                  <c:v>71530</c:v>
                </c:pt>
                <c:pt idx="3">
                  <c:v>47470</c:v>
                </c:pt>
                <c:pt idx="4">
                  <c:v>222218</c:v>
                </c:pt>
                <c:pt idx="5">
                  <c:v>151461</c:v>
                </c:pt>
                <c:pt idx="6">
                  <c:v>54443</c:v>
                </c:pt>
                <c:pt idx="7">
                  <c:v>45026</c:v>
                </c:pt>
                <c:pt idx="8">
                  <c:v>70695</c:v>
                </c:pt>
                <c:pt idx="9">
                  <c:v>21457</c:v>
                </c:pt>
                <c:pt idx="10">
                  <c:v>73052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AF-4828-A568-C3816AB03D6A}"/>
            </c:ext>
          </c:extLst>
        </c:ser>
        <c:ser>
          <c:idx val="2"/>
          <c:order val="2"/>
          <c:tx>
            <c:strRef>
              <c:f>'9 PB3'!$T$83</c:f>
              <c:strCache>
                <c:ptCount val="1"/>
                <c:pt idx="0">
                  <c:v>Maíz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'9 PB3'!$Q$84:$Q$94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'9 PB3'!$T$84:$T$94</c:f>
              <c:numCache>
                <c:formatCode>#,##0</c:formatCode>
                <c:ptCount val="11"/>
                <c:pt idx="0">
                  <c:v>2407550</c:v>
                </c:pt>
                <c:pt idx="1">
                  <c:v>4262476</c:v>
                </c:pt>
                <c:pt idx="2">
                  <c:v>4483905</c:v>
                </c:pt>
                <c:pt idx="3">
                  <c:v>3661765</c:v>
                </c:pt>
                <c:pt idx="4">
                  <c:v>4405979</c:v>
                </c:pt>
                <c:pt idx="5">
                  <c:v>5653025</c:v>
                </c:pt>
                <c:pt idx="6">
                  <c:v>5138847</c:v>
                </c:pt>
                <c:pt idx="7">
                  <c:v>5386950</c:v>
                </c:pt>
                <c:pt idx="8">
                  <c:v>4549312</c:v>
                </c:pt>
                <c:pt idx="9">
                  <c:v>1551073</c:v>
                </c:pt>
                <c:pt idx="10">
                  <c:v>1612241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AF-4828-A568-C3816AB03D6A}"/>
            </c:ext>
          </c:extLst>
        </c:ser>
        <c:ser>
          <c:idx val="3"/>
          <c:order val="3"/>
          <c:tx>
            <c:strRef>
              <c:f>'9 PB3'!$U$83</c:f>
              <c:strCache>
                <c:ptCount val="1"/>
                <c:pt idx="0">
                  <c:v>Soja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'9 PB3'!$Q$84:$Q$94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'9 PB3'!$U$84:$U$94</c:f>
              <c:numCache>
                <c:formatCode>#,##0</c:formatCode>
                <c:ptCount val="11"/>
                <c:pt idx="0">
                  <c:v>1915310</c:v>
                </c:pt>
                <c:pt idx="1">
                  <c:v>2498134</c:v>
                </c:pt>
                <c:pt idx="2">
                  <c:v>3159862</c:v>
                </c:pt>
                <c:pt idx="3">
                  <c:v>2353796</c:v>
                </c:pt>
                <c:pt idx="4">
                  <c:v>3142543</c:v>
                </c:pt>
                <c:pt idx="5">
                  <c:v>3377967</c:v>
                </c:pt>
                <c:pt idx="6">
                  <c:v>3603230</c:v>
                </c:pt>
                <c:pt idx="7">
                  <c:v>3340985</c:v>
                </c:pt>
                <c:pt idx="8">
                  <c:v>2823432</c:v>
                </c:pt>
                <c:pt idx="9">
                  <c:v>3030971</c:v>
                </c:pt>
                <c:pt idx="10">
                  <c:v>2895233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AF-4828-A568-C3816AB03D6A}"/>
            </c:ext>
          </c:extLst>
        </c:ser>
        <c:ser>
          <c:idx val="4"/>
          <c:order val="4"/>
          <c:tx>
            <c:strRef>
              <c:f>'9 PB3'!$V$83</c:f>
              <c:strCache>
                <c:ptCount val="1"/>
                <c:pt idx="0">
                  <c:v>Sorgo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'9 PB3'!$Q$84:$Q$94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'9 PB3'!$V$84:$V$94</c:f>
              <c:numCache>
                <c:formatCode>#,##0</c:formatCode>
                <c:ptCount val="11"/>
                <c:pt idx="0">
                  <c:v>308840</c:v>
                </c:pt>
                <c:pt idx="1">
                  <c:v>484050</c:v>
                </c:pt>
                <c:pt idx="2">
                  <c:v>304490</c:v>
                </c:pt>
                <c:pt idx="3">
                  <c:v>151185</c:v>
                </c:pt>
                <c:pt idx="4">
                  <c:v>218056</c:v>
                </c:pt>
                <c:pt idx="5">
                  <c:v>240331</c:v>
                </c:pt>
                <c:pt idx="6">
                  <c:v>402233</c:v>
                </c:pt>
                <c:pt idx="7">
                  <c:v>375926</c:v>
                </c:pt>
                <c:pt idx="8">
                  <c:v>352529</c:v>
                </c:pt>
                <c:pt idx="9">
                  <c:v>314300</c:v>
                </c:pt>
                <c:pt idx="10">
                  <c:v>325826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AF-4828-A568-C3816AB03D6A}"/>
            </c:ext>
          </c:extLst>
        </c:ser>
        <c:ser>
          <c:idx val="5"/>
          <c:order val="5"/>
          <c:tx>
            <c:strRef>
              <c:f>'9 PB3'!$W$83</c:f>
              <c:strCache>
                <c:ptCount val="1"/>
                <c:pt idx="0">
                  <c:v>Poroto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'9 PB3'!$Q$84:$Q$94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'9 PB3'!$W$84:$W$94</c:f>
              <c:numCache>
                <c:formatCode>#,##0</c:formatCode>
                <c:ptCount val="11"/>
                <c:pt idx="0">
                  <c:v>83400</c:v>
                </c:pt>
                <c:pt idx="1">
                  <c:v>96700</c:v>
                </c:pt>
                <c:pt idx="2">
                  <c:v>93600</c:v>
                </c:pt>
                <c:pt idx="3">
                  <c:v>105700</c:v>
                </c:pt>
                <c:pt idx="4">
                  <c:v>117600</c:v>
                </c:pt>
                <c:pt idx="5">
                  <c:v>112399</c:v>
                </c:pt>
                <c:pt idx="6">
                  <c:v>126768</c:v>
                </c:pt>
                <c:pt idx="7">
                  <c:v>96325</c:v>
                </c:pt>
                <c:pt idx="8">
                  <c:v>200120</c:v>
                </c:pt>
                <c:pt idx="9">
                  <c:v>97686</c:v>
                </c:pt>
                <c:pt idx="10">
                  <c:v>193944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AF-4828-A568-C3816AB03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349039056"/>
        <c:axId val="1349039384"/>
      </c:barChart>
      <c:catAx>
        <c:axId val="1349039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039384"/>
        <c:crosses val="autoZero"/>
        <c:auto val="1"/>
        <c:lblAlgn val="ctr"/>
        <c:lblOffset val="100"/>
        <c:noMultiLvlLbl val="0"/>
      </c:catAx>
      <c:valAx>
        <c:axId val="1349039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03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713945944424507"/>
          <c:y val="0.10474901574803151"/>
          <c:w val="0.44112878993574078"/>
          <c:h val="0.76879416515243282"/>
        </c:manualLayout>
      </c:layout>
      <c:pieChart>
        <c:varyColors val="1"/>
        <c:ser>
          <c:idx val="0"/>
          <c:order val="0"/>
          <c:tx>
            <c:strRef>
              <c:f>'9 PB3'!$K$129</c:f>
              <c:strCache>
                <c:ptCount val="1"/>
                <c:pt idx="0">
                  <c:v>Producción soja (tn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AF7-4655-B212-DE923B5483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F7-4655-B212-DE923B5483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F7-4655-B212-DE923B5483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AF7-4655-B212-DE923B54839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F7-4655-B212-DE923B548398}"/>
              </c:ext>
            </c:extLst>
          </c:dPt>
          <c:dLbls>
            <c:dLbl>
              <c:idx val="0"/>
              <c:layout>
                <c:manualLayout>
                  <c:x val="-0.23717607174103242"/>
                  <c:y val="5.657188684747737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F04ADFE-7951-4FCE-9528-16F85BCAB2F5}" type="CATEGORYNAME">
                      <a:rPr lang="en-US" sz="1000" b="1"/>
                      <a:pPr algn="ctr">
                        <a:defRPr sz="1000">
                          <a:solidFill>
                            <a:sysClr val="windowText" lastClr="000000"/>
                          </a:solidFill>
                        </a:defRPr>
                      </a:pPr>
                      <a:t>[NOMBRE DE CATEGORÍA]</a:t>
                    </a:fld>
                    <a:r>
                      <a:rPr lang="en-US" sz="1000" baseline="0"/>
                      <a:t>
</a:t>
                    </a:r>
                    <a:fld id="{AA531D38-68F2-4E77-A207-681CD8FCC6EB}" type="PERCENTAGE">
                      <a:rPr lang="en-US" sz="1000" baseline="0"/>
                      <a:pPr algn="ctr">
                        <a:defRPr sz="1000">
                          <a:solidFill>
                            <a:sysClr val="windowText" lastClr="000000"/>
                          </a:solidFill>
                        </a:defRPr>
                      </a:pPr>
                      <a:t>[PORCENTAJE]</a:t>
                    </a:fld>
                    <a:endParaRPr lang="en-US" sz="1000" baseline="0"/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DAF7-4655-B212-DE923B548398}"/>
                </c:ext>
              </c:extLst>
            </c:dLbl>
            <c:dLbl>
              <c:idx val="1"/>
              <c:layout>
                <c:manualLayout>
                  <c:x val="0.12632808398950121"/>
                  <c:y val="3.565762613006707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F77D26C-AFA2-4B1C-85CE-F1522C5349FC}" type="CATEGORYNAME">
                      <a:rPr lang="en-US" sz="1000" b="1">
                        <a:solidFill>
                          <a:sysClr val="windowText" lastClr="000000"/>
                        </a:solidFill>
                      </a:rPr>
                      <a:pPr>
                        <a:defRPr sz="1000">
                          <a:solidFill>
                            <a:sysClr val="windowText" lastClr="000000"/>
                          </a:solidFill>
                        </a:defRPr>
                      </a:pPr>
                      <a:t>[NOMBRE DE CATEGORÍA]</a:t>
                    </a:fld>
                    <a:r>
                      <a:rPr lang="en-US" sz="1000" baseline="0">
                        <a:solidFill>
                          <a:sysClr val="windowText" lastClr="000000"/>
                        </a:solidFill>
                      </a:rPr>
                      <a:t>
</a:t>
                    </a:r>
                    <a:fld id="{19A35B8C-867B-43B1-9B05-7EF7DE6769E8}" type="PERCENTAGE">
                      <a:rPr lang="en-US" sz="1000" baseline="0">
                        <a:solidFill>
                          <a:sysClr val="windowText" lastClr="000000"/>
                        </a:solidFill>
                      </a:rPr>
                      <a:pPr>
                        <a:defRPr sz="1000">
                          <a:solidFill>
                            <a:sysClr val="windowText" lastClr="000000"/>
                          </a:solidFill>
                        </a:defRPr>
                      </a:pPr>
                      <a:t>[PORCENTAJE]</a:t>
                    </a:fld>
                    <a:endParaRPr lang="en-US" sz="1000" baseline="0">
                      <a:solidFill>
                        <a:sysClr val="windowText" lastClr="000000"/>
                      </a:solidFill>
                    </a:endParaRPr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AF7-4655-B212-DE923B548398}"/>
                </c:ext>
              </c:extLst>
            </c:dLbl>
            <c:dLbl>
              <c:idx val="2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FE5D63C-0010-4C8C-A390-3C1CBFE93C10}" type="CATEGORYNAME">
                      <a:rPr lang="en-US" b="1"/>
                      <a:pPr>
                        <a:defRPr sz="1000">
                          <a:solidFill>
                            <a:sysClr val="windowText" lastClr="000000"/>
                          </a:solidFill>
                        </a:defRPr>
                      </a:pPr>
                      <a:t>[NOMBRE DE CATEGORÍA]</a:t>
                    </a:fld>
                    <a:r>
                      <a:rPr lang="en-US" baseline="0"/>
                      <a:t>
</a:t>
                    </a:r>
                    <a:fld id="{8ED1BFEA-FE2C-4EBE-8039-18E91FFDDBF0}" type="PERCENTAGE">
                      <a:rPr lang="en-US" baseline="0"/>
                      <a:pPr>
                        <a:defRPr sz="1000">
                          <a:solidFill>
                            <a:sysClr val="windowText" lastClr="000000"/>
                          </a:solidFill>
                        </a:defRPr>
                      </a:pPr>
                      <a:t>[PORCENTAJE]</a:t>
                    </a:fld>
                    <a:endParaRPr lang="en-US" baseline="0"/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DAF7-4655-B212-DE923B548398}"/>
                </c:ext>
              </c:extLst>
            </c:dLbl>
            <c:dLbl>
              <c:idx val="3"/>
              <c:layout>
                <c:manualLayout>
                  <c:x val="-0.1211994750656168"/>
                  <c:y val="-1.8301618547681541E-2"/>
                </c:manualLayout>
              </c:layout>
              <c:tx>
                <c:rich>
                  <a:bodyPr/>
                  <a:lstStyle/>
                  <a:p>
                    <a:fld id="{11EF7268-F667-4430-9FD9-4CB3506E9620}" type="CATEGORYNAME">
                      <a:rPr lang="en-US" b="1">
                        <a:solidFill>
                          <a:sysClr val="windowText" lastClr="000000"/>
                        </a:solidFill>
                      </a:rPr>
                      <a:pPr/>
                      <a:t>[NOMBRE DE CATEGORÍA]</a:t>
                    </a:fld>
                    <a:r>
                      <a:rPr lang="en-US" baseline="0"/>
                      <a:t>
</a:t>
                    </a:r>
                    <a:fld id="{6AB93B94-05B9-47D7-8230-91D90A7FD350}" type="PERCENTAGE">
                      <a:rPr lang="en-US" baseline="0">
                        <a:solidFill>
                          <a:sysClr val="windowText" lastClr="000000"/>
                        </a:solidFill>
                      </a:rPr>
                      <a:pPr/>
                      <a:t>[PORCENTAJE]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DAF7-4655-B212-DE923B548398}"/>
                </c:ext>
              </c:extLst>
            </c:dLbl>
            <c:dLbl>
              <c:idx val="4"/>
              <c:layout>
                <c:manualLayout>
                  <c:x val="0.17158702144990498"/>
                  <c:y val="-0.1672382899252978"/>
                </c:manualLayout>
              </c:layout>
              <c:tx>
                <c:rich>
                  <a:bodyPr/>
                  <a:lstStyle/>
                  <a:p>
                    <a:fld id="{7A488A05-A160-4C89-BFA2-653D0F94CD7E}" type="CATEGORYNAME">
                      <a:rPr lang="en-US" b="1"/>
                      <a:pPr/>
                      <a:t>[NOMBRE DE CATEGORÍA]</a:t>
                    </a:fld>
                    <a:r>
                      <a:rPr lang="en-US" baseline="0"/>
                      <a:t>
</a:t>
                    </a:r>
                    <a:fld id="{408E165C-0EFE-4C49-B2CC-28319317D058}" type="PERCENTAGE">
                      <a:rPr lang="en-US" baseline="0"/>
                      <a:pPr/>
                      <a:t>[PORCENTAJE]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AF7-4655-B212-DE923B548398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>
                  <a:noFill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 PB3'!$J$130:$J$134</c:f>
              <c:strCache>
                <c:ptCount val="5"/>
                <c:pt idx="0">
                  <c:v>Catamarca</c:v>
                </c:pt>
                <c:pt idx="1">
                  <c:v>Jujuy</c:v>
                </c:pt>
                <c:pt idx="2">
                  <c:v>Salta</c:v>
                </c:pt>
                <c:pt idx="3">
                  <c:v>Tucumán</c:v>
                </c:pt>
                <c:pt idx="4">
                  <c:v>Sgo. del Estero</c:v>
                </c:pt>
              </c:strCache>
            </c:strRef>
          </c:cat>
          <c:val>
            <c:numRef>
              <c:f>'9 PB3'!$K$130:$K$134</c:f>
              <c:numCache>
                <c:formatCode>#,##0</c:formatCode>
                <c:ptCount val="5"/>
                <c:pt idx="0">
                  <c:v>101766</c:v>
                </c:pt>
                <c:pt idx="1">
                  <c:v>14396</c:v>
                </c:pt>
                <c:pt idx="2">
                  <c:v>740812</c:v>
                </c:pt>
                <c:pt idx="3">
                  <c:v>473056</c:v>
                </c:pt>
                <c:pt idx="4">
                  <c:v>2895233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7-4655-B212-DE923B548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5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1447800</xdr:colOff>
      <xdr:row>45</xdr:row>
      <xdr:rowOff>114300</xdr:rowOff>
    </xdr:from>
    <xdr:to>
      <xdr:col>6</xdr:col>
      <xdr:colOff>723900</xdr:colOff>
      <xdr:row>61</xdr:row>
      <xdr:rowOff>175260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1478280</xdr:colOff>
      <xdr:row>66</xdr:row>
      <xdr:rowOff>99060</xdr:rowOff>
    </xdr:from>
    <xdr:to>
      <xdr:col>6</xdr:col>
      <xdr:colOff>762000</xdr:colOff>
      <xdr:row>82</xdr:row>
      <xdr:rowOff>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1531620</xdr:colOff>
      <xdr:row>84</xdr:row>
      <xdr:rowOff>45720</xdr:rowOff>
    </xdr:from>
    <xdr:to>
      <xdr:col>9</xdr:col>
      <xdr:colOff>320040</xdr:colOff>
      <xdr:row>100</xdr:row>
      <xdr:rowOff>114300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1562100</xdr:colOff>
      <xdr:row>103</xdr:row>
      <xdr:rowOff>91440</xdr:rowOff>
    </xdr:from>
    <xdr:to>
      <xdr:col>9</xdr:col>
      <xdr:colOff>381000</xdr:colOff>
      <xdr:row>120</xdr:row>
      <xdr:rowOff>83820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533400</xdr:colOff>
      <xdr:row>125</xdr:row>
      <xdr:rowOff>76200</xdr:rowOff>
    </xdr:from>
    <xdr:to>
      <xdr:col>8</xdr:col>
      <xdr:colOff>220980</xdr:colOff>
      <xdr:row>142</xdr:row>
      <xdr:rowOff>137160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co%20JC/BB-Ultimos%20nueva%20compu/MEGABASE/000000000000%20BASES%20DEFINIDAS%20Y%20RELEVADAS/0000000000000000%20DETALLE%20BASES%20Y%20CONTENI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Provincia 1"/>
      <sheetName val="Org tematica"/>
      <sheetName val="9 PB3"/>
      <sheetName val="001"/>
      <sheetName val="002"/>
      <sheetName val="003"/>
      <sheetName val="004"/>
      <sheetName val="005"/>
      <sheetName val="006"/>
      <sheetName val="007"/>
      <sheetName val="Precios"/>
      <sheetName val="Var productivas"/>
      <sheetName val="Comext"/>
    </sheetNames>
    <sheetDataSet>
      <sheetData sheetId="0"/>
      <sheetData sheetId="1">
        <row r="4">
          <cell r="C4">
            <v>8</v>
          </cell>
          <cell r="D4" t="str">
            <v>PB 2</v>
          </cell>
          <cell r="E4" t="str">
            <v>Precios frutas y hortalizas MCBA por variedad, calidad y origen</v>
          </cell>
        </row>
        <row r="5">
          <cell r="C5">
            <v>9</v>
          </cell>
          <cell r="D5" t="str">
            <v>PB 3</v>
          </cell>
          <cell r="E5" t="str">
            <v>Superficies, producción y rendimientos por provincia y departamento</v>
          </cell>
        </row>
        <row r="6">
          <cell r="C6">
            <v>13</v>
          </cell>
          <cell r="D6" t="str">
            <v>PB 7</v>
          </cell>
          <cell r="E6" t="str">
            <v>Empleo y remuneraciones por prov y depto - Sector agropecuario</v>
          </cell>
        </row>
        <row r="7">
          <cell r="C7">
            <v>14</v>
          </cell>
          <cell r="D7" t="str">
            <v>PB 7</v>
          </cell>
          <cell r="E7" t="str">
            <v>Empleo y remuneraciones por prov y depto - Todos los sectores</v>
          </cell>
        </row>
        <row r="8">
          <cell r="C8">
            <v>24</v>
          </cell>
          <cell r="D8" t="str">
            <v>PB 8</v>
          </cell>
          <cell r="E8" t="str">
            <v>Empleo con asalariados registrados por cod activ (4 digitos) por prov</v>
          </cell>
        </row>
        <row r="9">
          <cell r="C9">
            <v>25</v>
          </cell>
          <cell r="D9" t="str">
            <v>PB 8</v>
          </cell>
          <cell r="E9" t="str">
            <v>Empleo con asalariados registrados por sector y subsector por prov</v>
          </cell>
        </row>
        <row r="13">
          <cell r="C13">
            <v>38</v>
          </cell>
          <cell r="D13" t="str">
            <v>PB 1</v>
          </cell>
          <cell r="E13" t="str">
            <v>Empresas registradas en el Registro Nac de Com y Fiscaliz de Semillas</v>
          </cell>
        </row>
        <row r="14">
          <cell r="C14">
            <v>43</v>
          </cell>
          <cell r="D14" t="str">
            <v>PB 11</v>
          </cell>
          <cell r="E14" t="str">
            <v>Producción materia seca forraje por provincia y dto y promedio</v>
          </cell>
        </row>
        <row r="17">
          <cell r="C17">
            <v>53</v>
          </cell>
          <cell r="D17" t="str">
            <v>PB 13</v>
          </cell>
          <cell r="E17" t="str">
            <v>DTV - Algodón, semilla fibra, fibrilla, desperrdicio</v>
          </cell>
        </row>
        <row r="18">
          <cell r="C18">
            <v>56</v>
          </cell>
          <cell r="D18" t="str">
            <v>PB 13</v>
          </cell>
          <cell r="E18" t="str">
            <v>DTV - Batata</v>
          </cell>
        </row>
        <row r="19">
          <cell r="C19">
            <v>57</v>
          </cell>
          <cell r="D19" t="str">
            <v>PB 13</v>
          </cell>
          <cell r="E19" t="str">
            <v>DTV - Cebolla</v>
          </cell>
        </row>
        <row r="20">
          <cell r="C20">
            <v>72</v>
          </cell>
          <cell r="D20" t="str">
            <v>PB 13</v>
          </cell>
          <cell r="E20" t="str">
            <v>DTV - Naranja (octubre a diciembre)</v>
          </cell>
        </row>
        <row r="21">
          <cell r="C21">
            <v>75</v>
          </cell>
          <cell r="D21" t="str">
            <v>PB 13</v>
          </cell>
          <cell r="E21" t="str">
            <v>DTV - Papa (septiembre a diciembre)</v>
          </cell>
        </row>
        <row r="37">
          <cell r="C37">
            <v>130</v>
          </cell>
          <cell r="D37" t="str">
            <v>PB 1</v>
          </cell>
          <cell r="E37" t="str">
            <v>Calendario cosecha por provincia y mes - todos los cultivos (en %)</v>
          </cell>
        </row>
        <row r="44">
          <cell r="C44">
            <v>142</v>
          </cell>
          <cell r="D44" t="str">
            <v>PB 24</v>
          </cell>
          <cell r="E44" t="str">
            <v>Warrants emitidos por producto y provincia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1"/>
  <sheetViews>
    <sheetView workbookViewId="0">
      <pane ySplit="2" topLeftCell="A3" activePane="bottomLeft" state="frozen"/>
      <selection pane="bottomLeft" activeCell="C20" sqref="C20"/>
    </sheetView>
  </sheetViews>
  <sheetFormatPr baseColWidth="10" defaultRowHeight="14.4" x14ac:dyDescent="0.3"/>
  <cols>
    <col min="1" max="1" width="8.33203125" bestFit="1" customWidth="1"/>
    <col min="2" max="2" width="9.109375" bestFit="1" customWidth="1"/>
    <col min="3" max="3" width="59.77734375" customWidth="1"/>
    <col min="4" max="4" width="9.21875" bestFit="1" customWidth="1"/>
    <col min="5" max="5" width="10.77734375" customWidth="1"/>
    <col min="8" max="8" width="10.109375" bestFit="1" customWidth="1"/>
    <col min="9" max="9" width="9.5546875" customWidth="1"/>
    <col min="11" max="11" width="10.5546875" style="9" bestFit="1" customWidth="1"/>
    <col min="12" max="12" width="10.5546875" bestFit="1" customWidth="1"/>
    <col min="13" max="13" width="10" style="1" customWidth="1"/>
    <col min="14" max="14" width="15.5546875" bestFit="1" customWidth="1"/>
  </cols>
  <sheetData>
    <row r="1" spans="1:15" x14ac:dyDescent="0.3">
      <c r="A1" s="8" t="s">
        <v>133</v>
      </c>
    </row>
    <row r="2" spans="1:15" x14ac:dyDescent="0.3">
      <c r="A2" t="s">
        <v>134</v>
      </c>
      <c r="B2" t="s">
        <v>135</v>
      </c>
      <c r="C2" t="s">
        <v>136</v>
      </c>
      <c r="D2" s="10" t="s">
        <v>137</v>
      </c>
      <c r="E2" s="10" t="s">
        <v>138</v>
      </c>
      <c r="F2" s="10" t="s">
        <v>139</v>
      </c>
      <c r="G2" s="10" t="s">
        <v>140</v>
      </c>
      <c r="H2" s="10" t="s">
        <v>141</v>
      </c>
      <c r="I2" s="10" t="s">
        <v>142</v>
      </c>
      <c r="J2" s="10" t="s">
        <v>143</v>
      </c>
      <c r="K2" s="11" t="s">
        <v>144</v>
      </c>
      <c r="L2" s="10" t="s">
        <v>145</v>
      </c>
      <c r="M2" s="12" t="s">
        <v>146</v>
      </c>
      <c r="N2" s="10" t="s">
        <v>147</v>
      </c>
      <c r="O2" s="10" t="s">
        <v>148</v>
      </c>
    </row>
    <row r="3" spans="1:15" x14ac:dyDescent="0.3">
      <c r="A3" s="13">
        <v>1</v>
      </c>
      <c r="B3" t="s">
        <v>149</v>
      </c>
      <c r="C3" t="s">
        <v>150</v>
      </c>
      <c r="D3">
        <v>21</v>
      </c>
      <c r="E3" t="s">
        <v>151</v>
      </c>
      <c r="F3" t="s">
        <v>152</v>
      </c>
      <c r="H3" t="s">
        <v>153</v>
      </c>
      <c r="I3">
        <v>7</v>
      </c>
      <c r="J3" t="s">
        <v>154</v>
      </c>
      <c r="K3" s="9">
        <v>42005</v>
      </c>
      <c r="L3" s="9">
        <v>46142</v>
      </c>
      <c r="M3" s="1">
        <v>3263</v>
      </c>
      <c r="N3" t="s">
        <v>155</v>
      </c>
    </row>
    <row r="4" spans="1:15" x14ac:dyDescent="0.3">
      <c r="A4" s="13">
        <v>2</v>
      </c>
      <c r="B4" t="s">
        <v>149</v>
      </c>
      <c r="C4" t="s">
        <v>156</v>
      </c>
      <c r="D4">
        <v>1</v>
      </c>
      <c r="E4" t="s">
        <v>151</v>
      </c>
      <c r="F4" t="s">
        <v>152</v>
      </c>
      <c r="H4" t="s">
        <v>153</v>
      </c>
      <c r="I4">
        <v>6</v>
      </c>
      <c r="J4" t="s">
        <v>154</v>
      </c>
      <c r="K4" s="9">
        <v>34335</v>
      </c>
      <c r="L4" s="9">
        <v>46111</v>
      </c>
      <c r="M4" s="1">
        <v>386</v>
      </c>
      <c r="N4" t="s">
        <v>155</v>
      </c>
    </row>
    <row r="5" spans="1:15" x14ac:dyDescent="0.3">
      <c r="A5" s="13">
        <v>3</v>
      </c>
      <c r="B5" t="s">
        <v>149</v>
      </c>
      <c r="C5" t="s">
        <v>157</v>
      </c>
      <c r="D5">
        <v>23</v>
      </c>
      <c r="E5" t="s">
        <v>151</v>
      </c>
      <c r="F5" t="s">
        <v>152</v>
      </c>
      <c r="H5" t="s">
        <v>158</v>
      </c>
      <c r="I5">
        <v>1</v>
      </c>
      <c r="J5" t="s">
        <v>154</v>
      </c>
      <c r="K5" s="9">
        <v>36892</v>
      </c>
      <c r="L5" s="9">
        <v>46111</v>
      </c>
      <c r="M5" s="1">
        <v>309</v>
      </c>
      <c r="N5" t="s">
        <v>155</v>
      </c>
    </row>
    <row r="6" spans="1:15" x14ac:dyDescent="0.3">
      <c r="A6" s="13">
        <v>4</v>
      </c>
      <c r="B6" t="s">
        <v>149</v>
      </c>
      <c r="C6" t="s">
        <v>159</v>
      </c>
      <c r="D6">
        <v>27</v>
      </c>
      <c r="E6" t="s">
        <v>151</v>
      </c>
      <c r="F6" t="s">
        <v>152</v>
      </c>
      <c r="H6" t="s">
        <v>158</v>
      </c>
      <c r="I6">
        <v>1</v>
      </c>
      <c r="J6" t="s">
        <v>154</v>
      </c>
      <c r="K6" s="9">
        <v>23743</v>
      </c>
      <c r="L6" s="9">
        <v>46111</v>
      </c>
      <c r="M6" s="1">
        <v>740</v>
      </c>
      <c r="N6" t="s">
        <v>155</v>
      </c>
    </row>
    <row r="7" spans="1:15" x14ac:dyDescent="0.3">
      <c r="A7" s="13">
        <v>5</v>
      </c>
      <c r="B7" t="s">
        <v>149</v>
      </c>
      <c r="C7" t="s">
        <v>160</v>
      </c>
      <c r="D7">
        <v>28</v>
      </c>
      <c r="E7" t="s">
        <v>151</v>
      </c>
      <c r="F7" t="s">
        <v>152</v>
      </c>
      <c r="H7" t="s">
        <v>153</v>
      </c>
      <c r="I7">
        <v>6</v>
      </c>
      <c r="J7" t="s">
        <v>154</v>
      </c>
      <c r="K7" s="9">
        <v>36526</v>
      </c>
      <c r="L7" s="9">
        <v>46111</v>
      </c>
      <c r="M7" s="1">
        <v>7563</v>
      </c>
      <c r="N7" t="s">
        <v>155</v>
      </c>
    </row>
    <row r="8" spans="1:15" x14ac:dyDescent="0.3">
      <c r="A8" s="13">
        <v>6</v>
      </c>
      <c r="B8" t="s">
        <v>149</v>
      </c>
      <c r="C8" t="s">
        <v>161</v>
      </c>
      <c r="D8">
        <v>1</v>
      </c>
      <c r="E8" t="s">
        <v>151</v>
      </c>
      <c r="F8" t="s">
        <v>152</v>
      </c>
      <c r="H8" t="s">
        <v>153</v>
      </c>
      <c r="I8">
        <v>6</v>
      </c>
      <c r="J8" t="s">
        <v>154</v>
      </c>
      <c r="K8" s="9">
        <v>35796</v>
      </c>
      <c r="L8" s="9">
        <v>46111</v>
      </c>
      <c r="M8" s="1">
        <v>343</v>
      </c>
      <c r="N8" t="s">
        <v>155</v>
      </c>
    </row>
    <row r="9" spans="1:15" x14ac:dyDescent="0.3">
      <c r="A9" s="13">
        <v>7</v>
      </c>
      <c r="B9" t="s">
        <v>149</v>
      </c>
      <c r="C9" t="s">
        <v>162</v>
      </c>
      <c r="D9">
        <v>24</v>
      </c>
      <c r="E9" t="s">
        <v>151</v>
      </c>
      <c r="F9" t="s">
        <v>152</v>
      </c>
      <c r="H9" t="s">
        <v>158</v>
      </c>
      <c r="I9">
        <v>1</v>
      </c>
      <c r="J9" t="s">
        <v>154</v>
      </c>
      <c r="K9" s="9">
        <v>42005</v>
      </c>
      <c r="L9" s="9">
        <v>46142</v>
      </c>
      <c r="M9" s="1">
        <v>143</v>
      </c>
      <c r="N9" t="s">
        <v>155</v>
      </c>
    </row>
    <row r="10" spans="1:15" x14ac:dyDescent="0.3">
      <c r="A10">
        <v>8</v>
      </c>
      <c r="B10" t="s">
        <v>163</v>
      </c>
      <c r="C10" s="14" t="s">
        <v>164</v>
      </c>
      <c r="D10">
        <v>82</v>
      </c>
      <c r="E10" t="s">
        <v>165</v>
      </c>
      <c r="F10" t="s">
        <v>166</v>
      </c>
      <c r="H10" t="s">
        <v>167</v>
      </c>
      <c r="I10">
        <v>1</v>
      </c>
      <c r="J10" t="s">
        <v>154</v>
      </c>
      <c r="K10" s="9">
        <v>42736</v>
      </c>
      <c r="L10" s="9">
        <v>46142</v>
      </c>
      <c r="M10" s="1">
        <v>732383</v>
      </c>
      <c r="N10" t="s">
        <v>155</v>
      </c>
      <c r="O10" t="s">
        <v>168</v>
      </c>
    </row>
    <row r="11" spans="1:15" x14ac:dyDescent="0.3">
      <c r="A11">
        <v>9</v>
      </c>
      <c r="B11" t="s">
        <v>169</v>
      </c>
      <c r="C11" s="14" t="s">
        <v>170</v>
      </c>
      <c r="D11">
        <v>18</v>
      </c>
      <c r="E11" t="s">
        <v>171</v>
      </c>
      <c r="F11" t="s">
        <v>152</v>
      </c>
      <c r="G11" t="s">
        <v>172</v>
      </c>
      <c r="H11" t="s">
        <v>153</v>
      </c>
      <c r="I11" t="s">
        <v>173</v>
      </c>
      <c r="J11" t="s">
        <v>154</v>
      </c>
      <c r="K11" s="9">
        <v>25204</v>
      </c>
      <c r="L11" s="9">
        <v>46022</v>
      </c>
      <c r="M11" s="1">
        <v>147184</v>
      </c>
      <c r="N11" t="s">
        <v>155</v>
      </c>
      <c r="O11" t="s">
        <v>174</v>
      </c>
    </row>
    <row r="12" spans="1:15" x14ac:dyDescent="0.3">
      <c r="A12">
        <v>10</v>
      </c>
      <c r="B12" t="s">
        <v>175</v>
      </c>
      <c r="C12" t="s">
        <v>176</v>
      </c>
      <c r="D12">
        <v>60</v>
      </c>
      <c r="E12" t="s">
        <v>152</v>
      </c>
      <c r="F12" t="s">
        <v>177</v>
      </c>
      <c r="G12" t="s">
        <v>178</v>
      </c>
      <c r="H12" t="s">
        <v>158</v>
      </c>
      <c r="I12">
        <v>140</v>
      </c>
      <c r="J12" t="s">
        <v>154</v>
      </c>
      <c r="K12" s="9">
        <v>23377</v>
      </c>
      <c r="L12" s="9">
        <v>46022</v>
      </c>
      <c r="M12" s="1">
        <v>51723</v>
      </c>
      <c r="N12" t="s">
        <v>179</v>
      </c>
      <c r="O12" t="s">
        <v>180</v>
      </c>
    </row>
    <row r="13" spans="1:15" x14ac:dyDescent="0.3">
      <c r="A13">
        <v>11</v>
      </c>
      <c r="B13" t="s">
        <v>181</v>
      </c>
      <c r="C13" t="s">
        <v>182</v>
      </c>
      <c r="D13">
        <v>17</v>
      </c>
      <c r="E13" t="s">
        <v>183</v>
      </c>
      <c r="F13" t="s">
        <v>184</v>
      </c>
      <c r="G13" t="s">
        <v>185</v>
      </c>
      <c r="H13" t="s">
        <v>186</v>
      </c>
      <c r="I13" t="s">
        <v>187</v>
      </c>
      <c r="J13" t="s">
        <v>154</v>
      </c>
      <c r="K13" s="9">
        <v>42005</v>
      </c>
      <c r="L13" s="9">
        <v>46142</v>
      </c>
      <c r="M13" s="1">
        <v>2760</v>
      </c>
      <c r="N13" t="s">
        <v>188</v>
      </c>
      <c r="O13" t="s">
        <v>189</v>
      </c>
    </row>
    <row r="14" spans="1:15" x14ac:dyDescent="0.3">
      <c r="A14">
        <v>12</v>
      </c>
      <c r="B14" t="s">
        <v>190</v>
      </c>
      <c r="C14" t="s">
        <v>191</v>
      </c>
      <c r="D14">
        <v>138</v>
      </c>
      <c r="E14" t="s">
        <v>184</v>
      </c>
      <c r="H14" t="s">
        <v>158</v>
      </c>
      <c r="J14" t="s">
        <v>154</v>
      </c>
      <c r="K14" s="9">
        <v>42005</v>
      </c>
      <c r="L14" s="9">
        <v>46142</v>
      </c>
      <c r="M14" s="1">
        <v>361836</v>
      </c>
      <c r="N14" t="s">
        <v>155</v>
      </c>
      <c r="O14" t="s">
        <v>192</v>
      </c>
    </row>
    <row r="15" spans="1:15" x14ac:dyDescent="0.3">
      <c r="A15">
        <v>13</v>
      </c>
      <c r="B15" t="s">
        <v>193</v>
      </c>
      <c r="C15" s="14" t="s">
        <v>194</v>
      </c>
      <c r="D15">
        <v>0</v>
      </c>
      <c r="E15" t="s">
        <v>195</v>
      </c>
      <c r="F15" t="s">
        <v>196</v>
      </c>
      <c r="H15" t="s">
        <v>153</v>
      </c>
      <c r="I15" t="s">
        <v>173</v>
      </c>
      <c r="J15" t="s">
        <v>154</v>
      </c>
      <c r="K15" s="9">
        <v>47119</v>
      </c>
      <c r="L15" s="9">
        <v>45838</v>
      </c>
      <c r="M15" s="1">
        <v>54289</v>
      </c>
      <c r="N15" t="s">
        <v>197</v>
      </c>
    </row>
    <row r="16" spans="1:15" s="15" customFormat="1" x14ac:dyDescent="0.3">
      <c r="A16" s="15">
        <v>14</v>
      </c>
      <c r="B16" s="15" t="s">
        <v>193</v>
      </c>
      <c r="C16" s="16" t="s">
        <v>198</v>
      </c>
      <c r="D16" s="15">
        <v>0</v>
      </c>
      <c r="E16" s="15" t="s">
        <v>195</v>
      </c>
      <c r="F16" s="15" t="s">
        <v>196</v>
      </c>
      <c r="H16" s="15" t="s">
        <v>153</v>
      </c>
      <c r="I16" s="15" t="s">
        <v>173</v>
      </c>
      <c r="J16" t="s">
        <v>154</v>
      </c>
      <c r="K16" s="17">
        <v>47119</v>
      </c>
      <c r="L16" s="17">
        <v>45838</v>
      </c>
      <c r="M16" s="18">
        <v>250147</v>
      </c>
      <c r="N16" s="15" t="s">
        <v>197</v>
      </c>
      <c r="O16" s="15" t="s">
        <v>199</v>
      </c>
    </row>
    <row r="17" spans="1:15" x14ac:dyDescent="0.3">
      <c r="A17" s="19">
        <v>15</v>
      </c>
      <c r="B17" s="19" t="s">
        <v>200</v>
      </c>
      <c r="C17" s="19" t="s">
        <v>201</v>
      </c>
      <c r="D17" s="19">
        <v>0</v>
      </c>
      <c r="E17" s="19" t="s">
        <v>202</v>
      </c>
      <c r="H17" s="19" t="s">
        <v>158</v>
      </c>
      <c r="J17" t="s">
        <v>154</v>
      </c>
      <c r="K17" s="9">
        <v>37292</v>
      </c>
      <c r="L17" s="9">
        <v>46098</v>
      </c>
      <c r="M17" s="1">
        <v>8778</v>
      </c>
      <c r="N17" s="19" t="s">
        <v>203</v>
      </c>
    </row>
    <row r="18" spans="1:15" x14ac:dyDescent="0.3">
      <c r="A18" s="19">
        <v>16</v>
      </c>
      <c r="B18" s="19" t="s">
        <v>204</v>
      </c>
      <c r="C18" s="19" t="s">
        <v>205</v>
      </c>
      <c r="D18" s="19">
        <v>3</v>
      </c>
      <c r="E18" s="19" t="s">
        <v>151</v>
      </c>
      <c r="F18" s="19" t="s">
        <v>206</v>
      </c>
      <c r="H18" s="19" t="s">
        <v>158</v>
      </c>
      <c r="J18" t="s">
        <v>154</v>
      </c>
      <c r="K18" s="9">
        <v>40118</v>
      </c>
      <c r="L18" s="9">
        <v>46111</v>
      </c>
      <c r="M18" s="1">
        <v>220</v>
      </c>
      <c r="N18" s="19" t="s">
        <v>207</v>
      </c>
      <c r="O18" t="s">
        <v>208</v>
      </c>
    </row>
    <row r="19" spans="1:15" x14ac:dyDescent="0.3">
      <c r="A19" s="19">
        <v>17</v>
      </c>
      <c r="B19" s="19" t="s">
        <v>204</v>
      </c>
      <c r="C19" s="19" t="s">
        <v>209</v>
      </c>
      <c r="D19" s="19">
        <v>1</v>
      </c>
      <c r="E19" s="19" t="s">
        <v>151</v>
      </c>
      <c r="F19" s="19" t="s">
        <v>206</v>
      </c>
      <c r="H19" s="19" t="s">
        <v>153</v>
      </c>
      <c r="J19" t="s">
        <v>154</v>
      </c>
      <c r="K19" s="9">
        <v>40909</v>
      </c>
      <c r="L19" s="9">
        <v>46111</v>
      </c>
      <c r="M19" s="1">
        <v>171</v>
      </c>
      <c r="N19" s="19" t="s">
        <v>207</v>
      </c>
    </row>
    <row r="20" spans="1:15" x14ac:dyDescent="0.3">
      <c r="A20" s="19">
        <v>18</v>
      </c>
      <c r="B20" s="19" t="s">
        <v>204</v>
      </c>
      <c r="C20" s="19" t="s">
        <v>210</v>
      </c>
      <c r="D20" s="19">
        <v>2</v>
      </c>
      <c r="E20" s="19" t="s">
        <v>151</v>
      </c>
      <c r="F20" s="19" t="s">
        <v>206</v>
      </c>
      <c r="G20" s="19" t="s">
        <v>153</v>
      </c>
      <c r="H20" s="19" t="s">
        <v>211</v>
      </c>
      <c r="I20">
        <v>32</v>
      </c>
      <c r="J20" t="s">
        <v>154</v>
      </c>
      <c r="K20" s="9">
        <v>40909</v>
      </c>
      <c r="L20" s="9">
        <v>46111</v>
      </c>
      <c r="M20" s="1">
        <v>2693</v>
      </c>
      <c r="N20" s="19" t="s">
        <v>207</v>
      </c>
      <c r="O20" t="s">
        <v>212</v>
      </c>
    </row>
    <row r="21" spans="1:15" x14ac:dyDescent="0.3">
      <c r="A21" s="19">
        <v>19</v>
      </c>
      <c r="B21" s="19" t="s">
        <v>204</v>
      </c>
      <c r="C21" s="19" t="s">
        <v>213</v>
      </c>
      <c r="D21" s="19">
        <v>1</v>
      </c>
      <c r="E21" s="19" t="s">
        <v>151</v>
      </c>
      <c r="F21" s="19" t="s">
        <v>206</v>
      </c>
      <c r="H21" s="19" t="s">
        <v>158</v>
      </c>
      <c r="J21" t="s">
        <v>154</v>
      </c>
      <c r="K21" s="9">
        <v>39448</v>
      </c>
      <c r="L21" s="9">
        <v>46111</v>
      </c>
      <c r="M21" s="1">
        <v>240</v>
      </c>
      <c r="N21" s="19" t="s">
        <v>207</v>
      </c>
    </row>
    <row r="22" spans="1:15" x14ac:dyDescent="0.3">
      <c r="A22" s="19">
        <v>20</v>
      </c>
      <c r="B22" s="19" t="s">
        <v>204</v>
      </c>
      <c r="C22" s="19" t="s">
        <v>214</v>
      </c>
      <c r="D22" s="19">
        <v>1</v>
      </c>
      <c r="E22" s="19" t="s">
        <v>151</v>
      </c>
      <c r="F22" s="19" t="s">
        <v>152</v>
      </c>
      <c r="G22" s="19" t="s">
        <v>153</v>
      </c>
      <c r="I22">
        <v>7</v>
      </c>
      <c r="J22" t="s">
        <v>154</v>
      </c>
      <c r="K22" s="9">
        <v>40179</v>
      </c>
      <c r="L22" s="9">
        <v>46111</v>
      </c>
      <c r="M22" s="1">
        <v>195</v>
      </c>
      <c r="N22" s="19" t="s">
        <v>207</v>
      </c>
    </row>
    <row r="23" spans="1:15" x14ac:dyDescent="0.3">
      <c r="A23" s="19">
        <v>21</v>
      </c>
      <c r="B23" s="19" t="s">
        <v>204</v>
      </c>
      <c r="C23" t="s">
        <v>215</v>
      </c>
      <c r="D23" s="19">
        <v>1</v>
      </c>
      <c r="E23" s="19" t="s">
        <v>151</v>
      </c>
      <c r="F23" s="19" t="s">
        <v>152</v>
      </c>
      <c r="G23" s="19" t="s">
        <v>153</v>
      </c>
      <c r="H23" s="19" t="s">
        <v>211</v>
      </c>
      <c r="I23">
        <v>56</v>
      </c>
      <c r="J23" t="s">
        <v>154</v>
      </c>
      <c r="K23" s="9">
        <v>40179</v>
      </c>
      <c r="L23" s="9">
        <v>46111</v>
      </c>
      <c r="M23" s="1">
        <v>6815</v>
      </c>
      <c r="N23" s="19" t="s">
        <v>207</v>
      </c>
    </row>
    <row r="24" spans="1:15" x14ac:dyDescent="0.3">
      <c r="A24" s="19">
        <v>22</v>
      </c>
      <c r="B24" s="19" t="s">
        <v>204</v>
      </c>
      <c r="C24" t="s">
        <v>216</v>
      </c>
      <c r="D24" s="19">
        <v>1</v>
      </c>
      <c r="E24" s="19" t="s">
        <v>151</v>
      </c>
      <c r="F24" s="19" t="s">
        <v>152</v>
      </c>
      <c r="G24" s="19" t="s">
        <v>217</v>
      </c>
      <c r="H24" s="19" t="s">
        <v>218</v>
      </c>
      <c r="I24">
        <v>38</v>
      </c>
      <c r="J24" t="s">
        <v>154</v>
      </c>
      <c r="K24" s="9">
        <v>40909</v>
      </c>
      <c r="L24" s="9">
        <v>46111</v>
      </c>
      <c r="M24" s="1">
        <v>340</v>
      </c>
      <c r="N24" s="19" t="s">
        <v>207</v>
      </c>
    </row>
    <row r="25" spans="1:15" x14ac:dyDescent="0.3">
      <c r="A25" s="19">
        <v>23</v>
      </c>
      <c r="B25" s="19" t="s">
        <v>200</v>
      </c>
      <c r="C25" t="s">
        <v>219</v>
      </c>
      <c r="D25" s="19">
        <v>0</v>
      </c>
      <c r="E25" s="19" t="s">
        <v>220</v>
      </c>
      <c r="H25" s="19" t="s">
        <v>158</v>
      </c>
      <c r="J25" t="s">
        <v>154</v>
      </c>
      <c r="K25" s="9">
        <v>37987</v>
      </c>
      <c r="L25" s="9">
        <v>46081</v>
      </c>
      <c r="M25" s="1">
        <v>268</v>
      </c>
      <c r="N25" s="19" t="s">
        <v>203</v>
      </c>
    </row>
    <row r="26" spans="1:15" x14ac:dyDescent="0.3">
      <c r="A26" s="19">
        <v>24</v>
      </c>
      <c r="B26" s="19" t="s">
        <v>200</v>
      </c>
      <c r="C26" s="14" t="s">
        <v>221</v>
      </c>
      <c r="D26" s="19">
        <v>0</v>
      </c>
      <c r="E26" s="19" t="s">
        <v>222</v>
      </c>
      <c r="F26" s="19" t="s">
        <v>223</v>
      </c>
      <c r="H26" s="19" t="s">
        <v>153</v>
      </c>
      <c r="I26">
        <v>23</v>
      </c>
      <c r="J26" t="s">
        <v>154</v>
      </c>
      <c r="K26" s="9">
        <v>35065</v>
      </c>
      <c r="L26" s="9">
        <v>45900</v>
      </c>
      <c r="M26" s="1">
        <v>300</v>
      </c>
      <c r="N26" s="19" t="s">
        <v>203</v>
      </c>
      <c r="O26" t="s">
        <v>224</v>
      </c>
    </row>
    <row r="27" spans="1:15" x14ac:dyDescent="0.3">
      <c r="A27" s="19">
        <v>25</v>
      </c>
      <c r="B27" s="19" t="s">
        <v>200</v>
      </c>
      <c r="C27" s="14" t="s">
        <v>225</v>
      </c>
      <c r="D27" s="19">
        <v>0</v>
      </c>
      <c r="E27" s="19" t="s">
        <v>222</v>
      </c>
      <c r="F27" s="19" t="s">
        <v>223</v>
      </c>
      <c r="H27" s="19" t="s">
        <v>153</v>
      </c>
      <c r="I27">
        <v>24</v>
      </c>
      <c r="J27" t="s">
        <v>154</v>
      </c>
      <c r="K27" s="9">
        <v>35065</v>
      </c>
      <c r="L27" s="9">
        <v>45900</v>
      </c>
      <c r="M27" s="1">
        <v>70</v>
      </c>
      <c r="N27" s="19" t="s">
        <v>203</v>
      </c>
    </row>
    <row r="28" spans="1:15" x14ac:dyDescent="0.3">
      <c r="A28" s="19">
        <v>26</v>
      </c>
      <c r="B28" s="19" t="s">
        <v>226</v>
      </c>
      <c r="C28" t="s">
        <v>227</v>
      </c>
      <c r="D28" s="19">
        <v>0</v>
      </c>
      <c r="E28" s="19" t="s">
        <v>228</v>
      </c>
      <c r="F28" s="19" t="s">
        <v>229</v>
      </c>
      <c r="G28" s="19" t="s">
        <v>171</v>
      </c>
      <c r="H28" s="19" t="s">
        <v>158</v>
      </c>
      <c r="I28">
        <v>150</v>
      </c>
      <c r="J28" t="s">
        <v>230</v>
      </c>
      <c r="K28" s="9">
        <v>22282</v>
      </c>
      <c r="L28" s="9">
        <v>45291</v>
      </c>
      <c r="M28" s="1">
        <v>279567</v>
      </c>
      <c r="N28" s="19" t="s">
        <v>179</v>
      </c>
      <c r="O28" t="s">
        <v>231</v>
      </c>
    </row>
    <row r="29" spans="1:15" x14ac:dyDescent="0.3">
      <c r="A29" s="19">
        <v>27</v>
      </c>
      <c r="B29" s="19" t="s">
        <v>226</v>
      </c>
      <c r="C29" t="s">
        <v>232</v>
      </c>
      <c r="D29" s="19">
        <v>1</v>
      </c>
      <c r="E29" s="19" t="s">
        <v>222</v>
      </c>
      <c r="F29" s="19" t="s">
        <v>171</v>
      </c>
      <c r="G29" s="19" t="s">
        <v>233</v>
      </c>
      <c r="H29" s="19" t="s">
        <v>158</v>
      </c>
      <c r="I29">
        <v>7</v>
      </c>
      <c r="J29" t="s">
        <v>230</v>
      </c>
      <c r="K29" s="9">
        <v>27395</v>
      </c>
      <c r="L29" s="9">
        <v>46142</v>
      </c>
      <c r="M29" s="1">
        <v>570</v>
      </c>
      <c r="N29" s="19" t="s">
        <v>179</v>
      </c>
    </row>
    <row r="30" spans="1:15" x14ac:dyDescent="0.3">
      <c r="A30" s="19">
        <v>28</v>
      </c>
      <c r="B30" s="19" t="s">
        <v>200</v>
      </c>
      <c r="C30" t="s">
        <v>234</v>
      </c>
      <c r="D30" s="19">
        <v>10</v>
      </c>
      <c r="E30" s="19" t="s">
        <v>222</v>
      </c>
      <c r="F30" s="19" t="s">
        <v>235</v>
      </c>
      <c r="H30" s="19" t="s">
        <v>158</v>
      </c>
      <c r="J30" t="s">
        <v>236</v>
      </c>
      <c r="K30" s="9">
        <v>42370</v>
      </c>
      <c r="L30" s="9">
        <v>46022</v>
      </c>
      <c r="M30" s="1">
        <v>520</v>
      </c>
      <c r="N30" s="19" t="s">
        <v>237</v>
      </c>
    </row>
    <row r="31" spans="1:15" x14ac:dyDescent="0.3">
      <c r="A31" s="19">
        <v>29</v>
      </c>
      <c r="B31" s="19" t="s">
        <v>200</v>
      </c>
      <c r="C31" t="s">
        <v>238</v>
      </c>
      <c r="D31" s="19">
        <v>0</v>
      </c>
      <c r="E31" s="19" t="s">
        <v>222</v>
      </c>
      <c r="F31" s="19" t="s">
        <v>235</v>
      </c>
      <c r="H31" s="19" t="s">
        <v>158</v>
      </c>
      <c r="J31" t="s">
        <v>154</v>
      </c>
      <c r="K31" s="9">
        <v>37773</v>
      </c>
      <c r="L31" s="9">
        <v>46081</v>
      </c>
      <c r="M31" s="1">
        <v>81</v>
      </c>
      <c r="N31" t="s">
        <v>197</v>
      </c>
    </row>
    <row r="32" spans="1:15" x14ac:dyDescent="0.3">
      <c r="A32" s="19">
        <v>30</v>
      </c>
      <c r="B32" s="19" t="s">
        <v>239</v>
      </c>
      <c r="C32" s="14" t="s">
        <v>240</v>
      </c>
      <c r="D32" s="19">
        <v>2</v>
      </c>
      <c r="E32" s="19" t="s">
        <v>222</v>
      </c>
      <c r="H32" t="s">
        <v>153</v>
      </c>
      <c r="I32" t="s">
        <v>173</v>
      </c>
      <c r="J32" t="s">
        <v>241</v>
      </c>
      <c r="K32" s="20" t="s">
        <v>242</v>
      </c>
      <c r="L32" s="9">
        <v>46098</v>
      </c>
      <c r="M32" s="1">
        <v>486</v>
      </c>
      <c r="N32" t="s">
        <v>155</v>
      </c>
    </row>
    <row r="33" spans="1:15" x14ac:dyDescent="0.3">
      <c r="A33" s="19">
        <v>31</v>
      </c>
      <c r="B33" s="19" t="s">
        <v>200</v>
      </c>
      <c r="C33" s="14" t="s">
        <v>243</v>
      </c>
      <c r="D33" s="19">
        <v>0</v>
      </c>
      <c r="E33" s="19" t="s">
        <v>244</v>
      </c>
      <c r="F33" s="19" t="s">
        <v>245</v>
      </c>
      <c r="H33" t="s">
        <v>153</v>
      </c>
      <c r="J33" t="s">
        <v>230</v>
      </c>
      <c r="K33" s="9">
        <v>40179</v>
      </c>
      <c r="L33" s="9">
        <v>51501</v>
      </c>
      <c r="M33" s="1">
        <v>4032</v>
      </c>
      <c r="N33" t="s">
        <v>237</v>
      </c>
    </row>
    <row r="34" spans="1:15" x14ac:dyDescent="0.3">
      <c r="A34" s="19">
        <v>32</v>
      </c>
      <c r="B34" s="19" t="s">
        <v>226</v>
      </c>
      <c r="C34" t="s">
        <v>246</v>
      </c>
      <c r="D34" s="19">
        <v>0</v>
      </c>
      <c r="E34" s="19" t="s">
        <v>247</v>
      </c>
      <c r="H34" t="s">
        <v>248</v>
      </c>
      <c r="I34">
        <v>120</v>
      </c>
      <c r="J34" t="s">
        <v>154</v>
      </c>
      <c r="K34" s="9">
        <v>25569</v>
      </c>
      <c r="L34" s="9">
        <v>46173</v>
      </c>
      <c r="M34" s="1">
        <v>689</v>
      </c>
      <c r="N34" t="s">
        <v>179</v>
      </c>
    </row>
    <row r="35" spans="1:15" x14ac:dyDescent="0.3">
      <c r="A35" s="19">
        <v>33</v>
      </c>
      <c r="B35" s="19" t="s">
        <v>149</v>
      </c>
      <c r="C35" s="14" t="s">
        <v>249</v>
      </c>
      <c r="D35" s="19">
        <v>0</v>
      </c>
      <c r="E35" s="19" t="s">
        <v>250</v>
      </c>
      <c r="H35" t="s">
        <v>153</v>
      </c>
      <c r="I35" t="s">
        <v>251</v>
      </c>
      <c r="J35" t="s">
        <v>241</v>
      </c>
      <c r="K35" s="20" t="s">
        <v>242</v>
      </c>
      <c r="L35" s="9">
        <v>46098</v>
      </c>
      <c r="M35" s="1">
        <v>88010</v>
      </c>
      <c r="N35" t="s">
        <v>252</v>
      </c>
      <c r="O35" t="s">
        <v>253</v>
      </c>
    </row>
    <row r="36" spans="1:15" x14ac:dyDescent="0.3">
      <c r="A36" s="19">
        <v>34</v>
      </c>
      <c r="B36" s="19" t="s">
        <v>254</v>
      </c>
      <c r="C36" t="s">
        <v>255</v>
      </c>
      <c r="D36" s="19">
        <v>0</v>
      </c>
      <c r="E36" s="19" t="s">
        <v>250</v>
      </c>
      <c r="H36" t="s">
        <v>153</v>
      </c>
      <c r="I36" t="s">
        <v>251</v>
      </c>
      <c r="J36" t="s">
        <v>241</v>
      </c>
      <c r="K36" s="20" t="s">
        <v>242</v>
      </c>
      <c r="L36" s="9">
        <v>46098</v>
      </c>
      <c r="M36" s="1">
        <v>113098</v>
      </c>
      <c r="N36" t="s">
        <v>252</v>
      </c>
      <c r="O36" t="s">
        <v>256</v>
      </c>
    </row>
    <row r="37" spans="1:15" x14ac:dyDescent="0.3">
      <c r="A37" s="19">
        <v>35</v>
      </c>
      <c r="B37" s="19" t="s">
        <v>257</v>
      </c>
      <c r="C37" t="s">
        <v>258</v>
      </c>
      <c r="D37" s="19">
        <v>0</v>
      </c>
      <c r="E37" s="19" t="s">
        <v>250</v>
      </c>
      <c r="H37" t="s">
        <v>153</v>
      </c>
      <c r="I37" t="s">
        <v>251</v>
      </c>
      <c r="J37" t="s">
        <v>241</v>
      </c>
      <c r="K37" s="20" t="s">
        <v>242</v>
      </c>
      <c r="L37" s="9">
        <v>46098</v>
      </c>
      <c r="M37" s="1">
        <v>5973</v>
      </c>
      <c r="N37" t="s">
        <v>252</v>
      </c>
      <c r="O37" t="s">
        <v>256</v>
      </c>
    </row>
    <row r="38" spans="1:15" x14ac:dyDescent="0.3">
      <c r="A38" s="19">
        <v>36</v>
      </c>
      <c r="B38" s="19" t="s">
        <v>254</v>
      </c>
      <c r="C38" t="s">
        <v>259</v>
      </c>
      <c r="D38" s="19">
        <v>0</v>
      </c>
      <c r="E38" s="19" t="s">
        <v>250</v>
      </c>
      <c r="G38" t="s">
        <v>158</v>
      </c>
      <c r="J38" t="s">
        <v>241</v>
      </c>
      <c r="K38" s="20" t="s">
        <v>242</v>
      </c>
      <c r="L38" s="9">
        <v>46098</v>
      </c>
      <c r="M38" s="1">
        <v>12818</v>
      </c>
      <c r="N38" t="s">
        <v>155</v>
      </c>
    </row>
    <row r="39" spans="1:15" x14ac:dyDescent="0.3">
      <c r="A39" s="19">
        <v>37</v>
      </c>
      <c r="B39" s="19" t="s">
        <v>260</v>
      </c>
      <c r="C39" t="s">
        <v>261</v>
      </c>
      <c r="D39" s="19">
        <v>0</v>
      </c>
      <c r="E39" s="19" t="s">
        <v>250</v>
      </c>
      <c r="G39" t="s">
        <v>158</v>
      </c>
      <c r="J39" t="s">
        <v>241</v>
      </c>
      <c r="K39" s="20" t="s">
        <v>242</v>
      </c>
      <c r="L39" s="9">
        <v>46098</v>
      </c>
      <c r="M39" s="1">
        <v>467</v>
      </c>
      <c r="N39" t="s">
        <v>155</v>
      </c>
    </row>
    <row r="40" spans="1:15" x14ac:dyDescent="0.3">
      <c r="A40" s="19">
        <v>38</v>
      </c>
      <c r="B40" s="19" t="s">
        <v>149</v>
      </c>
      <c r="C40" s="14" t="s">
        <v>262</v>
      </c>
      <c r="D40" s="19">
        <v>0</v>
      </c>
      <c r="E40" s="19" t="s">
        <v>250</v>
      </c>
      <c r="G40" t="s">
        <v>158</v>
      </c>
      <c r="H40" t="s">
        <v>153</v>
      </c>
      <c r="J40" t="s">
        <v>241</v>
      </c>
      <c r="K40" s="20" t="s">
        <v>242</v>
      </c>
      <c r="L40" s="9">
        <v>46098</v>
      </c>
      <c r="M40" s="1">
        <v>3426</v>
      </c>
      <c r="N40" t="s">
        <v>263</v>
      </c>
    </row>
    <row r="41" spans="1:15" x14ac:dyDescent="0.3">
      <c r="A41" s="19">
        <v>39</v>
      </c>
      <c r="B41" s="19" t="s">
        <v>149</v>
      </c>
      <c r="C41" t="s">
        <v>264</v>
      </c>
      <c r="D41" s="19">
        <v>220</v>
      </c>
      <c r="E41" s="19" t="s">
        <v>265</v>
      </c>
      <c r="G41" t="s">
        <v>158</v>
      </c>
      <c r="J41" t="s">
        <v>241</v>
      </c>
      <c r="K41" s="20" t="s">
        <v>242</v>
      </c>
      <c r="L41" s="9">
        <v>46098</v>
      </c>
      <c r="M41" s="1">
        <v>14247</v>
      </c>
      <c r="N41" t="s">
        <v>263</v>
      </c>
    </row>
    <row r="42" spans="1:15" x14ac:dyDescent="0.3">
      <c r="A42" s="19">
        <v>40</v>
      </c>
      <c r="B42" s="19" t="s">
        <v>254</v>
      </c>
      <c r="C42" t="s">
        <v>266</v>
      </c>
      <c r="D42" s="19">
        <v>24</v>
      </c>
      <c r="E42" s="19" t="s">
        <v>267</v>
      </c>
      <c r="F42" s="19" t="s">
        <v>165</v>
      </c>
      <c r="G42" s="19" t="s">
        <v>268</v>
      </c>
      <c r="H42" s="19" t="s">
        <v>269</v>
      </c>
      <c r="I42" s="19" t="s">
        <v>158</v>
      </c>
      <c r="J42" t="s">
        <v>154</v>
      </c>
      <c r="K42" s="9">
        <v>40179</v>
      </c>
      <c r="L42" s="9">
        <v>46142</v>
      </c>
      <c r="M42" s="1">
        <v>7680</v>
      </c>
      <c r="N42" t="s">
        <v>270</v>
      </c>
    </row>
    <row r="43" spans="1:15" x14ac:dyDescent="0.3">
      <c r="A43" s="19">
        <v>41</v>
      </c>
      <c r="B43" s="19" t="s">
        <v>226</v>
      </c>
      <c r="C43" t="s">
        <v>271</v>
      </c>
      <c r="D43" s="19">
        <v>1</v>
      </c>
      <c r="E43" s="19" t="s">
        <v>151</v>
      </c>
      <c r="F43" s="19" t="s">
        <v>272</v>
      </c>
      <c r="J43" t="s">
        <v>273</v>
      </c>
      <c r="K43" s="9">
        <v>40333</v>
      </c>
      <c r="L43" s="9">
        <v>46157</v>
      </c>
      <c r="M43" s="1">
        <v>836</v>
      </c>
      <c r="N43" t="s">
        <v>274</v>
      </c>
      <c r="O43" t="s">
        <v>275</v>
      </c>
    </row>
    <row r="44" spans="1:15" x14ac:dyDescent="0.3">
      <c r="A44" s="19">
        <v>42</v>
      </c>
      <c r="B44" s="19" t="s">
        <v>226</v>
      </c>
      <c r="C44" t="s">
        <v>276</v>
      </c>
      <c r="D44" s="19">
        <v>1</v>
      </c>
      <c r="E44" s="19" t="s">
        <v>151</v>
      </c>
      <c r="F44" s="19" t="s">
        <v>272</v>
      </c>
      <c r="G44" s="19" t="s">
        <v>277</v>
      </c>
      <c r="J44" t="s">
        <v>241</v>
      </c>
      <c r="K44" s="9" t="s">
        <v>242</v>
      </c>
      <c r="L44" s="9">
        <v>46158</v>
      </c>
      <c r="M44" s="1">
        <v>215</v>
      </c>
      <c r="N44" t="s">
        <v>274</v>
      </c>
    </row>
    <row r="45" spans="1:15" x14ac:dyDescent="0.3">
      <c r="A45" s="19">
        <v>43</v>
      </c>
      <c r="B45" s="19" t="s">
        <v>254</v>
      </c>
      <c r="C45" s="14" t="s">
        <v>278</v>
      </c>
      <c r="D45" s="19">
        <v>1</v>
      </c>
      <c r="E45" s="19" t="s">
        <v>279</v>
      </c>
      <c r="F45" s="19" t="s">
        <v>171</v>
      </c>
      <c r="G45" s="19" t="s">
        <v>280</v>
      </c>
      <c r="J45" t="s">
        <v>281</v>
      </c>
      <c r="K45" s="9">
        <v>43831</v>
      </c>
      <c r="L45" s="9">
        <v>46011</v>
      </c>
      <c r="M45" s="1">
        <v>72920</v>
      </c>
      <c r="N45" t="s">
        <v>282</v>
      </c>
    </row>
    <row r="46" spans="1:15" x14ac:dyDescent="0.3">
      <c r="A46" s="19">
        <v>44</v>
      </c>
      <c r="B46" s="19" t="s">
        <v>254</v>
      </c>
      <c r="C46" t="s">
        <v>283</v>
      </c>
      <c r="D46" s="19">
        <v>1</v>
      </c>
      <c r="E46" s="19" t="s">
        <v>284</v>
      </c>
      <c r="F46">
        <v>9</v>
      </c>
      <c r="J46" t="s">
        <v>230</v>
      </c>
      <c r="K46" s="9">
        <v>5115</v>
      </c>
      <c r="L46" s="9">
        <v>46022</v>
      </c>
      <c r="M46" s="1">
        <v>120</v>
      </c>
      <c r="N46" t="s">
        <v>155</v>
      </c>
    </row>
    <row r="47" spans="1:15" x14ac:dyDescent="0.3">
      <c r="A47" s="19">
        <v>45</v>
      </c>
      <c r="B47" s="19" t="s">
        <v>254</v>
      </c>
      <c r="C47" t="s">
        <v>285</v>
      </c>
      <c r="D47" s="19">
        <v>1</v>
      </c>
      <c r="E47" s="19" t="s">
        <v>165</v>
      </c>
      <c r="F47" s="19" t="s">
        <v>183</v>
      </c>
      <c r="H47" t="s">
        <v>286</v>
      </c>
      <c r="I47">
        <v>6</v>
      </c>
      <c r="J47" t="s">
        <v>154</v>
      </c>
      <c r="K47" s="9">
        <v>42005</v>
      </c>
      <c r="L47" s="9">
        <v>46022</v>
      </c>
      <c r="M47" s="1">
        <v>130</v>
      </c>
      <c r="N47" t="s">
        <v>155</v>
      </c>
    </row>
    <row r="48" spans="1:15" x14ac:dyDescent="0.3">
      <c r="A48" s="19">
        <v>46</v>
      </c>
      <c r="B48" s="19" t="s">
        <v>254</v>
      </c>
      <c r="C48" t="s">
        <v>287</v>
      </c>
      <c r="D48" s="19">
        <v>1</v>
      </c>
      <c r="E48" s="19" t="s">
        <v>165</v>
      </c>
      <c r="F48" s="19" t="s">
        <v>183</v>
      </c>
      <c r="H48" t="s">
        <v>286</v>
      </c>
      <c r="I48">
        <v>6</v>
      </c>
      <c r="J48" t="s">
        <v>154</v>
      </c>
      <c r="K48" s="9">
        <v>42005</v>
      </c>
      <c r="L48" s="9">
        <v>46022</v>
      </c>
      <c r="M48" s="1">
        <v>130</v>
      </c>
      <c r="N48" t="s">
        <v>155</v>
      </c>
    </row>
    <row r="49" spans="1:14" x14ac:dyDescent="0.3">
      <c r="A49" s="19">
        <v>47</v>
      </c>
      <c r="B49" s="19" t="s">
        <v>254</v>
      </c>
      <c r="C49" t="s">
        <v>288</v>
      </c>
      <c r="D49" s="19">
        <v>1</v>
      </c>
      <c r="E49" s="19" t="s">
        <v>284</v>
      </c>
      <c r="F49">
        <v>14</v>
      </c>
      <c r="J49" t="s">
        <v>154</v>
      </c>
      <c r="K49" s="9">
        <v>32874</v>
      </c>
      <c r="L49" s="9">
        <v>46111</v>
      </c>
      <c r="M49" s="1">
        <v>435</v>
      </c>
      <c r="N49" t="s">
        <v>155</v>
      </c>
    </row>
    <row r="50" spans="1:14" x14ac:dyDescent="0.3">
      <c r="A50" s="19">
        <v>48</v>
      </c>
      <c r="B50" s="19" t="s">
        <v>254</v>
      </c>
      <c r="C50" s="14" t="s">
        <v>289</v>
      </c>
      <c r="D50" s="19">
        <v>1</v>
      </c>
      <c r="E50" s="19" t="s">
        <v>268</v>
      </c>
      <c r="F50" s="19" t="s">
        <v>267</v>
      </c>
      <c r="J50" t="s">
        <v>230</v>
      </c>
      <c r="K50" s="9">
        <v>39083</v>
      </c>
      <c r="L50" s="9">
        <v>46022</v>
      </c>
      <c r="M50" s="1">
        <v>7633</v>
      </c>
      <c r="N50" t="s">
        <v>155</v>
      </c>
    </row>
    <row r="51" spans="1:14" x14ac:dyDescent="0.3">
      <c r="A51" s="19">
        <v>49</v>
      </c>
      <c r="B51" s="19" t="s">
        <v>254</v>
      </c>
      <c r="C51" s="14" t="s">
        <v>290</v>
      </c>
      <c r="D51" s="21">
        <v>1</v>
      </c>
      <c r="E51" s="19" t="s">
        <v>268</v>
      </c>
      <c r="F51" s="19" t="s">
        <v>269</v>
      </c>
      <c r="J51" t="s">
        <v>230</v>
      </c>
      <c r="K51" s="9">
        <v>39448</v>
      </c>
      <c r="L51" s="9">
        <v>45657</v>
      </c>
      <c r="M51" s="1">
        <v>150</v>
      </c>
      <c r="N51" t="s">
        <v>155</v>
      </c>
    </row>
    <row r="52" spans="1:14" x14ac:dyDescent="0.3">
      <c r="A52" s="19">
        <v>50</v>
      </c>
      <c r="B52" s="19" t="s">
        <v>254</v>
      </c>
      <c r="C52" t="s">
        <v>291</v>
      </c>
      <c r="D52" s="21">
        <v>1</v>
      </c>
      <c r="E52" s="19" t="s">
        <v>268</v>
      </c>
      <c r="F52" s="19" t="s">
        <v>269</v>
      </c>
      <c r="J52" t="s">
        <v>154</v>
      </c>
      <c r="K52" s="9">
        <v>43585</v>
      </c>
      <c r="L52" s="9">
        <v>46142</v>
      </c>
      <c r="M52" s="1">
        <v>310</v>
      </c>
      <c r="N52" t="s">
        <v>155</v>
      </c>
    </row>
    <row r="53" spans="1:14" x14ac:dyDescent="0.3">
      <c r="A53" s="19">
        <v>51</v>
      </c>
      <c r="B53" s="19" t="s">
        <v>292</v>
      </c>
      <c r="C53" t="s">
        <v>293</v>
      </c>
      <c r="D53" s="19">
        <v>1</v>
      </c>
      <c r="E53" s="19" t="s">
        <v>294</v>
      </c>
      <c r="J53" t="s">
        <v>295</v>
      </c>
      <c r="K53" s="9">
        <v>44197</v>
      </c>
      <c r="L53" s="9">
        <v>46173</v>
      </c>
      <c r="M53" s="1">
        <v>25013</v>
      </c>
      <c r="N53" t="s">
        <v>296</v>
      </c>
    </row>
    <row r="54" spans="1:14" x14ac:dyDescent="0.3">
      <c r="A54" s="19">
        <v>52</v>
      </c>
      <c r="B54" s="19" t="s">
        <v>292</v>
      </c>
      <c r="C54" t="s">
        <v>297</v>
      </c>
      <c r="D54" s="19">
        <v>1</v>
      </c>
      <c r="E54" s="19" t="s">
        <v>294</v>
      </c>
      <c r="J54" t="s">
        <v>295</v>
      </c>
      <c r="K54" s="9">
        <v>44197</v>
      </c>
      <c r="L54" s="9">
        <v>46173</v>
      </c>
      <c r="M54" s="1">
        <v>520782</v>
      </c>
      <c r="N54" t="s">
        <v>296</v>
      </c>
    </row>
    <row r="55" spans="1:14" x14ac:dyDescent="0.3">
      <c r="A55" s="19">
        <v>53</v>
      </c>
      <c r="B55" s="19" t="s">
        <v>292</v>
      </c>
      <c r="C55" s="22" t="s">
        <v>298</v>
      </c>
      <c r="D55" s="19">
        <v>5</v>
      </c>
      <c r="E55" s="19" t="s">
        <v>294</v>
      </c>
      <c r="J55" t="s">
        <v>295</v>
      </c>
      <c r="K55" s="9">
        <v>44197</v>
      </c>
      <c r="L55" s="9">
        <v>46173</v>
      </c>
      <c r="M55" s="1">
        <v>279323</v>
      </c>
      <c r="N55" t="s">
        <v>296</v>
      </c>
    </row>
    <row r="56" spans="1:14" x14ac:dyDescent="0.3">
      <c r="A56" s="19">
        <v>54</v>
      </c>
      <c r="B56" s="19" t="s">
        <v>292</v>
      </c>
      <c r="C56" t="s">
        <v>299</v>
      </c>
      <c r="D56" s="19">
        <v>1</v>
      </c>
      <c r="E56" s="19" t="s">
        <v>294</v>
      </c>
      <c r="J56" t="s">
        <v>295</v>
      </c>
      <c r="K56" s="9">
        <v>44197</v>
      </c>
      <c r="L56" s="9">
        <v>46173</v>
      </c>
      <c r="M56" s="1">
        <v>641</v>
      </c>
      <c r="N56" t="s">
        <v>296</v>
      </c>
    </row>
    <row r="57" spans="1:14" x14ac:dyDescent="0.3">
      <c r="A57" s="19">
        <v>55</v>
      </c>
      <c r="B57" s="19" t="s">
        <v>292</v>
      </c>
      <c r="C57" t="s">
        <v>300</v>
      </c>
      <c r="D57" s="19">
        <v>1</v>
      </c>
      <c r="E57" s="19" t="s">
        <v>294</v>
      </c>
      <c r="J57" t="s">
        <v>295</v>
      </c>
      <c r="K57" s="9">
        <v>44197</v>
      </c>
      <c r="L57" s="9">
        <v>46173</v>
      </c>
      <c r="M57" s="1">
        <v>75836</v>
      </c>
      <c r="N57" t="s">
        <v>296</v>
      </c>
    </row>
    <row r="58" spans="1:14" x14ac:dyDescent="0.3">
      <c r="A58" s="19">
        <v>56</v>
      </c>
      <c r="B58" s="19" t="s">
        <v>292</v>
      </c>
      <c r="C58" s="22" t="s">
        <v>301</v>
      </c>
      <c r="D58" s="19">
        <v>1</v>
      </c>
      <c r="E58" s="19" t="s">
        <v>294</v>
      </c>
      <c r="J58" t="s">
        <v>295</v>
      </c>
      <c r="K58" s="9">
        <v>44197</v>
      </c>
      <c r="L58" s="9">
        <v>46173</v>
      </c>
      <c r="M58" s="1">
        <v>538862</v>
      </c>
      <c r="N58" t="s">
        <v>296</v>
      </c>
    </row>
    <row r="59" spans="1:14" x14ac:dyDescent="0.3">
      <c r="A59" s="19">
        <v>57</v>
      </c>
      <c r="B59" s="19" t="s">
        <v>292</v>
      </c>
      <c r="C59" s="22" t="s">
        <v>302</v>
      </c>
      <c r="D59" s="19">
        <v>1</v>
      </c>
      <c r="E59" s="19" t="s">
        <v>294</v>
      </c>
      <c r="J59" t="s">
        <v>295</v>
      </c>
      <c r="K59" s="9">
        <v>44197</v>
      </c>
      <c r="L59" s="9">
        <v>46173</v>
      </c>
      <c r="M59" s="1">
        <v>887019</v>
      </c>
      <c r="N59" t="s">
        <v>296</v>
      </c>
    </row>
    <row r="60" spans="1:14" x14ac:dyDescent="0.3">
      <c r="A60" s="19">
        <v>58</v>
      </c>
      <c r="B60" s="19" t="s">
        <v>292</v>
      </c>
      <c r="C60" t="s">
        <v>303</v>
      </c>
      <c r="D60" s="19">
        <v>1</v>
      </c>
      <c r="E60" s="19" t="s">
        <v>294</v>
      </c>
      <c r="J60" t="s">
        <v>295</v>
      </c>
      <c r="K60" s="9">
        <v>44197</v>
      </c>
      <c r="L60" s="9">
        <v>46173</v>
      </c>
      <c r="M60" s="1">
        <v>66930</v>
      </c>
      <c r="N60" t="s">
        <v>296</v>
      </c>
    </row>
    <row r="61" spans="1:14" x14ac:dyDescent="0.3">
      <c r="A61" s="19">
        <v>59</v>
      </c>
      <c r="B61" s="19" t="s">
        <v>292</v>
      </c>
      <c r="C61" t="s">
        <v>304</v>
      </c>
      <c r="D61" s="19">
        <v>1</v>
      </c>
      <c r="E61" s="19" t="s">
        <v>294</v>
      </c>
      <c r="J61" t="s">
        <v>295</v>
      </c>
      <c r="K61" s="9">
        <v>44197</v>
      </c>
      <c r="L61" s="9">
        <v>46173</v>
      </c>
      <c r="M61" s="1">
        <v>220285</v>
      </c>
      <c r="N61" t="s">
        <v>296</v>
      </c>
    </row>
    <row r="62" spans="1:14" x14ac:dyDescent="0.3">
      <c r="A62" s="19">
        <v>60</v>
      </c>
      <c r="B62" s="19" t="s">
        <v>292</v>
      </c>
      <c r="C62" t="s">
        <v>305</v>
      </c>
      <c r="D62" s="19">
        <v>1</v>
      </c>
      <c r="E62" s="19" t="s">
        <v>294</v>
      </c>
      <c r="J62" t="s">
        <v>295</v>
      </c>
      <c r="K62" s="9">
        <v>44197</v>
      </c>
      <c r="L62" s="9">
        <v>46173</v>
      </c>
      <c r="M62" s="1">
        <v>6583</v>
      </c>
      <c r="N62" t="s">
        <v>296</v>
      </c>
    </row>
    <row r="63" spans="1:14" x14ac:dyDescent="0.3">
      <c r="A63" s="19">
        <v>61</v>
      </c>
      <c r="B63" s="19" t="s">
        <v>292</v>
      </c>
      <c r="C63" t="s">
        <v>306</v>
      </c>
      <c r="D63" s="19">
        <v>1</v>
      </c>
      <c r="E63" s="19" t="s">
        <v>294</v>
      </c>
      <c r="J63" t="s">
        <v>295</v>
      </c>
      <c r="K63" s="9">
        <v>44197</v>
      </c>
      <c r="L63" s="9">
        <v>46173</v>
      </c>
      <c r="M63" s="1">
        <v>27441</v>
      </c>
      <c r="N63" t="s">
        <v>296</v>
      </c>
    </row>
    <row r="64" spans="1:14" x14ac:dyDescent="0.3">
      <c r="A64" s="19">
        <v>62</v>
      </c>
      <c r="B64" s="19" t="s">
        <v>292</v>
      </c>
      <c r="C64" t="s">
        <v>307</v>
      </c>
      <c r="D64" s="19">
        <v>1</v>
      </c>
      <c r="E64" s="19" t="s">
        <v>294</v>
      </c>
      <c r="J64" t="s">
        <v>295</v>
      </c>
      <c r="K64" s="9">
        <v>44197</v>
      </c>
      <c r="L64" s="9">
        <v>46173</v>
      </c>
      <c r="M64" s="1">
        <v>345351</v>
      </c>
      <c r="N64" t="s">
        <v>296</v>
      </c>
    </row>
    <row r="65" spans="1:14" x14ac:dyDescent="0.3">
      <c r="A65" s="19">
        <v>63</v>
      </c>
      <c r="B65" s="19" t="s">
        <v>292</v>
      </c>
      <c r="C65" t="s">
        <v>308</v>
      </c>
      <c r="D65" s="19">
        <v>3</v>
      </c>
      <c r="E65" s="19" t="s">
        <v>294</v>
      </c>
      <c r="J65" t="s">
        <v>295</v>
      </c>
      <c r="K65" s="9">
        <v>44197</v>
      </c>
      <c r="L65" s="9">
        <v>46173</v>
      </c>
      <c r="M65" s="1">
        <v>12020</v>
      </c>
      <c r="N65" t="s">
        <v>296</v>
      </c>
    </row>
    <row r="66" spans="1:14" x14ac:dyDescent="0.3">
      <c r="A66" s="19">
        <v>64</v>
      </c>
      <c r="B66" s="19" t="s">
        <v>292</v>
      </c>
      <c r="C66" t="s">
        <v>309</v>
      </c>
      <c r="D66" s="19">
        <v>2</v>
      </c>
      <c r="E66" s="19" t="s">
        <v>294</v>
      </c>
      <c r="J66" t="s">
        <v>295</v>
      </c>
      <c r="K66" s="9">
        <v>44197</v>
      </c>
      <c r="L66" s="9">
        <v>46173</v>
      </c>
      <c r="M66" s="1">
        <v>7157</v>
      </c>
      <c r="N66" t="s">
        <v>296</v>
      </c>
    </row>
    <row r="67" spans="1:14" x14ac:dyDescent="0.3">
      <c r="A67" s="19">
        <v>65</v>
      </c>
      <c r="B67" s="19" t="s">
        <v>292</v>
      </c>
      <c r="C67" t="s">
        <v>310</v>
      </c>
      <c r="D67" s="19">
        <v>1</v>
      </c>
      <c r="E67" s="19" t="s">
        <v>294</v>
      </c>
      <c r="J67" t="s">
        <v>295</v>
      </c>
      <c r="K67" s="9">
        <v>44197</v>
      </c>
      <c r="L67" s="9">
        <v>46173</v>
      </c>
      <c r="M67" s="1">
        <v>10273</v>
      </c>
      <c r="N67" t="s">
        <v>296</v>
      </c>
    </row>
    <row r="68" spans="1:14" x14ac:dyDescent="0.3">
      <c r="A68" s="19">
        <v>66</v>
      </c>
      <c r="B68" s="19" t="s">
        <v>292</v>
      </c>
      <c r="C68" t="s">
        <v>311</v>
      </c>
      <c r="D68" s="19">
        <v>1</v>
      </c>
      <c r="E68" s="19" t="s">
        <v>294</v>
      </c>
      <c r="J68" t="s">
        <v>295</v>
      </c>
      <c r="K68" s="9">
        <v>44197</v>
      </c>
      <c r="L68" s="9">
        <v>46173</v>
      </c>
      <c r="M68" s="1">
        <v>15310</v>
      </c>
      <c r="N68" t="s">
        <v>296</v>
      </c>
    </row>
    <row r="69" spans="1:14" x14ac:dyDescent="0.3">
      <c r="A69" s="19">
        <v>67</v>
      </c>
      <c r="B69" s="19" t="s">
        <v>292</v>
      </c>
      <c r="C69" t="s">
        <v>312</v>
      </c>
      <c r="D69" s="19">
        <v>1</v>
      </c>
      <c r="E69" s="19" t="s">
        <v>294</v>
      </c>
      <c r="J69" t="s">
        <v>295</v>
      </c>
      <c r="K69" s="9">
        <v>44197</v>
      </c>
      <c r="L69" s="9">
        <v>46173</v>
      </c>
      <c r="M69" s="1">
        <v>59712</v>
      </c>
      <c r="N69" t="s">
        <v>296</v>
      </c>
    </row>
    <row r="70" spans="1:14" x14ac:dyDescent="0.3">
      <c r="A70" s="19">
        <v>68</v>
      </c>
      <c r="B70" s="19" t="s">
        <v>292</v>
      </c>
      <c r="C70" t="s">
        <v>313</v>
      </c>
      <c r="D70" s="19">
        <v>1</v>
      </c>
      <c r="E70" s="19" t="s">
        <v>294</v>
      </c>
      <c r="J70" t="s">
        <v>295</v>
      </c>
      <c r="K70" s="9">
        <v>44197</v>
      </c>
      <c r="L70" s="9">
        <v>46173</v>
      </c>
      <c r="M70" s="1">
        <v>1515173</v>
      </c>
      <c r="N70" t="s">
        <v>296</v>
      </c>
    </row>
    <row r="71" spans="1:14" x14ac:dyDescent="0.3">
      <c r="A71" s="19">
        <v>69</v>
      </c>
      <c r="B71" s="19" t="s">
        <v>292</v>
      </c>
      <c r="C71" t="s">
        <v>314</v>
      </c>
      <c r="D71" s="19">
        <v>1</v>
      </c>
      <c r="E71" s="19" t="s">
        <v>294</v>
      </c>
      <c r="J71" t="s">
        <v>295</v>
      </c>
      <c r="K71" s="9">
        <v>44197</v>
      </c>
      <c r="L71" s="9">
        <v>46173</v>
      </c>
      <c r="M71" s="1">
        <v>1161631</v>
      </c>
      <c r="N71" t="s">
        <v>296</v>
      </c>
    </row>
    <row r="72" spans="1:14" x14ac:dyDescent="0.3">
      <c r="A72" s="19">
        <v>70</v>
      </c>
      <c r="B72" s="19" t="s">
        <v>292</v>
      </c>
      <c r="C72" t="s">
        <v>315</v>
      </c>
      <c r="D72" s="19">
        <v>1</v>
      </c>
      <c r="E72" s="19" t="s">
        <v>294</v>
      </c>
      <c r="J72" t="s">
        <v>295</v>
      </c>
      <c r="K72" s="9">
        <v>44197</v>
      </c>
      <c r="L72" s="9">
        <v>46173</v>
      </c>
      <c r="M72" s="1">
        <v>138720</v>
      </c>
      <c r="N72" t="s">
        <v>296</v>
      </c>
    </row>
    <row r="73" spans="1:14" x14ac:dyDescent="0.3">
      <c r="A73" s="19">
        <v>71</v>
      </c>
      <c r="B73" s="19" t="s">
        <v>292</v>
      </c>
      <c r="C73" t="s">
        <v>316</v>
      </c>
      <c r="D73" s="19">
        <v>1</v>
      </c>
      <c r="E73" s="19" t="s">
        <v>294</v>
      </c>
      <c r="J73" t="s">
        <v>295</v>
      </c>
      <c r="K73" s="9">
        <v>44197</v>
      </c>
      <c r="L73" s="9">
        <v>46173</v>
      </c>
      <c r="M73" s="1">
        <v>1219502</v>
      </c>
      <c r="N73" t="s">
        <v>296</v>
      </c>
    </row>
    <row r="74" spans="1:14" x14ac:dyDescent="0.3">
      <c r="A74" s="19">
        <v>72</v>
      </c>
      <c r="B74" s="19" t="s">
        <v>292</v>
      </c>
      <c r="C74" s="22" t="s">
        <v>317</v>
      </c>
      <c r="D74" s="19">
        <v>1</v>
      </c>
      <c r="E74" s="19" t="s">
        <v>294</v>
      </c>
      <c r="J74" t="s">
        <v>295</v>
      </c>
      <c r="K74" s="9">
        <v>44197</v>
      </c>
      <c r="L74" s="9">
        <v>46173</v>
      </c>
      <c r="M74" s="1">
        <v>1523424</v>
      </c>
      <c r="N74" t="s">
        <v>296</v>
      </c>
    </row>
    <row r="75" spans="1:14" x14ac:dyDescent="0.3">
      <c r="A75" s="19">
        <v>73</v>
      </c>
      <c r="B75" s="19" t="s">
        <v>292</v>
      </c>
      <c r="C75" t="s">
        <v>318</v>
      </c>
      <c r="D75" s="19">
        <v>1</v>
      </c>
      <c r="E75" s="19" t="s">
        <v>294</v>
      </c>
      <c r="J75" t="s">
        <v>295</v>
      </c>
      <c r="K75" s="9">
        <v>44197</v>
      </c>
      <c r="L75" s="9">
        <v>46173</v>
      </c>
      <c r="M75" s="1">
        <v>1007</v>
      </c>
      <c r="N75" t="s">
        <v>296</v>
      </c>
    </row>
    <row r="76" spans="1:14" x14ac:dyDescent="0.3">
      <c r="A76" s="19">
        <v>74</v>
      </c>
      <c r="B76" s="19" t="s">
        <v>292</v>
      </c>
      <c r="C76" t="s">
        <v>319</v>
      </c>
      <c r="D76" s="19">
        <v>1</v>
      </c>
      <c r="E76" s="19" t="s">
        <v>294</v>
      </c>
      <c r="J76" t="s">
        <v>295</v>
      </c>
      <c r="K76" s="9">
        <v>44197</v>
      </c>
      <c r="L76" s="9">
        <v>46173</v>
      </c>
      <c r="M76" s="1">
        <v>208028</v>
      </c>
      <c r="N76" t="s">
        <v>296</v>
      </c>
    </row>
    <row r="77" spans="1:14" x14ac:dyDescent="0.3">
      <c r="A77" s="19">
        <v>75</v>
      </c>
      <c r="B77" s="19" t="s">
        <v>292</v>
      </c>
      <c r="C77" s="22" t="s">
        <v>320</v>
      </c>
      <c r="D77" s="19">
        <v>1</v>
      </c>
      <c r="E77" s="19" t="s">
        <v>294</v>
      </c>
      <c r="J77" t="s">
        <v>295</v>
      </c>
      <c r="K77" s="9">
        <v>44197</v>
      </c>
      <c r="L77" s="9">
        <v>46173</v>
      </c>
      <c r="M77" s="1">
        <v>1253863</v>
      </c>
      <c r="N77" t="s">
        <v>296</v>
      </c>
    </row>
    <row r="78" spans="1:14" x14ac:dyDescent="0.3">
      <c r="A78" s="19">
        <v>76</v>
      </c>
      <c r="B78" s="19" t="s">
        <v>292</v>
      </c>
      <c r="C78" t="s">
        <v>321</v>
      </c>
      <c r="D78" s="19">
        <v>1</v>
      </c>
      <c r="E78" s="19" t="s">
        <v>294</v>
      </c>
      <c r="J78" t="s">
        <v>295</v>
      </c>
      <c r="K78" s="9">
        <v>44197</v>
      </c>
      <c r="L78" s="9">
        <v>46173</v>
      </c>
      <c r="M78" s="1">
        <v>31597</v>
      </c>
      <c r="N78" t="s">
        <v>296</v>
      </c>
    </row>
    <row r="79" spans="1:14" x14ac:dyDescent="0.3">
      <c r="A79" s="19">
        <v>77</v>
      </c>
      <c r="B79" s="19" t="s">
        <v>292</v>
      </c>
      <c r="C79" t="s">
        <v>322</v>
      </c>
      <c r="D79" s="19">
        <v>1</v>
      </c>
      <c r="E79" s="19" t="s">
        <v>294</v>
      </c>
      <c r="J79" t="s">
        <v>295</v>
      </c>
      <c r="K79" s="9">
        <v>44197</v>
      </c>
      <c r="L79" s="9">
        <v>46173</v>
      </c>
      <c r="M79" s="1">
        <v>18082</v>
      </c>
      <c r="N79" t="s">
        <v>296</v>
      </c>
    </row>
    <row r="80" spans="1:14" x14ac:dyDescent="0.3">
      <c r="A80" s="19">
        <v>78</v>
      </c>
      <c r="B80" s="19" t="s">
        <v>292</v>
      </c>
      <c r="C80" t="s">
        <v>323</v>
      </c>
      <c r="D80" s="19">
        <v>1</v>
      </c>
      <c r="E80" s="19" t="s">
        <v>294</v>
      </c>
      <c r="J80" t="s">
        <v>295</v>
      </c>
      <c r="K80" s="9">
        <v>44197</v>
      </c>
      <c r="L80" s="9">
        <v>46173</v>
      </c>
      <c r="M80" s="1">
        <v>146183</v>
      </c>
      <c r="N80" t="s">
        <v>296</v>
      </c>
    </row>
    <row r="81" spans="1:14" x14ac:dyDescent="0.3">
      <c r="A81" s="19">
        <v>79</v>
      </c>
      <c r="B81" s="19" t="s">
        <v>292</v>
      </c>
      <c r="C81" t="s">
        <v>324</v>
      </c>
      <c r="D81" s="19">
        <v>1</v>
      </c>
      <c r="E81" s="19" t="s">
        <v>294</v>
      </c>
      <c r="J81" t="s">
        <v>295</v>
      </c>
      <c r="K81" s="9">
        <v>44197</v>
      </c>
      <c r="L81" s="9">
        <v>46173</v>
      </c>
      <c r="M81" s="1">
        <v>764264</v>
      </c>
      <c r="N81" t="s">
        <v>296</v>
      </c>
    </row>
    <row r="82" spans="1:14" x14ac:dyDescent="0.3">
      <c r="A82" s="19">
        <v>80</v>
      </c>
      <c r="B82" s="19" t="s">
        <v>292</v>
      </c>
      <c r="C82" t="s">
        <v>325</v>
      </c>
      <c r="D82" s="19">
        <v>1</v>
      </c>
      <c r="E82" s="19" t="s">
        <v>294</v>
      </c>
      <c r="J82" t="s">
        <v>295</v>
      </c>
      <c r="K82" s="9">
        <v>44197</v>
      </c>
      <c r="L82" s="9">
        <v>46173</v>
      </c>
      <c r="M82" s="1">
        <v>823686</v>
      </c>
      <c r="N82" t="s">
        <v>296</v>
      </c>
    </row>
    <row r="83" spans="1:14" x14ac:dyDescent="0.3">
      <c r="A83" s="19">
        <v>81</v>
      </c>
      <c r="B83" s="19" t="s">
        <v>292</v>
      </c>
      <c r="C83" t="s">
        <v>326</v>
      </c>
      <c r="D83" s="19">
        <v>1</v>
      </c>
      <c r="E83" s="19" t="s">
        <v>294</v>
      </c>
      <c r="J83" t="s">
        <v>295</v>
      </c>
      <c r="K83" s="9">
        <v>44197</v>
      </c>
      <c r="L83" s="9">
        <v>46173</v>
      </c>
      <c r="M83" s="1">
        <v>317174</v>
      </c>
      <c r="N83" t="s">
        <v>296</v>
      </c>
    </row>
    <row r="84" spans="1:14" x14ac:dyDescent="0.3">
      <c r="A84" s="19">
        <v>82</v>
      </c>
      <c r="B84" s="19" t="s">
        <v>292</v>
      </c>
      <c r="C84" t="s">
        <v>327</v>
      </c>
      <c r="D84" s="19">
        <v>1</v>
      </c>
      <c r="E84" s="19" t="s">
        <v>294</v>
      </c>
      <c r="J84" t="s">
        <v>295</v>
      </c>
      <c r="K84" s="9">
        <v>44197</v>
      </c>
      <c r="L84" s="9">
        <v>46173</v>
      </c>
      <c r="M84" s="1">
        <v>1742</v>
      </c>
      <c r="N84" t="s">
        <v>296</v>
      </c>
    </row>
    <row r="85" spans="1:14" x14ac:dyDescent="0.3">
      <c r="A85" s="19">
        <v>83</v>
      </c>
      <c r="B85" s="19" t="s">
        <v>328</v>
      </c>
      <c r="C85" t="s">
        <v>329</v>
      </c>
      <c r="D85" s="19">
        <v>1</v>
      </c>
      <c r="E85" s="19" t="s">
        <v>294</v>
      </c>
      <c r="J85" t="s">
        <v>295</v>
      </c>
      <c r="K85" s="9">
        <v>44197</v>
      </c>
      <c r="L85" s="9">
        <v>46173</v>
      </c>
      <c r="M85" s="1">
        <v>321302</v>
      </c>
      <c r="N85" t="s">
        <v>296</v>
      </c>
    </row>
    <row r="86" spans="1:14" x14ac:dyDescent="0.3">
      <c r="A86" s="19">
        <v>84</v>
      </c>
      <c r="B86" s="19" t="s">
        <v>292</v>
      </c>
      <c r="C86" t="s">
        <v>330</v>
      </c>
      <c r="D86" s="19">
        <v>1</v>
      </c>
      <c r="E86" s="19" t="s">
        <v>294</v>
      </c>
      <c r="J86" t="s">
        <v>295</v>
      </c>
      <c r="K86" s="9">
        <v>44197</v>
      </c>
      <c r="L86" s="9">
        <v>46173</v>
      </c>
      <c r="M86" s="1">
        <v>14589</v>
      </c>
      <c r="N86" t="s">
        <v>296</v>
      </c>
    </row>
    <row r="87" spans="1:14" x14ac:dyDescent="0.3">
      <c r="A87" s="19">
        <v>85</v>
      </c>
      <c r="B87" s="19" t="s">
        <v>331</v>
      </c>
      <c r="C87" s="22" t="s">
        <v>332</v>
      </c>
      <c r="D87" s="19">
        <v>22</v>
      </c>
      <c r="E87" s="19" t="s">
        <v>294</v>
      </c>
      <c r="F87" s="1">
        <v>6759192</v>
      </c>
      <c r="G87" s="19" t="s">
        <v>333</v>
      </c>
      <c r="J87" t="s">
        <v>295</v>
      </c>
      <c r="K87" s="9">
        <v>44562</v>
      </c>
      <c r="L87" s="9">
        <v>46173</v>
      </c>
      <c r="M87" s="1">
        <v>1184014</v>
      </c>
      <c r="N87" t="s">
        <v>296</v>
      </c>
    </row>
    <row r="88" spans="1:14" x14ac:dyDescent="0.3">
      <c r="A88" s="19">
        <v>86</v>
      </c>
      <c r="B88" s="19" t="s">
        <v>334</v>
      </c>
      <c r="C88" s="22" t="s">
        <v>335</v>
      </c>
      <c r="D88" s="19">
        <v>6</v>
      </c>
      <c r="E88" s="19" t="s">
        <v>165</v>
      </c>
      <c r="F88" s="19" t="s">
        <v>336</v>
      </c>
      <c r="G88" s="19" t="s">
        <v>337</v>
      </c>
      <c r="J88" t="s">
        <v>154</v>
      </c>
      <c r="K88" s="9">
        <v>38322</v>
      </c>
      <c r="L88" s="9">
        <v>45900</v>
      </c>
      <c r="M88" s="1">
        <v>152118</v>
      </c>
      <c r="N88" t="s">
        <v>207</v>
      </c>
    </row>
    <row r="89" spans="1:14" x14ac:dyDescent="0.3">
      <c r="A89" s="19">
        <v>87</v>
      </c>
      <c r="B89" s="19" t="s">
        <v>334</v>
      </c>
      <c r="C89" s="22" t="s">
        <v>338</v>
      </c>
      <c r="D89" s="19">
        <v>6</v>
      </c>
      <c r="E89" s="19" t="s">
        <v>339</v>
      </c>
      <c r="F89" s="19" t="s">
        <v>206</v>
      </c>
      <c r="G89" s="19" t="s">
        <v>340</v>
      </c>
      <c r="J89" t="s">
        <v>154</v>
      </c>
      <c r="K89" s="9">
        <v>38322</v>
      </c>
      <c r="L89" s="9">
        <v>45900</v>
      </c>
      <c r="M89" s="1">
        <v>332336</v>
      </c>
      <c r="N89" t="s">
        <v>207</v>
      </c>
    </row>
    <row r="90" spans="1:14" x14ac:dyDescent="0.3">
      <c r="A90" s="19">
        <v>88</v>
      </c>
      <c r="B90" s="19" t="s">
        <v>334</v>
      </c>
      <c r="C90" s="22" t="s">
        <v>341</v>
      </c>
      <c r="D90" s="19">
        <v>6</v>
      </c>
      <c r="E90" s="19" t="s">
        <v>342</v>
      </c>
      <c r="F90" s="19" t="s">
        <v>206</v>
      </c>
      <c r="G90" s="19" t="s">
        <v>343</v>
      </c>
      <c r="H90" s="19" t="s">
        <v>336</v>
      </c>
      <c r="J90" t="s">
        <v>154</v>
      </c>
      <c r="K90" s="9">
        <v>41244</v>
      </c>
      <c r="L90" s="9">
        <v>46142</v>
      </c>
      <c r="M90" s="1">
        <v>3582684</v>
      </c>
      <c r="N90" t="s">
        <v>207</v>
      </c>
    </row>
    <row r="91" spans="1:14" x14ac:dyDescent="0.3">
      <c r="A91" s="19">
        <v>89</v>
      </c>
      <c r="B91" s="19" t="s">
        <v>344</v>
      </c>
      <c r="C91" s="22" t="s">
        <v>345</v>
      </c>
      <c r="D91" s="19">
        <v>38</v>
      </c>
      <c r="E91" s="19" t="s">
        <v>346</v>
      </c>
      <c r="J91" t="s">
        <v>295</v>
      </c>
      <c r="K91" s="9">
        <v>43101</v>
      </c>
      <c r="L91" s="9">
        <v>46173</v>
      </c>
      <c r="M91" s="1">
        <v>15239823</v>
      </c>
      <c r="N91" t="s">
        <v>155</v>
      </c>
    </row>
    <row r="92" spans="1:14" x14ac:dyDescent="0.3">
      <c r="A92" s="19">
        <v>90</v>
      </c>
      <c r="B92" s="19" t="s">
        <v>344</v>
      </c>
      <c r="C92" s="22" t="s">
        <v>347</v>
      </c>
      <c r="D92" s="19">
        <v>12</v>
      </c>
      <c r="E92" s="19" t="s">
        <v>346</v>
      </c>
      <c r="J92" t="s">
        <v>295</v>
      </c>
      <c r="K92" s="9">
        <v>47119</v>
      </c>
      <c r="L92" s="9">
        <v>46173</v>
      </c>
      <c r="M92" s="1">
        <v>1264461</v>
      </c>
      <c r="N92" t="s">
        <v>155</v>
      </c>
    </row>
    <row r="93" spans="1:14" x14ac:dyDescent="0.3">
      <c r="A93" s="19">
        <v>91</v>
      </c>
      <c r="B93" s="19" t="s">
        <v>257</v>
      </c>
      <c r="C93" s="22" t="s">
        <v>348</v>
      </c>
      <c r="D93" s="19">
        <v>13</v>
      </c>
      <c r="E93" s="19" t="s">
        <v>349</v>
      </c>
      <c r="F93" s="19" t="s">
        <v>350</v>
      </c>
      <c r="J93" t="s">
        <v>351</v>
      </c>
      <c r="L93" s="9">
        <v>46112</v>
      </c>
      <c r="M93" s="1">
        <v>1296</v>
      </c>
      <c r="N93" t="s">
        <v>296</v>
      </c>
    </row>
    <row r="94" spans="1:14" x14ac:dyDescent="0.3">
      <c r="A94" s="19">
        <v>92</v>
      </c>
      <c r="B94" s="19" t="s">
        <v>257</v>
      </c>
      <c r="C94" s="22" t="s">
        <v>352</v>
      </c>
      <c r="D94" s="19">
        <v>1</v>
      </c>
      <c r="E94" s="19" t="s">
        <v>349</v>
      </c>
      <c r="J94" t="s">
        <v>154</v>
      </c>
      <c r="K94" s="9">
        <v>43101</v>
      </c>
      <c r="L94" s="9">
        <v>46173</v>
      </c>
      <c r="M94" s="1">
        <v>205</v>
      </c>
      <c r="N94" t="s">
        <v>155</v>
      </c>
    </row>
    <row r="95" spans="1:14" x14ac:dyDescent="0.3">
      <c r="A95" s="19">
        <v>93</v>
      </c>
      <c r="B95" s="19" t="s">
        <v>257</v>
      </c>
      <c r="C95" s="22" t="s">
        <v>353</v>
      </c>
      <c r="D95" s="19">
        <v>1</v>
      </c>
      <c r="E95" s="19" t="s">
        <v>349</v>
      </c>
      <c r="J95" t="s">
        <v>154</v>
      </c>
      <c r="K95" s="9">
        <v>43101</v>
      </c>
      <c r="L95" s="9">
        <v>46173</v>
      </c>
      <c r="M95" s="1">
        <v>1620</v>
      </c>
      <c r="N95" t="s">
        <v>155</v>
      </c>
    </row>
    <row r="96" spans="1:14" x14ac:dyDescent="0.3">
      <c r="A96" s="19">
        <v>94</v>
      </c>
      <c r="B96" s="19" t="s">
        <v>257</v>
      </c>
      <c r="C96" t="s">
        <v>354</v>
      </c>
      <c r="D96" s="19">
        <v>1</v>
      </c>
      <c r="E96" s="19" t="s">
        <v>349</v>
      </c>
      <c r="J96" t="s">
        <v>154</v>
      </c>
      <c r="K96" s="9">
        <v>43101</v>
      </c>
      <c r="L96" s="9">
        <v>46173</v>
      </c>
      <c r="M96" s="1">
        <v>10800</v>
      </c>
      <c r="N96" t="s">
        <v>155</v>
      </c>
    </row>
    <row r="97" spans="1:14" x14ac:dyDescent="0.3">
      <c r="A97" s="19">
        <v>95</v>
      </c>
      <c r="B97" s="19" t="s">
        <v>257</v>
      </c>
      <c r="C97" t="s">
        <v>355</v>
      </c>
      <c r="D97" s="19">
        <v>7</v>
      </c>
      <c r="E97" s="19" t="s">
        <v>268</v>
      </c>
      <c r="J97" t="s">
        <v>154</v>
      </c>
      <c r="K97" s="9">
        <v>43101</v>
      </c>
      <c r="L97" s="9">
        <v>46173</v>
      </c>
      <c r="M97" s="1">
        <v>90</v>
      </c>
      <c r="N97" t="s">
        <v>155</v>
      </c>
    </row>
    <row r="98" spans="1:14" x14ac:dyDescent="0.3">
      <c r="A98" s="19">
        <v>96</v>
      </c>
      <c r="B98" s="19" t="s">
        <v>257</v>
      </c>
      <c r="C98" t="s">
        <v>356</v>
      </c>
      <c r="D98" s="19">
        <v>6</v>
      </c>
      <c r="E98" s="19" t="s">
        <v>268</v>
      </c>
      <c r="F98" s="19" t="s">
        <v>152</v>
      </c>
      <c r="J98" t="s">
        <v>154</v>
      </c>
      <c r="K98" s="9">
        <v>42005</v>
      </c>
      <c r="L98" s="9">
        <v>46173</v>
      </c>
      <c r="M98" s="1">
        <v>520</v>
      </c>
      <c r="N98" t="s">
        <v>155</v>
      </c>
    </row>
    <row r="99" spans="1:14" x14ac:dyDescent="0.3">
      <c r="A99" s="21">
        <v>97</v>
      </c>
      <c r="B99" s="19" t="s">
        <v>357</v>
      </c>
      <c r="C99" t="s">
        <v>358</v>
      </c>
      <c r="D99" s="19">
        <v>3</v>
      </c>
      <c r="E99" s="19" t="s">
        <v>268</v>
      </c>
      <c r="J99" t="s">
        <v>154</v>
      </c>
      <c r="K99" s="9">
        <v>39814</v>
      </c>
      <c r="L99" s="9">
        <v>46111</v>
      </c>
      <c r="M99" s="1">
        <v>68</v>
      </c>
      <c r="N99" t="s">
        <v>155</v>
      </c>
    </row>
    <row r="100" spans="1:14" x14ac:dyDescent="0.3">
      <c r="A100" s="23">
        <v>98</v>
      </c>
      <c r="B100" s="23" t="s">
        <v>359</v>
      </c>
      <c r="C100" s="13" t="s">
        <v>360</v>
      </c>
      <c r="D100" s="23">
        <v>3</v>
      </c>
      <c r="E100" s="23" t="s">
        <v>361</v>
      </c>
      <c r="F100" s="23" t="s">
        <v>362</v>
      </c>
      <c r="G100" s="13"/>
      <c r="H100" s="13"/>
      <c r="I100" s="13"/>
      <c r="J100" s="13" t="s">
        <v>154</v>
      </c>
      <c r="K100" s="24"/>
      <c r="L100" s="13"/>
      <c r="M100" s="25"/>
      <c r="N100" s="13"/>
    </row>
    <row r="101" spans="1:14" x14ac:dyDescent="0.3">
      <c r="A101" s="19">
        <v>99</v>
      </c>
      <c r="B101" s="19" t="s">
        <v>254</v>
      </c>
      <c r="C101" t="s">
        <v>363</v>
      </c>
      <c r="D101" s="19">
        <v>9</v>
      </c>
      <c r="E101" s="19" t="s">
        <v>268</v>
      </c>
      <c r="J101" t="s">
        <v>154</v>
      </c>
      <c r="K101" s="9">
        <v>43101</v>
      </c>
      <c r="L101" s="9">
        <v>46172</v>
      </c>
      <c r="M101" s="1">
        <v>135</v>
      </c>
      <c r="N101" t="s">
        <v>155</v>
      </c>
    </row>
    <row r="102" spans="1:14" x14ac:dyDescent="0.3">
      <c r="A102" s="19">
        <v>100</v>
      </c>
      <c r="B102" s="19" t="s">
        <v>254</v>
      </c>
      <c r="C102" s="22" t="s">
        <v>364</v>
      </c>
      <c r="D102" s="19">
        <v>1</v>
      </c>
      <c r="E102" s="19" t="s">
        <v>268</v>
      </c>
      <c r="J102" t="s">
        <v>154</v>
      </c>
      <c r="K102" s="9">
        <v>43101</v>
      </c>
      <c r="L102" s="9">
        <v>46172</v>
      </c>
      <c r="M102" s="1">
        <v>200</v>
      </c>
      <c r="N102" t="s">
        <v>155</v>
      </c>
    </row>
    <row r="103" spans="1:14" x14ac:dyDescent="0.3">
      <c r="A103" s="19">
        <v>101</v>
      </c>
      <c r="B103" s="19" t="s">
        <v>254</v>
      </c>
      <c r="C103" s="22" t="s">
        <v>365</v>
      </c>
      <c r="D103" s="19">
        <v>1</v>
      </c>
      <c r="E103" s="19" t="s">
        <v>268</v>
      </c>
      <c r="J103" t="s">
        <v>154</v>
      </c>
      <c r="K103" s="9">
        <v>43101</v>
      </c>
      <c r="L103" s="9">
        <v>46172</v>
      </c>
      <c r="M103" s="1">
        <v>3420</v>
      </c>
      <c r="N103" t="s">
        <v>155</v>
      </c>
    </row>
    <row r="104" spans="1:14" x14ac:dyDescent="0.3">
      <c r="A104" s="19">
        <v>102</v>
      </c>
      <c r="B104" s="19" t="s">
        <v>254</v>
      </c>
      <c r="C104" t="s">
        <v>366</v>
      </c>
      <c r="D104" s="19">
        <v>1</v>
      </c>
      <c r="E104" s="19" t="s">
        <v>268</v>
      </c>
      <c r="J104" t="s">
        <v>154</v>
      </c>
      <c r="K104" s="9">
        <v>43101</v>
      </c>
      <c r="L104" s="9">
        <v>46172</v>
      </c>
      <c r="M104" s="1">
        <v>33600</v>
      </c>
      <c r="N104" t="s">
        <v>155</v>
      </c>
    </row>
    <row r="105" spans="1:14" x14ac:dyDescent="0.3">
      <c r="A105" s="19">
        <v>103</v>
      </c>
      <c r="B105" s="19" t="s">
        <v>200</v>
      </c>
      <c r="C105" t="s">
        <v>367</v>
      </c>
      <c r="D105" s="19">
        <v>1</v>
      </c>
      <c r="E105" s="19" t="s">
        <v>220</v>
      </c>
      <c r="J105" t="s">
        <v>154</v>
      </c>
      <c r="K105" s="9">
        <v>34335</v>
      </c>
      <c r="L105" s="9">
        <v>46172</v>
      </c>
      <c r="M105" s="1">
        <v>395</v>
      </c>
      <c r="N105" t="s">
        <v>368</v>
      </c>
    </row>
    <row r="106" spans="1:14" x14ac:dyDescent="0.3">
      <c r="A106" s="19">
        <v>104</v>
      </c>
      <c r="B106" s="19" t="s">
        <v>200</v>
      </c>
      <c r="C106" t="s">
        <v>369</v>
      </c>
      <c r="D106" s="19">
        <v>21</v>
      </c>
      <c r="E106" s="19" t="s">
        <v>370</v>
      </c>
      <c r="J106" t="s">
        <v>236</v>
      </c>
      <c r="K106" s="9">
        <v>37987</v>
      </c>
      <c r="L106" s="9">
        <v>46022</v>
      </c>
      <c r="M106" s="1">
        <v>98</v>
      </c>
      <c r="N106" t="s">
        <v>371</v>
      </c>
    </row>
    <row r="107" spans="1:14" x14ac:dyDescent="0.3">
      <c r="A107" s="19">
        <v>105</v>
      </c>
      <c r="B107" s="19" t="s">
        <v>200</v>
      </c>
      <c r="C107" t="s">
        <v>372</v>
      </c>
      <c r="D107" s="19">
        <v>21</v>
      </c>
      <c r="E107" s="19" t="s">
        <v>370</v>
      </c>
      <c r="J107" t="s">
        <v>236</v>
      </c>
      <c r="K107" s="9">
        <v>37987</v>
      </c>
      <c r="L107" s="9">
        <v>46022</v>
      </c>
      <c r="M107" s="1">
        <v>98</v>
      </c>
      <c r="N107" t="s">
        <v>371</v>
      </c>
    </row>
    <row r="108" spans="1:14" x14ac:dyDescent="0.3">
      <c r="A108" s="19">
        <v>106</v>
      </c>
      <c r="B108" s="19" t="s">
        <v>200</v>
      </c>
      <c r="C108" t="s">
        <v>373</v>
      </c>
      <c r="D108" s="19">
        <v>8</v>
      </c>
      <c r="E108" s="19" t="s">
        <v>370</v>
      </c>
      <c r="J108" t="s">
        <v>236</v>
      </c>
      <c r="K108" s="9">
        <v>37987</v>
      </c>
      <c r="L108" s="9">
        <v>46022</v>
      </c>
      <c r="M108" s="1">
        <v>98</v>
      </c>
      <c r="N108" t="s">
        <v>371</v>
      </c>
    </row>
    <row r="109" spans="1:14" x14ac:dyDescent="0.3">
      <c r="A109" s="19">
        <v>107</v>
      </c>
      <c r="B109" s="19" t="s">
        <v>200</v>
      </c>
      <c r="C109" t="s">
        <v>374</v>
      </c>
      <c r="D109" s="19">
        <v>21</v>
      </c>
      <c r="E109" s="19" t="s">
        <v>370</v>
      </c>
      <c r="J109" t="s">
        <v>236</v>
      </c>
      <c r="K109" s="9">
        <v>37987</v>
      </c>
      <c r="L109" s="9">
        <v>46022</v>
      </c>
      <c r="M109" s="1">
        <v>98</v>
      </c>
      <c r="N109" t="s">
        <v>371</v>
      </c>
    </row>
    <row r="110" spans="1:14" x14ac:dyDescent="0.3">
      <c r="A110" s="19">
        <v>108</v>
      </c>
      <c r="B110" s="19" t="s">
        <v>200</v>
      </c>
      <c r="C110" t="s">
        <v>375</v>
      </c>
      <c r="D110" s="19">
        <v>42</v>
      </c>
      <c r="E110" s="19" t="s">
        <v>284</v>
      </c>
      <c r="J110" t="s">
        <v>154</v>
      </c>
      <c r="K110" s="9">
        <v>34335</v>
      </c>
      <c r="L110" s="9">
        <v>46081</v>
      </c>
      <c r="M110" s="1">
        <v>396</v>
      </c>
      <c r="N110" t="s">
        <v>371</v>
      </c>
    </row>
    <row r="111" spans="1:14" x14ac:dyDescent="0.3">
      <c r="A111" s="19">
        <v>109</v>
      </c>
      <c r="B111" s="19" t="s">
        <v>376</v>
      </c>
      <c r="C111" s="22" t="s">
        <v>377</v>
      </c>
      <c r="D111" s="19">
        <v>48</v>
      </c>
      <c r="E111" s="19" t="s">
        <v>378</v>
      </c>
      <c r="F111" s="19" t="s">
        <v>379</v>
      </c>
      <c r="G111" s="19" t="s">
        <v>380</v>
      </c>
      <c r="H111" s="19" t="s">
        <v>251</v>
      </c>
      <c r="J111" t="s">
        <v>381</v>
      </c>
      <c r="K111" s="9">
        <v>43101</v>
      </c>
      <c r="L111" s="9">
        <v>46173</v>
      </c>
      <c r="M111" s="1">
        <v>5751680</v>
      </c>
      <c r="N111" t="s">
        <v>382</v>
      </c>
    </row>
    <row r="112" spans="1:14" x14ac:dyDescent="0.3">
      <c r="A112" s="19">
        <v>110</v>
      </c>
      <c r="B112" s="19" t="s">
        <v>376</v>
      </c>
      <c r="C112" s="22" t="s">
        <v>383</v>
      </c>
      <c r="D112" s="19">
        <v>48</v>
      </c>
      <c r="E112" s="19" t="s">
        <v>378</v>
      </c>
      <c r="F112" s="19" t="s">
        <v>379</v>
      </c>
      <c r="G112" s="19" t="s">
        <v>380</v>
      </c>
      <c r="H112" s="19" t="s">
        <v>251</v>
      </c>
      <c r="J112" t="s">
        <v>384</v>
      </c>
      <c r="K112" s="9">
        <v>33239</v>
      </c>
      <c r="L112" s="9">
        <v>44196</v>
      </c>
      <c r="M112" s="1">
        <v>789</v>
      </c>
      <c r="N112" t="s">
        <v>382</v>
      </c>
    </row>
    <row r="113" spans="1:15" x14ac:dyDescent="0.3">
      <c r="A113" s="19">
        <v>111</v>
      </c>
      <c r="B113" s="19" t="s">
        <v>376</v>
      </c>
      <c r="C113" s="22" t="s">
        <v>385</v>
      </c>
      <c r="D113" s="19">
        <v>114</v>
      </c>
      <c r="E113" s="19" t="s">
        <v>378</v>
      </c>
      <c r="F113" s="19" t="s">
        <v>379</v>
      </c>
      <c r="G113" s="19" t="s">
        <v>380</v>
      </c>
      <c r="H113" s="19" t="s">
        <v>251</v>
      </c>
      <c r="J113" t="s">
        <v>381</v>
      </c>
      <c r="K113" s="9">
        <v>39448</v>
      </c>
      <c r="L113" s="9">
        <v>46173</v>
      </c>
      <c r="M113" s="1">
        <v>642097</v>
      </c>
      <c r="N113" t="s">
        <v>386</v>
      </c>
    </row>
    <row r="114" spans="1:15" x14ac:dyDescent="0.3">
      <c r="A114" s="19">
        <v>112</v>
      </c>
      <c r="B114" s="19" t="s">
        <v>200</v>
      </c>
      <c r="C114" t="s">
        <v>387</v>
      </c>
      <c r="D114" s="19">
        <v>12</v>
      </c>
      <c r="E114" s="19" t="s">
        <v>370</v>
      </c>
      <c r="F114" s="19" t="s">
        <v>158</v>
      </c>
      <c r="J114" t="s">
        <v>154</v>
      </c>
      <c r="K114" s="9">
        <v>42370</v>
      </c>
      <c r="L114" s="9">
        <v>46112</v>
      </c>
      <c r="M114" s="1">
        <v>140</v>
      </c>
      <c r="N114" t="s">
        <v>371</v>
      </c>
    </row>
    <row r="115" spans="1:15" x14ac:dyDescent="0.3">
      <c r="A115" s="19">
        <v>113</v>
      </c>
      <c r="B115" s="19" t="s">
        <v>200</v>
      </c>
      <c r="C115" t="s">
        <v>388</v>
      </c>
      <c r="D115" s="19">
        <v>5</v>
      </c>
      <c r="E115" s="19" t="s">
        <v>284</v>
      </c>
      <c r="F115" s="19" t="s">
        <v>158</v>
      </c>
      <c r="J115" t="s">
        <v>154</v>
      </c>
      <c r="K115" s="9">
        <v>40513</v>
      </c>
      <c r="L115" s="9">
        <v>46112</v>
      </c>
      <c r="M115" s="1">
        <v>200</v>
      </c>
      <c r="N115" t="s">
        <v>389</v>
      </c>
    </row>
    <row r="116" spans="1:15" x14ac:dyDescent="0.3">
      <c r="A116" s="19">
        <v>114</v>
      </c>
      <c r="B116" s="19" t="s">
        <v>200</v>
      </c>
      <c r="C116" t="s">
        <v>390</v>
      </c>
      <c r="D116" s="19">
        <v>53</v>
      </c>
      <c r="E116" s="19" t="s">
        <v>284</v>
      </c>
      <c r="F116" s="19" t="s">
        <v>158</v>
      </c>
      <c r="J116" t="s">
        <v>154</v>
      </c>
      <c r="K116" s="9">
        <v>33970</v>
      </c>
      <c r="L116" s="9">
        <v>46112</v>
      </c>
      <c r="M116" s="1">
        <v>405</v>
      </c>
      <c r="N116" t="s">
        <v>391</v>
      </c>
    </row>
    <row r="117" spans="1:15" x14ac:dyDescent="0.3">
      <c r="A117" s="19">
        <v>115</v>
      </c>
      <c r="B117" s="19" t="s">
        <v>200</v>
      </c>
      <c r="C117" t="s">
        <v>392</v>
      </c>
      <c r="D117" s="19">
        <v>4</v>
      </c>
      <c r="E117" s="19" t="s">
        <v>284</v>
      </c>
      <c r="F117" s="19" t="s">
        <v>158</v>
      </c>
      <c r="J117" t="s">
        <v>154</v>
      </c>
      <c r="K117" s="9">
        <v>35065</v>
      </c>
      <c r="L117" s="9">
        <v>46081</v>
      </c>
      <c r="M117" s="1">
        <v>370</v>
      </c>
      <c r="N117" t="s">
        <v>237</v>
      </c>
    </row>
    <row r="118" spans="1:15" x14ac:dyDescent="0.3">
      <c r="A118" s="19">
        <v>116</v>
      </c>
      <c r="B118" s="19" t="s">
        <v>200</v>
      </c>
      <c r="C118" t="s">
        <v>393</v>
      </c>
      <c r="D118" s="19">
        <v>10</v>
      </c>
      <c r="E118" s="19" t="s">
        <v>284</v>
      </c>
      <c r="F118" s="19" t="s">
        <v>158</v>
      </c>
      <c r="J118" t="s">
        <v>154</v>
      </c>
      <c r="K118" s="9">
        <v>37011</v>
      </c>
      <c r="L118" s="9">
        <v>46142</v>
      </c>
      <c r="M118" s="1">
        <v>312</v>
      </c>
      <c r="N118" t="s">
        <v>394</v>
      </c>
      <c r="O118" t="s">
        <v>395</v>
      </c>
    </row>
    <row r="119" spans="1:15" x14ac:dyDescent="0.3">
      <c r="A119" s="19">
        <v>117</v>
      </c>
      <c r="B119" s="19" t="s">
        <v>200</v>
      </c>
      <c r="C119" t="s">
        <v>396</v>
      </c>
      <c r="D119" s="19">
        <v>13</v>
      </c>
      <c r="E119" s="19" t="s">
        <v>284</v>
      </c>
      <c r="F119" s="19" t="s">
        <v>158</v>
      </c>
      <c r="J119" t="s">
        <v>154</v>
      </c>
      <c r="K119" s="9">
        <v>40909</v>
      </c>
      <c r="L119" s="9">
        <v>46023</v>
      </c>
      <c r="M119" s="1">
        <v>179</v>
      </c>
      <c r="N119" t="s">
        <v>237</v>
      </c>
    </row>
    <row r="120" spans="1:15" x14ac:dyDescent="0.3">
      <c r="A120" s="19">
        <v>118</v>
      </c>
      <c r="B120" s="19" t="s">
        <v>334</v>
      </c>
      <c r="C120" t="s">
        <v>397</v>
      </c>
      <c r="D120" s="19">
        <v>15</v>
      </c>
      <c r="E120" s="19" t="s">
        <v>284</v>
      </c>
      <c r="F120" s="19" t="s">
        <v>158</v>
      </c>
      <c r="J120" t="s">
        <v>154</v>
      </c>
      <c r="K120" s="9">
        <v>34335</v>
      </c>
      <c r="L120" s="9">
        <v>46081</v>
      </c>
      <c r="M120" s="1">
        <v>394</v>
      </c>
      <c r="N120" t="s">
        <v>207</v>
      </c>
    </row>
    <row r="121" spans="1:15" x14ac:dyDescent="0.3">
      <c r="A121" s="19">
        <v>119</v>
      </c>
      <c r="B121" s="19" t="s">
        <v>200</v>
      </c>
      <c r="C121" t="s">
        <v>398</v>
      </c>
      <c r="D121" s="19">
        <v>29</v>
      </c>
      <c r="E121" s="19" t="s">
        <v>284</v>
      </c>
      <c r="F121" s="19" t="s">
        <v>158</v>
      </c>
      <c r="J121" t="s">
        <v>154</v>
      </c>
      <c r="K121" s="9">
        <v>35431</v>
      </c>
      <c r="L121" s="9">
        <v>46081</v>
      </c>
      <c r="M121" s="1">
        <v>360</v>
      </c>
      <c r="N121" t="s">
        <v>391</v>
      </c>
    </row>
    <row r="122" spans="1:15" x14ac:dyDescent="0.3">
      <c r="A122" s="19">
        <v>120</v>
      </c>
      <c r="B122" s="19" t="s">
        <v>200</v>
      </c>
      <c r="C122" t="s">
        <v>399</v>
      </c>
      <c r="D122" s="19">
        <v>7</v>
      </c>
      <c r="E122" s="19" t="s">
        <v>400</v>
      </c>
      <c r="J122" t="s">
        <v>154</v>
      </c>
      <c r="K122" s="9">
        <v>35431</v>
      </c>
      <c r="L122" s="9">
        <v>46081</v>
      </c>
      <c r="M122" s="1">
        <v>360</v>
      </c>
      <c r="N122" t="s">
        <v>391</v>
      </c>
    </row>
    <row r="123" spans="1:15" x14ac:dyDescent="0.3">
      <c r="A123" s="19">
        <v>121</v>
      </c>
      <c r="B123" s="19" t="s">
        <v>200</v>
      </c>
      <c r="C123" t="s">
        <v>401</v>
      </c>
      <c r="D123" s="19">
        <v>7</v>
      </c>
      <c r="E123" s="19" t="s">
        <v>284</v>
      </c>
      <c r="I123" s="26"/>
      <c r="J123" t="s">
        <v>154</v>
      </c>
      <c r="K123" s="9">
        <v>33970</v>
      </c>
      <c r="L123" s="9">
        <v>46081</v>
      </c>
      <c r="M123" s="1">
        <v>408</v>
      </c>
      <c r="N123" t="s">
        <v>402</v>
      </c>
    </row>
    <row r="124" spans="1:15" x14ac:dyDescent="0.3">
      <c r="A124" s="19">
        <v>122</v>
      </c>
      <c r="B124" s="19" t="s">
        <v>403</v>
      </c>
      <c r="C124" t="s">
        <v>404</v>
      </c>
      <c r="D124" s="19">
        <v>32</v>
      </c>
      <c r="E124" s="19" t="s">
        <v>405</v>
      </c>
      <c r="I124" s="1"/>
      <c r="J124" t="s">
        <v>381</v>
      </c>
      <c r="K124" s="9">
        <v>40544</v>
      </c>
      <c r="L124" s="26" t="s">
        <v>406</v>
      </c>
      <c r="M124" s="1">
        <v>332590</v>
      </c>
      <c r="N124" t="s">
        <v>155</v>
      </c>
    </row>
    <row r="125" spans="1:15" x14ac:dyDescent="0.3">
      <c r="A125" s="19">
        <v>123</v>
      </c>
      <c r="B125" s="19" t="s">
        <v>407</v>
      </c>
      <c r="C125" t="s">
        <v>408</v>
      </c>
      <c r="D125" s="19">
        <v>80</v>
      </c>
      <c r="E125">
        <v>16</v>
      </c>
      <c r="F125" s="26" t="s">
        <v>409</v>
      </c>
      <c r="G125">
        <v>12</v>
      </c>
      <c r="H125" t="s">
        <v>410</v>
      </c>
      <c r="J125" t="s">
        <v>230</v>
      </c>
      <c r="K125" s="9">
        <v>41275</v>
      </c>
      <c r="L125" s="9">
        <v>44927</v>
      </c>
      <c r="M125" s="1">
        <v>169850</v>
      </c>
      <c r="N125" t="s">
        <v>411</v>
      </c>
    </row>
    <row r="126" spans="1:15" x14ac:dyDescent="0.3">
      <c r="A126" s="19">
        <v>124</v>
      </c>
      <c r="B126" s="19" t="s">
        <v>200</v>
      </c>
      <c r="C126" t="s">
        <v>412</v>
      </c>
      <c r="D126" s="19">
        <v>7</v>
      </c>
      <c r="E126" t="s">
        <v>228</v>
      </c>
      <c r="F126" t="s">
        <v>158</v>
      </c>
      <c r="J126" t="s">
        <v>154</v>
      </c>
      <c r="K126" s="9">
        <v>42736</v>
      </c>
      <c r="L126" s="9">
        <v>46081</v>
      </c>
      <c r="M126" s="1">
        <v>115</v>
      </c>
      <c r="N126" t="s">
        <v>237</v>
      </c>
    </row>
    <row r="127" spans="1:15" x14ac:dyDescent="0.3">
      <c r="A127" s="19">
        <v>125</v>
      </c>
      <c r="B127" s="19" t="s">
        <v>200</v>
      </c>
      <c r="C127" t="s">
        <v>413</v>
      </c>
      <c r="D127" s="19">
        <v>7</v>
      </c>
      <c r="E127" t="s">
        <v>228</v>
      </c>
      <c r="F127" t="s">
        <v>158</v>
      </c>
      <c r="J127" t="s">
        <v>154</v>
      </c>
      <c r="K127" s="9">
        <v>42736</v>
      </c>
      <c r="L127" s="9">
        <v>46081</v>
      </c>
      <c r="M127" s="1">
        <v>115</v>
      </c>
      <c r="N127" t="s">
        <v>237</v>
      </c>
    </row>
    <row r="128" spans="1:15" x14ac:dyDescent="0.3">
      <c r="A128" s="19">
        <v>126</v>
      </c>
      <c r="B128" s="19" t="s">
        <v>200</v>
      </c>
      <c r="C128" t="s">
        <v>414</v>
      </c>
      <c r="D128" s="19">
        <v>7</v>
      </c>
      <c r="E128" t="s">
        <v>228</v>
      </c>
      <c r="F128" t="s">
        <v>158</v>
      </c>
      <c r="J128" t="s">
        <v>154</v>
      </c>
      <c r="K128" s="9">
        <v>42736</v>
      </c>
      <c r="L128" s="9">
        <v>46081</v>
      </c>
      <c r="M128" s="1">
        <v>115</v>
      </c>
      <c r="N128" t="s">
        <v>237</v>
      </c>
    </row>
    <row r="129" spans="1:14" x14ac:dyDescent="0.3">
      <c r="A129" s="19">
        <v>127</v>
      </c>
      <c r="B129" s="19" t="s">
        <v>200</v>
      </c>
      <c r="C129" t="s">
        <v>415</v>
      </c>
      <c r="D129" s="19">
        <v>7</v>
      </c>
      <c r="E129" t="s">
        <v>228</v>
      </c>
      <c r="F129" t="s">
        <v>158</v>
      </c>
      <c r="J129" t="s">
        <v>154</v>
      </c>
      <c r="K129" s="9">
        <v>42736</v>
      </c>
      <c r="L129" s="9">
        <v>46081</v>
      </c>
      <c r="M129" s="1">
        <v>115</v>
      </c>
      <c r="N129" t="s">
        <v>237</v>
      </c>
    </row>
    <row r="130" spans="1:14" x14ac:dyDescent="0.3">
      <c r="A130" s="19">
        <v>128</v>
      </c>
      <c r="B130" s="19" t="s">
        <v>200</v>
      </c>
      <c r="C130" t="s">
        <v>416</v>
      </c>
      <c r="D130" s="19">
        <v>12</v>
      </c>
      <c r="E130" t="s">
        <v>284</v>
      </c>
      <c r="F130">
        <v>24</v>
      </c>
      <c r="G130" t="s">
        <v>417</v>
      </c>
      <c r="J130" t="s">
        <v>154</v>
      </c>
      <c r="K130" s="9">
        <v>42736</v>
      </c>
      <c r="L130" s="9">
        <v>46081</v>
      </c>
      <c r="M130" s="1">
        <v>115</v>
      </c>
      <c r="N130" t="s">
        <v>237</v>
      </c>
    </row>
    <row r="131" spans="1:14" x14ac:dyDescent="0.3">
      <c r="A131" s="19">
        <v>129</v>
      </c>
      <c r="B131" s="19" t="s">
        <v>200</v>
      </c>
      <c r="C131" s="22" t="s">
        <v>418</v>
      </c>
      <c r="D131" s="19">
        <v>7</v>
      </c>
      <c r="E131" t="s">
        <v>284</v>
      </c>
      <c r="F131">
        <v>24</v>
      </c>
      <c r="G131" t="s">
        <v>417</v>
      </c>
      <c r="J131" t="s">
        <v>154</v>
      </c>
      <c r="K131" s="9">
        <v>42736</v>
      </c>
      <c r="L131" s="9">
        <v>46081</v>
      </c>
      <c r="M131" s="1">
        <v>115</v>
      </c>
      <c r="N131" t="s">
        <v>237</v>
      </c>
    </row>
    <row r="132" spans="1:14" x14ac:dyDescent="0.3">
      <c r="A132" s="19">
        <v>130</v>
      </c>
      <c r="B132" s="19" t="s">
        <v>149</v>
      </c>
      <c r="C132" s="22" t="s">
        <v>419</v>
      </c>
      <c r="D132" s="19">
        <v>22</v>
      </c>
      <c r="E132" t="s">
        <v>284</v>
      </c>
      <c r="F132">
        <v>20</v>
      </c>
      <c r="G132" t="s">
        <v>417</v>
      </c>
      <c r="J132" t="s">
        <v>241</v>
      </c>
      <c r="M132" s="1">
        <v>1200</v>
      </c>
      <c r="N132" t="s">
        <v>155</v>
      </c>
    </row>
    <row r="133" spans="1:14" x14ac:dyDescent="0.3">
      <c r="A133" s="19">
        <v>131</v>
      </c>
      <c r="B133" s="19" t="s">
        <v>193</v>
      </c>
      <c r="C133" s="14" t="s">
        <v>420</v>
      </c>
      <c r="D133" s="19">
        <v>56</v>
      </c>
      <c r="E133" t="s">
        <v>284</v>
      </c>
      <c r="F133">
        <v>24</v>
      </c>
      <c r="G133" t="s">
        <v>417</v>
      </c>
      <c r="J133" t="s">
        <v>154</v>
      </c>
      <c r="K133" s="9">
        <v>34700</v>
      </c>
      <c r="L133" s="9">
        <v>46387</v>
      </c>
      <c r="M133" s="1">
        <v>7392</v>
      </c>
      <c r="N133" t="s">
        <v>197</v>
      </c>
    </row>
    <row r="134" spans="1:14" x14ac:dyDescent="0.3">
      <c r="A134" s="19">
        <v>132</v>
      </c>
      <c r="B134" s="19" t="s">
        <v>421</v>
      </c>
      <c r="C134" s="22" t="s">
        <v>422</v>
      </c>
      <c r="D134" s="19">
        <v>4</v>
      </c>
      <c r="E134" t="s">
        <v>284</v>
      </c>
      <c r="F134">
        <v>24</v>
      </c>
      <c r="G134" t="s">
        <v>417</v>
      </c>
      <c r="J134" t="s">
        <v>230</v>
      </c>
      <c r="K134" s="9">
        <v>38718</v>
      </c>
      <c r="L134" s="9">
        <v>45657</v>
      </c>
      <c r="M134" s="1">
        <v>475</v>
      </c>
      <c r="N134" t="s">
        <v>423</v>
      </c>
    </row>
    <row r="135" spans="1:14" x14ac:dyDescent="0.3">
      <c r="A135" s="19">
        <v>133</v>
      </c>
      <c r="B135" s="19" t="s">
        <v>421</v>
      </c>
      <c r="C135" t="s">
        <v>424</v>
      </c>
      <c r="D135" s="19">
        <v>5</v>
      </c>
      <c r="E135" t="s">
        <v>267</v>
      </c>
      <c r="G135" t="s">
        <v>158</v>
      </c>
      <c r="J135" t="s">
        <v>230</v>
      </c>
      <c r="K135" s="9">
        <v>41640</v>
      </c>
      <c r="L135" s="9">
        <v>46112</v>
      </c>
      <c r="M135" s="1">
        <v>150</v>
      </c>
      <c r="N135" t="s">
        <v>237</v>
      </c>
    </row>
    <row r="136" spans="1:14" x14ac:dyDescent="0.3">
      <c r="A136" s="19">
        <v>134</v>
      </c>
      <c r="B136" s="19" t="s">
        <v>421</v>
      </c>
      <c r="C136" s="22" t="s">
        <v>425</v>
      </c>
      <c r="D136" s="19">
        <v>1</v>
      </c>
      <c r="E136" t="s">
        <v>426</v>
      </c>
      <c r="G136" t="s">
        <v>417</v>
      </c>
      <c r="J136" t="s">
        <v>230</v>
      </c>
      <c r="K136" s="9">
        <v>41640</v>
      </c>
      <c r="L136" s="9">
        <v>46112</v>
      </c>
      <c r="M136" s="1">
        <v>150</v>
      </c>
      <c r="N136" t="s">
        <v>237</v>
      </c>
    </row>
    <row r="137" spans="1:14" x14ac:dyDescent="0.3">
      <c r="A137" s="19">
        <v>135</v>
      </c>
      <c r="B137" s="19" t="s">
        <v>421</v>
      </c>
      <c r="C137" s="22" t="s">
        <v>427</v>
      </c>
      <c r="D137" s="19">
        <v>1</v>
      </c>
      <c r="E137" t="s">
        <v>426</v>
      </c>
      <c r="G137" t="s">
        <v>417</v>
      </c>
      <c r="J137" t="s">
        <v>230</v>
      </c>
      <c r="K137" s="9">
        <v>41640</v>
      </c>
      <c r="L137" s="9">
        <v>46112</v>
      </c>
      <c r="M137" s="1">
        <v>150</v>
      </c>
      <c r="N137" t="s">
        <v>237</v>
      </c>
    </row>
    <row r="138" spans="1:14" x14ac:dyDescent="0.3">
      <c r="A138" s="19">
        <v>136</v>
      </c>
      <c r="B138" s="19" t="s">
        <v>421</v>
      </c>
      <c r="C138" s="22" t="s">
        <v>428</v>
      </c>
      <c r="D138" s="19">
        <v>1</v>
      </c>
      <c r="E138" t="s">
        <v>426</v>
      </c>
      <c r="G138" t="s">
        <v>417</v>
      </c>
      <c r="J138" t="s">
        <v>230</v>
      </c>
      <c r="K138" s="9">
        <v>41640</v>
      </c>
      <c r="L138" s="9">
        <v>46112</v>
      </c>
      <c r="M138" s="1">
        <v>150</v>
      </c>
      <c r="N138" t="s">
        <v>237</v>
      </c>
    </row>
    <row r="139" spans="1:14" x14ac:dyDescent="0.3">
      <c r="A139" s="19">
        <v>137</v>
      </c>
      <c r="B139" s="19" t="s">
        <v>429</v>
      </c>
      <c r="C139" s="22" t="s">
        <v>430</v>
      </c>
      <c r="D139" s="19">
        <v>1</v>
      </c>
      <c r="E139" t="s">
        <v>426</v>
      </c>
      <c r="G139" t="s">
        <v>417</v>
      </c>
      <c r="J139" t="s">
        <v>230</v>
      </c>
      <c r="K139" s="9">
        <v>41640</v>
      </c>
      <c r="L139" s="9">
        <v>46112</v>
      </c>
      <c r="M139" s="1">
        <v>150</v>
      </c>
      <c r="N139" t="s">
        <v>237</v>
      </c>
    </row>
    <row r="140" spans="1:14" x14ac:dyDescent="0.3">
      <c r="A140" s="19">
        <v>138</v>
      </c>
      <c r="B140" s="19" t="s">
        <v>200</v>
      </c>
      <c r="C140" t="s">
        <v>431</v>
      </c>
      <c r="D140" s="19">
        <v>23</v>
      </c>
      <c r="E140" t="s">
        <v>284</v>
      </c>
      <c r="G140" t="s">
        <v>158</v>
      </c>
      <c r="I140" t="s">
        <v>230</v>
      </c>
      <c r="J140" t="s">
        <v>236</v>
      </c>
      <c r="K140" s="9">
        <v>37987</v>
      </c>
      <c r="L140" s="9">
        <v>46022</v>
      </c>
      <c r="M140" s="1">
        <v>120</v>
      </c>
      <c r="N140" t="s">
        <v>203</v>
      </c>
    </row>
    <row r="141" spans="1:14" x14ac:dyDescent="0.3">
      <c r="A141" s="19">
        <v>139</v>
      </c>
      <c r="B141" s="19" t="s">
        <v>200</v>
      </c>
      <c r="C141" t="s">
        <v>432</v>
      </c>
      <c r="D141" s="19">
        <v>68</v>
      </c>
      <c r="E141" t="s">
        <v>284</v>
      </c>
      <c r="G141" t="s">
        <v>158</v>
      </c>
      <c r="I141" t="s">
        <v>230</v>
      </c>
      <c r="J141" t="s">
        <v>236</v>
      </c>
      <c r="K141" s="9">
        <v>37987</v>
      </c>
      <c r="L141" s="9">
        <v>46022</v>
      </c>
      <c r="M141" s="1">
        <v>180</v>
      </c>
      <c r="N141" t="s">
        <v>203</v>
      </c>
    </row>
    <row r="142" spans="1:14" x14ac:dyDescent="0.3">
      <c r="A142" s="19">
        <v>140</v>
      </c>
      <c r="B142" s="19" t="s">
        <v>200</v>
      </c>
      <c r="C142" t="s">
        <v>433</v>
      </c>
      <c r="D142" s="19">
        <v>68</v>
      </c>
      <c r="E142" t="s">
        <v>284</v>
      </c>
      <c r="G142" t="s">
        <v>158</v>
      </c>
      <c r="I142" t="s">
        <v>230</v>
      </c>
      <c r="J142" t="s">
        <v>236</v>
      </c>
      <c r="K142" s="9">
        <v>37987</v>
      </c>
      <c r="L142" s="9">
        <v>46022</v>
      </c>
      <c r="M142" s="1">
        <v>180</v>
      </c>
      <c r="N142" t="s">
        <v>203</v>
      </c>
    </row>
    <row r="143" spans="1:14" x14ac:dyDescent="0.3">
      <c r="A143" s="19">
        <v>141</v>
      </c>
      <c r="B143" s="19" t="s">
        <v>200</v>
      </c>
      <c r="C143" t="s">
        <v>434</v>
      </c>
      <c r="D143" s="19">
        <v>14</v>
      </c>
      <c r="E143" t="s">
        <v>435</v>
      </c>
      <c r="G143" t="s">
        <v>436</v>
      </c>
      <c r="J143" t="s">
        <v>154</v>
      </c>
      <c r="K143" s="9">
        <v>42887</v>
      </c>
      <c r="L143" s="9">
        <v>46142</v>
      </c>
      <c r="M143" s="1">
        <v>82</v>
      </c>
      <c r="N143" t="s">
        <v>237</v>
      </c>
    </row>
    <row r="144" spans="1:14" x14ac:dyDescent="0.3">
      <c r="A144" s="19">
        <v>142</v>
      </c>
      <c r="B144" s="19" t="s">
        <v>429</v>
      </c>
      <c r="C144" s="22" t="s">
        <v>437</v>
      </c>
      <c r="D144" s="19">
        <v>56</v>
      </c>
      <c r="E144" t="s">
        <v>435</v>
      </c>
      <c r="F144">
        <v>24</v>
      </c>
      <c r="G144" t="s">
        <v>417</v>
      </c>
      <c r="J144" t="s">
        <v>154</v>
      </c>
      <c r="K144" s="9">
        <v>42370</v>
      </c>
      <c r="L144" s="9">
        <v>46142</v>
      </c>
      <c r="M144" s="1">
        <v>1550</v>
      </c>
      <c r="N144" t="s">
        <v>155</v>
      </c>
    </row>
    <row r="145" spans="1:14" x14ac:dyDescent="0.3">
      <c r="A145" s="19">
        <v>143</v>
      </c>
      <c r="B145" s="19" t="s">
        <v>421</v>
      </c>
      <c r="C145" t="s">
        <v>438</v>
      </c>
      <c r="D145" s="19">
        <v>6</v>
      </c>
      <c r="E145" t="s">
        <v>435</v>
      </c>
      <c r="F145">
        <v>4</v>
      </c>
      <c r="G145" t="s">
        <v>439</v>
      </c>
      <c r="I145" t="s">
        <v>295</v>
      </c>
      <c r="J145" t="s">
        <v>154</v>
      </c>
      <c r="K145" s="20">
        <v>43101</v>
      </c>
      <c r="L145" s="9">
        <v>46173</v>
      </c>
      <c r="M145" s="1">
        <v>3030</v>
      </c>
      <c r="N145" t="s">
        <v>155</v>
      </c>
    </row>
    <row r="146" spans="1:14" x14ac:dyDescent="0.3">
      <c r="A146" s="19">
        <v>144</v>
      </c>
      <c r="B146" s="19" t="s">
        <v>331</v>
      </c>
      <c r="C146" s="22" t="s">
        <v>440</v>
      </c>
      <c r="D146" s="19">
        <v>7</v>
      </c>
      <c r="E146" t="s">
        <v>267</v>
      </c>
      <c r="G146" t="s">
        <v>417</v>
      </c>
      <c r="H146" t="s">
        <v>441</v>
      </c>
      <c r="I146" t="s">
        <v>295</v>
      </c>
      <c r="K146" s="9">
        <v>44562</v>
      </c>
      <c r="L146" s="9">
        <v>46173</v>
      </c>
      <c r="M146" s="1">
        <v>117594</v>
      </c>
      <c r="N146" t="s">
        <v>296</v>
      </c>
    </row>
    <row r="147" spans="1:14" x14ac:dyDescent="0.3">
      <c r="A147" s="19">
        <v>145</v>
      </c>
      <c r="B147" s="19" t="s">
        <v>331</v>
      </c>
      <c r="C147" s="22" t="s">
        <v>442</v>
      </c>
      <c r="D147" s="19">
        <v>1</v>
      </c>
      <c r="E147" t="s">
        <v>267</v>
      </c>
      <c r="G147" t="s">
        <v>417</v>
      </c>
      <c r="H147" t="s">
        <v>441</v>
      </c>
      <c r="I147" t="s">
        <v>295</v>
      </c>
      <c r="K147" s="9">
        <v>44562</v>
      </c>
      <c r="L147" s="9">
        <v>46173</v>
      </c>
      <c r="M147" s="1">
        <v>11496</v>
      </c>
      <c r="N147" t="s">
        <v>296</v>
      </c>
    </row>
    <row r="148" spans="1:14" x14ac:dyDescent="0.3">
      <c r="A148" s="19">
        <v>146</v>
      </c>
      <c r="B148" s="19" t="s">
        <v>443</v>
      </c>
      <c r="C148" s="22" t="s">
        <v>444</v>
      </c>
      <c r="D148" s="19">
        <v>1</v>
      </c>
      <c r="E148" t="s">
        <v>267</v>
      </c>
      <c r="G148" t="s">
        <v>417</v>
      </c>
      <c r="H148" t="s">
        <v>441</v>
      </c>
      <c r="I148" t="s">
        <v>295</v>
      </c>
      <c r="K148" s="9">
        <v>44562</v>
      </c>
      <c r="L148" s="9">
        <v>46173</v>
      </c>
      <c r="M148" s="1">
        <v>123</v>
      </c>
      <c r="N148" t="s">
        <v>296</v>
      </c>
    </row>
    <row r="149" spans="1:14" x14ac:dyDescent="0.3">
      <c r="A149" s="19">
        <v>147</v>
      </c>
      <c r="B149" s="19" t="s">
        <v>443</v>
      </c>
      <c r="C149" s="22" t="s">
        <v>445</v>
      </c>
      <c r="D149" s="19">
        <v>1</v>
      </c>
      <c r="E149" t="s">
        <v>267</v>
      </c>
      <c r="G149" t="s">
        <v>417</v>
      </c>
      <c r="H149" t="s">
        <v>441</v>
      </c>
      <c r="I149" t="s">
        <v>295</v>
      </c>
      <c r="K149" s="9">
        <v>44562</v>
      </c>
      <c r="L149" s="9">
        <v>46173</v>
      </c>
      <c r="M149" s="1">
        <v>3587</v>
      </c>
      <c r="N149" t="s">
        <v>296</v>
      </c>
    </row>
    <row r="150" spans="1:14" x14ac:dyDescent="0.3">
      <c r="A150" s="19">
        <v>148</v>
      </c>
      <c r="B150" s="19" t="s">
        <v>443</v>
      </c>
      <c r="C150" s="22" t="s">
        <v>446</v>
      </c>
      <c r="D150" s="19">
        <v>1</v>
      </c>
      <c r="E150" t="s">
        <v>267</v>
      </c>
      <c r="G150" t="s">
        <v>417</v>
      </c>
      <c r="H150" t="s">
        <v>441</v>
      </c>
      <c r="I150" t="s">
        <v>295</v>
      </c>
      <c r="K150" s="9">
        <v>44562</v>
      </c>
      <c r="L150" s="9">
        <v>46173</v>
      </c>
      <c r="M150" s="1">
        <v>164</v>
      </c>
      <c r="N150" t="s">
        <v>296</v>
      </c>
    </row>
    <row r="151" spans="1:14" x14ac:dyDescent="0.3">
      <c r="A151" s="19">
        <v>149</v>
      </c>
      <c r="B151" s="19" t="s">
        <v>443</v>
      </c>
      <c r="C151" t="s">
        <v>447</v>
      </c>
      <c r="D151" s="19">
        <v>1</v>
      </c>
      <c r="E151" t="s">
        <v>267</v>
      </c>
      <c r="G151" t="s">
        <v>417</v>
      </c>
      <c r="H151" t="s">
        <v>441</v>
      </c>
      <c r="I151" t="s">
        <v>295</v>
      </c>
      <c r="K151" s="9">
        <v>44562</v>
      </c>
      <c r="L151" s="9">
        <v>46173</v>
      </c>
      <c r="M151" s="1">
        <v>2163</v>
      </c>
      <c r="N151" t="s">
        <v>296</v>
      </c>
    </row>
    <row r="152" spans="1:14" x14ac:dyDescent="0.3">
      <c r="A152" s="19">
        <v>150</v>
      </c>
      <c r="B152" s="19" t="s">
        <v>443</v>
      </c>
      <c r="C152" t="s">
        <v>448</v>
      </c>
      <c r="D152" s="19">
        <v>1</v>
      </c>
      <c r="E152" t="s">
        <v>267</v>
      </c>
      <c r="G152" t="s">
        <v>417</v>
      </c>
      <c r="H152" t="s">
        <v>441</v>
      </c>
      <c r="I152" t="s">
        <v>295</v>
      </c>
      <c r="K152" s="9">
        <v>44562</v>
      </c>
      <c r="L152" s="9">
        <v>46173</v>
      </c>
      <c r="M152" s="1">
        <v>944</v>
      </c>
      <c r="N152" t="s">
        <v>296</v>
      </c>
    </row>
    <row r="153" spans="1:14" x14ac:dyDescent="0.3">
      <c r="A153" s="19">
        <v>151</v>
      </c>
      <c r="B153" s="19" t="s">
        <v>254</v>
      </c>
      <c r="C153" s="22" t="s">
        <v>449</v>
      </c>
      <c r="D153" s="19">
        <v>12</v>
      </c>
      <c r="E153" t="s">
        <v>267</v>
      </c>
      <c r="G153" t="s">
        <v>417</v>
      </c>
      <c r="H153" t="s">
        <v>441</v>
      </c>
      <c r="J153" t="s">
        <v>230</v>
      </c>
      <c r="K153" s="9">
        <v>45658</v>
      </c>
      <c r="L153" s="9">
        <v>45747</v>
      </c>
      <c r="M153" s="1">
        <v>257</v>
      </c>
      <c r="N153" t="s">
        <v>296</v>
      </c>
    </row>
    <row r="154" spans="1:14" x14ac:dyDescent="0.3">
      <c r="A154" s="19">
        <v>152</v>
      </c>
      <c r="B154" s="19" t="s">
        <v>260</v>
      </c>
      <c r="C154" s="22" t="s">
        <v>450</v>
      </c>
      <c r="D154" s="19">
        <v>12</v>
      </c>
      <c r="E154" t="s">
        <v>267</v>
      </c>
      <c r="G154" t="s">
        <v>417</v>
      </c>
      <c r="H154" t="s">
        <v>441</v>
      </c>
      <c r="J154" t="s">
        <v>230</v>
      </c>
      <c r="K154" s="9">
        <v>45658</v>
      </c>
      <c r="L154" s="9">
        <v>45747</v>
      </c>
      <c r="M154" s="1">
        <v>237</v>
      </c>
      <c r="N154" t="s">
        <v>296</v>
      </c>
    </row>
    <row r="155" spans="1:14" x14ac:dyDescent="0.3">
      <c r="A155" s="19">
        <v>153</v>
      </c>
      <c r="B155" s="19" t="s">
        <v>451</v>
      </c>
      <c r="C155" s="22" t="s">
        <v>452</v>
      </c>
      <c r="D155" s="19">
        <v>12</v>
      </c>
      <c r="E155" t="s">
        <v>267</v>
      </c>
      <c r="G155" t="s">
        <v>417</v>
      </c>
      <c r="H155" t="s">
        <v>441</v>
      </c>
      <c r="J155" t="s">
        <v>230</v>
      </c>
      <c r="K155" s="9">
        <v>45658</v>
      </c>
      <c r="L155" s="9">
        <v>45747</v>
      </c>
      <c r="M155" s="1">
        <v>515</v>
      </c>
      <c r="N155" t="s">
        <v>296</v>
      </c>
    </row>
    <row r="156" spans="1:14" x14ac:dyDescent="0.3">
      <c r="A156" s="19">
        <v>154</v>
      </c>
      <c r="B156" s="19" t="s">
        <v>254</v>
      </c>
      <c r="C156" s="22" t="s">
        <v>453</v>
      </c>
      <c r="D156" s="19">
        <v>12</v>
      </c>
      <c r="E156" t="s">
        <v>267</v>
      </c>
      <c r="G156" t="s">
        <v>417</v>
      </c>
      <c r="H156" t="s">
        <v>441</v>
      </c>
      <c r="J156" t="s">
        <v>230</v>
      </c>
      <c r="K156" s="9">
        <v>45658</v>
      </c>
      <c r="L156" s="9">
        <v>45747</v>
      </c>
      <c r="M156" s="1">
        <v>247</v>
      </c>
      <c r="N156" t="s">
        <v>296</v>
      </c>
    </row>
    <row r="157" spans="1:14" x14ac:dyDescent="0.3">
      <c r="A157" s="19">
        <v>155</v>
      </c>
      <c r="B157" s="19" t="s">
        <v>331</v>
      </c>
      <c r="C157" t="s">
        <v>454</v>
      </c>
      <c r="D157" s="19">
        <v>12</v>
      </c>
      <c r="E157" t="s">
        <v>267</v>
      </c>
      <c r="G157" t="s">
        <v>417</v>
      </c>
      <c r="H157" t="s">
        <v>441</v>
      </c>
      <c r="I157" t="s">
        <v>295</v>
      </c>
      <c r="K157" s="9">
        <v>44562</v>
      </c>
      <c r="L157" s="9">
        <v>46173</v>
      </c>
      <c r="M157" s="1">
        <v>28733</v>
      </c>
      <c r="N157" t="s">
        <v>296</v>
      </c>
    </row>
    <row r="158" spans="1:14" x14ac:dyDescent="0.3">
      <c r="A158" s="19">
        <v>156</v>
      </c>
      <c r="B158" s="19" t="s">
        <v>455</v>
      </c>
      <c r="C158" s="22" t="s">
        <v>456</v>
      </c>
      <c r="D158" s="19">
        <v>6</v>
      </c>
      <c r="E158" t="s">
        <v>267</v>
      </c>
      <c r="G158" t="s">
        <v>417</v>
      </c>
      <c r="K158" s="9">
        <v>39448</v>
      </c>
      <c r="L158" s="9">
        <v>46022</v>
      </c>
      <c r="M158" s="1">
        <v>456</v>
      </c>
      <c r="N158" t="s">
        <v>155</v>
      </c>
    </row>
    <row r="159" spans="1:14" x14ac:dyDescent="0.3">
      <c r="A159" s="19">
        <v>157</v>
      </c>
      <c r="B159" s="19" t="s">
        <v>455</v>
      </c>
      <c r="C159" s="22" t="s">
        <v>457</v>
      </c>
      <c r="D159" s="19">
        <v>7</v>
      </c>
      <c r="E159" t="s">
        <v>267</v>
      </c>
      <c r="G159" t="s">
        <v>417</v>
      </c>
      <c r="H159" t="s">
        <v>441</v>
      </c>
      <c r="L159" s="9">
        <v>45747</v>
      </c>
      <c r="M159" s="1">
        <v>518</v>
      </c>
      <c r="N159" t="s">
        <v>155</v>
      </c>
    </row>
    <row r="160" spans="1:14" x14ac:dyDescent="0.3">
      <c r="A160" s="19">
        <v>158</v>
      </c>
      <c r="B160" s="19" t="s">
        <v>455</v>
      </c>
      <c r="C160" s="22" t="s">
        <v>458</v>
      </c>
      <c r="D160" s="19">
        <v>5</v>
      </c>
      <c r="E160" t="s">
        <v>267</v>
      </c>
      <c r="G160" t="s">
        <v>417</v>
      </c>
      <c r="L160" s="9">
        <v>45747</v>
      </c>
      <c r="M160" s="1">
        <v>2266</v>
      </c>
      <c r="N160" t="s">
        <v>296</v>
      </c>
    </row>
    <row r="161" spans="1:16" x14ac:dyDescent="0.3">
      <c r="A161" s="19">
        <v>159</v>
      </c>
      <c r="B161" s="19" t="s">
        <v>254</v>
      </c>
      <c r="C161" t="s">
        <v>459</v>
      </c>
      <c r="D161" s="19">
        <v>8</v>
      </c>
      <c r="E161" t="s">
        <v>267</v>
      </c>
      <c r="G161" t="s">
        <v>417</v>
      </c>
      <c r="H161" t="s">
        <v>441</v>
      </c>
      <c r="K161" s="9">
        <v>41640</v>
      </c>
      <c r="L161" s="9">
        <v>44926</v>
      </c>
      <c r="M161" s="1">
        <v>5733</v>
      </c>
      <c r="N161" t="s">
        <v>296</v>
      </c>
    </row>
    <row r="162" spans="1:16" x14ac:dyDescent="0.3">
      <c r="A162" s="19">
        <v>160</v>
      </c>
      <c r="B162" s="19" t="s">
        <v>460</v>
      </c>
      <c r="C162" s="22" t="s">
        <v>461</v>
      </c>
      <c r="D162" s="19">
        <v>22</v>
      </c>
      <c r="E162" t="s">
        <v>267</v>
      </c>
      <c r="G162" t="s">
        <v>417</v>
      </c>
      <c r="H162" t="s">
        <v>441</v>
      </c>
      <c r="L162" s="9">
        <v>45747</v>
      </c>
      <c r="M162" s="1">
        <v>64619</v>
      </c>
      <c r="N162" t="s">
        <v>197</v>
      </c>
    </row>
    <row r="163" spans="1:16" x14ac:dyDescent="0.3">
      <c r="A163" s="23">
        <v>161</v>
      </c>
      <c r="B163" s="23" t="s">
        <v>357</v>
      </c>
      <c r="C163" s="13" t="s">
        <v>462</v>
      </c>
      <c r="D163" s="23">
        <v>6</v>
      </c>
      <c r="E163" s="13" t="s">
        <v>267</v>
      </c>
      <c r="F163" s="13"/>
      <c r="G163" s="13" t="s">
        <v>417</v>
      </c>
      <c r="H163" s="13"/>
      <c r="I163" s="13"/>
      <c r="J163" s="13"/>
      <c r="K163" s="24"/>
      <c r="L163" s="13"/>
      <c r="M163" s="25"/>
      <c r="N163" s="13"/>
    </row>
    <row r="164" spans="1:16" x14ac:dyDescent="0.3">
      <c r="A164" s="19">
        <v>162</v>
      </c>
      <c r="B164" s="19" t="s">
        <v>357</v>
      </c>
      <c r="C164" t="s">
        <v>463</v>
      </c>
      <c r="D164" s="19">
        <v>8</v>
      </c>
      <c r="E164" s="26" t="s">
        <v>284</v>
      </c>
      <c r="F164" s="1"/>
      <c r="G164" s="1" t="s">
        <v>158</v>
      </c>
      <c r="K164" s="9">
        <v>42370</v>
      </c>
      <c r="L164" s="9">
        <v>46142</v>
      </c>
      <c r="M164" s="27">
        <v>1147</v>
      </c>
      <c r="N164" s="28" t="s">
        <v>464</v>
      </c>
      <c r="O164" s="29"/>
      <c r="P164" s="28"/>
    </row>
    <row r="165" spans="1:16" x14ac:dyDescent="0.3">
      <c r="A165" s="19">
        <v>163</v>
      </c>
      <c r="B165" s="19" t="s">
        <v>357</v>
      </c>
      <c r="C165" t="s">
        <v>465</v>
      </c>
      <c r="D165" s="19">
        <v>4</v>
      </c>
      <c r="E165" t="s">
        <v>466</v>
      </c>
      <c r="F165" s="1"/>
      <c r="G165" s="1" t="s">
        <v>158</v>
      </c>
      <c r="K165" s="9">
        <v>39814</v>
      </c>
      <c r="L165" s="9">
        <v>46142</v>
      </c>
      <c r="M165" s="1">
        <v>938</v>
      </c>
      <c r="N165" t="s">
        <v>464</v>
      </c>
    </row>
    <row r="166" spans="1:16" x14ac:dyDescent="0.3">
      <c r="A166" s="19">
        <v>164</v>
      </c>
      <c r="B166" s="19" t="s">
        <v>357</v>
      </c>
      <c r="C166" t="s">
        <v>467</v>
      </c>
      <c r="D166" s="19">
        <v>6</v>
      </c>
      <c r="E166" t="s">
        <v>284</v>
      </c>
      <c r="F166" s="1">
        <v>2</v>
      </c>
      <c r="G166" s="1" t="s">
        <v>417</v>
      </c>
      <c r="K166" s="9">
        <v>42005</v>
      </c>
      <c r="L166" s="9">
        <v>46173</v>
      </c>
      <c r="M166" s="1">
        <v>867</v>
      </c>
      <c r="N166" t="s">
        <v>464</v>
      </c>
    </row>
    <row r="167" spans="1:16" x14ac:dyDescent="0.3">
      <c r="A167" s="19">
        <v>165</v>
      </c>
      <c r="B167" s="19" t="s">
        <v>357</v>
      </c>
      <c r="C167" s="22" t="s">
        <v>468</v>
      </c>
      <c r="D167" s="19">
        <v>2</v>
      </c>
      <c r="E167" t="s">
        <v>284</v>
      </c>
      <c r="F167" s="1">
        <v>17</v>
      </c>
      <c r="G167" s="1" t="s">
        <v>417</v>
      </c>
      <c r="J167" t="s">
        <v>230</v>
      </c>
      <c r="K167" s="9">
        <v>42005</v>
      </c>
      <c r="L167" s="9">
        <v>46022</v>
      </c>
      <c r="M167" s="1">
        <v>308</v>
      </c>
      <c r="N167" t="s">
        <v>464</v>
      </c>
    </row>
    <row r="168" spans="1:16" x14ac:dyDescent="0.3">
      <c r="A168" s="19">
        <v>166</v>
      </c>
      <c r="B168" s="19" t="s">
        <v>357</v>
      </c>
      <c r="C168" t="s">
        <v>469</v>
      </c>
      <c r="D168" s="19">
        <v>1</v>
      </c>
      <c r="E168" t="s">
        <v>426</v>
      </c>
      <c r="F168" s="1"/>
      <c r="G168" s="1" t="s">
        <v>158</v>
      </c>
      <c r="J168" t="s">
        <v>154</v>
      </c>
      <c r="K168" s="9">
        <v>42005</v>
      </c>
      <c r="L168" s="9">
        <v>46022</v>
      </c>
      <c r="M168" s="1">
        <v>144</v>
      </c>
      <c r="N168" t="s">
        <v>464</v>
      </c>
    </row>
    <row r="169" spans="1:16" x14ac:dyDescent="0.3">
      <c r="A169" s="19">
        <v>167</v>
      </c>
      <c r="B169" s="19" t="s">
        <v>357</v>
      </c>
      <c r="C169" t="s">
        <v>470</v>
      </c>
      <c r="D169" s="19">
        <v>1</v>
      </c>
      <c r="E169" t="s">
        <v>426</v>
      </c>
      <c r="F169" s="1">
        <v>9</v>
      </c>
      <c r="G169" s="1" t="s">
        <v>417</v>
      </c>
      <c r="J169" t="s">
        <v>154</v>
      </c>
      <c r="K169" s="9">
        <v>42370</v>
      </c>
      <c r="L169" s="9">
        <v>46022</v>
      </c>
      <c r="M169" s="1">
        <v>1287</v>
      </c>
      <c r="N169" t="s">
        <v>464</v>
      </c>
    </row>
    <row r="170" spans="1:16" x14ac:dyDescent="0.3">
      <c r="A170" s="19">
        <v>168</v>
      </c>
      <c r="B170" s="19" t="s">
        <v>357</v>
      </c>
      <c r="C170" t="s">
        <v>471</v>
      </c>
      <c r="D170" s="19">
        <v>2</v>
      </c>
      <c r="E170" t="s">
        <v>284</v>
      </c>
      <c r="F170" s="1"/>
      <c r="G170" s="1" t="s">
        <v>186</v>
      </c>
      <c r="J170" t="s">
        <v>154</v>
      </c>
      <c r="K170" s="9">
        <v>42005</v>
      </c>
      <c r="L170" s="9">
        <v>46022</v>
      </c>
      <c r="M170" s="1">
        <v>144</v>
      </c>
      <c r="N170" t="s">
        <v>464</v>
      </c>
    </row>
    <row r="171" spans="1:16" x14ac:dyDescent="0.3">
      <c r="A171" s="19">
        <v>169</v>
      </c>
      <c r="B171" s="19" t="s">
        <v>357</v>
      </c>
      <c r="C171" t="s">
        <v>472</v>
      </c>
      <c r="D171" s="19">
        <v>2</v>
      </c>
      <c r="E171" t="s">
        <v>284</v>
      </c>
      <c r="F171" s="1"/>
      <c r="G171" s="1" t="s">
        <v>186</v>
      </c>
      <c r="J171" t="s">
        <v>154</v>
      </c>
      <c r="K171" s="9">
        <v>42005</v>
      </c>
      <c r="L171" s="9">
        <v>46022</v>
      </c>
      <c r="M171" s="1">
        <v>144</v>
      </c>
      <c r="N171" t="s">
        <v>464</v>
      </c>
    </row>
    <row r="172" spans="1:16" x14ac:dyDescent="0.3">
      <c r="A172" s="19">
        <v>170</v>
      </c>
      <c r="B172" s="19" t="s">
        <v>357</v>
      </c>
      <c r="C172" t="s">
        <v>473</v>
      </c>
      <c r="D172" s="19">
        <v>1</v>
      </c>
      <c r="E172" t="s">
        <v>426</v>
      </c>
      <c r="F172" s="1"/>
      <c r="G172" s="1" t="s">
        <v>186</v>
      </c>
      <c r="J172" t="s">
        <v>154</v>
      </c>
      <c r="K172" s="9">
        <v>42005</v>
      </c>
      <c r="L172" s="9">
        <v>46022</v>
      </c>
      <c r="M172" s="1">
        <v>144</v>
      </c>
      <c r="N172" t="s">
        <v>464</v>
      </c>
    </row>
    <row r="173" spans="1:16" x14ac:dyDescent="0.3">
      <c r="A173" s="19">
        <v>171</v>
      </c>
      <c r="B173" s="19" t="s">
        <v>357</v>
      </c>
      <c r="C173" t="s">
        <v>474</v>
      </c>
      <c r="D173" s="19">
        <v>2</v>
      </c>
      <c r="E173" t="s">
        <v>284</v>
      </c>
      <c r="F173" s="1"/>
      <c r="G173" s="1" t="s">
        <v>186</v>
      </c>
      <c r="J173" t="s">
        <v>154</v>
      </c>
      <c r="K173" s="9">
        <v>42005</v>
      </c>
      <c r="L173" s="9">
        <v>46022</v>
      </c>
      <c r="M173" s="1">
        <v>288</v>
      </c>
      <c r="N173" t="s">
        <v>464</v>
      </c>
    </row>
    <row r="174" spans="1:16" x14ac:dyDescent="0.3">
      <c r="A174" s="19">
        <v>172</v>
      </c>
      <c r="B174" s="19" t="s">
        <v>357</v>
      </c>
      <c r="C174" t="s">
        <v>475</v>
      </c>
      <c r="D174" s="19">
        <v>1</v>
      </c>
      <c r="E174" t="s">
        <v>426</v>
      </c>
      <c r="F174" s="1"/>
      <c r="G174" s="1" t="s">
        <v>186</v>
      </c>
      <c r="J174" t="s">
        <v>154</v>
      </c>
      <c r="K174" s="9">
        <v>42005</v>
      </c>
      <c r="L174" s="9">
        <v>46022</v>
      </c>
      <c r="M174" s="1">
        <v>144</v>
      </c>
      <c r="N174" t="s">
        <v>464</v>
      </c>
    </row>
    <row r="175" spans="1:16" x14ac:dyDescent="0.3">
      <c r="A175" s="19">
        <v>173</v>
      </c>
      <c r="B175" s="19" t="s">
        <v>357</v>
      </c>
      <c r="C175" t="s">
        <v>476</v>
      </c>
      <c r="D175" s="19">
        <v>2</v>
      </c>
      <c r="E175" t="s">
        <v>426</v>
      </c>
      <c r="F175" s="1"/>
      <c r="G175" s="1" t="s">
        <v>186</v>
      </c>
      <c r="J175" t="s">
        <v>154</v>
      </c>
      <c r="K175" s="9">
        <v>42005</v>
      </c>
      <c r="L175" s="9">
        <v>46022</v>
      </c>
      <c r="M175" s="1">
        <v>145</v>
      </c>
      <c r="N175" t="s">
        <v>464</v>
      </c>
    </row>
    <row r="176" spans="1:16" x14ac:dyDescent="0.3">
      <c r="A176" s="19">
        <v>174</v>
      </c>
      <c r="B176" s="19" t="s">
        <v>357</v>
      </c>
      <c r="C176" t="s">
        <v>477</v>
      </c>
      <c r="D176" s="19">
        <v>2</v>
      </c>
      <c r="E176" t="s">
        <v>284</v>
      </c>
      <c r="F176" s="1"/>
      <c r="G176" s="1" t="s">
        <v>186</v>
      </c>
      <c r="J176" t="s">
        <v>154</v>
      </c>
      <c r="K176" s="9">
        <v>42005</v>
      </c>
      <c r="L176" s="9">
        <v>46022</v>
      </c>
      <c r="M176" s="1">
        <v>288</v>
      </c>
      <c r="N176" t="s">
        <v>464</v>
      </c>
    </row>
    <row r="177" spans="1:14" x14ac:dyDescent="0.3">
      <c r="A177" s="19">
        <v>175</v>
      </c>
      <c r="B177" s="19" t="s">
        <v>357</v>
      </c>
      <c r="C177" t="s">
        <v>478</v>
      </c>
      <c r="D177" s="19">
        <v>1</v>
      </c>
      <c r="E177" t="s">
        <v>426</v>
      </c>
      <c r="F177" s="1"/>
      <c r="G177" s="1" t="s">
        <v>186</v>
      </c>
      <c r="J177" t="s">
        <v>154</v>
      </c>
      <c r="K177" s="9">
        <v>42005</v>
      </c>
      <c r="L177" s="9">
        <v>46022</v>
      </c>
      <c r="M177" s="1">
        <v>144</v>
      </c>
      <c r="N177" t="s">
        <v>464</v>
      </c>
    </row>
    <row r="178" spans="1:14" x14ac:dyDescent="0.3">
      <c r="A178" s="19">
        <v>176</v>
      </c>
      <c r="B178" s="19" t="s">
        <v>479</v>
      </c>
      <c r="C178" s="22" t="s">
        <v>480</v>
      </c>
      <c r="D178" s="19">
        <v>16</v>
      </c>
      <c r="E178" t="s">
        <v>284</v>
      </c>
      <c r="F178" s="1"/>
      <c r="G178" s="1" t="s">
        <v>417</v>
      </c>
      <c r="H178" t="s">
        <v>441</v>
      </c>
      <c r="J178" t="s">
        <v>230</v>
      </c>
      <c r="L178" s="9">
        <v>45747</v>
      </c>
      <c r="M178" s="1">
        <v>2840</v>
      </c>
      <c r="N178" t="s">
        <v>296</v>
      </c>
    </row>
    <row r="179" spans="1:14" x14ac:dyDescent="0.3">
      <c r="A179" s="19">
        <v>177</v>
      </c>
      <c r="B179" s="19" t="s">
        <v>481</v>
      </c>
      <c r="C179" s="22" t="s">
        <v>482</v>
      </c>
      <c r="D179" s="19">
        <v>9</v>
      </c>
      <c r="E179" t="s">
        <v>284</v>
      </c>
      <c r="F179" s="1"/>
      <c r="G179" s="1" t="s">
        <v>417</v>
      </c>
      <c r="H179" t="s">
        <v>441</v>
      </c>
      <c r="J179" t="s">
        <v>230</v>
      </c>
      <c r="L179" s="9">
        <v>45747</v>
      </c>
      <c r="M179" s="1">
        <v>512</v>
      </c>
      <c r="N179" t="s">
        <v>464</v>
      </c>
    </row>
    <row r="180" spans="1:14" x14ac:dyDescent="0.3">
      <c r="A180" s="19">
        <v>178</v>
      </c>
      <c r="B180" s="19" t="s">
        <v>481</v>
      </c>
      <c r="C180" s="22" t="s">
        <v>483</v>
      </c>
      <c r="D180" s="19">
        <v>6</v>
      </c>
      <c r="E180" t="s">
        <v>284</v>
      </c>
      <c r="F180" s="1"/>
      <c r="G180" s="1" t="s">
        <v>417</v>
      </c>
      <c r="J180" t="s">
        <v>230</v>
      </c>
      <c r="K180" s="9">
        <v>39903</v>
      </c>
      <c r="L180" s="9">
        <v>45747</v>
      </c>
      <c r="M180" s="1">
        <v>308</v>
      </c>
      <c r="N180" t="s">
        <v>464</v>
      </c>
    </row>
    <row r="181" spans="1:14" x14ac:dyDescent="0.3">
      <c r="A181" s="19">
        <v>179</v>
      </c>
      <c r="B181" s="19" t="s">
        <v>481</v>
      </c>
      <c r="C181" s="22" t="s">
        <v>484</v>
      </c>
      <c r="D181" s="19">
        <v>4</v>
      </c>
      <c r="E181" t="s">
        <v>284</v>
      </c>
      <c r="F181" s="1"/>
      <c r="G181" s="1" t="s">
        <v>417</v>
      </c>
      <c r="J181" t="s">
        <v>230</v>
      </c>
      <c r="L181" s="9">
        <v>45747</v>
      </c>
      <c r="M181" s="1">
        <v>25</v>
      </c>
      <c r="N181" t="s">
        <v>464</v>
      </c>
    </row>
    <row r="182" spans="1:14" x14ac:dyDescent="0.3">
      <c r="A182" s="19">
        <v>180</v>
      </c>
      <c r="B182" s="19" t="s">
        <v>481</v>
      </c>
      <c r="C182" t="s">
        <v>485</v>
      </c>
      <c r="D182" s="19">
        <v>4</v>
      </c>
      <c r="E182" t="s">
        <v>284</v>
      </c>
      <c r="G182" s="1" t="s">
        <v>186</v>
      </c>
      <c r="J182" t="s">
        <v>154</v>
      </c>
      <c r="K182" s="9">
        <v>43466</v>
      </c>
      <c r="L182" s="9">
        <v>46022</v>
      </c>
      <c r="M182" s="1">
        <v>91</v>
      </c>
      <c r="N182" t="s">
        <v>464</v>
      </c>
    </row>
    <row r="183" spans="1:14" x14ac:dyDescent="0.3">
      <c r="A183" s="19">
        <v>181</v>
      </c>
      <c r="B183" s="19" t="s">
        <v>481</v>
      </c>
      <c r="C183" t="s">
        <v>486</v>
      </c>
      <c r="D183" s="19">
        <v>6</v>
      </c>
      <c r="E183" t="s">
        <v>284</v>
      </c>
      <c r="G183" s="1" t="s">
        <v>186</v>
      </c>
      <c r="J183" t="s">
        <v>154</v>
      </c>
      <c r="K183" s="9">
        <v>43466</v>
      </c>
      <c r="L183" s="9">
        <v>46022</v>
      </c>
      <c r="M183" s="1">
        <v>91</v>
      </c>
      <c r="N183" t="s">
        <v>464</v>
      </c>
    </row>
    <row r="184" spans="1:14" x14ac:dyDescent="0.3">
      <c r="A184" s="19">
        <v>182</v>
      </c>
      <c r="B184" s="19" t="s">
        <v>481</v>
      </c>
      <c r="C184" s="22" t="s">
        <v>487</v>
      </c>
      <c r="D184" s="19">
        <v>1</v>
      </c>
      <c r="E184" t="s">
        <v>426</v>
      </c>
      <c r="G184" s="1" t="s">
        <v>417</v>
      </c>
      <c r="J184" t="s">
        <v>154</v>
      </c>
      <c r="K184" s="9">
        <v>43466</v>
      </c>
      <c r="L184" s="9">
        <v>46022</v>
      </c>
      <c r="M184" s="1">
        <v>114</v>
      </c>
      <c r="N184" t="s">
        <v>464</v>
      </c>
    </row>
    <row r="185" spans="1:14" x14ac:dyDescent="0.3">
      <c r="A185" s="19">
        <v>183</v>
      </c>
      <c r="B185" s="19" t="s">
        <v>451</v>
      </c>
      <c r="C185" s="22" t="s">
        <v>488</v>
      </c>
      <c r="D185" s="19">
        <v>6</v>
      </c>
      <c r="E185" t="s">
        <v>284</v>
      </c>
      <c r="G185" s="1" t="s">
        <v>417</v>
      </c>
      <c r="J185" t="s">
        <v>230</v>
      </c>
      <c r="K185" s="9">
        <v>42094</v>
      </c>
      <c r="L185" s="9">
        <v>45747</v>
      </c>
      <c r="M185" s="1">
        <v>242</v>
      </c>
      <c r="N185" t="s">
        <v>464</v>
      </c>
    </row>
    <row r="186" spans="1:14" x14ac:dyDescent="0.3">
      <c r="A186" s="19">
        <v>184</v>
      </c>
      <c r="B186" s="19" t="s">
        <v>260</v>
      </c>
      <c r="C186" s="22" t="s">
        <v>489</v>
      </c>
      <c r="D186" s="19">
        <v>10</v>
      </c>
      <c r="E186" t="s">
        <v>284</v>
      </c>
      <c r="G186" s="1" t="s">
        <v>417</v>
      </c>
      <c r="J186" t="s">
        <v>154</v>
      </c>
      <c r="K186" s="9">
        <v>44197</v>
      </c>
      <c r="L186" s="9">
        <v>46112</v>
      </c>
      <c r="M186" s="1">
        <v>865</v>
      </c>
      <c r="N186" t="s">
        <v>464</v>
      </c>
    </row>
    <row r="187" spans="1:14" x14ac:dyDescent="0.3">
      <c r="A187" s="19">
        <v>185</v>
      </c>
      <c r="B187" s="19" t="s">
        <v>260</v>
      </c>
      <c r="C187" s="22" t="s">
        <v>490</v>
      </c>
      <c r="D187" s="19">
        <v>1</v>
      </c>
      <c r="E187" t="s">
        <v>426</v>
      </c>
      <c r="G187" s="1" t="s">
        <v>417</v>
      </c>
      <c r="J187" t="s">
        <v>154</v>
      </c>
      <c r="K187" s="9">
        <v>42675</v>
      </c>
      <c r="L187" s="9">
        <v>46112</v>
      </c>
      <c r="M187" s="1">
        <v>117</v>
      </c>
      <c r="N187" t="s">
        <v>464</v>
      </c>
    </row>
    <row r="188" spans="1:14" x14ac:dyDescent="0.3">
      <c r="A188" s="19">
        <v>186</v>
      </c>
      <c r="B188" s="19" t="s">
        <v>260</v>
      </c>
      <c r="C188" s="22" t="s">
        <v>491</v>
      </c>
      <c r="D188" s="19">
        <v>1</v>
      </c>
      <c r="E188" t="s">
        <v>426</v>
      </c>
      <c r="G188" s="1" t="s">
        <v>417</v>
      </c>
      <c r="J188" t="s">
        <v>154</v>
      </c>
      <c r="K188" s="9">
        <v>42675</v>
      </c>
      <c r="L188" s="9">
        <v>46112</v>
      </c>
      <c r="M188" s="1">
        <v>117</v>
      </c>
      <c r="N188" t="s">
        <v>464</v>
      </c>
    </row>
    <row r="189" spans="1:14" x14ac:dyDescent="0.3">
      <c r="A189" s="19">
        <v>187</v>
      </c>
      <c r="B189" s="19" t="s">
        <v>260</v>
      </c>
      <c r="C189" s="22" t="s">
        <v>492</v>
      </c>
      <c r="D189" s="19">
        <v>1</v>
      </c>
      <c r="E189" t="s">
        <v>426</v>
      </c>
      <c r="G189" s="1" t="s">
        <v>417</v>
      </c>
      <c r="J189" t="s">
        <v>154</v>
      </c>
      <c r="K189" s="9">
        <v>42675</v>
      </c>
      <c r="L189" s="9">
        <v>46112</v>
      </c>
      <c r="M189" s="1">
        <v>117</v>
      </c>
      <c r="N189" t="s">
        <v>464</v>
      </c>
    </row>
    <row r="190" spans="1:14" x14ac:dyDescent="0.3">
      <c r="A190" s="19">
        <v>188</v>
      </c>
      <c r="B190" s="19" t="s">
        <v>260</v>
      </c>
      <c r="C190" s="22" t="s">
        <v>493</v>
      </c>
      <c r="D190" s="19">
        <v>2</v>
      </c>
      <c r="E190" t="s">
        <v>284</v>
      </c>
      <c r="G190" s="1" t="s">
        <v>417</v>
      </c>
      <c r="J190" t="s">
        <v>154</v>
      </c>
      <c r="K190" s="9">
        <v>41640</v>
      </c>
      <c r="L190" s="9">
        <v>46112</v>
      </c>
      <c r="M190" s="1">
        <v>296</v>
      </c>
      <c r="N190" t="s">
        <v>464</v>
      </c>
    </row>
    <row r="191" spans="1:14" x14ac:dyDescent="0.3">
      <c r="A191" s="19">
        <v>189</v>
      </c>
      <c r="B191" s="19" t="s">
        <v>260</v>
      </c>
      <c r="C191" s="22" t="s">
        <v>494</v>
      </c>
      <c r="D191" s="19">
        <v>2</v>
      </c>
      <c r="E191" t="s">
        <v>284</v>
      </c>
      <c r="G191" s="1" t="s">
        <v>417</v>
      </c>
      <c r="J191" t="s">
        <v>154</v>
      </c>
      <c r="K191" s="9">
        <v>42675</v>
      </c>
      <c r="L191" s="9">
        <v>46112</v>
      </c>
      <c r="M191" s="1">
        <v>256</v>
      </c>
      <c r="N191" t="s">
        <v>464</v>
      </c>
    </row>
    <row r="192" spans="1:14" x14ac:dyDescent="0.3">
      <c r="A192" s="19">
        <v>190</v>
      </c>
      <c r="B192" s="19" t="s">
        <v>455</v>
      </c>
      <c r="C192" t="s">
        <v>495</v>
      </c>
      <c r="D192" s="19">
        <v>4</v>
      </c>
      <c r="E192" t="s">
        <v>284</v>
      </c>
      <c r="G192" s="1" t="s">
        <v>186</v>
      </c>
      <c r="J192" t="s">
        <v>154</v>
      </c>
      <c r="K192" s="9">
        <v>43101</v>
      </c>
      <c r="L192" s="9">
        <v>46022</v>
      </c>
      <c r="M192" s="1">
        <v>104</v>
      </c>
      <c r="N192" t="s">
        <v>464</v>
      </c>
    </row>
    <row r="193" spans="1:14" x14ac:dyDescent="0.3">
      <c r="A193" s="19">
        <v>191</v>
      </c>
      <c r="B193" s="19" t="s">
        <v>455</v>
      </c>
      <c r="C193" t="s">
        <v>496</v>
      </c>
      <c r="D193" s="19">
        <v>6</v>
      </c>
      <c r="E193" t="s">
        <v>284</v>
      </c>
      <c r="G193" s="1" t="s">
        <v>186</v>
      </c>
      <c r="J193" t="s">
        <v>154</v>
      </c>
      <c r="K193" s="9">
        <v>43101</v>
      </c>
      <c r="L193" s="9">
        <v>46022</v>
      </c>
      <c r="M193" s="1">
        <v>104</v>
      </c>
      <c r="N193" t="s">
        <v>464</v>
      </c>
    </row>
    <row r="194" spans="1:14" x14ac:dyDescent="0.3">
      <c r="A194" s="19">
        <v>192</v>
      </c>
      <c r="B194" s="19" t="s">
        <v>455</v>
      </c>
      <c r="C194" s="22" t="s">
        <v>497</v>
      </c>
      <c r="D194" s="19">
        <v>1</v>
      </c>
      <c r="E194" t="s">
        <v>426</v>
      </c>
      <c r="G194" s="1" t="s">
        <v>417</v>
      </c>
      <c r="J194" t="s">
        <v>154</v>
      </c>
      <c r="K194" s="9">
        <v>43101</v>
      </c>
      <c r="L194" s="9">
        <v>46022</v>
      </c>
      <c r="M194" s="1">
        <v>157</v>
      </c>
      <c r="N194" t="s">
        <v>464</v>
      </c>
    </row>
    <row r="195" spans="1:14" x14ac:dyDescent="0.3">
      <c r="A195" s="19">
        <v>193</v>
      </c>
      <c r="B195" s="19" t="s">
        <v>498</v>
      </c>
      <c r="C195" t="s">
        <v>499</v>
      </c>
      <c r="D195" s="19">
        <v>5</v>
      </c>
      <c r="E195" t="s">
        <v>284</v>
      </c>
      <c r="G195" s="1" t="s">
        <v>417</v>
      </c>
      <c r="H195" t="s">
        <v>441</v>
      </c>
      <c r="J195" t="s">
        <v>295</v>
      </c>
      <c r="K195" s="9">
        <v>45292</v>
      </c>
      <c r="L195" s="9">
        <v>45777</v>
      </c>
      <c r="M195" s="1">
        <v>33502</v>
      </c>
      <c r="N195" t="s">
        <v>500</v>
      </c>
    </row>
    <row r="196" spans="1:14" x14ac:dyDescent="0.3">
      <c r="A196" s="19">
        <v>194</v>
      </c>
      <c r="G196" s="1"/>
    </row>
    <row r="197" spans="1:14" x14ac:dyDescent="0.3">
      <c r="A197" s="19">
        <v>195</v>
      </c>
      <c r="G197" s="1"/>
    </row>
    <row r="198" spans="1:14" x14ac:dyDescent="0.3">
      <c r="A198" s="19">
        <v>196</v>
      </c>
      <c r="G198" s="1"/>
      <c r="K198" s="9" t="s">
        <v>501</v>
      </c>
    </row>
    <row r="199" spans="1:14" x14ac:dyDescent="0.3">
      <c r="A199" s="19">
        <v>197</v>
      </c>
      <c r="G199" s="1"/>
    </row>
    <row r="200" spans="1:14" x14ac:dyDescent="0.3">
      <c r="A200" s="19">
        <v>198</v>
      </c>
      <c r="G200" s="1"/>
    </row>
    <row r="201" spans="1:14" x14ac:dyDescent="0.3">
      <c r="G201" s="1"/>
    </row>
    <row r="202" spans="1:14" x14ac:dyDescent="0.3">
      <c r="G202" s="1"/>
    </row>
    <row r="203" spans="1:14" x14ac:dyDescent="0.3">
      <c r="D203" s="26"/>
      <c r="E203" s="1"/>
      <c r="G203" s="1"/>
    </row>
    <row r="204" spans="1:14" x14ac:dyDescent="0.3">
      <c r="D204" s="26"/>
      <c r="E204" s="1"/>
      <c r="G204" s="1"/>
    </row>
    <row r="205" spans="1:14" x14ac:dyDescent="0.3">
      <c r="D205" s="26"/>
      <c r="E205" s="1"/>
      <c r="G205" s="1"/>
    </row>
    <row r="206" spans="1:14" x14ac:dyDescent="0.3">
      <c r="D206" s="26"/>
      <c r="E206" s="1"/>
      <c r="G206" s="1"/>
    </row>
    <row r="207" spans="1:14" x14ac:dyDescent="0.3">
      <c r="D207" s="26"/>
      <c r="E207" s="3"/>
      <c r="G207" s="1"/>
    </row>
    <row r="208" spans="1:14" ht="15" thickBot="1" x14ac:dyDescent="0.35">
      <c r="D208" s="26"/>
      <c r="G208" s="1"/>
    </row>
    <row r="209" spans="3:13" ht="15" thickBot="1" x14ac:dyDescent="0.35">
      <c r="D209" s="26"/>
      <c r="E209" s="1"/>
      <c r="G209" s="1"/>
      <c r="M209" s="30">
        <f>SUM(M3:M208)</f>
        <v>43816205</v>
      </c>
    </row>
    <row r="210" spans="3:13" x14ac:dyDescent="0.3">
      <c r="D210" s="26"/>
      <c r="E210" s="1"/>
      <c r="G210" s="1"/>
    </row>
    <row r="211" spans="3:13" x14ac:dyDescent="0.3">
      <c r="D211" s="26"/>
      <c r="E211" s="1"/>
      <c r="G211" s="1"/>
    </row>
    <row r="212" spans="3:13" x14ac:dyDescent="0.3">
      <c r="D212" s="26"/>
      <c r="E212" s="1"/>
      <c r="G212" s="1"/>
    </row>
    <row r="213" spans="3:13" x14ac:dyDescent="0.3">
      <c r="C213" s="2"/>
      <c r="D213" s="26"/>
      <c r="E213" s="1"/>
      <c r="G213" s="1"/>
    </row>
    <row r="214" spans="3:13" x14ac:dyDescent="0.3">
      <c r="D214" s="31"/>
      <c r="E214" s="1"/>
      <c r="G214" s="1"/>
    </row>
    <row r="215" spans="3:13" x14ac:dyDescent="0.3">
      <c r="D215" s="26"/>
      <c r="E215" s="1"/>
    </row>
    <row r="216" spans="3:13" x14ac:dyDescent="0.3">
      <c r="D216" s="26"/>
      <c r="E216" s="1"/>
    </row>
    <row r="217" spans="3:13" x14ac:dyDescent="0.3">
      <c r="D217" s="26"/>
      <c r="E217" s="1"/>
    </row>
    <row r="218" spans="3:13" x14ac:dyDescent="0.3">
      <c r="D218" s="26"/>
      <c r="E218" s="1"/>
    </row>
    <row r="219" spans="3:13" x14ac:dyDescent="0.3">
      <c r="D219" s="26"/>
      <c r="E219" s="1"/>
    </row>
    <row r="220" spans="3:13" x14ac:dyDescent="0.3">
      <c r="D220" s="26"/>
      <c r="E220" s="1"/>
    </row>
    <row r="221" spans="3:13" x14ac:dyDescent="0.3">
      <c r="C221" s="2"/>
      <c r="D221" s="2"/>
      <c r="E221" s="3"/>
    </row>
  </sheetData>
  <hyperlinks>
    <hyperlink ref="A1" location="GENERAL!A1" display="Menu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8"/>
  <sheetViews>
    <sheetView workbookViewId="0">
      <selection activeCell="E23" sqref="E23"/>
    </sheetView>
  </sheetViews>
  <sheetFormatPr baseColWidth="10" defaultRowHeight="14.4" x14ac:dyDescent="0.3"/>
  <cols>
    <col min="2" max="2" width="11.5546875" style="4"/>
    <col min="3" max="3" width="5.109375" customWidth="1"/>
    <col min="4" max="4" width="6.21875" customWidth="1"/>
    <col min="5" max="5" width="64.5546875" customWidth="1"/>
    <col min="6" max="6" width="3.109375" customWidth="1"/>
    <col min="7" max="7" width="3.21875" customWidth="1"/>
  </cols>
  <sheetData>
    <row r="2" spans="2:6" x14ac:dyDescent="0.3">
      <c r="E2" s="2" t="s">
        <v>502</v>
      </c>
    </row>
    <row r="4" spans="2:6" x14ac:dyDescent="0.3">
      <c r="B4" s="4">
        <v>1</v>
      </c>
      <c r="C4" s="13">
        <v>8</v>
      </c>
      <c r="D4" t="s">
        <v>163</v>
      </c>
      <c r="E4" t="s">
        <v>164</v>
      </c>
      <c r="F4" s="13">
        <v>1</v>
      </c>
    </row>
    <row r="5" spans="2:6" x14ac:dyDescent="0.3">
      <c r="B5" s="4">
        <v>2</v>
      </c>
      <c r="C5" s="13">
        <v>9</v>
      </c>
      <c r="D5" t="s">
        <v>169</v>
      </c>
      <c r="E5" t="s">
        <v>170</v>
      </c>
      <c r="F5" s="13">
        <v>1</v>
      </c>
    </row>
    <row r="6" spans="2:6" x14ac:dyDescent="0.3">
      <c r="B6" s="4">
        <v>3</v>
      </c>
      <c r="C6" s="13">
        <v>13</v>
      </c>
      <c r="D6" t="s">
        <v>193</v>
      </c>
      <c r="E6" t="s">
        <v>194</v>
      </c>
      <c r="F6" s="13">
        <v>4</v>
      </c>
    </row>
    <row r="7" spans="2:6" x14ac:dyDescent="0.3">
      <c r="B7" s="4">
        <v>4</v>
      </c>
      <c r="C7" s="13">
        <v>14</v>
      </c>
      <c r="D7" t="s">
        <v>193</v>
      </c>
      <c r="E7" t="s">
        <v>198</v>
      </c>
      <c r="F7" s="13">
        <v>4</v>
      </c>
    </row>
    <row r="8" spans="2:6" x14ac:dyDescent="0.3">
      <c r="B8" s="4">
        <v>5</v>
      </c>
      <c r="C8" s="13">
        <v>24</v>
      </c>
      <c r="D8" t="s">
        <v>200</v>
      </c>
      <c r="E8" t="s">
        <v>221</v>
      </c>
      <c r="F8" s="13">
        <v>4</v>
      </c>
    </row>
    <row r="9" spans="2:6" x14ac:dyDescent="0.3">
      <c r="B9" s="4">
        <v>6</v>
      </c>
      <c r="C9" s="13">
        <v>25</v>
      </c>
      <c r="D9" t="s">
        <v>200</v>
      </c>
      <c r="E9" t="s">
        <v>225</v>
      </c>
      <c r="F9" s="13">
        <v>4</v>
      </c>
    </row>
    <row r="10" spans="2:6" x14ac:dyDescent="0.3">
      <c r="B10" s="4">
        <v>7</v>
      </c>
      <c r="C10">
        <v>30</v>
      </c>
      <c r="D10" t="s">
        <v>239</v>
      </c>
      <c r="E10" t="s">
        <v>240</v>
      </c>
    </row>
    <row r="11" spans="2:6" x14ac:dyDescent="0.3">
      <c r="B11" s="4">
        <v>8</v>
      </c>
      <c r="C11">
        <v>31</v>
      </c>
      <c r="D11" t="s">
        <v>200</v>
      </c>
      <c r="E11" t="s">
        <v>243</v>
      </c>
    </row>
    <row r="12" spans="2:6" x14ac:dyDescent="0.3">
      <c r="B12" s="4">
        <v>9</v>
      </c>
      <c r="C12">
        <v>33</v>
      </c>
      <c r="D12" t="s">
        <v>149</v>
      </c>
      <c r="E12" t="s">
        <v>249</v>
      </c>
    </row>
    <row r="13" spans="2:6" x14ac:dyDescent="0.3">
      <c r="B13" s="4">
        <v>10</v>
      </c>
      <c r="C13" s="13">
        <v>38</v>
      </c>
      <c r="D13" t="s">
        <v>149</v>
      </c>
      <c r="E13" t="s">
        <v>262</v>
      </c>
      <c r="F13" s="13">
        <v>1</v>
      </c>
    </row>
    <row r="14" spans="2:6" x14ac:dyDescent="0.3">
      <c r="B14" s="4">
        <v>11</v>
      </c>
      <c r="C14" s="13">
        <v>43</v>
      </c>
      <c r="D14" t="s">
        <v>254</v>
      </c>
      <c r="E14" t="s">
        <v>278</v>
      </c>
      <c r="F14" s="13">
        <v>1</v>
      </c>
    </row>
    <row r="15" spans="2:6" x14ac:dyDescent="0.3">
      <c r="B15" s="4">
        <v>12</v>
      </c>
      <c r="C15">
        <v>48</v>
      </c>
      <c r="D15" t="s">
        <v>254</v>
      </c>
      <c r="E15" t="s">
        <v>289</v>
      </c>
    </row>
    <row r="16" spans="2:6" x14ac:dyDescent="0.3">
      <c r="B16" s="4">
        <v>13</v>
      </c>
      <c r="C16">
        <v>49</v>
      </c>
      <c r="D16" t="s">
        <v>254</v>
      </c>
      <c r="E16" t="s">
        <v>290</v>
      </c>
    </row>
    <row r="17" spans="2:6" x14ac:dyDescent="0.3">
      <c r="B17" s="4">
        <v>14</v>
      </c>
      <c r="C17" s="13">
        <v>53</v>
      </c>
      <c r="D17" t="s">
        <v>292</v>
      </c>
      <c r="E17" t="s">
        <v>298</v>
      </c>
      <c r="F17" s="13">
        <v>1</v>
      </c>
    </row>
    <row r="18" spans="2:6" x14ac:dyDescent="0.3">
      <c r="B18" s="4">
        <v>15</v>
      </c>
      <c r="C18" s="13">
        <v>56</v>
      </c>
      <c r="D18" t="s">
        <v>292</v>
      </c>
      <c r="E18" t="s">
        <v>301</v>
      </c>
      <c r="F18" s="13">
        <v>1</v>
      </c>
    </row>
    <row r="19" spans="2:6" x14ac:dyDescent="0.3">
      <c r="B19" s="4">
        <v>16</v>
      </c>
      <c r="C19" s="13">
        <v>57</v>
      </c>
      <c r="D19" t="s">
        <v>292</v>
      </c>
      <c r="E19" t="s">
        <v>302</v>
      </c>
      <c r="F19" s="13">
        <v>1</v>
      </c>
    </row>
    <row r="20" spans="2:6" x14ac:dyDescent="0.3">
      <c r="B20" s="4">
        <v>17</v>
      </c>
      <c r="C20" s="13">
        <v>72</v>
      </c>
      <c r="D20" t="s">
        <v>292</v>
      </c>
      <c r="E20" t="s">
        <v>317</v>
      </c>
      <c r="F20" s="13">
        <v>1</v>
      </c>
    </row>
    <row r="21" spans="2:6" x14ac:dyDescent="0.3">
      <c r="B21" s="4">
        <v>18</v>
      </c>
      <c r="C21" s="13">
        <v>75</v>
      </c>
      <c r="D21" t="s">
        <v>292</v>
      </c>
      <c r="E21" t="s">
        <v>320</v>
      </c>
      <c r="F21" s="13">
        <v>1</v>
      </c>
    </row>
    <row r="22" spans="2:6" x14ac:dyDescent="0.3">
      <c r="B22" s="4">
        <v>19</v>
      </c>
      <c r="C22">
        <v>85</v>
      </c>
      <c r="D22" t="s">
        <v>331</v>
      </c>
      <c r="E22" t="s">
        <v>332</v>
      </c>
    </row>
    <row r="23" spans="2:6" x14ac:dyDescent="0.3">
      <c r="B23" s="4">
        <v>20</v>
      </c>
      <c r="C23">
        <v>86</v>
      </c>
      <c r="D23" t="s">
        <v>334</v>
      </c>
      <c r="E23" t="s">
        <v>335</v>
      </c>
    </row>
    <row r="24" spans="2:6" x14ac:dyDescent="0.3">
      <c r="B24" s="4">
        <v>21</v>
      </c>
      <c r="C24">
        <v>87</v>
      </c>
      <c r="D24" t="s">
        <v>334</v>
      </c>
      <c r="E24" t="s">
        <v>338</v>
      </c>
    </row>
    <row r="25" spans="2:6" x14ac:dyDescent="0.3">
      <c r="B25" s="4">
        <v>22</v>
      </c>
      <c r="C25">
        <v>88</v>
      </c>
      <c r="D25" t="s">
        <v>334</v>
      </c>
      <c r="E25" t="s">
        <v>341</v>
      </c>
    </row>
    <row r="26" spans="2:6" x14ac:dyDescent="0.3">
      <c r="B26" s="4">
        <v>23</v>
      </c>
      <c r="C26">
        <v>89</v>
      </c>
      <c r="D26" t="s">
        <v>344</v>
      </c>
      <c r="E26" t="s">
        <v>345</v>
      </c>
    </row>
    <row r="27" spans="2:6" x14ac:dyDescent="0.3">
      <c r="B27" s="4">
        <v>24</v>
      </c>
      <c r="C27">
        <v>90</v>
      </c>
      <c r="D27" t="s">
        <v>344</v>
      </c>
      <c r="E27" t="s">
        <v>347</v>
      </c>
    </row>
    <row r="28" spans="2:6" x14ac:dyDescent="0.3">
      <c r="B28" s="4">
        <v>25</v>
      </c>
      <c r="C28">
        <v>91</v>
      </c>
      <c r="D28" t="s">
        <v>257</v>
      </c>
      <c r="E28" t="s">
        <v>348</v>
      </c>
    </row>
    <row r="29" spans="2:6" x14ac:dyDescent="0.3">
      <c r="B29" s="4">
        <v>26</v>
      </c>
      <c r="C29">
        <v>92</v>
      </c>
      <c r="D29" t="s">
        <v>257</v>
      </c>
      <c r="E29" t="s">
        <v>352</v>
      </c>
    </row>
    <row r="30" spans="2:6" x14ac:dyDescent="0.3">
      <c r="B30" s="4">
        <v>27</v>
      </c>
      <c r="C30">
        <v>93</v>
      </c>
      <c r="D30" t="s">
        <v>257</v>
      </c>
      <c r="E30" t="s">
        <v>353</v>
      </c>
    </row>
    <row r="31" spans="2:6" x14ac:dyDescent="0.3">
      <c r="B31" s="4">
        <v>28</v>
      </c>
      <c r="C31">
        <v>100</v>
      </c>
      <c r="D31" t="s">
        <v>254</v>
      </c>
      <c r="E31" t="s">
        <v>364</v>
      </c>
    </row>
    <row r="32" spans="2:6" x14ac:dyDescent="0.3">
      <c r="B32" s="4">
        <v>29</v>
      </c>
      <c r="C32">
        <v>101</v>
      </c>
      <c r="D32" t="s">
        <v>254</v>
      </c>
      <c r="E32" t="s">
        <v>365</v>
      </c>
    </row>
    <row r="33" spans="2:7" x14ac:dyDescent="0.3">
      <c r="B33" s="4">
        <v>30</v>
      </c>
      <c r="C33">
        <v>109</v>
      </c>
      <c r="D33" t="s">
        <v>376</v>
      </c>
      <c r="E33" t="s">
        <v>377</v>
      </c>
    </row>
    <row r="34" spans="2:7" x14ac:dyDescent="0.3">
      <c r="B34" s="4">
        <v>31</v>
      </c>
      <c r="C34">
        <v>110</v>
      </c>
      <c r="D34" t="s">
        <v>376</v>
      </c>
      <c r="E34" t="s">
        <v>383</v>
      </c>
    </row>
    <row r="35" spans="2:7" x14ac:dyDescent="0.3">
      <c r="B35" s="4">
        <v>32</v>
      </c>
      <c r="C35">
        <v>111</v>
      </c>
      <c r="D35" t="s">
        <v>376</v>
      </c>
      <c r="E35" t="s">
        <v>385</v>
      </c>
    </row>
    <row r="36" spans="2:7" x14ac:dyDescent="0.3">
      <c r="B36" s="4">
        <v>33</v>
      </c>
      <c r="C36">
        <v>129</v>
      </c>
      <c r="D36" t="s">
        <v>200</v>
      </c>
      <c r="E36" t="s">
        <v>418</v>
      </c>
    </row>
    <row r="37" spans="2:7" x14ac:dyDescent="0.3">
      <c r="B37" s="4">
        <v>34</v>
      </c>
      <c r="C37" s="13">
        <v>130</v>
      </c>
      <c r="D37" t="s">
        <v>149</v>
      </c>
      <c r="E37" t="s">
        <v>419</v>
      </c>
      <c r="F37" s="13">
        <v>1</v>
      </c>
    </row>
    <row r="38" spans="2:7" x14ac:dyDescent="0.3">
      <c r="B38" s="4">
        <v>35</v>
      </c>
      <c r="C38">
        <v>131</v>
      </c>
      <c r="D38" t="s">
        <v>193</v>
      </c>
      <c r="E38" t="s">
        <v>420</v>
      </c>
    </row>
    <row r="39" spans="2:7" x14ac:dyDescent="0.3">
      <c r="B39" s="4">
        <v>36</v>
      </c>
      <c r="C39">
        <v>132</v>
      </c>
      <c r="D39" t="s">
        <v>421</v>
      </c>
      <c r="E39" t="s">
        <v>422</v>
      </c>
    </row>
    <row r="40" spans="2:7" x14ac:dyDescent="0.3">
      <c r="B40" s="4">
        <v>37</v>
      </c>
      <c r="C40">
        <v>134</v>
      </c>
      <c r="D40" t="s">
        <v>421</v>
      </c>
      <c r="E40" t="s">
        <v>425</v>
      </c>
    </row>
    <row r="41" spans="2:7" x14ac:dyDescent="0.3">
      <c r="B41" s="4">
        <v>38</v>
      </c>
      <c r="C41">
        <v>135</v>
      </c>
      <c r="D41" t="s">
        <v>421</v>
      </c>
      <c r="E41" t="s">
        <v>427</v>
      </c>
    </row>
    <row r="42" spans="2:7" x14ac:dyDescent="0.3">
      <c r="B42" s="4">
        <v>39</v>
      </c>
      <c r="C42">
        <v>136</v>
      </c>
      <c r="D42" t="s">
        <v>421</v>
      </c>
      <c r="E42" t="s">
        <v>428</v>
      </c>
    </row>
    <row r="43" spans="2:7" x14ac:dyDescent="0.3">
      <c r="B43" s="4">
        <v>40</v>
      </c>
      <c r="C43">
        <v>137</v>
      </c>
      <c r="D43" t="s">
        <v>429</v>
      </c>
      <c r="E43" t="s">
        <v>430</v>
      </c>
    </row>
    <row r="44" spans="2:7" x14ac:dyDescent="0.3">
      <c r="B44" s="4">
        <v>41</v>
      </c>
      <c r="C44" s="13">
        <v>142</v>
      </c>
      <c r="D44" t="s">
        <v>429</v>
      </c>
      <c r="E44" t="s">
        <v>437</v>
      </c>
      <c r="F44" s="13">
        <v>1</v>
      </c>
      <c r="G44" s="13">
        <v>5</v>
      </c>
    </row>
    <row r="45" spans="2:7" x14ac:dyDescent="0.3">
      <c r="B45" s="4">
        <v>42</v>
      </c>
      <c r="C45">
        <v>144</v>
      </c>
      <c r="D45" t="s">
        <v>331</v>
      </c>
      <c r="E45" t="s">
        <v>440</v>
      </c>
    </row>
    <row r="46" spans="2:7" x14ac:dyDescent="0.3">
      <c r="B46" s="4">
        <v>43</v>
      </c>
      <c r="C46">
        <v>145</v>
      </c>
      <c r="D46" t="s">
        <v>331</v>
      </c>
      <c r="E46" t="s">
        <v>442</v>
      </c>
    </row>
    <row r="47" spans="2:7" x14ac:dyDescent="0.3">
      <c r="B47" s="4">
        <v>44</v>
      </c>
      <c r="C47">
        <v>146</v>
      </c>
      <c r="D47" t="s">
        <v>443</v>
      </c>
      <c r="E47" t="s">
        <v>444</v>
      </c>
    </row>
    <row r="48" spans="2:7" x14ac:dyDescent="0.3">
      <c r="B48" s="4">
        <v>45</v>
      </c>
      <c r="C48">
        <v>147</v>
      </c>
      <c r="D48" t="s">
        <v>443</v>
      </c>
      <c r="E48" t="s">
        <v>445</v>
      </c>
    </row>
    <row r="49" spans="2:5" x14ac:dyDescent="0.3">
      <c r="B49" s="4">
        <v>46</v>
      </c>
      <c r="C49">
        <v>148</v>
      </c>
      <c r="D49" t="s">
        <v>443</v>
      </c>
      <c r="E49" t="s">
        <v>446</v>
      </c>
    </row>
    <row r="50" spans="2:5" x14ac:dyDescent="0.3">
      <c r="B50" s="4">
        <v>47</v>
      </c>
      <c r="C50">
        <v>151</v>
      </c>
      <c r="D50" t="s">
        <v>254</v>
      </c>
      <c r="E50" t="s">
        <v>449</v>
      </c>
    </row>
    <row r="51" spans="2:5" x14ac:dyDescent="0.3">
      <c r="B51" s="4">
        <v>48</v>
      </c>
      <c r="C51">
        <v>152</v>
      </c>
      <c r="D51" t="s">
        <v>260</v>
      </c>
      <c r="E51" t="s">
        <v>450</v>
      </c>
    </row>
    <row r="52" spans="2:5" x14ac:dyDescent="0.3">
      <c r="B52" s="4">
        <v>49</v>
      </c>
      <c r="C52">
        <v>153</v>
      </c>
      <c r="D52" t="s">
        <v>451</v>
      </c>
      <c r="E52" t="s">
        <v>452</v>
      </c>
    </row>
    <row r="53" spans="2:5" x14ac:dyDescent="0.3">
      <c r="B53" s="4">
        <v>50</v>
      </c>
      <c r="C53">
        <v>154</v>
      </c>
      <c r="D53" t="s">
        <v>254</v>
      </c>
      <c r="E53" t="s">
        <v>453</v>
      </c>
    </row>
    <row r="54" spans="2:5" x14ac:dyDescent="0.3">
      <c r="B54" s="4">
        <v>51</v>
      </c>
      <c r="C54">
        <v>165</v>
      </c>
      <c r="D54" t="s">
        <v>357</v>
      </c>
      <c r="E54" t="s">
        <v>468</v>
      </c>
    </row>
    <row r="55" spans="2:5" x14ac:dyDescent="0.3">
      <c r="B55" s="4">
        <v>52</v>
      </c>
      <c r="C55">
        <v>176</v>
      </c>
      <c r="D55" t="s">
        <v>479</v>
      </c>
      <c r="E55" t="s">
        <v>480</v>
      </c>
    </row>
    <row r="56" spans="2:5" x14ac:dyDescent="0.3">
      <c r="B56" s="4">
        <v>53</v>
      </c>
      <c r="C56">
        <v>177</v>
      </c>
      <c r="D56" t="s">
        <v>481</v>
      </c>
      <c r="E56" t="s">
        <v>482</v>
      </c>
    </row>
    <row r="57" spans="2:5" x14ac:dyDescent="0.3">
      <c r="B57" s="4">
        <v>54</v>
      </c>
      <c r="C57">
        <v>178</v>
      </c>
      <c r="D57" t="s">
        <v>481</v>
      </c>
      <c r="E57" t="s">
        <v>483</v>
      </c>
    </row>
    <row r="58" spans="2:5" x14ac:dyDescent="0.3">
      <c r="B58" s="4">
        <v>55</v>
      </c>
      <c r="C58">
        <v>179</v>
      </c>
      <c r="D58" t="s">
        <v>481</v>
      </c>
      <c r="E58" t="s">
        <v>484</v>
      </c>
    </row>
    <row r="59" spans="2:5" x14ac:dyDescent="0.3">
      <c r="B59" s="4">
        <v>56</v>
      </c>
      <c r="C59">
        <v>182</v>
      </c>
      <c r="D59" t="s">
        <v>481</v>
      </c>
      <c r="E59" t="s">
        <v>487</v>
      </c>
    </row>
    <row r="60" spans="2:5" x14ac:dyDescent="0.3">
      <c r="B60" s="4">
        <v>57</v>
      </c>
      <c r="C60">
        <v>183</v>
      </c>
      <c r="D60" t="s">
        <v>451</v>
      </c>
      <c r="E60" t="s">
        <v>488</v>
      </c>
    </row>
    <row r="61" spans="2:5" x14ac:dyDescent="0.3">
      <c r="B61" s="4">
        <v>58</v>
      </c>
      <c r="C61">
        <v>184</v>
      </c>
      <c r="D61" t="s">
        <v>260</v>
      </c>
      <c r="E61" t="s">
        <v>489</v>
      </c>
    </row>
    <row r="62" spans="2:5" x14ac:dyDescent="0.3">
      <c r="B62" s="4">
        <v>59</v>
      </c>
      <c r="C62">
        <v>185</v>
      </c>
      <c r="D62" t="s">
        <v>260</v>
      </c>
      <c r="E62" t="s">
        <v>490</v>
      </c>
    </row>
    <row r="63" spans="2:5" x14ac:dyDescent="0.3">
      <c r="B63" s="4">
        <v>60</v>
      </c>
      <c r="C63">
        <v>186</v>
      </c>
      <c r="D63" t="s">
        <v>260</v>
      </c>
      <c r="E63" t="s">
        <v>491</v>
      </c>
    </row>
    <row r="64" spans="2:5" x14ac:dyDescent="0.3">
      <c r="B64" s="4">
        <v>61</v>
      </c>
      <c r="C64">
        <v>187</v>
      </c>
      <c r="D64" t="s">
        <v>260</v>
      </c>
      <c r="E64" t="s">
        <v>492</v>
      </c>
    </row>
    <row r="65" spans="2:5" x14ac:dyDescent="0.3">
      <c r="B65" s="4">
        <v>62</v>
      </c>
      <c r="C65">
        <v>188</v>
      </c>
      <c r="D65" t="s">
        <v>260</v>
      </c>
      <c r="E65" t="s">
        <v>493</v>
      </c>
    </row>
    <row r="66" spans="2:5" x14ac:dyDescent="0.3">
      <c r="B66" s="4">
        <v>63</v>
      </c>
      <c r="C66">
        <v>189</v>
      </c>
      <c r="D66" t="s">
        <v>260</v>
      </c>
      <c r="E66" t="s">
        <v>494</v>
      </c>
    </row>
    <row r="67" spans="2:5" x14ac:dyDescent="0.3">
      <c r="B67" s="4">
        <v>64</v>
      </c>
      <c r="C67">
        <v>192</v>
      </c>
      <c r="D67" t="s">
        <v>455</v>
      </c>
      <c r="E67" t="s">
        <v>497</v>
      </c>
    </row>
    <row r="68" spans="2:5" x14ac:dyDescent="0.3">
      <c r="B68" s="4">
        <v>65</v>
      </c>
      <c r="E68" t="s">
        <v>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70"/>
  <sheetViews>
    <sheetView workbookViewId="0">
      <selection activeCell="I8" sqref="I8"/>
    </sheetView>
  </sheetViews>
  <sheetFormatPr baseColWidth="10" defaultRowHeight="14.4" x14ac:dyDescent="0.3"/>
  <cols>
    <col min="1" max="1" width="15.109375" customWidth="1"/>
    <col min="2" max="2" width="3.5546875" customWidth="1"/>
    <col min="3" max="3" width="13.33203125" customWidth="1"/>
    <col min="4" max="4" width="17.88671875" customWidth="1"/>
    <col min="5" max="5" width="16.77734375" customWidth="1"/>
    <col min="6" max="6" width="58.44140625" customWidth="1"/>
    <col min="7" max="7" width="4.109375" customWidth="1"/>
    <col min="8" max="8" width="5.109375" customWidth="1"/>
  </cols>
  <sheetData>
    <row r="2" spans="2:9" x14ac:dyDescent="0.3">
      <c r="B2" s="78">
        <v>1</v>
      </c>
      <c r="C2" s="32" t="s">
        <v>504</v>
      </c>
    </row>
    <row r="3" spans="2:9" x14ac:dyDescent="0.3">
      <c r="B3" s="78"/>
      <c r="C3" s="33" t="s">
        <v>505</v>
      </c>
      <c r="D3" s="34" t="s">
        <v>506</v>
      </c>
    </row>
    <row r="4" spans="2:9" x14ac:dyDescent="0.3">
      <c r="B4" s="78"/>
      <c r="C4" s="33"/>
      <c r="D4" s="33" t="s">
        <v>507</v>
      </c>
      <c r="E4" s="34" t="s">
        <v>508</v>
      </c>
    </row>
    <row r="5" spans="2:9" x14ac:dyDescent="0.3">
      <c r="B5" s="78"/>
      <c r="C5" s="33"/>
      <c r="D5" s="33" t="s">
        <v>509</v>
      </c>
      <c r="E5" s="34" t="s">
        <v>510</v>
      </c>
    </row>
    <row r="6" spans="2:9" x14ac:dyDescent="0.3">
      <c r="B6" s="78"/>
      <c r="C6" s="33"/>
      <c r="D6" s="33" t="s">
        <v>511</v>
      </c>
      <c r="E6" s="34" t="s">
        <v>10</v>
      </c>
    </row>
    <row r="7" spans="2:9" x14ac:dyDescent="0.3">
      <c r="B7" s="78"/>
      <c r="C7" s="33"/>
      <c r="D7" s="33" t="s">
        <v>512</v>
      </c>
      <c r="E7" s="34" t="s">
        <v>513</v>
      </c>
    </row>
    <row r="8" spans="2:9" x14ac:dyDescent="0.3">
      <c r="B8" s="78"/>
      <c r="C8" s="33"/>
      <c r="D8" s="33"/>
      <c r="E8" s="35"/>
      <c r="F8" s="34" t="str">
        <f>'[1]Provincia 1'!E5</f>
        <v>Superficies, producción y rendimientos por provincia y departamento</v>
      </c>
      <c r="G8">
        <f>'[1]Provincia 1'!C5</f>
        <v>9</v>
      </c>
      <c r="H8" t="str">
        <f>'[1]Provincia 1'!D5</f>
        <v>PB 3</v>
      </c>
      <c r="I8" s="36" t="s">
        <v>136</v>
      </c>
    </row>
    <row r="9" spans="2:9" x14ac:dyDescent="0.3">
      <c r="B9" s="78"/>
      <c r="C9" s="33"/>
      <c r="D9" s="33"/>
      <c r="E9" s="35"/>
      <c r="F9" s="34" t="str">
        <f>'[1]Provincia 1'!E13</f>
        <v>Empresas registradas en el Registro Nac de Com y Fiscaliz de Semillas</v>
      </c>
      <c r="G9">
        <f>'[1]Provincia 1'!C13</f>
        <v>38</v>
      </c>
      <c r="H9" t="str">
        <f>'[1]Provincia 1'!D13</f>
        <v>PB 1</v>
      </c>
    </row>
    <row r="10" spans="2:9" x14ac:dyDescent="0.3">
      <c r="B10" s="78"/>
      <c r="C10" s="33"/>
      <c r="D10" s="33"/>
      <c r="E10" s="35"/>
      <c r="F10" s="34" t="str">
        <f>'[1]Provincia 1'!E17</f>
        <v>DTV - Algodón, semilla fibra, fibrilla, desperrdicio</v>
      </c>
      <c r="G10">
        <f>'[1]Provincia 1'!C17</f>
        <v>53</v>
      </c>
      <c r="H10" t="str">
        <f>'[1]Provincia 1'!D17</f>
        <v>PB 13</v>
      </c>
    </row>
    <row r="11" spans="2:9" x14ac:dyDescent="0.3">
      <c r="B11" s="78"/>
      <c r="C11" s="33"/>
      <c r="D11" s="33"/>
      <c r="E11" s="35"/>
    </row>
    <row r="12" spans="2:9" x14ac:dyDescent="0.3">
      <c r="B12" s="78"/>
      <c r="C12" s="33"/>
      <c r="D12" s="33"/>
      <c r="E12" s="35"/>
    </row>
    <row r="13" spans="2:9" x14ac:dyDescent="0.3">
      <c r="B13" s="78"/>
      <c r="C13" s="33"/>
      <c r="D13" s="33"/>
      <c r="E13" s="35"/>
    </row>
    <row r="14" spans="2:9" x14ac:dyDescent="0.3">
      <c r="B14" s="78"/>
      <c r="C14" s="33"/>
      <c r="D14" s="33"/>
      <c r="E14" s="35"/>
    </row>
    <row r="15" spans="2:9" x14ac:dyDescent="0.3">
      <c r="B15" s="78"/>
      <c r="C15" s="33" t="s">
        <v>514</v>
      </c>
      <c r="D15" s="34" t="s">
        <v>515</v>
      </c>
    </row>
    <row r="16" spans="2:9" x14ac:dyDescent="0.3">
      <c r="B16" s="78"/>
      <c r="C16" s="33"/>
      <c r="D16" s="37" t="s">
        <v>516</v>
      </c>
      <c r="E16" s="34" t="s">
        <v>517</v>
      </c>
    </row>
    <row r="17" spans="1:9" x14ac:dyDescent="0.3">
      <c r="B17" s="78"/>
      <c r="F17" s="34" t="str">
        <f>'[1]Provincia 1'!E4</f>
        <v>Precios frutas y hortalizas MCBA por variedad, calidad y origen</v>
      </c>
      <c r="G17">
        <f>'[1]Provincia 1'!C4</f>
        <v>8</v>
      </c>
      <c r="H17" t="str">
        <f>'[1]Provincia 1'!D4</f>
        <v>PB 2</v>
      </c>
    </row>
    <row r="18" spans="1:9" x14ac:dyDescent="0.3">
      <c r="B18" s="78"/>
      <c r="F18" s="34" t="str">
        <f>'[1]Provincia 1'!E18</f>
        <v>DTV - Batata</v>
      </c>
      <c r="G18">
        <f>'[1]Provincia 1'!C18</f>
        <v>56</v>
      </c>
      <c r="H18" t="str">
        <f>'[1]Provincia 1'!D18</f>
        <v>PB 13</v>
      </c>
    </row>
    <row r="19" spans="1:9" x14ac:dyDescent="0.3">
      <c r="A19" s="10" t="s">
        <v>695</v>
      </c>
      <c r="B19" s="78"/>
      <c r="F19" s="34" t="str">
        <f>'[1]Provincia 1'!E19</f>
        <v>DTV - Cebolla</v>
      </c>
      <c r="G19">
        <f>'[1]Provincia 1'!C19</f>
        <v>57</v>
      </c>
      <c r="H19" t="str">
        <f>'[1]Provincia 1'!D19</f>
        <v>PB 13</v>
      </c>
    </row>
    <row r="20" spans="1:9" x14ac:dyDescent="0.3">
      <c r="A20" s="10" t="s">
        <v>696</v>
      </c>
      <c r="B20" s="78"/>
      <c r="F20" s="34" t="str">
        <f>'[1]Provincia 1'!E20</f>
        <v>DTV - Naranja (octubre a diciembre)</v>
      </c>
      <c r="G20">
        <f>'[1]Provincia 1'!C20</f>
        <v>72</v>
      </c>
      <c r="H20" t="str">
        <f>'[1]Provincia 1'!D20</f>
        <v>PB 13</v>
      </c>
    </row>
    <row r="21" spans="1:9" x14ac:dyDescent="0.3">
      <c r="A21" s="10" t="s">
        <v>698</v>
      </c>
      <c r="B21" s="78"/>
      <c r="F21" s="34" t="str">
        <f>'[1]Provincia 1'!E21</f>
        <v>DTV - Papa (septiembre a diciembre)</v>
      </c>
      <c r="G21">
        <f>'[1]Provincia 1'!C21</f>
        <v>75</v>
      </c>
      <c r="H21" t="str">
        <f>'[1]Provincia 1'!D21</f>
        <v>PB 13</v>
      </c>
    </row>
    <row r="22" spans="1:9" x14ac:dyDescent="0.3">
      <c r="B22" s="78"/>
      <c r="F22" s="34" t="str">
        <f>'[1]Provincia 1'!E37</f>
        <v>Calendario cosecha por provincia y mes - todos los cultivos (en %)</v>
      </c>
      <c r="G22">
        <f>'[1]Provincia 1'!C37</f>
        <v>130</v>
      </c>
      <c r="H22" t="str">
        <f>'[1]Provincia 1'!D37</f>
        <v>PB 1</v>
      </c>
    </row>
    <row r="23" spans="1:9" x14ac:dyDescent="0.3">
      <c r="B23" s="78"/>
      <c r="C23" s="33" t="s">
        <v>518</v>
      </c>
      <c r="D23" s="34" t="s">
        <v>519</v>
      </c>
      <c r="E23" s="38"/>
    </row>
    <row r="24" spans="1:9" x14ac:dyDescent="0.3">
      <c r="B24" s="78"/>
      <c r="C24" s="5"/>
      <c r="F24" s="34" t="str">
        <f>'[1]Provincia 1'!E14</f>
        <v>Producción materia seca forraje por provincia y dto y promedio</v>
      </c>
      <c r="G24">
        <f>'[1]Provincia 1'!C14</f>
        <v>43</v>
      </c>
      <c r="H24" t="str">
        <f>'[1]Provincia 1'!D14</f>
        <v>PB 11</v>
      </c>
      <c r="I24" s="36" t="s">
        <v>136</v>
      </c>
    </row>
    <row r="25" spans="1:9" x14ac:dyDescent="0.3">
      <c r="B25" s="78"/>
      <c r="C25" s="5"/>
    </row>
    <row r="26" spans="1:9" x14ac:dyDescent="0.3">
      <c r="B26" s="78">
        <v>2</v>
      </c>
      <c r="C26" s="32" t="s">
        <v>520</v>
      </c>
    </row>
    <row r="27" spans="1:9" x14ac:dyDescent="0.3">
      <c r="B27" s="78"/>
      <c r="C27" s="33" t="s">
        <v>521</v>
      </c>
      <c r="D27" s="34" t="s">
        <v>522</v>
      </c>
    </row>
    <row r="28" spans="1:9" x14ac:dyDescent="0.3">
      <c r="B28" s="78"/>
      <c r="C28" s="33"/>
      <c r="D28" s="33" t="s">
        <v>523</v>
      </c>
      <c r="E28" s="34" t="s">
        <v>524</v>
      </c>
    </row>
    <row r="29" spans="1:9" x14ac:dyDescent="0.3">
      <c r="B29" s="78"/>
      <c r="C29" s="33"/>
      <c r="D29" s="33" t="s">
        <v>525</v>
      </c>
      <c r="E29" s="34" t="s">
        <v>526</v>
      </c>
    </row>
    <row r="30" spans="1:9" x14ac:dyDescent="0.3">
      <c r="B30" s="78"/>
      <c r="C30" s="33" t="s">
        <v>527</v>
      </c>
      <c r="D30" s="34" t="s">
        <v>528</v>
      </c>
    </row>
    <row r="31" spans="1:9" x14ac:dyDescent="0.3">
      <c r="B31" s="78"/>
      <c r="C31" s="33" t="s">
        <v>529</v>
      </c>
      <c r="D31" s="34" t="s">
        <v>530</v>
      </c>
    </row>
    <row r="32" spans="1:9" x14ac:dyDescent="0.3">
      <c r="B32" s="78"/>
      <c r="C32" s="33" t="s">
        <v>531</v>
      </c>
      <c r="D32" s="34" t="s">
        <v>532</v>
      </c>
    </row>
    <row r="33" spans="2:8" x14ac:dyDescent="0.3">
      <c r="B33" s="78"/>
      <c r="C33" s="33" t="s">
        <v>533</v>
      </c>
      <c r="D33" s="34" t="s">
        <v>534</v>
      </c>
    </row>
    <row r="34" spans="2:8" x14ac:dyDescent="0.3">
      <c r="B34" s="78"/>
      <c r="C34" s="33" t="s">
        <v>535</v>
      </c>
      <c r="D34" s="39" t="s">
        <v>536</v>
      </c>
    </row>
    <row r="35" spans="2:8" x14ac:dyDescent="0.3">
      <c r="B35" s="78"/>
      <c r="C35" s="33" t="s">
        <v>537</v>
      </c>
      <c r="D35" s="39" t="s">
        <v>538</v>
      </c>
    </row>
    <row r="36" spans="2:8" x14ac:dyDescent="0.3">
      <c r="B36" s="78"/>
      <c r="C36" s="5"/>
    </row>
    <row r="37" spans="2:8" x14ac:dyDescent="0.3">
      <c r="B37" s="78"/>
      <c r="C37" s="5"/>
    </row>
    <row r="38" spans="2:8" x14ac:dyDescent="0.3">
      <c r="B38" s="78">
        <v>3</v>
      </c>
      <c r="C38" s="5" t="s">
        <v>539</v>
      </c>
    </row>
    <row r="39" spans="2:8" x14ac:dyDescent="0.3">
      <c r="B39" s="78">
        <v>4</v>
      </c>
      <c r="C39" s="32" t="s">
        <v>540</v>
      </c>
      <c r="D39" s="38"/>
      <c r="E39" s="15"/>
    </row>
    <row r="40" spans="2:8" x14ac:dyDescent="0.3">
      <c r="B40" s="78"/>
      <c r="C40" s="5"/>
      <c r="F40" s="34" t="str">
        <f>'[1]Provincia 1'!E6</f>
        <v>Empleo y remuneraciones por prov y depto - Sector agropecuario</v>
      </c>
      <c r="G40">
        <f>'[1]Provincia 1'!C6</f>
        <v>13</v>
      </c>
      <c r="H40" t="str">
        <f>'[1]Provincia 1'!D6</f>
        <v>PB 7</v>
      </c>
    </row>
    <row r="41" spans="2:8" x14ac:dyDescent="0.3">
      <c r="B41" s="78"/>
      <c r="C41" s="5"/>
      <c r="F41" s="34" t="str">
        <f>'[1]Provincia 1'!E7</f>
        <v>Empleo y remuneraciones por prov y depto - Todos los sectores</v>
      </c>
      <c r="G41">
        <f>'[1]Provincia 1'!C7</f>
        <v>14</v>
      </c>
      <c r="H41" t="str">
        <f>'[1]Provincia 1'!D7</f>
        <v>PB 7</v>
      </c>
    </row>
    <row r="42" spans="2:8" x14ac:dyDescent="0.3">
      <c r="B42" s="78"/>
      <c r="C42" s="5"/>
      <c r="F42" s="34" t="str">
        <f>'[1]Provincia 1'!E8</f>
        <v>Empleo con asalariados registrados por cod activ (4 digitos) por prov</v>
      </c>
      <c r="G42">
        <f>'[1]Provincia 1'!C8</f>
        <v>24</v>
      </c>
      <c r="H42" t="str">
        <f>'[1]Provincia 1'!D8</f>
        <v>PB 8</v>
      </c>
    </row>
    <row r="43" spans="2:8" x14ac:dyDescent="0.3">
      <c r="B43" s="78"/>
      <c r="C43" s="5"/>
      <c r="F43" s="34" t="str">
        <f>'[1]Provincia 1'!E9</f>
        <v>Empleo con asalariados registrados por sector y subsector por prov</v>
      </c>
      <c r="G43">
        <f>'[1]Provincia 1'!C9</f>
        <v>25</v>
      </c>
      <c r="H43" t="str">
        <f>'[1]Provincia 1'!D9</f>
        <v>PB 8</v>
      </c>
    </row>
    <row r="44" spans="2:8" x14ac:dyDescent="0.3">
      <c r="B44" s="78">
        <v>5</v>
      </c>
      <c r="C44" s="32" t="s">
        <v>541</v>
      </c>
      <c r="D44" s="38"/>
      <c r="E44" s="15"/>
    </row>
    <row r="45" spans="2:8" x14ac:dyDescent="0.3">
      <c r="B45" s="78"/>
      <c r="C45" s="5"/>
      <c r="F45" s="34" t="str">
        <f>'[1]Provincia 1'!E44</f>
        <v>Warrants emitidos por producto y provincia</v>
      </c>
      <c r="G45">
        <f>'[1]Provincia 1'!C44</f>
        <v>142</v>
      </c>
      <c r="H45" t="str">
        <f>'[1]Provincia 1'!D44</f>
        <v>PB 24</v>
      </c>
    </row>
    <row r="46" spans="2:8" x14ac:dyDescent="0.3">
      <c r="B46" s="78"/>
      <c r="C46" s="5"/>
    </row>
    <row r="47" spans="2:8" x14ac:dyDescent="0.3">
      <c r="B47" s="78">
        <v>6</v>
      </c>
      <c r="C47" s="32" t="s">
        <v>542</v>
      </c>
    </row>
    <row r="48" spans="2:8" x14ac:dyDescent="0.3">
      <c r="B48" s="78"/>
      <c r="C48" s="33" t="s">
        <v>543</v>
      </c>
      <c r="D48" s="39" t="s">
        <v>544</v>
      </c>
    </row>
    <row r="49" spans="1:5" x14ac:dyDescent="0.3">
      <c r="B49" s="78"/>
      <c r="D49" s="19"/>
      <c r="E49" s="39" t="s">
        <v>545</v>
      </c>
    </row>
    <row r="50" spans="1:5" x14ac:dyDescent="0.3">
      <c r="B50" s="78"/>
      <c r="D50" s="19"/>
      <c r="E50" s="39" t="s">
        <v>546</v>
      </c>
    </row>
    <row r="51" spans="1:5" x14ac:dyDescent="0.3">
      <c r="B51" s="78"/>
      <c r="C51" s="33" t="s">
        <v>547</v>
      </c>
      <c r="D51" s="39" t="s">
        <v>548</v>
      </c>
    </row>
    <row r="52" spans="1:5" x14ac:dyDescent="0.3">
      <c r="B52" s="78"/>
      <c r="D52" s="19"/>
      <c r="E52" s="39" t="s">
        <v>549</v>
      </c>
    </row>
    <row r="53" spans="1:5" x14ac:dyDescent="0.3">
      <c r="B53" s="78"/>
      <c r="D53" s="19"/>
      <c r="E53" s="39" t="s">
        <v>550</v>
      </c>
    </row>
    <row r="54" spans="1:5" x14ac:dyDescent="0.3">
      <c r="B54" s="78"/>
      <c r="C54" s="33" t="s">
        <v>551</v>
      </c>
      <c r="D54" s="39" t="s">
        <v>552</v>
      </c>
    </row>
    <row r="60" spans="1:5" x14ac:dyDescent="0.3">
      <c r="C60" s="32" t="s">
        <v>2</v>
      </c>
    </row>
    <row r="64" spans="1:5" x14ac:dyDescent="0.3">
      <c r="A64" s="10" t="s">
        <v>695</v>
      </c>
    </row>
    <row r="65" spans="1:3" x14ac:dyDescent="0.3">
      <c r="A65" s="10" t="s">
        <v>696</v>
      </c>
    </row>
    <row r="66" spans="1:3" x14ac:dyDescent="0.3">
      <c r="A66" s="10" t="s">
        <v>697</v>
      </c>
    </row>
    <row r="70" spans="1:3" x14ac:dyDescent="0.3">
      <c r="C70" s="32" t="s">
        <v>3</v>
      </c>
    </row>
  </sheetData>
  <hyperlinks>
    <hyperlink ref="I8" location="'9 PB3'!A1" display="Descripción"/>
    <hyperlink ref="I24" location="'43 PB11'!A1" display="Descripción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3"/>
  <sheetViews>
    <sheetView workbookViewId="0">
      <selection activeCell="B7" sqref="B7"/>
    </sheetView>
  </sheetViews>
  <sheetFormatPr baseColWidth="10" defaultRowHeight="14.4" x14ac:dyDescent="0.3"/>
  <cols>
    <col min="1" max="1" width="5.33203125" customWidth="1"/>
    <col min="3" max="3" width="39.21875" customWidth="1"/>
    <col min="4" max="4" width="114.44140625" customWidth="1"/>
  </cols>
  <sheetData>
    <row r="2" spans="2:4" ht="21" x14ac:dyDescent="0.4">
      <c r="C2" s="6" t="s">
        <v>73</v>
      </c>
    </row>
    <row r="3" spans="2:4" s="2" customFormat="1" x14ac:dyDescent="0.3">
      <c r="B3" s="2" t="s">
        <v>74</v>
      </c>
      <c r="C3" s="2" t="s">
        <v>75</v>
      </c>
      <c r="D3" s="2" t="s">
        <v>76</v>
      </c>
    </row>
    <row r="4" spans="2:4" ht="28.8" x14ac:dyDescent="0.3">
      <c r="B4" s="8" t="s">
        <v>77</v>
      </c>
      <c r="C4" t="s">
        <v>78</v>
      </c>
      <c r="D4" s="7" t="s">
        <v>82</v>
      </c>
    </row>
    <row r="5" spans="2:4" ht="57.6" x14ac:dyDescent="0.3">
      <c r="D5" s="7" t="s">
        <v>81</v>
      </c>
    </row>
    <row r="6" spans="2:4" ht="28.8" x14ac:dyDescent="0.3">
      <c r="B6" s="8" t="s">
        <v>79</v>
      </c>
      <c r="C6" t="s">
        <v>80</v>
      </c>
      <c r="D6" s="7" t="s">
        <v>83</v>
      </c>
    </row>
    <row r="7" spans="2:4" x14ac:dyDescent="0.3">
      <c r="B7" s="8" t="s">
        <v>601</v>
      </c>
      <c r="C7" t="s">
        <v>602</v>
      </c>
      <c r="D7" s="7" t="s">
        <v>603</v>
      </c>
    </row>
    <row r="8" spans="2:4" x14ac:dyDescent="0.3">
      <c r="D8" s="7"/>
    </row>
    <row r="9" spans="2:4" x14ac:dyDescent="0.3">
      <c r="D9" s="7"/>
    </row>
    <row r="10" spans="2:4" x14ac:dyDescent="0.3">
      <c r="D10" s="7"/>
    </row>
    <row r="11" spans="2:4" x14ac:dyDescent="0.3">
      <c r="D11" s="7"/>
    </row>
    <row r="12" spans="2:4" x14ac:dyDescent="0.3">
      <c r="D12" s="7"/>
    </row>
    <row r="13" spans="2:4" x14ac:dyDescent="0.3">
      <c r="D13" s="7"/>
    </row>
    <row r="14" spans="2:4" x14ac:dyDescent="0.3">
      <c r="D14" s="7"/>
    </row>
    <row r="15" spans="2:4" x14ac:dyDescent="0.3">
      <c r="D15" s="7"/>
    </row>
    <row r="16" spans="2:4" x14ac:dyDescent="0.3">
      <c r="D16" s="7"/>
    </row>
    <row r="17" spans="4:4" x14ac:dyDescent="0.3">
      <c r="D17" s="7"/>
    </row>
    <row r="18" spans="4:4" x14ac:dyDescent="0.3">
      <c r="D18" s="7"/>
    </row>
    <row r="19" spans="4:4" x14ac:dyDescent="0.3">
      <c r="D19" s="7"/>
    </row>
    <row r="20" spans="4:4" x14ac:dyDescent="0.3">
      <c r="D20" s="7"/>
    </row>
    <row r="21" spans="4:4" x14ac:dyDescent="0.3">
      <c r="D21" s="7"/>
    </row>
    <row r="22" spans="4:4" x14ac:dyDescent="0.3">
      <c r="D22" s="7"/>
    </row>
    <row r="23" spans="4:4" x14ac:dyDescent="0.3">
      <c r="D23" s="7"/>
    </row>
  </sheetData>
  <hyperlinks>
    <hyperlink ref="B4" location="'9 PB 3 - A'!A1" display="9 PB 3 - A"/>
    <hyperlink ref="B6" location="'9 PB 3 - B'!A1" display="9 PB 3 - B"/>
    <hyperlink ref="B7" location="'9 PB 3 - C'!A1" display="9 PB 3 - C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4"/>
  <sheetViews>
    <sheetView workbookViewId="0">
      <pane ySplit="1" topLeftCell="A74" activePane="bottomLeft" state="frozen"/>
      <selection pane="bottomLeft" activeCell="O23" sqref="O23"/>
    </sheetView>
  </sheetViews>
  <sheetFormatPr baseColWidth="10" defaultRowHeight="14.4" x14ac:dyDescent="0.3"/>
  <cols>
    <col min="1" max="1" width="8.77734375" bestFit="1" customWidth="1"/>
    <col min="2" max="2" width="9" style="28" bestFit="1" customWidth="1"/>
    <col min="3" max="3" width="17.21875" bestFit="1" customWidth="1"/>
    <col min="4" max="4" width="17.88671875" bestFit="1" customWidth="1"/>
    <col min="5" max="5" width="14.44140625" bestFit="1" customWidth="1"/>
    <col min="6" max="6" width="18.88671875" bestFit="1" customWidth="1"/>
    <col min="12" max="12" width="17.88671875" bestFit="1" customWidth="1"/>
    <col min="13" max="13" width="14.44140625" bestFit="1" customWidth="1"/>
    <col min="14" max="14" width="18.88671875" bestFit="1" customWidth="1"/>
  </cols>
  <sheetData>
    <row r="1" spans="1:18" s="2" customFormat="1" x14ac:dyDescent="0.3">
      <c r="A1" s="2" t="s">
        <v>0</v>
      </c>
      <c r="B1" s="29" t="s">
        <v>1</v>
      </c>
      <c r="C1" s="2" t="s">
        <v>3</v>
      </c>
      <c r="D1" s="3" t="s">
        <v>6</v>
      </c>
      <c r="E1" s="3" t="s">
        <v>8</v>
      </c>
      <c r="F1" s="3" t="s">
        <v>9</v>
      </c>
    </row>
    <row r="2" spans="1:18" x14ac:dyDescent="0.3">
      <c r="A2" t="s">
        <v>69</v>
      </c>
      <c r="B2" s="28" t="s">
        <v>15</v>
      </c>
      <c r="C2" t="s">
        <v>12</v>
      </c>
      <c r="D2" s="1">
        <v>46500</v>
      </c>
      <c r="E2" s="1">
        <v>86250</v>
      </c>
      <c r="F2" s="1">
        <v>2300</v>
      </c>
      <c r="J2" s="2" t="s">
        <v>1</v>
      </c>
      <c r="K2" s="2" t="s">
        <v>3</v>
      </c>
      <c r="L2" s="3" t="s">
        <v>6</v>
      </c>
      <c r="M2" s="3" t="s">
        <v>8</v>
      </c>
      <c r="N2" s="3" t="s">
        <v>9</v>
      </c>
    </row>
    <row r="3" spans="1:18" x14ac:dyDescent="0.3">
      <c r="A3" t="s">
        <v>69</v>
      </c>
      <c r="B3" s="28" t="s">
        <v>16</v>
      </c>
      <c r="C3" t="s">
        <v>12</v>
      </c>
      <c r="D3" s="1">
        <v>55000</v>
      </c>
      <c r="E3" s="1">
        <v>132000</v>
      </c>
      <c r="F3" s="1">
        <v>2400</v>
      </c>
      <c r="J3" t="s">
        <v>15</v>
      </c>
      <c r="K3" t="s">
        <v>41</v>
      </c>
      <c r="L3" s="1">
        <v>220000</v>
      </c>
      <c r="M3" s="1">
        <v>566280</v>
      </c>
      <c r="N3" s="1">
        <v>2600</v>
      </c>
      <c r="O3" t="s">
        <v>658</v>
      </c>
    </row>
    <row r="4" spans="1:18" x14ac:dyDescent="0.3">
      <c r="A4" t="s">
        <v>69</v>
      </c>
      <c r="B4" s="28" t="s">
        <v>17</v>
      </c>
      <c r="C4" t="s">
        <v>12</v>
      </c>
      <c r="D4" s="1">
        <v>13740</v>
      </c>
      <c r="E4" s="1">
        <v>49464</v>
      </c>
      <c r="F4" s="1">
        <v>3600</v>
      </c>
      <c r="J4" t="s">
        <v>15</v>
      </c>
      <c r="K4" t="s">
        <v>26</v>
      </c>
      <c r="L4" s="1">
        <v>95000</v>
      </c>
      <c r="M4" s="1">
        <v>244400</v>
      </c>
      <c r="N4" s="1">
        <v>2600</v>
      </c>
      <c r="O4" t="s">
        <v>659</v>
      </c>
    </row>
    <row r="5" spans="1:18" x14ac:dyDescent="0.3">
      <c r="A5" t="s">
        <v>69</v>
      </c>
      <c r="B5" s="28" t="s">
        <v>18</v>
      </c>
      <c r="C5" t="s">
        <v>12</v>
      </c>
      <c r="D5" s="1">
        <v>13740</v>
      </c>
      <c r="E5" s="1">
        <v>21984</v>
      </c>
      <c r="F5" s="1">
        <v>1600</v>
      </c>
      <c r="J5" t="s">
        <v>15</v>
      </c>
      <c r="K5" t="s">
        <v>35</v>
      </c>
      <c r="L5" s="1">
        <v>130000</v>
      </c>
      <c r="M5" s="1">
        <v>213900</v>
      </c>
      <c r="N5" s="1">
        <v>2300</v>
      </c>
      <c r="O5" t="s">
        <v>660</v>
      </c>
    </row>
    <row r="6" spans="1:18" x14ac:dyDescent="0.3">
      <c r="A6" t="s">
        <v>69</v>
      </c>
      <c r="B6" s="28" t="s">
        <v>19</v>
      </c>
      <c r="C6" t="s">
        <v>12</v>
      </c>
      <c r="D6" s="1">
        <v>17297</v>
      </c>
      <c r="E6" s="1">
        <v>44449</v>
      </c>
      <c r="F6" s="1">
        <v>2876</v>
      </c>
      <c r="J6" t="s">
        <v>15</v>
      </c>
      <c r="K6" t="s">
        <v>37</v>
      </c>
      <c r="L6" s="1">
        <v>63000</v>
      </c>
      <c r="M6" s="1">
        <v>167400</v>
      </c>
      <c r="N6" s="1">
        <v>2700</v>
      </c>
      <c r="O6" t="s">
        <v>661</v>
      </c>
    </row>
    <row r="7" spans="1:18" x14ac:dyDescent="0.3">
      <c r="A7" t="s">
        <v>69</v>
      </c>
      <c r="B7" s="28" t="s">
        <v>20</v>
      </c>
      <c r="C7" t="s">
        <v>12</v>
      </c>
      <c r="D7" s="1">
        <v>30500</v>
      </c>
      <c r="E7" s="1">
        <v>97437</v>
      </c>
      <c r="F7" s="1">
        <v>3216</v>
      </c>
      <c r="J7" t="s">
        <v>15</v>
      </c>
      <c r="K7" t="s">
        <v>38</v>
      </c>
      <c r="L7" s="1">
        <v>55000</v>
      </c>
      <c r="M7" s="1">
        <v>158050</v>
      </c>
      <c r="N7" s="1">
        <v>2900</v>
      </c>
      <c r="O7" t="s">
        <v>662</v>
      </c>
    </row>
    <row r="8" spans="1:18" x14ac:dyDescent="0.3">
      <c r="A8" t="s">
        <v>69</v>
      </c>
      <c r="B8" s="28" t="s">
        <v>21</v>
      </c>
      <c r="C8" t="s">
        <v>12</v>
      </c>
      <c r="D8" s="1">
        <v>30500</v>
      </c>
      <c r="E8" s="1">
        <v>94300</v>
      </c>
      <c r="F8" s="1">
        <v>3092</v>
      </c>
      <c r="J8" t="s">
        <v>15</v>
      </c>
      <c r="K8" t="s">
        <v>30</v>
      </c>
      <c r="L8" s="1">
        <v>105000</v>
      </c>
      <c r="M8" s="1">
        <v>133200</v>
      </c>
      <c r="N8" s="1">
        <v>1800</v>
      </c>
      <c r="O8" t="s">
        <v>663</v>
      </c>
    </row>
    <row r="9" spans="1:18" x14ac:dyDescent="0.3">
      <c r="A9" t="s">
        <v>69</v>
      </c>
      <c r="B9" s="28" t="s">
        <v>22</v>
      </c>
      <c r="C9" t="s">
        <v>12</v>
      </c>
      <c r="D9" s="1">
        <v>30500</v>
      </c>
      <c r="E9" s="1">
        <v>85400</v>
      </c>
      <c r="F9" s="1">
        <v>2800</v>
      </c>
      <c r="J9" t="s">
        <v>15</v>
      </c>
      <c r="K9" t="s">
        <v>51</v>
      </c>
      <c r="L9" s="1">
        <v>50000</v>
      </c>
      <c r="M9" s="1">
        <v>105600</v>
      </c>
      <c r="N9" s="1">
        <v>2400</v>
      </c>
      <c r="O9" t="s">
        <v>664</v>
      </c>
    </row>
    <row r="10" spans="1:18" x14ac:dyDescent="0.3">
      <c r="A10" t="s">
        <v>69</v>
      </c>
      <c r="B10" s="28" t="s">
        <v>23</v>
      </c>
      <c r="C10" t="s">
        <v>12</v>
      </c>
      <c r="D10" s="1">
        <v>30500</v>
      </c>
      <c r="E10" s="1">
        <v>73900</v>
      </c>
      <c r="F10" s="1">
        <v>2423</v>
      </c>
      <c r="J10" t="s">
        <v>15</v>
      </c>
      <c r="K10" t="s">
        <v>43</v>
      </c>
      <c r="L10" s="1">
        <v>38000</v>
      </c>
      <c r="M10" s="1">
        <v>89280</v>
      </c>
      <c r="N10" s="1">
        <v>2400</v>
      </c>
      <c r="O10" t="s">
        <v>665</v>
      </c>
    </row>
    <row r="11" spans="1:18" x14ac:dyDescent="0.3">
      <c r="A11" t="s">
        <v>69</v>
      </c>
      <c r="B11" s="28" t="s">
        <v>24</v>
      </c>
      <c r="C11" t="s">
        <v>12</v>
      </c>
      <c r="D11" s="1">
        <v>30100</v>
      </c>
      <c r="E11" s="1">
        <v>69717</v>
      </c>
      <c r="F11" s="1">
        <v>2351</v>
      </c>
      <c r="J11" t="s">
        <v>15</v>
      </c>
      <c r="K11" t="s">
        <v>12</v>
      </c>
      <c r="L11" s="1">
        <v>46500</v>
      </c>
      <c r="M11" s="1">
        <v>86250</v>
      </c>
      <c r="N11" s="1">
        <v>2300</v>
      </c>
      <c r="O11" t="s">
        <v>666</v>
      </c>
    </row>
    <row r="12" spans="1:18" x14ac:dyDescent="0.3">
      <c r="A12" t="s">
        <v>69</v>
      </c>
      <c r="B12" s="28" t="s">
        <v>25</v>
      </c>
      <c r="C12" t="s">
        <v>12</v>
      </c>
      <c r="D12" s="1">
        <v>38300</v>
      </c>
      <c r="E12" s="1">
        <v>87062</v>
      </c>
      <c r="F12" s="1">
        <v>2368</v>
      </c>
      <c r="J12" t="s">
        <v>15</v>
      </c>
      <c r="K12" t="s">
        <v>40</v>
      </c>
      <c r="L12" s="1">
        <v>20000</v>
      </c>
      <c r="M12" s="1">
        <v>46800</v>
      </c>
      <c r="N12" s="1">
        <v>2400</v>
      </c>
      <c r="O12" t="s">
        <v>667</v>
      </c>
      <c r="R12" s="1"/>
    </row>
    <row r="13" spans="1:18" x14ac:dyDescent="0.3">
      <c r="A13" t="s">
        <v>69</v>
      </c>
      <c r="B13" s="28" t="s">
        <v>15</v>
      </c>
      <c r="C13" t="s">
        <v>26</v>
      </c>
      <c r="D13" s="1">
        <v>95000</v>
      </c>
      <c r="E13" s="1">
        <v>244400</v>
      </c>
      <c r="F13" s="1">
        <v>2600</v>
      </c>
      <c r="J13" t="s">
        <v>15</v>
      </c>
      <c r="K13" t="s">
        <v>33</v>
      </c>
      <c r="L13" s="1">
        <v>8500</v>
      </c>
      <c r="M13" s="1">
        <v>19200</v>
      </c>
      <c r="N13" s="1">
        <v>2400</v>
      </c>
      <c r="O13" t="s">
        <v>668</v>
      </c>
    </row>
    <row r="14" spans="1:18" x14ac:dyDescent="0.3">
      <c r="A14" t="s">
        <v>69</v>
      </c>
      <c r="B14" s="28" t="s">
        <v>16</v>
      </c>
      <c r="C14" t="s">
        <v>26</v>
      </c>
      <c r="D14" s="1">
        <v>116000</v>
      </c>
      <c r="E14" s="1">
        <v>336400</v>
      </c>
      <c r="F14" s="1">
        <v>2900</v>
      </c>
      <c r="J14" t="s">
        <v>15</v>
      </c>
      <c r="K14" t="s">
        <v>36</v>
      </c>
      <c r="L14" s="1">
        <v>5000</v>
      </c>
      <c r="M14" s="1">
        <v>12500</v>
      </c>
      <c r="N14" s="1">
        <v>2500</v>
      </c>
      <c r="O14" t="s">
        <v>669</v>
      </c>
    </row>
    <row r="15" spans="1:18" x14ac:dyDescent="0.3">
      <c r="A15" t="s">
        <v>69</v>
      </c>
      <c r="B15" s="28" t="s">
        <v>17</v>
      </c>
      <c r="C15" t="s">
        <v>26</v>
      </c>
      <c r="D15" s="1">
        <v>68080</v>
      </c>
      <c r="E15" s="1">
        <v>265512</v>
      </c>
      <c r="F15" s="1">
        <v>3900</v>
      </c>
      <c r="J15" t="s">
        <v>15</v>
      </c>
      <c r="K15" t="s">
        <v>44</v>
      </c>
      <c r="L15" s="1">
        <v>6000</v>
      </c>
      <c r="M15" s="1">
        <v>12000</v>
      </c>
      <c r="N15" s="1">
        <v>2000</v>
      </c>
      <c r="O15" t="s">
        <v>670</v>
      </c>
    </row>
    <row r="16" spans="1:18" x14ac:dyDescent="0.3">
      <c r="A16" t="s">
        <v>69</v>
      </c>
      <c r="B16" s="28" t="s">
        <v>18</v>
      </c>
      <c r="C16" t="s">
        <v>26</v>
      </c>
      <c r="D16" s="1">
        <v>69000</v>
      </c>
      <c r="E16" s="1">
        <v>227700</v>
      </c>
      <c r="F16" s="1">
        <v>3300</v>
      </c>
      <c r="J16" t="s">
        <v>15</v>
      </c>
      <c r="K16" t="s">
        <v>29</v>
      </c>
      <c r="L16" s="1">
        <v>4000</v>
      </c>
      <c r="M16" s="1">
        <v>10000</v>
      </c>
      <c r="N16" s="1">
        <v>2500</v>
      </c>
      <c r="O16" t="s">
        <v>671</v>
      </c>
    </row>
    <row r="17" spans="1:17" x14ac:dyDescent="0.3">
      <c r="A17" t="s">
        <v>69</v>
      </c>
      <c r="B17" s="28" t="s">
        <v>19</v>
      </c>
      <c r="C17" t="s">
        <v>26</v>
      </c>
      <c r="D17" s="1">
        <v>114800</v>
      </c>
      <c r="E17" s="1">
        <v>342323</v>
      </c>
      <c r="F17" s="1">
        <v>3090</v>
      </c>
      <c r="J17" t="s">
        <v>15</v>
      </c>
      <c r="K17" t="s">
        <v>31</v>
      </c>
      <c r="L17" s="1">
        <v>4000</v>
      </c>
      <c r="M17" s="1">
        <v>10000</v>
      </c>
      <c r="N17" s="1">
        <v>2500</v>
      </c>
      <c r="O17" t="s">
        <v>672</v>
      </c>
    </row>
    <row r="18" spans="1:17" x14ac:dyDescent="0.3">
      <c r="A18" t="s">
        <v>69</v>
      </c>
      <c r="B18" s="28" t="s">
        <v>20</v>
      </c>
      <c r="C18" t="s">
        <v>26</v>
      </c>
      <c r="D18" s="1">
        <v>124150</v>
      </c>
      <c r="E18" s="1">
        <v>421911</v>
      </c>
      <c r="F18" s="1">
        <v>3420</v>
      </c>
      <c r="J18" t="s">
        <v>15</v>
      </c>
      <c r="K18" t="s">
        <v>32</v>
      </c>
      <c r="L18" s="1">
        <v>5000</v>
      </c>
      <c r="M18" s="1">
        <v>10000</v>
      </c>
      <c r="N18" s="1">
        <v>2000</v>
      </c>
      <c r="O18" t="s">
        <v>673</v>
      </c>
    </row>
    <row r="19" spans="1:17" x14ac:dyDescent="0.3">
      <c r="A19" t="s">
        <v>69</v>
      </c>
      <c r="B19" s="28" t="s">
        <v>21</v>
      </c>
      <c r="C19" t="s">
        <v>26</v>
      </c>
      <c r="D19" s="1">
        <v>124150</v>
      </c>
      <c r="E19" s="1">
        <v>387660</v>
      </c>
      <c r="F19" s="1">
        <v>3123</v>
      </c>
      <c r="J19" t="s">
        <v>15</v>
      </c>
      <c r="K19" t="s">
        <v>48</v>
      </c>
      <c r="L19" s="1">
        <v>3500</v>
      </c>
      <c r="M19" s="1">
        <v>8750</v>
      </c>
      <c r="N19" s="1">
        <v>2500</v>
      </c>
      <c r="O19" t="s">
        <v>675</v>
      </c>
      <c r="Q19" s="1"/>
    </row>
    <row r="20" spans="1:17" x14ac:dyDescent="0.3">
      <c r="A20" t="s">
        <v>69</v>
      </c>
      <c r="B20" s="28" t="s">
        <v>22</v>
      </c>
      <c r="C20" t="s">
        <v>26</v>
      </c>
      <c r="D20" s="1">
        <v>121355</v>
      </c>
      <c r="E20" s="1">
        <v>397956</v>
      </c>
      <c r="F20" s="1">
        <v>3279</v>
      </c>
      <c r="J20" t="s">
        <v>15</v>
      </c>
      <c r="K20" t="s">
        <v>45</v>
      </c>
      <c r="L20" s="1">
        <v>3000</v>
      </c>
      <c r="M20" s="1">
        <v>7500</v>
      </c>
      <c r="N20" s="1">
        <v>2500</v>
      </c>
      <c r="O20" t="s">
        <v>676</v>
      </c>
    </row>
    <row r="21" spans="1:17" x14ac:dyDescent="0.3">
      <c r="A21" t="s">
        <v>69</v>
      </c>
      <c r="B21" s="28" t="s">
        <v>23</v>
      </c>
      <c r="C21" t="s">
        <v>26</v>
      </c>
      <c r="D21" s="1">
        <v>122455</v>
      </c>
      <c r="E21" s="1">
        <v>334028</v>
      </c>
      <c r="F21" s="1">
        <v>2728</v>
      </c>
      <c r="J21" t="s">
        <v>15</v>
      </c>
      <c r="K21" t="s">
        <v>28</v>
      </c>
      <c r="L21" s="1">
        <v>3500</v>
      </c>
      <c r="M21" s="1">
        <v>5000</v>
      </c>
      <c r="N21" s="1">
        <v>2000</v>
      </c>
      <c r="O21" t="s">
        <v>677</v>
      </c>
    </row>
    <row r="22" spans="1:17" x14ac:dyDescent="0.3">
      <c r="A22" t="s">
        <v>69</v>
      </c>
      <c r="B22" s="28" t="s">
        <v>24</v>
      </c>
      <c r="C22" t="s">
        <v>26</v>
      </c>
      <c r="D22" s="1">
        <v>117500</v>
      </c>
      <c r="E22" s="1">
        <v>199254</v>
      </c>
      <c r="F22" s="1">
        <v>1767</v>
      </c>
      <c r="J22" t="s">
        <v>15</v>
      </c>
      <c r="K22" t="s">
        <v>46</v>
      </c>
      <c r="L22" s="1">
        <v>2000</v>
      </c>
      <c r="M22" s="1">
        <v>5000</v>
      </c>
      <c r="N22" s="1">
        <v>2500</v>
      </c>
      <c r="O22" t="s">
        <v>678</v>
      </c>
    </row>
    <row r="23" spans="1:17" x14ac:dyDescent="0.3">
      <c r="A23" t="s">
        <v>69</v>
      </c>
      <c r="B23" s="28" t="s">
        <v>25</v>
      </c>
      <c r="C23" t="s">
        <v>26</v>
      </c>
      <c r="D23" s="1">
        <v>143930</v>
      </c>
      <c r="E23" s="1">
        <v>72538</v>
      </c>
      <c r="F23" s="1">
        <v>700</v>
      </c>
      <c r="J23" t="s">
        <v>15</v>
      </c>
      <c r="K23" t="s">
        <v>39</v>
      </c>
      <c r="L23" s="1">
        <v>1500</v>
      </c>
      <c r="M23" s="1">
        <v>3300</v>
      </c>
      <c r="N23" s="1">
        <v>2200</v>
      </c>
      <c r="O23" t="s">
        <v>679</v>
      </c>
    </row>
    <row r="24" spans="1:17" x14ac:dyDescent="0.3">
      <c r="A24" t="s">
        <v>69</v>
      </c>
      <c r="B24" s="28" t="s">
        <v>23</v>
      </c>
      <c r="C24" t="s">
        <v>27</v>
      </c>
      <c r="D24" s="1">
        <v>500</v>
      </c>
      <c r="E24" s="1">
        <v>750</v>
      </c>
      <c r="F24" s="1">
        <v>1500</v>
      </c>
      <c r="J24" t="s">
        <v>15</v>
      </c>
      <c r="K24" t="s">
        <v>34</v>
      </c>
      <c r="L24" s="1">
        <v>500</v>
      </c>
      <c r="M24" s="1">
        <v>900</v>
      </c>
      <c r="N24" s="1">
        <v>1800</v>
      </c>
      <c r="O24" t="s">
        <v>680</v>
      </c>
    </row>
    <row r="25" spans="1:17" x14ac:dyDescent="0.3">
      <c r="A25" t="s">
        <v>69</v>
      </c>
      <c r="B25" s="28" t="s">
        <v>24</v>
      </c>
      <c r="C25" t="s">
        <v>27</v>
      </c>
      <c r="D25" s="1">
        <v>500</v>
      </c>
      <c r="E25" s="1">
        <v>1520</v>
      </c>
      <c r="F25" s="1">
        <v>3040</v>
      </c>
      <c r="J25" s="78" t="s">
        <v>15</v>
      </c>
      <c r="K25" t="s">
        <v>595</v>
      </c>
      <c r="L25" s="3">
        <v>869000</v>
      </c>
      <c r="M25" s="3">
        <v>1915310</v>
      </c>
      <c r="N25" s="3">
        <v>2460</v>
      </c>
    </row>
    <row r="26" spans="1:17" x14ac:dyDescent="0.3">
      <c r="A26" t="s">
        <v>69</v>
      </c>
      <c r="B26" s="28" t="s">
        <v>25</v>
      </c>
      <c r="C26" t="s">
        <v>27</v>
      </c>
      <c r="D26" s="1">
        <v>575</v>
      </c>
      <c r="E26" s="1">
        <v>1188</v>
      </c>
      <c r="F26" s="1">
        <v>2200</v>
      </c>
    </row>
    <row r="27" spans="1:17" x14ac:dyDescent="0.3">
      <c r="A27" t="s">
        <v>69</v>
      </c>
      <c r="B27" s="28" t="s">
        <v>15</v>
      </c>
      <c r="C27" t="s">
        <v>28</v>
      </c>
      <c r="D27" s="1">
        <v>3500</v>
      </c>
      <c r="E27" s="1">
        <v>5000</v>
      </c>
      <c r="F27" s="1">
        <v>2000</v>
      </c>
      <c r="J27" s="2" t="s">
        <v>1</v>
      </c>
      <c r="K27" s="2" t="s">
        <v>3</v>
      </c>
      <c r="L27" s="3" t="s">
        <v>6</v>
      </c>
      <c r="M27" s="3" t="s">
        <v>8</v>
      </c>
      <c r="N27" s="3" t="s">
        <v>9</v>
      </c>
    </row>
    <row r="28" spans="1:17" x14ac:dyDescent="0.3">
      <c r="A28" t="s">
        <v>69</v>
      </c>
      <c r="B28" s="28" t="s">
        <v>16</v>
      </c>
      <c r="C28" t="s">
        <v>28</v>
      </c>
      <c r="D28" s="1">
        <v>3500</v>
      </c>
      <c r="E28" s="1">
        <v>7350</v>
      </c>
      <c r="F28" s="1">
        <v>2100</v>
      </c>
      <c r="J28" t="s">
        <v>16</v>
      </c>
      <c r="K28" t="s">
        <v>41</v>
      </c>
      <c r="L28" s="1">
        <v>290000</v>
      </c>
      <c r="M28" s="1">
        <v>741000</v>
      </c>
      <c r="N28" s="1">
        <v>2600</v>
      </c>
      <c r="O28" t="s">
        <v>658</v>
      </c>
    </row>
    <row r="29" spans="1:17" x14ac:dyDescent="0.3">
      <c r="A29" t="s">
        <v>69</v>
      </c>
      <c r="B29" s="28" t="s">
        <v>17</v>
      </c>
      <c r="C29" t="s">
        <v>28</v>
      </c>
      <c r="D29" s="1">
        <v>3500</v>
      </c>
      <c r="E29" s="1">
        <v>11492</v>
      </c>
      <c r="F29" s="1">
        <v>3400</v>
      </c>
      <c r="J29" t="s">
        <v>16</v>
      </c>
      <c r="K29" t="s">
        <v>35</v>
      </c>
      <c r="L29" s="1">
        <v>140000</v>
      </c>
      <c r="M29" s="1">
        <v>340200</v>
      </c>
      <c r="N29" s="1">
        <v>2700</v>
      </c>
      <c r="O29" t="s">
        <v>659</v>
      </c>
    </row>
    <row r="30" spans="1:17" x14ac:dyDescent="0.3">
      <c r="A30" t="s">
        <v>69</v>
      </c>
      <c r="B30" s="28" t="s">
        <v>18</v>
      </c>
      <c r="C30" t="s">
        <v>28</v>
      </c>
      <c r="D30" s="1">
        <v>50</v>
      </c>
      <c r="E30" s="1">
        <v>140</v>
      </c>
      <c r="F30" s="1">
        <v>2800</v>
      </c>
      <c r="J30" t="s">
        <v>16</v>
      </c>
      <c r="K30" t="s">
        <v>26</v>
      </c>
      <c r="L30" s="1">
        <v>116000</v>
      </c>
      <c r="M30" s="1">
        <v>336400</v>
      </c>
      <c r="N30" s="1">
        <v>2900</v>
      </c>
      <c r="O30" t="s">
        <v>660</v>
      </c>
    </row>
    <row r="31" spans="1:17" x14ac:dyDescent="0.3">
      <c r="A31" t="s">
        <v>69</v>
      </c>
      <c r="B31" s="28" t="s">
        <v>19</v>
      </c>
      <c r="C31" t="s">
        <v>28</v>
      </c>
      <c r="D31" s="1">
        <v>3500</v>
      </c>
      <c r="E31" s="1">
        <v>10478</v>
      </c>
      <c r="F31" s="1">
        <v>3100</v>
      </c>
      <c r="J31" t="s">
        <v>16</v>
      </c>
      <c r="K31" t="s">
        <v>30</v>
      </c>
      <c r="L31" s="1">
        <v>112000</v>
      </c>
      <c r="M31" s="1">
        <v>275400</v>
      </c>
      <c r="N31" s="1">
        <v>2700</v>
      </c>
      <c r="O31" t="s">
        <v>661</v>
      </c>
    </row>
    <row r="32" spans="1:17" x14ac:dyDescent="0.3">
      <c r="A32" t="s">
        <v>69</v>
      </c>
      <c r="B32" s="28" t="s">
        <v>20</v>
      </c>
      <c r="C32" t="s">
        <v>28</v>
      </c>
      <c r="D32" s="1">
        <v>3600</v>
      </c>
      <c r="E32" s="1">
        <v>10800</v>
      </c>
      <c r="F32" s="1">
        <v>3000</v>
      </c>
      <c r="J32" t="s">
        <v>16</v>
      </c>
      <c r="K32" t="s">
        <v>37</v>
      </c>
      <c r="L32" s="1">
        <v>53915</v>
      </c>
      <c r="M32" s="1">
        <v>156354</v>
      </c>
      <c r="N32" s="1">
        <v>2900</v>
      </c>
      <c r="O32" t="s">
        <v>662</v>
      </c>
    </row>
    <row r="33" spans="1:15" x14ac:dyDescent="0.3">
      <c r="A33" t="s">
        <v>69</v>
      </c>
      <c r="B33" s="28" t="s">
        <v>21</v>
      </c>
      <c r="C33" t="s">
        <v>28</v>
      </c>
      <c r="D33" s="1">
        <v>3600</v>
      </c>
      <c r="E33" s="1">
        <v>11520</v>
      </c>
      <c r="F33" s="1">
        <v>3200</v>
      </c>
      <c r="J33" t="s">
        <v>16</v>
      </c>
      <c r="K33" t="s">
        <v>12</v>
      </c>
      <c r="L33" s="1">
        <v>55000</v>
      </c>
      <c r="M33" s="1">
        <v>132000</v>
      </c>
      <c r="N33" s="1">
        <v>2400</v>
      </c>
      <c r="O33" t="s">
        <v>663</v>
      </c>
    </row>
    <row r="34" spans="1:15" x14ac:dyDescent="0.3">
      <c r="A34" t="s">
        <v>69</v>
      </c>
      <c r="B34" s="28" t="s">
        <v>22</v>
      </c>
      <c r="C34" t="s">
        <v>28</v>
      </c>
      <c r="D34" s="1">
        <v>3600</v>
      </c>
      <c r="E34" s="1">
        <v>10440</v>
      </c>
      <c r="F34" s="1">
        <v>2900</v>
      </c>
      <c r="J34" t="s">
        <v>16</v>
      </c>
      <c r="K34" t="s">
        <v>38</v>
      </c>
      <c r="L34" s="1">
        <v>55000</v>
      </c>
      <c r="M34" s="1">
        <v>127400</v>
      </c>
      <c r="N34" s="1">
        <v>2600</v>
      </c>
      <c r="O34" t="s">
        <v>664</v>
      </c>
    </row>
    <row r="35" spans="1:15" x14ac:dyDescent="0.3">
      <c r="A35" t="s">
        <v>69</v>
      </c>
      <c r="B35" s="28" t="s">
        <v>23</v>
      </c>
      <c r="C35" t="s">
        <v>28</v>
      </c>
      <c r="D35" s="1">
        <v>5600</v>
      </c>
      <c r="E35" s="1">
        <v>14392</v>
      </c>
      <c r="F35" s="1">
        <v>2570</v>
      </c>
      <c r="J35" t="s">
        <v>16</v>
      </c>
      <c r="K35" t="s">
        <v>43</v>
      </c>
      <c r="L35" s="1">
        <v>41407</v>
      </c>
      <c r="M35" s="1">
        <v>120080</v>
      </c>
      <c r="N35" s="1">
        <v>2900</v>
      </c>
      <c r="O35" t="s">
        <v>665</v>
      </c>
    </row>
    <row r="36" spans="1:15" x14ac:dyDescent="0.3">
      <c r="A36" t="s">
        <v>69</v>
      </c>
      <c r="B36" s="28" t="s">
        <v>24</v>
      </c>
      <c r="C36" t="s">
        <v>28</v>
      </c>
      <c r="D36" s="1">
        <v>4800</v>
      </c>
      <c r="E36" s="1">
        <v>11326</v>
      </c>
      <c r="F36" s="1">
        <v>2420</v>
      </c>
      <c r="J36" t="s">
        <v>16</v>
      </c>
      <c r="K36" t="s">
        <v>51</v>
      </c>
      <c r="L36" s="1">
        <v>50000</v>
      </c>
      <c r="M36" s="1">
        <v>105800</v>
      </c>
      <c r="N36" s="1">
        <v>2300</v>
      </c>
      <c r="O36" t="s">
        <v>666</v>
      </c>
    </row>
    <row r="37" spans="1:15" x14ac:dyDescent="0.3">
      <c r="A37" t="s">
        <v>69</v>
      </c>
      <c r="B37" s="28" t="s">
        <v>25</v>
      </c>
      <c r="C37" t="s">
        <v>28</v>
      </c>
      <c r="D37" s="1">
        <v>5850</v>
      </c>
      <c r="E37" s="1">
        <v>10152</v>
      </c>
      <c r="F37" s="1">
        <v>1800</v>
      </c>
      <c r="J37" t="s">
        <v>16</v>
      </c>
      <c r="K37" t="s">
        <v>40</v>
      </c>
      <c r="L37" s="1">
        <v>15000</v>
      </c>
      <c r="M37" s="1">
        <v>40500</v>
      </c>
      <c r="N37" s="1">
        <v>2700</v>
      </c>
      <c r="O37" t="s">
        <v>667</v>
      </c>
    </row>
    <row r="38" spans="1:15" x14ac:dyDescent="0.3">
      <c r="A38" t="s">
        <v>69</v>
      </c>
      <c r="B38" s="28" t="s">
        <v>15</v>
      </c>
      <c r="C38" t="s">
        <v>29</v>
      </c>
      <c r="D38" s="1">
        <v>4000</v>
      </c>
      <c r="E38" s="1">
        <v>10000</v>
      </c>
      <c r="F38" s="1">
        <v>2500</v>
      </c>
      <c r="J38" t="s">
        <v>16</v>
      </c>
      <c r="K38" t="s">
        <v>44</v>
      </c>
      <c r="L38" s="1">
        <v>15750</v>
      </c>
      <c r="M38" s="1">
        <v>37800</v>
      </c>
      <c r="N38" s="1">
        <v>2400</v>
      </c>
      <c r="O38" t="s">
        <v>668</v>
      </c>
    </row>
    <row r="39" spans="1:15" x14ac:dyDescent="0.3">
      <c r="A39" t="s">
        <v>69</v>
      </c>
      <c r="B39" s="28" t="s">
        <v>16</v>
      </c>
      <c r="C39" t="s">
        <v>29</v>
      </c>
      <c r="D39" s="1">
        <v>4000</v>
      </c>
      <c r="E39" s="1">
        <v>8800</v>
      </c>
      <c r="F39" s="1">
        <v>2200</v>
      </c>
      <c r="J39" t="s">
        <v>16</v>
      </c>
      <c r="K39" t="s">
        <v>33</v>
      </c>
      <c r="L39" s="1">
        <v>8500</v>
      </c>
      <c r="M39" s="1">
        <v>18700</v>
      </c>
      <c r="N39" s="1">
        <v>2200</v>
      </c>
      <c r="O39" t="s">
        <v>669</v>
      </c>
    </row>
    <row r="40" spans="1:15" x14ac:dyDescent="0.3">
      <c r="A40" t="s">
        <v>69</v>
      </c>
      <c r="B40" s="28" t="s">
        <v>17</v>
      </c>
      <c r="C40" t="s">
        <v>29</v>
      </c>
      <c r="D40" s="1">
        <v>4000</v>
      </c>
      <c r="E40" s="1">
        <v>12000</v>
      </c>
      <c r="F40" s="1">
        <v>3000</v>
      </c>
      <c r="J40" t="s">
        <v>16</v>
      </c>
      <c r="K40" t="s">
        <v>32</v>
      </c>
      <c r="L40" s="1">
        <v>5000</v>
      </c>
      <c r="M40" s="1">
        <v>10500</v>
      </c>
      <c r="N40" s="1">
        <v>2100</v>
      </c>
      <c r="O40" t="s">
        <v>670</v>
      </c>
    </row>
    <row r="41" spans="1:15" x14ac:dyDescent="0.3">
      <c r="A41" t="s">
        <v>69</v>
      </c>
      <c r="B41" s="28" t="s">
        <v>18</v>
      </c>
      <c r="C41" t="s">
        <v>29</v>
      </c>
      <c r="D41" s="1">
        <v>4000</v>
      </c>
      <c r="E41" s="1">
        <v>10000</v>
      </c>
      <c r="F41" s="1">
        <v>2500</v>
      </c>
      <c r="J41" t="s">
        <v>16</v>
      </c>
      <c r="K41" t="s">
        <v>36</v>
      </c>
      <c r="L41" s="1">
        <v>4000</v>
      </c>
      <c r="M41" s="1">
        <v>9600</v>
      </c>
      <c r="N41" s="1">
        <v>2400</v>
      </c>
      <c r="O41" t="s">
        <v>671</v>
      </c>
    </row>
    <row r="42" spans="1:15" x14ac:dyDescent="0.3">
      <c r="A42" t="s">
        <v>69</v>
      </c>
      <c r="B42" s="28" t="s">
        <v>19</v>
      </c>
      <c r="C42" t="s">
        <v>29</v>
      </c>
      <c r="D42" s="1">
        <v>4600</v>
      </c>
      <c r="E42" s="1">
        <v>13800</v>
      </c>
      <c r="F42" s="1">
        <v>3000</v>
      </c>
      <c r="J42" t="s">
        <v>16</v>
      </c>
      <c r="K42" t="s">
        <v>29</v>
      </c>
      <c r="L42" s="1">
        <v>4000</v>
      </c>
      <c r="M42" s="1">
        <v>8800</v>
      </c>
      <c r="N42" s="1">
        <v>2200</v>
      </c>
      <c r="O42" t="s">
        <v>672</v>
      </c>
    </row>
    <row r="43" spans="1:15" x14ac:dyDescent="0.3">
      <c r="A43" t="s">
        <v>69</v>
      </c>
      <c r="B43" s="28" t="s">
        <v>20</v>
      </c>
      <c r="C43" t="s">
        <v>29</v>
      </c>
      <c r="D43" s="1">
        <v>4000</v>
      </c>
      <c r="E43" s="1">
        <v>12000</v>
      </c>
      <c r="F43" s="1">
        <v>3000</v>
      </c>
      <c r="J43" t="s">
        <v>16</v>
      </c>
      <c r="K43" t="s">
        <v>47</v>
      </c>
      <c r="L43" s="1">
        <v>3000</v>
      </c>
      <c r="M43" s="1">
        <v>8700</v>
      </c>
      <c r="N43" s="1">
        <v>2900</v>
      </c>
      <c r="O43" t="s">
        <v>673</v>
      </c>
    </row>
    <row r="44" spans="1:15" x14ac:dyDescent="0.3">
      <c r="A44" t="s">
        <v>69</v>
      </c>
      <c r="B44" s="28" t="s">
        <v>21</v>
      </c>
      <c r="C44" t="s">
        <v>29</v>
      </c>
      <c r="D44" s="1">
        <v>4000</v>
      </c>
      <c r="E44" s="1">
        <v>12000</v>
      </c>
      <c r="F44" s="1">
        <v>3000</v>
      </c>
      <c r="J44" t="s">
        <v>16</v>
      </c>
      <c r="K44" t="s">
        <v>31</v>
      </c>
      <c r="L44" s="1">
        <v>3000</v>
      </c>
      <c r="M44" s="1">
        <v>8100</v>
      </c>
      <c r="N44" s="1">
        <v>2700</v>
      </c>
      <c r="O44" t="s">
        <v>675</v>
      </c>
    </row>
    <row r="45" spans="1:15" x14ac:dyDescent="0.3">
      <c r="A45" t="s">
        <v>69</v>
      </c>
      <c r="B45" s="28" t="s">
        <v>22</v>
      </c>
      <c r="C45" t="s">
        <v>29</v>
      </c>
      <c r="D45" s="1">
        <v>4500</v>
      </c>
      <c r="E45" s="1">
        <v>11250</v>
      </c>
      <c r="F45" s="1">
        <v>2500</v>
      </c>
      <c r="J45" t="s">
        <v>16</v>
      </c>
      <c r="K45" t="s">
        <v>28</v>
      </c>
      <c r="L45" s="1">
        <v>3500</v>
      </c>
      <c r="M45" s="1">
        <v>7350</v>
      </c>
      <c r="N45" s="1">
        <v>2100</v>
      </c>
      <c r="O45" t="s">
        <v>676</v>
      </c>
    </row>
    <row r="46" spans="1:15" x14ac:dyDescent="0.3">
      <c r="A46" t="s">
        <v>69</v>
      </c>
      <c r="B46" s="28" t="s">
        <v>23</v>
      </c>
      <c r="C46" t="s">
        <v>29</v>
      </c>
      <c r="D46" s="1">
        <v>5000</v>
      </c>
      <c r="E46" s="1">
        <v>7500</v>
      </c>
      <c r="F46" s="1">
        <v>1500</v>
      </c>
      <c r="J46" t="s">
        <v>16</v>
      </c>
      <c r="K46" t="s">
        <v>45</v>
      </c>
      <c r="L46" s="1">
        <v>2000</v>
      </c>
      <c r="M46" s="1">
        <v>5400</v>
      </c>
      <c r="N46" s="1">
        <v>2700</v>
      </c>
      <c r="O46" t="s">
        <v>677</v>
      </c>
    </row>
    <row r="47" spans="1:15" x14ac:dyDescent="0.3">
      <c r="A47" t="s">
        <v>69</v>
      </c>
      <c r="B47" s="28" t="s">
        <v>24</v>
      </c>
      <c r="C47" t="s">
        <v>29</v>
      </c>
      <c r="D47" s="1">
        <v>5000</v>
      </c>
      <c r="E47" s="1">
        <v>15048</v>
      </c>
      <c r="F47" s="1">
        <v>3010</v>
      </c>
      <c r="J47" t="s">
        <v>16</v>
      </c>
      <c r="K47" t="s">
        <v>39</v>
      </c>
      <c r="L47" s="1">
        <v>1500</v>
      </c>
      <c r="M47" s="1">
        <v>3600</v>
      </c>
      <c r="N47" s="1">
        <v>2400</v>
      </c>
      <c r="O47" t="s">
        <v>678</v>
      </c>
    </row>
    <row r="48" spans="1:15" x14ac:dyDescent="0.3">
      <c r="A48" t="s">
        <v>69</v>
      </c>
      <c r="B48" s="28" t="s">
        <v>25</v>
      </c>
      <c r="C48" t="s">
        <v>29</v>
      </c>
      <c r="D48" s="1">
        <v>5800</v>
      </c>
      <c r="E48" s="1">
        <v>15187</v>
      </c>
      <c r="F48" s="1">
        <v>2657</v>
      </c>
      <c r="J48" t="s">
        <v>16</v>
      </c>
      <c r="K48" t="s">
        <v>46</v>
      </c>
      <c r="L48" s="1">
        <v>1500</v>
      </c>
      <c r="M48" s="1">
        <v>3600</v>
      </c>
      <c r="N48" s="1">
        <v>2400</v>
      </c>
      <c r="O48" t="s">
        <v>679</v>
      </c>
    </row>
    <row r="49" spans="1:15" x14ac:dyDescent="0.3">
      <c r="A49" t="s">
        <v>69</v>
      </c>
      <c r="B49" s="28" t="s">
        <v>15</v>
      </c>
      <c r="C49" t="s">
        <v>30</v>
      </c>
      <c r="D49" s="1">
        <v>105000</v>
      </c>
      <c r="E49" s="1">
        <v>133200</v>
      </c>
      <c r="F49" s="1">
        <v>1800</v>
      </c>
      <c r="J49" t="s">
        <v>16</v>
      </c>
      <c r="K49" t="s">
        <v>34</v>
      </c>
      <c r="L49" s="1">
        <v>500</v>
      </c>
      <c r="M49" s="1">
        <v>850</v>
      </c>
      <c r="N49" s="1">
        <v>1700</v>
      </c>
      <c r="O49" t="s">
        <v>680</v>
      </c>
    </row>
    <row r="50" spans="1:15" x14ac:dyDescent="0.3">
      <c r="A50" t="s">
        <v>69</v>
      </c>
      <c r="B50" s="28" t="s">
        <v>16</v>
      </c>
      <c r="C50" t="s">
        <v>30</v>
      </c>
      <c r="D50" s="1">
        <v>112000</v>
      </c>
      <c r="E50" s="1">
        <v>275400</v>
      </c>
      <c r="F50" s="1">
        <v>2700</v>
      </c>
      <c r="J50" s="79" t="s">
        <v>16</v>
      </c>
      <c r="K50" s="2" t="s">
        <v>595</v>
      </c>
      <c r="L50" s="3">
        <v>980572</v>
      </c>
      <c r="M50" s="3">
        <v>2498134</v>
      </c>
      <c r="N50" s="3">
        <v>2653</v>
      </c>
    </row>
    <row r="51" spans="1:15" x14ac:dyDescent="0.3">
      <c r="A51" t="s">
        <v>69</v>
      </c>
      <c r="B51" s="28" t="s">
        <v>17</v>
      </c>
      <c r="C51" t="s">
        <v>30</v>
      </c>
      <c r="D51" s="1">
        <v>103000</v>
      </c>
      <c r="E51" s="1">
        <v>374329</v>
      </c>
      <c r="F51" s="1">
        <v>3700</v>
      </c>
      <c r="J51" s="2" t="s">
        <v>1</v>
      </c>
      <c r="K51" s="2" t="s">
        <v>3</v>
      </c>
      <c r="L51" s="3" t="s">
        <v>6</v>
      </c>
      <c r="M51" s="3" t="s">
        <v>8</v>
      </c>
      <c r="N51" s="3" t="s">
        <v>9</v>
      </c>
    </row>
    <row r="52" spans="1:15" x14ac:dyDescent="0.3">
      <c r="A52" t="s">
        <v>69</v>
      </c>
      <c r="B52" s="28" t="s">
        <v>18</v>
      </c>
      <c r="C52" t="s">
        <v>30</v>
      </c>
      <c r="D52" s="1">
        <v>104000</v>
      </c>
      <c r="E52" s="1">
        <v>249600</v>
      </c>
      <c r="F52" s="1">
        <v>2400</v>
      </c>
      <c r="J52" t="s">
        <v>17</v>
      </c>
      <c r="K52" t="s">
        <v>41</v>
      </c>
      <c r="L52" s="1">
        <v>231550</v>
      </c>
      <c r="M52" s="1">
        <v>832212</v>
      </c>
      <c r="N52" s="1">
        <v>3600</v>
      </c>
      <c r="O52" t="s">
        <v>658</v>
      </c>
    </row>
    <row r="53" spans="1:15" x14ac:dyDescent="0.3">
      <c r="A53" t="s">
        <v>69</v>
      </c>
      <c r="B53" s="28" t="s">
        <v>19</v>
      </c>
      <c r="C53" t="s">
        <v>30</v>
      </c>
      <c r="D53" s="1">
        <v>114800</v>
      </c>
      <c r="E53" s="1">
        <v>313085</v>
      </c>
      <c r="F53" s="1">
        <v>3148</v>
      </c>
      <c r="J53" t="s">
        <v>17</v>
      </c>
      <c r="K53" t="s">
        <v>35</v>
      </c>
      <c r="L53" s="1">
        <v>193300</v>
      </c>
      <c r="M53" s="1">
        <v>741156</v>
      </c>
      <c r="N53" s="1">
        <v>3900</v>
      </c>
      <c r="O53" t="s">
        <v>659</v>
      </c>
    </row>
    <row r="54" spans="1:15" x14ac:dyDescent="0.3">
      <c r="A54" t="s">
        <v>69</v>
      </c>
      <c r="B54" s="28" t="s">
        <v>20</v>
      </c>
      <c r="C54" t="s">
        <v>30</v>
      </c>
      <c r="D54" s="1">
        <v>117500</v>
      </c>
      <c r="E54" s="1">
        <v>378297</v>
      </c>
      <c r="F54" s="1">
        <v>3242</v>
      </c>
      <c r="J54" t="s">
        <v>17</v>
      </c>
      <c r="K54" t="s">
        <v>30</v>
      </c>
      <c r="L54" s="1">
        <v>103000</v>
      </c>
      <c r="M54" s="1">
        <v>374329</v>
      </c>
      <c r="N54" s="1">
        <v>3700</v>
      </c>
      <c r="O54" t="s">
        <v>660</v>
      </c>
    </row>
    <row r="55" spans="1:15" x14ac:dyDescent="0.3">
      <c r="A55" t="s">
        <v>69</v>
      </c>
      <c r="B55" s="28" t="s">
        <v>21</v>
      </c>
      <c r="C55" t="s">
        <v>30</v>
      </c>
      <c r="D55" s="1">
        <v>117500</v>
      </c>
      <c r="E55" s="1">
        <v>410300</v>
      </c>
      <c r="F55" s="1">
        <v>3492</v>
      </c>
      <c r="J55" t="s">
        <v>17</v>
      </c>
      <c r="K55" t="s">
        <v>38</v>
      </c>
      <c r="L55" s="1">
        <v>77640</v>
      </c>
      <c r="M55" s="1">
        <v>270690</v>
      </c>
      <c r="N55" s="1">
        <v>3500</v>
      </c>
      <c r="O55" t="s">
        <v>661</v>
      </c>
    </row>
    <row r="56" spans="1:15" x14ac:dyDescent="0.3">
      <c r="A56" t="s">
        <v>69</v>
      </c>
      <c r="B56" s="28" t="s">
        <v>22</v>
      </c>
      <c r="C56" t="s">
        <v>30</v>
      </c>
      <c r="D56" s="1">
        <v>114075</v>
      </c>
      <c r="E56" s="1">
        <v>365040</v>
      </c>
      <c r="F56" s="1">
        <v>3200</v>
      </c>
      <c r="J56" t="s">
        <v>17</v>
      </c>
      <c r="K56" t="s">
        <v>26</v>
      </c>
      <c r="L56" s="1">
        <v>68080</v>
      </c>
      <c r="M56" s="1">
        <v>265512</v>
      </c>
      <c r="N56" s="1">
        <v>3900</v>
      </c>
      <c r="O56" t="s">
        <v>662</v>
      </c>
    </row>
    <row r="57" spans="1:15" x14ac:dyDescent="0.3">
      <c r="A57" t="s">
        <v>69</v>
      </c>
      <c r="B57" s="28" t="s">
        <v>23</v>
      </c>
      <c r="C57" t="s">
        <v>30</v>
      </c>
      <c r="D57" s="1">
        <v>125250</v>
      </c>
      <c r="E57" s="1">
        <v>343530</v>
      </c>
      <c r="F57" s="1">
        <v>2743</v>
      </c>
      <c r="J57" t="s">
        <v>17</v>
      </c>
      <c r="K57" t="s">
        <v>37</v>
      </c>
      <c r="L57" s="1">
        <v>60000</v>
      </c>
      <c r="M57" s="1">
        <v>210000</v>
      </c>
      <c r="N57" s="1">
        <v>3500</v>
      </c>
      <c r="O57" t="s">
        <v>663</v>
      </c>
    </row>
    <row r="58" spans="1:15" x14ac:dyDescent="0.3">
      <c r="A58" t="s">
        <v>69</v>
      </c>
      <c r="B58" s="28" t="s">
        <v>24</v>
      </c>
      <c r="C58" t="s">
        <v>30</v>
      </c>
      <c r="D58" s="1">
        <v>135500</v>
      </c>
      <c r="E58" s="1">
        <v>388420</v>
      </c>
      <c r="F58" s="1">
        <v>2886</v>
      </c>
      <c r="J58" t="s">
        <v>17</v>
      </c>
      <c r="K58" t="s">
        <v>43</v>
      </c>
      <c r="L58" s="1">
        <v>35000</v>
      </c>
      <c r="M58" s="1">
        <v>122500</v>
      </c>
      <c r="N58" s="1">
        <v>3500</v>
      </c>
      <c r="O58" t="s">
        <v>664</v>
      </c>
    </row>
    <row r="59" spans="1:15" x14ac:dyDescent="0.3">
      <c r="A59" t="s">
        <v>69</v>
      </c>
      <c r="B59" s="28" t="s">
        <v>25</v>
      </c>
      <c r="C59" t="s">
        <v>30</v>
      </c>
      <c r="D59" s="1">
        <v>158000</v>
      </c>
      <c r="E59" s="1">
        <v>493145</v>
      </c>
      <c r="F59" s="1">
        <v>3283</v>
      </c>
      <c r="J59" t="s">
        <v>17</v>
      </c>
      <c r="K59" t="s">
        <v>51</v>
      </c>
      <c r="L59" s="1">
        <v>22030</v>
      </c>
      <c r="M59" s="1">
        <v>74460</v>
      </c>
      <c r="N59" s="1">
        <v>3400</v>
      </c>
      <c r="O59" t="s">
        <v>665</v>
      </c>
    </row>
    <row r="60" spans="1:15" x14ac:dyDescent="0.3">
      <c r="A60" t="s">
        <v>69</v>
      </c>
      <c r="B60" s="28" t="s">
        <v>15</v>
      </c>
      <c r="C60" t="s">
        <v>31</v>
      </c>
      <c r="D60" s="1">
        <v>4000</v>
      </c>
      <c r="E60" s="1">
        <v>10000</v>
      </c>
      <c r="F60" s="1">
        <v>2500</v>
      </c>
      <c r="J60" t="s">
        <v>17</v>
      </c>
      <c r="K60" t="s">
        <v>40</v>
      </c>
      <c r="L60" s="1">
        <v>15000</v>
      </c>
      <c r="M60" s="1">
        <v>52500</v>
      </c>
      <c r="N60" s="1">
        <v>3500</v>
      </c>
      <c r="O60" t="s">
        <v>666</v>
      </c>
    </row>
    <row r="61" spans="1:15" x14ac:dyDescent="0.3">
      <c r="A61" t="s">
        <v>69</v>
      </c>
      <c r="B61" s="28" t="s">
        <v>16</v>
      </c>
      <c r="C61" t="s">
        <v>31</v>
      </c>
      <c r="D61" s="1">
        <v>3000</v>
      </c>
      <c r="E61" s="1">
        <v>8100</v>
      </c>
      <c r="F61" s="1">
        <v>2700</v>
      </c>
      <c r="J61" t="s">
        <v>17</v>
      </c>
      <c r="K61" t="s">
        <v>12</v>
      </c>
      <c r="L61" s="1">
        <v>13740</v>
      </c>
      <c r="M61" s="1">
        <v>49464</v>
      </c>
      <c r="N61" s="1">
        <v>3600</v>
      </c>
      <c r="O61" t="s">
        <v>667</v>
      </c>
    </row>
    <row r="62" spans="1:15" x14ac:dyDescent="0.3">
      <c r="A62" t="s">
        <v>69</v>
      </c>
      <c r="B62" s="28" t="s">
        <v>17</v>
      </c>
      <c r="C62" t="s">
        <v>31</v>
      </c>
      <c r="D62" s="1">
        <v>3500</v>
      </c>
      <c r="E62" s="1">
        <v>12250</v>
      </c>
      <c r="F62" s="1">
        <v>3500</v>
      </c>
      <c r="J62" t="s">
        <v>17</v>
      </c>
      <c r="K62" t="s">
        <v>44</v>
      </c>
      <c r="L62" s="1">
        <v>10000</v>
      </c>
      <c r="M62" s="1">
        <v>35000</v>
      </c>
      <c r="N62" s="1">
        <v>3500</v>
      </c>
      <c r="O62" t="s">
        <v>668</v>
      </c>
    </row>
    <row r="63" spans="1:15" x14ac:dyDescent="0.3">
      <c r="A63" t="s">
        <v>69</v>
      </c>
      <c r="B63" s="28" t="s">
        <v>18</v>
      </c>
      <c r="C63" t="s">
        <v>31</v>
      </c>
      <c r="D63" s="1">
        <v>4000</v>
      </c>
      <c r="E63" s="1">
        <v>11200</v>
      </c>
      <c r="F63" s="1">
        <v>2800</v>
      </c>
      <c r="J63" t="s">
        <v>17</v>
      </c>
      <c r="K63" t="s">
        <v>33</v>
      </c>
      <c r="L63" s="1">
        <v>8500</v>
      </c>
      <c r="M63" s="1">
        <v>25947</v>
      </c>
      <c r="N63" s="1">
        <v>3100</v>
      </c>
      <c r="O63" t="s">
        <v>669</v>
      </c>
    </row>
    <row r="64" spans="1:15" x14ac:dyDescent="0.3">
      <c r="A64" t="s">
        <v>69</v>
      </c>
      <c r="B64" s="28" t="s">
        <v>19</v>
      </c>
      <c r="C64" t="s">
        <v>31</v>
      </c>
      <c r="D64" s="1">
        <v>4000</v>
      </c>
      <c r="E64" s="1">
        <v>14000</v>
      </c>
      <c r="F64" s="1">
        <v>3500</v>
      </c>
      <c r="J64" t="s">
        <v>17</v>
      </c>
      <c r="K64" t="s">
        <v>32</v>
      </c>
      <c r="L64" s="1">
        <v>6000</v>
      </c>
      <c r="M64" s="1">
        <v>16800</v>
      </c>
      <c r="N64" s="1">
        <v>2800</v>
      </c>
      <c r="O64" t="s">
        <v>670</v>
      </c>
    </row>
    <row r="65" spans="1:15" x14ac:dyDescent="0.3">
      <c r="A65" t="s">
        <v>69</v>
      </c>
      <c r="B65" s="28" t="s">
        <v>20</v>
      </c>
      <c r="C65" t="s">
        <v>31</v>
      </c>
      <c r="D65" s="1">
        <v>4000</v>
      </c>
      <c r="E65" s="1">
        <v>12000</v>
      </c>
      <c r="F65" s="1">
        <v>3000</v>
      </c>
      <c r="J65" t="s">
        <v>17</v>
      </c>
      <c r="K65" t="s">
        <v>36</v>
      </c>
      <c r="L65" s="1">
        <v>5000</v>
      </c>
      <c r="M65" s="1">
        <v>15000</v>
      </c>
      <c r="N65" s="1">
        <v>3000</v>
      </c>
      <c r="O65" t="s">
        <v>671</v>
      </c>
    </row>
    <row r="66" spans="1:15" x14ac:dyDescent="0.3">
      <c r="A66" t="s">
        <v>69</v>
      </c>
      <c r="B66" s="28" t="s">
        <v>21</v>
      </c>
      <c r="C66" t="s">
        <v>31</v>
      </c>
      <c r="D66" s="1">
        <v>4000</v>
      </c>
      <c r="E66" s="1">
        <v>12000</v>
      </c>
      <c r="F66" s="1">
        <v>3000</v>
      </c>
      <c r="J66" t="s">
        <v>17</v>
      </c>
      <c r="K66" t="s">
        <v>31</v>
      </c>
      <c r="L66" s="1">
        <v>3500</v>
      </c>
      <c r="M66" s="1">
        <v>12250</v>
      </c>
      <c r="N66" s="1">
        <v>3500</v>
      </c>
      <c r="O66" t="s">
        <v>672</v>
      </c>
    </row>
    <row r="67" spans="1:15" x14ac:dyDescent="0.3">
      <c r="A67" t="s">
        <v>69</v>
      </c>
      <c r="B67" s="28" t="s">
        <v>22</v>
      </c>
      <c r="C67" t="s">
        <v>31</v>
      </c>
      <c r="D67" s="1">
        <v>4500</v>
      </c>
      <c r="E67" s="1">
        <v>11250</v>
      </c>
      <c r="F67" s="1">
        <v>2500</v>
      </c>
      <c r="J67" t="s">
        <v>17</v>
      </c>
      <c r="K67" t="s">
        <v>48</v>
      </c>
      <c r="L67" s="1">
        <v>3500</v>
      </c>
      <c r="M67" s="1">
        <v>12250</v>
      </c>
      <c r="N67" s="1">
        <v>3500</v>
      </c>
      <c r="O67" t="s">
        <v>673</v>
      </c>
    </row>
    <row r="68" spans="1:15" x14ac:dyDescent="0.3">
      <c r="A68" t="s">
        <v>69</v>
      </c>
      <c r="B68" s="28" t="s">
        <v>23</v>
      </c>
      <c r="C68" t="s">
        <v>31</v>
      </c>
      <c r="D68" s="1">
        <v>5000</v>
      </c>
      <c r="E68" s="1">
        <v>7500</v>
      </c>
      <c r="F68" s="1">
        <v>1500</v>
      </c>
      <c r="J68" t="s">
        <v>17</v>
      </c>
      <c r="K68" t="s">
        <v>29</v>
      </c>
      <c r="L68" s="1">
        <v>4000</v>
      </c>
      <c r="M68" s="1">
        <v>12000</v>
      </c>
      <c r="N68" s="1">
        <v>3000</v>
      </c>
      <c r="O68" t="s">
        <v>675</v>
      </c>
    </row>
    <row r="69" spans="1:15" x14ac:dyDescent="0.3">
      <c r="A69" t="s">
        <v>69</v>
      </c>
      <c r="B69" s="28" t="s">
        <v>24</v>
      </c>
      <c r="C69" t="s">
        <v>31</v>
      </c>
      <c r="D69" s="1">
        <v>5000</v>
      </c>
      <c r="E69" s="1">
        <v>15162</v>
      </c>
      <c r="F69" s="1">
        <v>3038</v>
      </c>
      <c r="J69" t="s">
        <v>17</v>
      </c>
      <c r="K69" t="s">
        <v>28</v>
      </c>
      <c r="L69" s="1">
        <v>3500</v>
      </c>
      <c r="M69" s="1">
        <v>11492</v>
      </c>
      <c r="N69" s="1">
        <v>3400</v>
      </c>
      <c r="O69" t="s">
        <v>676</v>
      </c>
    </row>
    <row r="70" spans="1:15" x14ac:dyDescent="0.3">
      <c r="A70" t="s">
        <v>69</v>
      </c>
      <c r="B70" s="28" t="s">
        <v>25</v>
      </c>
      <c r="C70" t="s">
        <v>31</v>
      </c>
      <c r="D70" s="1">
        <v>5800</v>
      </c>
      <c r="E70" s="1">
        <v>13244</v>
      </c>
      <c r="F70" s="1">
        <v>2340</v>
      </c>
      <c r="J70" t="s">
        <v>17</v>
      </c>
      <c r="K70" t="s">
        <v>45</v>
      </c>
      <c r="L70" s="1">
        <v>3000</v>
      </c>
      <c r="M70" s="1">
        <v>10500</v>
      </c>
      <c r="N70" s="1">
        <v>3500</v>
      </c>
      <c r="O70" t="s">
        <v>677</v>
      </c>
    </row>
    <row r="71" spans="1:15" x14ac:dyDescent="0.3">
      <c r="A71" t="s">
        <v>69</v>
      </c>
      <c r="B71" s="28" t="s">
        <v>15</v>
      </c>
      <c r="C71" t="s">
        <v>32</v>
      </c>
      <c r="D71" s="1">
        <v>5000</v>
      </c>
      <c r="E71" s="1">
        <v>10000</v>
      </c>
      <c r="F71" s="1">
        <v>2000</v>
      </c>
      <c r="J71" t="s">
        <v>17</v>
      </c>
      <c r="K71" t="s">
        <v>46</v>
      </c>
      <c r="L71" s="1">
        <v>2500</v>
      </c>
      <c r="M71" s="1">
        <v>7000</v>
      </c>
      <c r="N71" s="1">
        <v>2800</v>
      </c>
      <c r="O71" t="s">
        <v>678</v>
      </c>
    </row>
    <row r="72" spans="1:15" x14ac:dyDescent="0.3">
      <c r="A72" t="s">
        <v>69</v>
      </c>
      <c r="B72" s="28" t="s">
        <v>16</v>
      </c>
      <c r="C72" t="s">
        <v>32</v>
      </c>
      <c r="D72" s="1">
        <v>5000</v>
      </c>
      <c r="E72" s="1">
        <v>10500</v>
      </c>
      <c r="F72" s="1">
        <v>2100</v>
      </c>
      <c r="J72" t="s">
        <v>17</v>
      </c>
      <c r="K72" t="s">
        <v>39</v>
      </c>
      <c r="L72" s="1">
        <v>2000</v>
      </c>
      <c r="M72" s="1">
        <v>6000</v>
      </c>
      <c r="N72" s="1">
        <v>3000</v>
      </c>
      <c r="O72" t="s">
        <v>679</v>
      </c>
    </row>
    <row r="73" spans="1:15" x14ac:dyDescent="0.3">
      <c r="A73" t="s">
        <v>69</v>
      </c>
      <c r="B73" s="28" t="s">
        <v>17</v>
      </c>
      <c r="C73" t="s">
        <v>32</v>
      </c>
      <c r="D73" s="1">
        <v>6000</v>
      </c>
      <c r="E73" s="1">
        <v>16800</v>
      </c>
      <c r="F73" s="1">
        <v>2800</v>
      </c>
      <c r="J73" t="s">
        <v>17</v>
      </c>
      <c r="K73" t="s">
        <v>34</v>
      </c>
      <c r="L73" s="1">
        <v>1000</v>
      </c>
      <c r="M73" s="1">
        <v>2800</v>
      </c>
      <c r="N73" s="1">
        <v>2800</v>
      </c>
      <c r="O73" t="s">
        <v>680</v>
      </c>
    </row>
    <row r="74" spans="1:15" x14ac:dyDescent="0.3">
      <c r="A74" t="s">
        <v>69</v>
      </c>
      <c r="B74" s="28" t="s">
        <v>18</v>
      </c>
      <c r="C74" t="s">
        <v>32</v>
      </c>
      <c r="D74" s="1">
        <v>6000</v>
      </c>
      <c r="E74" s="1">
        <v>15000</v>
      </c>
      <c r="F74" s="1">
        <v>2500</v>
      </c>
      <c r="J74" s="79" t="s">
        <v>17</v>
      </c>
      <c r="K74" s="2" t="s">
        <v>595</v>
      </c>
      <c r="L74" s="3">
        <v>871840</v>
      </c>
      <c r="M74" s="3">
        <v>3159862</v>
      </c>
      <c r="N74" s="3">
        <v>3650</v>
      </c>
    </row>
    <row r="75" spans="1:15" x14ac:dyDescent="0.3">
      <c r="A75" t="s">
        <v>69</v>
      </c>
      <c r="B75" s="28" t="s">
        <v>19</v>
      </c>
      <c r="C75" t="s">
        <v>32</v>
      </c>
      <c r="D75" s="1">
        <v>5000</v>
      </c>
      <c r="E75" s="1">
        <v>17500</v>
      </c>
      <c r="F75" s="1">
        <v>3500</v>
      </c>
      <c r="J75" s="2" t="s">
        <v>1</v>
      </c>
      <c r="K75" s="2" t="s">
        <v>3</v>
      </c>
      <c r="L75" s="3" t="s">
        <v>6</v>
      </c>
      <c r="M75" s="3" t="s">
        <v>8</v>
      </c>
      <c r="N75" s="3" t="s">
        <v>9</v>
      </c>
    </row>
    <row r="76" spans="1:15" x14ac:dyDescent="0.3">
      <c r="A76" t="s">
        <v>69</v>
      </c>
      <c r="B76" s="28" t="s">
        <v>20</v>
      </c>
      <c r="C76" t="s">
        <v>32</v>
      </c>
      <c r="D76" s="1">
        <v>5000</v>
      </c>
      <c r="E76" s="1">
        <v>15000</v>
      </c>
      <c r="F76" s="1">
        <v>3000</v>
      </c>
      <c r="J76" t="s">
        <v>18</v>
      </c>
      <c r="K76" t="s">
        <v>41</v>
      </c>
      <c r="L76" s="1">
        <v>240000</v>
      </c>
      <c r="M76" s="1">
        <v>660380</v>
      </c>
      <c r="N76" s="1">
        <v>2800</v>
      </c>
      <c r="O76" t="s">
        <v>658</v>
      </c>
    </row>
    <row r="77" spans="1:15" x14ac:dyDescent="0.3">
      <c r="A77" t="s">
        <v>69</v>
      </c>
      <c r="B77" s="28" t="s">
        <v>21</v>
      </c>
      <c r="C77" t="s">
        <v>32</v>
      </c>
      <c r="D77" s="1">
        <v>5500</v>
      </c>
      <c r="E77" s="1">
        <v>16500</v>
      </c>
      <c r="F77" s="1">
        <v>3000</v>
      </c>
      <c r="J77" t="s">
        <v>18</v>
      </c>
      <c r="K77" t="s">
        <v>35</v>
      </c>
      <c r="L77" s="1">
        <v>195000</v>
      </c>
      <c r="M77" s="1">
        <v>526500</v>
      </c>
      <c r="N77" s="1">
        <v>2700</v>
      </c>
      <c r="O77" t="s">
        <v>659</v>
      </c>
    </row>
    <row r="78" spans="1:15" x14ac:dyDescent="0.3">
      <c r="A78" t="s">
        <v>69</v>
      </c>
      <c r="B78" s="28" t="s">
        <v>22</v>
      </c>
      <c r="C78" t="s">
        <v>32</v>
      </c>
      <c r="D78" s="1">
        <v>6500</v>
      </c>
      <c r="E78" s="1">
        <v>16250</v>
      </c>
      <c r="F78" s="1">
        <v>2500</v>
      </c>
      <c r="J78" t="s">
        <v>18</v>
      </c>
      <c r="K78" t="s">
        <v>30</v>
      </c>
      <c r="L78" s="1">
        <v>104000</v>
      </c>
      <c r="M78" s="1">
        <v>249600</v>
      </c>
      <c r="N78" s="1">
        <v>2400</v>
      </c>
      <c r="O78" t="s">
        <v>660</v>
      </c>
    </row>
    <row r="79" spans="1:15" x14ac:dyDescent="0.3">
      <c r="A79" t="s">
        <v>69</v>
      </c>
      <c r="B79" s="28" t="s">
        <v>23</v>
      </c>
      <c r="C79" t="s">
        <v>32</v>
      </c>
      <c r="D79" s="1">
        <v>7000</v>
      </c>
      <c r="E79" s="1">
        <v>10500</v>
      </c>
      <c r="F79" s="1">
        <v>1500</v>
      </c>
      <c r="J79" t="s">
        <v>18</v>
      </c>
      <c r="K79" t="s">
        <v>26</v>
      </c>
      <c r="L79" s="1">
        <v>69000</v>
      </c>
      <c r="M79" s="1">
        <v>227700</v>
      </c>
      <c r="N79" s="1">
        <v>3300</v>
      </c>
      <c r="O79" t="s">
        <v>661</v>
      </c>
    </row>
    <row r="80" spans="1:15" x14ac:dyDescent="0.3">
      <c r="A80" t="s">
        <v>69</v>
      </c>
      <c r="B80" s="28" t="s">
        <v>24</v>
      </c>
      <c r="C80" t="s">
        <v>32</v>
      </c>
      <c r="D80" s="1">
        <v>7000</v>
      </c>
      <c r="E80" s="1">
        <v>21429</v>
      </c>
      <c r="F80" s="1">
        <v>3066</v>
      </c>
      <c r="J80" t="s">
        <v>18</v>
      </c>
      <c r="K80" t="s">
        <v>37</v>
      </c>
      <c r="L80" s="1">
        <v>65000</v>
      </c>
      <c r="M80" s="1">
        <v>195000</v>
      </c>
      <c r="N80" s="1">
        <v>3000</v>
      </c>
      <c r="O80" t="s">
        <v>662</v>
      </c>
    </row>
    <row r="81" spans="1:15" x14ac:dyDescent="0.3">
      <c r="A81" t="s">
        <v>69</v>
      </c>
      <c r="B81" s="28" t="s">
        <v>25</v>
      </c>
      <c r="C81" t="s">
        <v>32</v>
      </c>
      <c r="D81" s="1">
        <v>8100</v>
      </c>
      <c r="E81" s="1">
        <v>18561</v>
      </c>
      <c r="F81" s="1">
        <v>2329</v>
      </c>
      <c r="J81" t="s">
        <v>18</v>
      </c>
      <c r="K81" t="s">
        <v>38</v>
      </c>
      <c r="L81" s="1">
        <v>80000</v>
      </c>
      <c r="M81" s="1">
        <v>165585</v>
      </c>
      <c r="N81" s="1">
        <v>2100</v>
      </c>
      <c r="O81" t="s">
        <v>663</v>
      </c>
    </row>
    <row r="82" spans="1:15" x14ac:dyDescent="0.3">
      <c r="A82" t="s">
        <v>69</v>
      </c>
      <c r="B82" s="28" t="s">
        <v>15</v>
      </c>
      <c r="C82" t="s">
        <v>33</v>
      </c>
      <c r="D82" s="1">
        <v>8500</v>
      </c>
      <c r="E82" s="1">
        <v>19200</v>
      </c>
      <c r="F82" s="1">
        <v>2400</v>
      </c>
      <c r="J82" t="s">
        <v>18</v>
      </c>
      <c r="K82" t="s">
        <v>43</v>
      </c>
      <c r="L82" s="1">
        <v>35000</v>
      </c>
      <c r="M82" s="1">
        <v>105000</v>
      </c>
      <c r="N82" s="1">
        <v>3000</v>
      </c>
      <c r="O82" t="s">
        <v>664</v>
      </c>
    </row>
    <row r="83" spans="1:15" x14ac:dyDescent="0.3">
      <c r="A83" t="s">
        <v>69</v>
      </c>
      <c r="B83" s="28" t="s">
        <v>16</v>
      </c>
      <c r="C83" t="s">
        <v>33</v>
      </c>
      <c r="D83" s="1">
        <v>8500</v>
      </c>
      <c r="E83" s="1">
        <v>18700</v>
      </c>
      <c r="F83" s="1">
        <v>2200</v>
      </c>
      <c r="J83" t="s">
        <v>18</v>
      </c>
      <c r="K83" t="s">
        <v>44</v>
      </c>
      <c r="L83" s="1">
        <v>12000</v>
      </c>
      <c r="M83" s="1">
        <v>36000</v>
      </c>
      <c r="N83" s="1">
        <v>3000</v>
      </c>
      <c r="O83" t="s">
        <v>665</v>
      </c>
    </row>
    <row r="84" spans="1:15" x14ac:dyDescent="0.3">
      <c r="A84" t="s">
        <v>69</v>
      </c>
      <c r="B84" s="28" t="s">
        <v>17</v>
      </c>
      <c r="C84" t="s">
        <v>33</v>
      </c>
      <c r="D84" s="1">
        <v>8500</v>
      </c>
      <c r="E84" s="1">
        <v>25947</v>
      </c>
      <c r="F84" s="1">
        <v>3100</v>
      </c>
      <c r="J84" t="s">
        <v>18</v>
      </c>
      <c r="K84" t="s">
        <v>51</v>
      </c>
      <c r="L84" s="1">
        <v>24000</v>
      </c>
      <c r="M84" s="1">
        <v>35808</v>
      </c>
      <c r="N84" s="1">
        <v>1600</v>
      </c>
      <c r="O84" t="s">
        <v>666</v>
      </c>
    </row>
    <row r="85" spans="1:15" x14ac:dyDescent="0.3">
      <c r="A85" t="s">
        <v>69</v>
      </c>
      <c r="B85" s="28" t="s">
        <v>18</v>
      </c>
      <c r="C85" t="s">
        <v>33</v>
      </c>
      <c r="D85" s="1">
        <v>8500</v>
      </c>
      <c r="E85" s="1">
        <v>22599</v>
      </c>
      <c r="F85" s="1">
        <v>2700</v>
      </c>
      <c r="J85" t="s">
        <v>18</v>
      </c>
      <c r="K85" t="s">
        <v>33</v>
      </c>
      <c r="L85" s="1">
        <v>8500</v>
      </c>
      <c r="M85" s="1">
        <v>22599</v>
      </c>
      <c r="N85" s="1">
        <v>2700</v>
      </c>
      <c r="O85" t="s">
        <v>667</v>
      </c>
    </row>
    <row r="86" spans="1:15" x14ac:dyDescent="0.3">
      <c r="A86" t="s">
        <v>69</v>
      </c>
      <c r="B86" s="28" t="s">
        <v>19</v>
      </c>
      <c r="C86" t="s">
        <v>33</v>
      </c>
      <c r="D86" s="1">
        <v>8415</v>
      </c>
      <c r="E86" s="1">
        <v>24075</v>
      </c>
      <c r="F86" s="1">
        <v>2934</v>
      </c>
      <c r="J86" t="s">
        <v>18</v>
      </c>
      <c r="K86" t="s">
        <v>40</v>
      </c>
      <c r="L86" s="1">
        <v>15000</v>
      </c>
      <c r="M86" s="1">
        <v>22500</v>
      </c>
      <c r="N86" s="1">
        <v>1500</v>
      </c>
      <c r="O86" t="s">
        <v>668</v>
      </c>
    </row>
    <row r="87" spans="1:15" x14ac:dyDescent="0.3">
      <c r="A87" t="s">
        <v>69</v>
      </c>
      <c r="B87" s="28" t="s">
        <v>20</v>
      </c>
      <c r="C87" t="s">
        <v>33</v>
      </c>
      <c r="D87" s="1">
        <v>8020</v>
      </c>
      <c r="E87" s="1">
        <v>24764</v>
      </c>
      <c r="F87" s="1">
        <v>3171</v>
      </c>
      <c r="J87" t="s">
        <v>18</v>
      </c>
      <c r="K87" t="s">
        <v>12</v>
      </c>
      <c r="L87" s="1">
        <v>13740</v>
      </c>
      <c r="M87" s="1">
        <v>21984</v>
      </c>
      <c r="N87" s="1">
        <v>1600</v>
      </c>
      <c r="O87" t="s">
        <v>669</v>
      </c>
    </row>
    <row r="88" spans="1:15" x14ac:dyDescent="0.3">
      <c r="A88" t="s">
        <v>69</v>
      </c>
      <c r="B88" s="28" t="s">
        <v>21</v>
      </c>
      <c r="C88" t="s">
        <v>33</v>
      </c>
      <c r="D88" s="1">
        <v>10200</v>
      </c>
      <c r="E88" s="1">
        <v>30600</v>
      </c>
      <c r="F88" s="1">
        <v>3000</v>
      </c>
      <c r="J88" t="s">
        <v>18</v>
      </c>
      <c r="K88" t="s">
        <v>32</v>
      </c>
      <c r="L88" s="1">
        <v>6000</v>
      </c>
      <c r="M88" s="1">
        <v>15000</v>
      </c>
      <c r="N88" s="1">
        <v>2500</v>
      </c>
      <c r="O88" t="s">
        <v>670</v>
      </c>
    </row>
    <row r="89" spans="1:15" x14ac:dyDescent="0.3">
      <c r="A89" t="s">
        <v>69</v>
      </c>
      <c r="B89" s="28" t="s">
        <v>22</v>
      </c>
      <c r="C89" t="s">
        <v>33</v>
      </c>
      <c r="D89" s="1">
        <v>10200</v>
      </c>
      <c r="E89" s="1">
        <v>30530</v>
      </c>
      <c r="F89" s="1">
        <v>2993</v>
      </c>
      <c r="J89" t="s">
        <v>18</v>
      </c>
      <c r="K89" t="s">
        <v>36</v>
      </c>
      <c r="L89" s="1">
        <v>5000</v>
      </c>
      <c r="M89" s="1">
        <v>12500</v>
      </c>
      <c r="N89" s="1">
        <v>2500</v>
      </c>
      <c r="O89" t="s">
        <v>671</v>
      </c>
    </row>
    <row r="90" spans="1:15" x14ac:dyDescent="0.3">
      <c r="A90" t="s">
        <v>69</v>
      </c>
      <c r="B90" s="28" t="s">
        <v>23</v>
      </c>
      <c r="C90" t="s">
        <v>33</v>
      </c>
      <c r="D90" s="1">
        <v>20200</v>
      </c>
      <c r="E90" s="1">
        <v>51795</v>
      </c>
      <c r="F90" s="1">
        <v>2564</v>
      </c>
      <c r="J90" t="s">
        <v>18</v>
      </c>
      <c r="K90" t="s">
        <v>48</v>
      </c>
      <c r="L90" s="1">
        <v>4000</v>
      </c>
      <c r="M90" s="1">
        <v>12000</v>
      </c>
      <c r="N90" s="1">
        <v>3000</v>
      </c>
      <c r="O90" t="s">
        <v>672</v>
      </c>
    </row>
    <row r="91" spans="1:15" x14ac:dyDescent="0.3">
      <c r="A91" t="s">
        <v>69</v>
      </c>
      <c r="B91" s="28" t="s">
        <v>24</v>
      </c>
      <c r="C91" t="s">
        <v>33</v>
      </c>
      <c r="D91" s="1">
        <v>22400</v>
      </c>
      <c r="E91" s="1">
        <v>50798</v>
      </c>
      <c r="F91" s="1">
        <v>2286</v>
      </c>
      <c r="J91" t="s">
        <v>18</v>
      </c>
      <c r="K91" t="s">
        <v>31</v>
      </c>
      <c r="L91" s="1">
        <v>4000</v>
      </c>
      <c r="M91" s="1">
        <v>11200</v>
      </c>
      <c r="N91" s="1">
        <v>2800</v>
      </c>
      <c r="O91" t="s">
        <v>673</v>
      </c>
    </row>
    <row r="92" spans="1:15" x14ac:dyDescent="0.3">
      <c r="A92" t="s">
        <v>69</v>
      </c>
      <c r="B92" s="28" t="s">
        <v>25</v>
      </c>
      <c r="C92" t="s">
        <v>33</v>
      </c>
      <c r="D92" s="1">
        <v>26650</v>
      </c>
      <c r="E92" s="1">
        <v>22052</v>
      </c>
      <c r="F92" s="1">
        <v>1095</v>
      </c>
      <c r="J92" t="s">
        <v>18</v>
      </c>
      <c r="K92" t="s">
        <v>45</v>
      </c>
      <c r="L92" s="1">
        <v>3500</v>
      </c>
      <c r="M92" s="1">
        <v>10500</v>
      </c>
      <c r="N92" s="1">
        <v>3000</v>
      </c>
      <c r="O92" t="s">
        <v>675</v>
      </c>
    </row>
    <row r="93" spans="1:15" x14ac:dyDescent="0.3">
      <c r="A93" t="s">
        <v>69</v>
      </c>
      <c r="B93" s="28" t="s">
        <v>15</v>
      </c>
      <c r="C93" t="s">
        <v>34</v>
      </c>
      <c r="D93" s="1">
        <v>500</v>
      </c>
      <c r="E93" s="1">
        <v>900</v>
      </c>
      <c r="F93" s="1">
        <v>1800</v>
      </c>
      <c r="J93" t="s">
        <v>18</v>
      </c>
      <c r="K93" t="s">
        <v>29</v>
      </c>
      <c r="L93" s="1">
        <v>4000</v>
      </c>
      <c r="M93" s="1">
        <v>10000</v>
      </c>
      <c r="N93" s="1">
        <v>2500</v>
      </c>
      <c r="O93" t="s">
        <v>676</v>
      </c>
    </row>
    <row r="94" spans="1:15" x14ac:dyDescent="0.3">
      <c r="A94" t="s">
        <v>69</v>
      </c>
      <c r="B94" s="28" t="s">
        <v>16</v>
      </c>
      <c r="C94" t="s">
        <v>34</v>
      </c>
      <c r="D94" s="1">
        <v>500</v>
      </c>
      <c r="E94" s="1">
        <v>850</v>
      </c>
      <c r="F94" s="1">
        <v>1700</v>
      </c>
      <c r="J94" t="s">
        <v>18</v>
      </c>
      <c r="K94" t="s">
        <v>39</v>
      </c>
      <c r="L94" s="1">
        <v>2500</v>
      </c>
      <c r="M94" s="1">
        <v>6250</v>
      </c>
      <c r="N94" s="1">
        <v>2500</v>
      </c>
      <c r="O94" t="s">
        <v>677</v>
      </c>
    </row>
    <row r="95" spans="1:15" x14ac:dyDescent="0.3">
      <c r="A95" t="s">
        <v>69</v>
      </c>
      <c r="B95" s="28" t="s">
        <v>17</v>
      </c>
      <c r="C95" t="s">
        <v>34</v>
      </c>
      <c r="D95" s="1">
        <v>1000</v>
      </c>
      <c r="E95" s="1">
        <v>2800</v>
      </c>
      <c r="F95" s="1">
        <v>2800</v>
      </c>
      <c r="J95" t="s">
        <v>18</v>
      </c>
      <c r="K95" t="s">
        <v>46</v>
      </c>
      <c r="L95" s="1">
        <v>2500</v>
      </c>
      <c r="M95" s="1">
        <v>5000</v>
      </c>
      <c r="N95" s="1">
        <v>2000</v>
      </c>
      <c r="O95" t="s">
        <v>678</v>
      </c>
    </row>
    <row r="96" spans="1:15" x14ac:dyDescent="0.3">
      <c r="A96" t="s">
        <v>69</v>
      </c>
      <c r="B96" s="28" t="s">
        <v>18</v>
      </c>
      <c r="C96" t="s">
        <v>34</v>
      </c>
      <c r="D96" s="1">
        <v>1000</v>
      </c>
      <c r="E96" s="1">
        <v>2000</v>
      </c>
      <c r="F96" s="1">
        <v>2000</v>
      </c>
      <c r="J96" t="s">
        <v>18</v>
      </c>
      <c r="K96" t="s">
        <v>34</v>
      </c>
      <c r="L96" s="1">
        <v>1000</v>
      </c>
      <c r="M96" s="1">
        <v>2000</v>
      </c>
      <c r="N96" s="1">
        <v>2000</v>
      </c>
      <c r="O96" t="s">
        <v>679</v>
      </c>
    </row>
    <row r="97" spans="1:15" x14ac:dyDescent="0.3">
      <c r="A97" t="s">
        <v>69</v>
      </c>
      <c r="B97" s="28" t="s">
        <v>19</v>
      </c>
      <c r="C97" t="s">
        <v>34</v>
      </c>
      <c r="D97" s="1">
        <v>1500</v>
      </c>
      <c r="E97" s="1">
        <v>4350</v>
      </c>
      <c r="F97" s="1">
        <v>2900</v>
      </c>
      <c r="J97" t="s">
        <v>18</v>
      </c>
      <c r="K97" t="s">
        <v>47</v>
      </c>
      <c r="L97" s="1">
        <v>500</v>
      </c>
      <c r="M97" s="1">
        <v>550</v>
      </c>
      <c r="N97" s="1">
        <v>1100</v>
      </c>
      <c r="O97" t="s">
        <v>680</v>
      </c>
    </row>
    <row r="98" spans="1:15" x14ac:dyDescent="0.3">
      <c r="A98" t="s">
        <v>69</v>
      </c>
      <c r="B98" s="28" t="s">
        <v>20</v>
      </c>
      <c r="C98" t="s">
        <v>34</v>
      </c>
      <c r="D98" s="1">
        <v>1500</v>
      </c>
      <c r="E98" s="1">
        <v>4500</v>
      </c>
      <c r="F98" s="1">
        <v>3000</v>
      </c>
      <c r="J98" t="s">
        <v>18</v>
      </c>
      <c r="K98" t="s">
        <v>28</v>
      </c>
      <c r="L98" s="1">
        <v>50</v>
      </c>
      <c r="M98" s="1">
        <v>140</v>
      </c>
      <c r="N98" s="1">
        <v>2800</v>
      </c>
      <c r="O98" t="s">
        <v>681</v>
      </c>
    </row>
    <row r="99" spans="1:15" x14ac:dyDescent="0.3">
      <c r="A99" t="s">
        <v>69</v>
      </c>
      <c r="B99" s="28" t="s">
        <v>21</v>
      </c>
      <c r="C99" t="s">
        <v>34</v>
      </c>
      <c r="D99" s="1">
        <v>1500</v>
      </c>
      <c r="E99" s="1">
        <v>4500</v>
      </c>
      <c r="F99" s="1">
        <v>3000</v>
      </c>
      <c r="L99" s="1">
        <f>SUM(L76:L98)</f>
        <v>894290</v>
      </c>
      <c r="M99" s="1">
        <f>SUM(M76:M98)</f>
        <v>2353796</v>
      </c>
    </row>
    <row r="100" spans="1:15" x14ac:dyDescent="0.3">
      <c r="A100" t="s">
        <v>69</v>
      </c>
      <c r="B100" s="28" t="s">
        <v>22</v>
      </c>
      <c r="C100" t="s">
        <v>34</v>
      </c>
      <c r="D100" s="1">
        <v>3500</v>
      </c>
      <c r="E100" s="1">
        <v>8750</v>
      </c>
      <c r="F100" s="1">
        <v>2500</v>
      </c>
      <c r="J100" s="79" t="s">
        <v>18</v>
      </c>
      <c r="K100" s="2" t="s">
        <v>595</v>
      </c>
      <c r="L100" s="3">
        <v>894290</v>
      </c>
      <c r="M100" s="3">
        <v>2353796</v>
      </c>
      <c r="N100" s="3">
        <v>2653</v>
      </c>
    </row>
    <row r="101" spans="1:15" x14ac:dyDescent="0.3">
      <c r="A101" t="s">
        <v>69</v>
      </c>
      <c r="B101" s="28" t="s">
        <v>23</v>
      </c>
      <c r="C101" t="s">
        <v>34</v>
      </c>
      <c r="D101" s="1">
        <v>4500</v>
      </c>
      <c r="E101" s="1">
        <v>6750</v>
      </c>
      <c r="F101" s="1">
        <v>1500</v>
      </c>
      <c r="J101" s="2" t="s">
        <v>1</v>
      </c>
      <c r="K101" s="2" t="s">
        <v>3</v>
      </c>
      <c r="L101" s="3" t="s">
        <v>6</v>
      </c>
      <c r="M101" s="3" t="s">
        <v>8</v>
      </c>
      <c r="N101" s="3" t="s">
        <v>9</v>
      </c>
    </row>
    <row r="102" spans="1:15" x14ac:dyDescent="0.3">
      <c r="A102" t="s">
        <v>69</v>
      </c>
      <c r="B102" s="28" t="s">
        <v>24</v>
      </c>
      <c r="C102" t="s">
        <v>34</v>
      </c>
      <c r="D102" s="1">
        <v>4500</v>
      </c>
      <c r="E102" s="1">
        <v>13608</v>
      </c>
      <c r="F102" s="1">
        <v>3044</v>
      </c>
      <c r="J102" t="s">
        <v>19</v>
      </c>
      <c r="K102" t="s">
        <v>41</v>
      </c>
      <c r="L102" s="1">
        <v>270000</v>
      </c>
      <c r="M102" s="1">
        <v>833846</v>
      </c>
      <c r="N102" s="1">
        <v>3147</v>
      </c>
      <c r="O102" t="s">
        <v>658</v>
      </c>
    </row>
    <row r="103" spans="1:15" x14ac:dyDescent="0.3">
      <c r="A103" t="s">
        <v>69</v>
      </c>
      <c r="B103" s="28" t="s">
        <v>25</v>
      </c>
      <c r="C103" t="s">
        <v>34</v>
      </c>
      <c r="D103" s="1">
        <v>4950</v>
      </c>
      <c r="E103" s="1">
        <v>11040</v>
      </c>
      <c r="F103" s="1">
        <v>2300</v>
      </c>
      <c r="J103" t="s">
        <v>19</v>
      </c>
      <c r="K103" t="s">
        <v>35</v>
      </c>
      <c r="L103" s="1">
        <v>195000</v>
      </c>
      <c r="M103" s="1">
        <v>560169</v>
      </c>
      <c r="N103" s="1">
        <v>3203</v>
      </c>
      <c r="O103" t="s">
        <v>659</v>
      </c>
    </row>
    <row r="104" spans="1:15" x14ac:dyDescent="0.3">
      <c r="A104" t="s">
        <v>69</v>
      </c>
      <c r="B104" s="28" t="s">
        <v>15</v>
      </c>
      <c r="C104" t="s">
        <v>35</v>
      </c>
      <c r="D104" s="1">
        <v>130000</v>
      </c>
      <c r="E104" s="1">
        <v>213900</v>
      </c>
      <c r="F104" s="1">
        <v>2300</v>
      </c>
      <c r="J104" t="s">
        <v>19</v>
      </c>
      <c r="K104" t="s">
        <v>26</v>
      </c>
      <c r="L104" s="1">
        <v>114800</v>
      </c>
      <c r="M104" s="1">
        <v>342323</v>
      </c>
      <c r="N104" s="1">
        <v>3090</v>
      </c>
      <c r="O104" t="s">
        <v>660</v>
      </c>
    </row>
    <row r="105" spans="1:15" x14ac:dyDescent="0.3">
      <c r="A105" t="s">
        <v>69</v>
      </c>
      <c r="B105" s="28" t="s">
        <v>16</v>
      </c>
      <c r="C105" t="s">
        <v>35</v>
      </c>
      <c r="D105" s="1">
        <v>140000</v>
      </c>
      <c r="E105" s="1">
        <v>340200</v>
      </c>
      <c r="F105" s="1">
        <v>2700</v>
      </c>
      <c r="J105" t="s">
        <v>19</v>
      </c>
      <c r="K105" t="s">
        <v>30</v>
      </c>
      <c r="L105" s="1">
        <v>114800</v>
      </c>
      <c r="M105" s="1">
        <v>313085</v>
      </c>
      <c r="N105" s="1">
        <v>3148</v>
      </c>
      <c r="O105" t="s">
        <v>661</v>
      </c>
    </row>
    <row r="106" spans="1:15" x14ac:dyDescent="0.3">
      <c r="A106" t="s">
        <v>69</v>
      </c>
      <c r="B106" s="28" t="s">
        <v>17</v>
      </c>
      <c r="C106" t="s">
        <v>35</v>
      </c>
      <c r="D106" s="1">
        <v>193300</v>
      </c>
      <c r="E106" s="1">
        <v>741156</v>
      </c>
      <c r="F106" s="1">
        <v>3900</v>
      </c>
      <c r="J106" t="s">
        <v>19</v>
      </c>
      <c r="K106" t="s">
        <v>37</v>
      </c>
      <c r="L106" s="1">
        <v>77500</v>
      </c>
      <c r="M106" s="1">
        <v>277050</v>
      </c>
      <c r="N106" s="1">
        <v>3575</v>
      </c>
      <c r="O106" t="s">
        <v>662</v>
      </c>
    </row>
    <row r="107" spans="1:15" x14ac:dyDescent="0.3">
      <c r="A107" t="s">
        <v>69</v>
      </c>
      <c r="B107" s="28" t="s">
        <v>18</v>
      </c>
      <c r="C107" t="s">
        <v>35</v>
      </c>
      <c r="D107" s="1">
        <v>195000</v>
      </c>
      <c r="E107" s="1">
        <v>526500</v>
      </c>
      <c r="F107" s="1">
        <v>2700</v>
      </c>
      <c r="J107" t="s">
        <v>19</v>
      </c>
      <c r="K107" t="s">
        <v>38</v>
      </c>
      <c r="L107" s="1">
        <v>72750</v>
      </c>
      <c r="M107" s="1">
        <v>223939</v>
      </c>
      <c r="N107" s="1">
        <v>3149</v>
      </c>
      <c r="O107" t="s">
        <v>663</v>
      </c>
    </row>
    <row r="108" spans="1:15" x14ac:dyDescent="0.3">
      <c r="A108" t="s">
        <v>69</v>
      </c>
      <c r="B108" s="28" t="s">
        <v>19</v>
      </c>
      <c r="C108" t="s">
        <v>35</v>
      </c>
      <c r="D108" s="1">
        <v>195000</v>
      </c>
      <c r="E108" s="1">
        <v>560169</v>
      </c>
      <c r="F108" s="1">
        <v>3203</v>
      </c>
      <c r="J108" t="s">
        <v>19</v>
      </c>
      <c r="K108" t="s">
        <v>43</v>
      </c>
      <c r="L108" s="1">
        <v>49500</v>
      </c>
      <c r="M108" s="1">
        <v>173250</v>
      </c>
      <c r="N108" s="1">
        <v>3500</v>
      </c>
      <c r="O108" t="s">
        <v>664</v>
      </c>
    </row>
    <row r="109" spans="1:15" x14ac:dyDescent="0.3">
      <c r="A109" t="s">
        <v>69</v>
      </c>
      <c r="B109" s="28" t="s">
        <v>20</v>
      </c>
      <c r="C109" t="s">
        <v>35</v>
      </c>
      <c r="D109" s="1">
        <v>197510</v>
      </c>
      <c r="E109" s="1">
        <v>636252</v>
      </c>
      <c r="F109" s="1">
        <v>3235</v>
      </c>
      <c r="J109" t="s">
        <v>19</v>
      </c>
      <c r="K109" t="s">
        <v>51</v>
      </c>
      <c r="L109" s="1">
        <v>42860</v>
      </c>
      <c r="M109" s="1">
        <v>126262</v>
      </c>
      <c r="N109" s="1">
        <v>3019</v>
      </c>
      <c r="O109" t="s">
        <v>665</v>
      </c>
    </row>
    <row r="110" spans="1:15" x14ac:dyDescent="0.3">
      <c r="A110" t="s">
        <v>69</v>
      </c>
      <c r="B110" s="28" t="s">
        <v>21</v>
      </c>
      <c r="C110" t="s">
        <v>35</v>
      </c>
      <c r="D110" s="1">
        <v>197300</v>
      </c>
      <c r="E110" s="1">
        <v>712400</v>
      </c>
      <c r="F110" s="1">
        <v>3611</v>
      </c>
      <c r="J110" t="s">
        <v>19</v>
      </c>
      <c r="K110" t="s">
        <v>40</v>
      </c>
      <c r="L110" s="1">
        <v>15000</v>
      </c>
      <c r="M110" s="1">
        <v>52527</v>
      </c>
      <c r="N110" s="1">
        <v>3502</v>
      </c>
      <c r="O110" t="s">
        <v>666</v>
      </c>
    </row>
    <row r="111" spans="1:15" x14ac:dyDescent="0.3">
      <c r="A111" t="s">
        <v>69</v>
      </c>
      <c r="B111" s="28" t="s">
        <v>22</v>
      </c>
      <c r="C111" t="s">
        <v>35</v>
      </c>
      <c r="D111" s="1">
        <v>197300</v>
      </c>
      <c r="E111" s="1">
        <v>631360</v>
      </c>
      <c r="F111" s="1">
        <v>3200</v>
      </c>
      <c r="J111" t="s">
        <v>19</v>
      </c>
      <c r="K111" t="s">
        <v>44</v>
      </c>
      <c r="L111" s="1">
        <v>14700</v>
      </c>
      <c r="M111" s="1">
        <v>51450</v>
      </c>
      <c r="N111" s="1">
        <v>3500</v>
      </c>
      <c r="O111" t="s">
        <v>667</v>
      </c>
    </row>
    <row r="112" spans="1:15" x14ac:dyDescent="0.3">
      <c r="A112" t="s">
        <v>69</v>
      </c>
      <c r="B112" s="28" t="s">
        <v>23</v>
      </c>
      <c r="C112" t="s">
        <v>35</v>
      </c>
      <c r="D112" s="1">
        <v>200800</v>
      </c>
      <c r="E112" s="1">
        <v>522368</v>
      </c>
      <c r="F112" s="1">
        <v>2601</v>
      </c>
      <c r="J112" t="s">
        <v>19</v>
      </c>
      <c r="K112" t="s">
        <v>12</v>
      </c>
      <c r="L112" s="1">
        <v>17297</v>
      </c>
      <c r="M112" s="1">
        <v>44449</v>
      </c>
      <c r="N112" s="1">
        <v>2876</v>
      </c>
      <c r="O112" t="s">
        <v>668</v>
      </c>
    </row>
    <row r="113" spans="1:15" x14ac:dyDescent="0.3">
      <c r="A113" t="s">
        <v>69</v>
      </c>
      <c r="B113" s="28" t="s">
        <v>24</v>
      </c>
      <c r="C113" t="s">
        <v>35</v>
      </c>
      <c r="D113" s="1">
        <v>215400</v>
      </c>
      <c r="E113" s="1">
        <v>613265</v>
      </c>
      <c r="F113" s="1">
        <v>2860</v>
      </c>
      <c r="J113" t="s">
        <v>19</v>
      </c>
      <c r="K113" t="s">
        <v>33</v>
      </c>
      <c r="L113" s="1">
        <v>8415</v>
      </c>
      <c r="M113" s="1">
        <v>24075</v>
      </c>
      <c r="N113" s="1">
        <v>2934</v>
      </c>
      <c r="O113" t="s">
        <v>669</v>
      </c>
    </row>
    <row r="114" spans="1:15" x14ac:dyDescent="0.3">
      <c r="A114" t="s">
        <v>69</v>
      </c>
      <c r="B114" s="28" t="s">
        <v>25</v>
      </c>
      <c r="C114" t="s">
        <v>35</v>
      </c>
      <c r="D114" s="1">
        <v>261150</v>
      </c>
      <c r="E114" s="1">
        <v>822003</v>
      </c>
      <c r="F114" s="1">
        <v>3273</v>
      </c>
      <c r="J114" t="s">
        <v>19</v>
      </c>
      <c r="K114" t="s">
        <v>32</v>
      </c>
      <c r="L114" s="1">
        <v>5000</v>
      </c>
      <c r="M114" s="1">
        <v>17500</v>
      </c>
      <c r="N114" s="1">
        <v>3500</v>
      </c>
      <c r="O114" t="s">
        <v>670</v>
      </c>
    </row>
    <row r="115" spans="1:15" x14ac:dyDescent="0.3">
      <c r="A115" t="s">
        <v>69</v>
      </c>
      <c r="B115" s="28" t="s">
        <v>15</v>
      </c>
      <c r="C115" t="s">
        <v>36</v>
      </c>
      <c r="D115" s="1">
        <v>5000</v>
      </c>
      <c r="E115" s="1">
        <v>12500</v>
      </c>
      <c r="F115" s="1">
        <v>2500</v>
      </c>
      <c r="J115" t="s">
        <v>19</v>
      </c>
      <c r="K115" t="s">
        <v>36</v>
      </c>
      <c r="L115" s="1">
        <v>5000</v>
      </c>
      <c r="M115" s="1">
        <v>17500</v>
      </c>
      <c r="N115" s="1">
        <v>3500</v>
      </c>
      <c r="O115" t="s">
        <v>671</v>
      </c>
    </row>
    <row r="116" spans="1:15" x14ac:dyDescent="0.3">
      <c r="A116" t="s">
        <v>69</v>
      </c>
      <c r="B116" s="28" t="s">
        <v>16</v>
      </c>
      <c r="C116" t="s">
        <v>36</v>
      </c>
      <c r="D116" s="1">
        <v>4000</v>
      </c>
      <c r="E116" s="1">
        <v>9600</v>
      </c>
      <c r="F116" s="1">
        <v>2400</v>
      </c>
      <c r="J116" t="s">
        <v>19</v>
      </c>
      <c r="K116" t="s">
        <v>31</v>
      </c>
      <c r="L116" s="1">
        <v>4000</v>
      </c>
      <c r="M116" s="1">
        <v>14000</v>
      </c>
      <c r="N116" s="1">
        <v>3500</v>
      </c>
      <c r="O116" t="s">
        <v>672</v>
      </c>
    </row>
    <row r="117" spans="1:15" x14ac:dyDescent="0.3">
      <c r="A117" t="s">
        <v>69</v>
      </c>
      <c r="B117" s="28" t="s">
        <v>17</v>
      </c>
      <c r="C117" t="s">
        <v>36</v>
      </c>
      <c r="D117" s="1">
        <v>5000</v>
      </c>
      <c r="E117" s="1">
        <v>15000</v>
      </c>
      <c r="F117" s="1">
        <v>3000</v>
      </c>
      <c r="J117" t="s">
        <v>19</v>
      </c>
      <c r="K117" t="s">
        <v>48</v>
      </c>
      <c r="L117" s="1">
        <v>4000</v>
      </c>
      <c r="M117" s="1">
        <v>14000</v>
      </c>
      <c r="N117" s="1">
        <v>3500</v>
      </c>
      <c r="O117" t="s">
        <v>673</v>
      </c>
    </row>
    <row r="118" spans="1:15" x14ac:dyDescent="0.3">
      <c r="A118" t="s">
        <v>69</v>
      </c>
      <c r="B118" s="28" t="s">
        <v>18</v>
      </c>
      <c r="C118" t="s">
        <v>36</v>
      </c>
      <c r="D118" s="1">
        <v>5000</v>
      </c>
      <c r="E118" s="1">
        <v>12500</v>
      </c>
      <c r="F118" s="1">
        <v>2500</v>
      </c>
      <c r="J118" t="s">
        <v>19</v>
      </c>
      <c r="K118" t="s">
        <v>29</v>
      </c>
      <c r="L118" s="1">
        <v>4600</v>
      </c>
      <c r="M118" s="1">
        <v>13800</v>
      </c>
      <c r="N118" s="1">
        <v>3000</v>
      </c>
      <c r="O118" t="s">
        <v>675</v>
      </c>
    </row>
    <row r="119" spans="1:15" x14ac:dyDescent="0.3">
      <c r="A119" t="s">
        <v>69</v>
      </c>
      <c r="B119" s="28" t="s">
        <v>19</v>
      </c>
      <c r="C119" t="s">
        <v>36</v>
      </c>
      <c r="D119" s="1">
        <v>5000</v>
      </c>
      <c r="E119" s="1">
        <v>17500</v>
      </c>
      <c r="F119" s="1">
        <v>3500</v>
      </c>
      <c r="J119" t="s">
        <v>19</v>
      </c>
      <c r="K119" t="s">
        <v>45</v>
      </c>
      <c r="L119" s="1">
        <v>3500</v>
      </c>
      <c r="M119" s="1">
        <v>12180</v>
      </c>
      <c r="N119" s="1">
        <v>3480</v>
      </c>
      <c r="O119" t="s">
        <v>676</v>
      </c>
    </row>
    <row r="120" spans="1:15" x14ac:dyDescent="0.3">
      <c r="A120" t="s">
        <v>69</v>
      </c>
      <c r="B120" s="28" t="s">
        <v>20</v>
      </c>
      <c r="C120" t="s">
        <v>36</v>
      </c>
      <c r="D120" s="1">
        <v>5000</v>
      </c>
      <c r="E120" s="1">
        <v>15000</v>
      </c>
      <c r="F120" s="1">
        <v>3000</v>
      </c>
      <c r="J120" t="s">
        <v>19</v>
      </c>
      <c r="K120" t="s">
        <v>28</v>
      </c>
      <c r="L120" s="1">
        <v>3500</v>
      </c>
      <c r="M120" s="1">
        <v>10478</v>
      </c>
      <c r="N120" s="1">
        <v>3100</v>
      </c>
      <c r="O120" t="s">
        <v>677</v>
      </c>
    </row>
    <row r="121" spans="1:15" x14ac:dyDescent="0.3">
      <c r="A121" t="s">
        <v>69</v>
      </c>
      <c r="B121" s="28" t="s">
        <v>21</v>
      </c>
      <c r="C121" t="s">
        <v>36</v>
      </c>
      <c r="D121" s="1">
        <v>5000</v>
      </c>
      <c r="E121" s="1">
        <v>15000</v>
      </c>
      <c r="F121" s="1">
        <v>3000</v>
      </c>
      <c r="J121" t="s">
        <v>19</v>
      </c>
      <c r="K121" t="s">
        <v>39</v>
      </c>
      <c r="L121" s="1">
        <v>2500</v>
      </c>
      <c r="M121" s="1">
        <v>8750</v>
      </c>
      <c r="N121" s="1">
        <v>3500</v>
      </c>
      <c r="O121" t="s">
        <v>678</v>
      </c>
    </row>
    <row r="122" spans="1:15" x14ac:dyDescent="0.3">
      <c r="A122" t="s">
        <v>69</v>
      </c>
      <c r="B122" s="28" t="s">
        <v>22</v>
      </c>
      <c r="C122" t="s">
        <v>36</v>
      </c>
      <c r="D122" s="1">
        <v>7500</v>
      </c>
      <c r="E122" s="1">
        <v>18750</v>
      </c>
      <c r="F122" s="1">
        <v>2500</v>
      </c>
      <c r="J122" t="s">
        <v>19</v>
      </c>
      <c r="K122" t="s">
        <v>46</v>
      </c>
      <c r="L122" s="1">
        <v>2000</v>
      </c>
      <c r="M122" s="1">
        <v>5800</v>
      </c>
      <c r="N122" s="1">
        <v>2900</v>
      </c>
      <c r="O122" t="s">
        <v>679</v>
      </c>
    </row>
    <row r="123" spans="1:15" x14ac:dyDescent="0.3">
      <c r="A123" t="s">
        <v>69</v>
      </c>
      <c r="B123" s="28" t="s">
        <v>23</v>
      </c>
      <c r="C123" t="s">
        <v>36</v>
      </c>
      <c r="D123" s="1">
        <v>8000</v>
      </c>
      <c r="E123" s="1">
        <v>12000</v>
      </c>
      <c r="F123" s="1">
        <v>1500</v>
      </c>
      <c r="J123" t="s">
        <v>19</v>
      </c>
      <c r="K123" t="s">
        <v>34</v>
      </c>
      <c r="L123" s="1">
        <v>1500</v>
      </c>
      <c r="M123" s="1">
        <v>4350</v>
      </c>
      <c r="N123" s="1">
        <v>2900</v>
      </c>
      <c r="O123" t="s">
        <v>680</v>
      </c>
    </row>
    <row r="124" spans="1:15" x14ac:dyDescent="0.3">
      <c r="A124" t="s">
        <v>69</v>
      </c>
      <c r="B124" s="28" t="s">
        <v>24</v>
      </c>
      <c r="C124" t="s">
        <v>36</v>
      </c>
      <c r="D124" s="1">
        <v>10000</v>
      </c>
      <c r="E124" s="1">
        <v>32832</v>
      </c>
      <c r="F124" s="1">
        <v>3300</v>
      </c>
      <c r="J124" t="s">
        <v>19</v>
      </c>
      <c r="K124" t="s">
        <v>47</v>
      </c>
      <c r="L124" s="1">
        <v>550</v>
      </c>
      <c r="M124" s="1">
        <v>1760</v>
      </c>
      <c r="N124" s="1">
        <v>3200</v>
      </c>
      <c r="O124" t="s">
        <v>681</v>
      </c>
    </row>
    <row r="125" spans="1:15" x14ac:dyDescent="0.3">
      <c r="A125" t="s">
        <v>69</v>
      </c>
      <c r="B125" s="28" t="s">
        <v>25</v>
      </c>
      <c r="C125" t="s">
        <v>36</v>
      </c>
      <c r="D125" s="1">
        <v>8800</v>
      </c>
      <c r="E125" s="1">
        <v>23313</v>
      </c>
      <c r="F125" s="1">
        <v>2700</v>
      </c>
      <c r="L125" s="1">
        <f>SUM(L102:L124)</f>
        <v>1028772</v>
      </c>
      <c r="M125" s="1">
        <f>SUM(M102:M124)</f>
        <v>3142543</v>
      </c>
    </row>
    <row r="126" spans="1:15" x14ac:dyDescent="0.3">
      <c r="A126" t="s">
        <v>69</v>
      </c>
      <c r="B126" s="28" t="s">
        <v>15</v>
      </c>
      <c r="C126" t="s">
        <v>37</v>
      </c>
      <c r="D126" s="1">
        <v>63000</v>
      </c>
      <c r="E126" s="1">
        <v>167400</v>
      </c>
      <c r="F126" s="1">
        <v>2700</v>
      </c>
      <c r="J126" s="79" t="s">
        <v>19</v>
      </c>
      <c r="K126" s="2" t="s">
        <v>595</v>
      </c>
      <c r="L126" s="3">
        <v>1028772</v>
      </c>
      <c r="M126" s="3">
        <v>3142543</v>
      </c>
      <c r="N126" s="3">
        <v>3208</v>
      </c>
    </row>
    <row r="127" spans="1:15" x14ac:dyDescent="0.3">
      <c r="A127" t="s">
        <v>69</v>
      </c>
      <c r="B127" s="28" t="s">
        <v>16</v>
      </c>
      <c r="C127" t="s">
        <v>37</v>
      </c>
      <c r="D127" s="1">
        <v>53915</v>
      </c>
      <c r="E127" s="1">
        <v>156354</v>
      </c>
      <c r="F127" s="1">
        <v>2900</v>
      </c>
      <c r="J127" s="2" t="s">
        <v>1</v>
      </c>
      <c r="K127" s="2" t="s">
        <v>3</v>
      </c>
      <c r="L127" s="3" t="s">
        <v>6</v>
      </c>
      <c r="M127" s="3" t="s">
        <v>8</v>
      </c>
      <c r="N127" s="3" t="s">
        <v>9</v>
      </c>
    </row>
    <row r="128" spans="1:15" x14ac:dyDescent="0.3">
      <c r="A128" t="s">
        <v>69</v>
      </c>
      <c r="B128" s="28" t="s">
        <v>17</v>
      </c>
      <c r="C128" t="s">
        <v>37</v>
      </c>
      <c r="D128" s="1">
        <v>60000</v>
      </c>
      <c r="E128" s="1">
        <v>210000</v>
      </c>
      <c r="F128" s="1">
        <v>3500</v>
      </c>
      <c r="J128" t="s">
        <v>20</v>
      </c>
      <c r="K128" t="s">
        <v>41</v>
      </c>
      <c r="L128" s="1">
        <v>287600</v>
      </c>
      <c r="M128" s="1">
        <v>926060</v>
      </c>
      <c r="N128" s="1">
        <v>3235</v>
      </c>
      <c r="O128" t="s">
        <v>658</v>
      </c>
    </row>
    <row r="129" spans="1:15" x14ac:dyDescent="0.3">
      <c r="A129" t="s">
        <v>69</v>
      </c>
      <c r="B129" s="28" t="s">
        <v>18</v>
      </c>
      <c r="C129" t="s">
        <v>37</v>
      </c>
      <c r="D129" s="1">
        <v>65000</v>
      </c>
      <c r="E129" s="1">
        <v>195000</v>
      </c>
      <c r="F129" s="1">
        <v>3000</v>
      </c>
      <c r="J129" t="s">
        <v>20</v>
      </c>
      <c r="K129" t="s">
        <v>35</v>
      </c>
      <c r="L129" s="1">
        <v>197510</v>
      </c>
      <c r="M129" s="1">
        <v>636252</v>
      </c>
      <c r="N129" s="1">
        <v>3235</v>
      </c>
      <c r="O129" t="s">
        <v>659</v>
      </c>
    </row>
    <row r="130" spans="1:15" x14ac:dyDescent="0.3">
      <c r="A130" t="s">
        <v>69</v>
      </c>
      <c r="B130" s="28" t="s">
        <v>19</v>
      </c>
      <c r="C130" t="s">
        <v>37</v>
      </c>
      <c r="D130" s="1">
        <v>77500</v>
      </c>
      <c r="E130" s="1">
        <v>277050</v>
      </c>
      <c r="F130" s="1">
        <v>3575</v>
      </c>
      <c r="J130" t="s">
        <v>20</v>
      </c>
      <c r="K130" t="s">
        <v>26</v>
      </c>
      <c r="L130" s="1">
        <v>124150</v>
      </c>
      <c r="M130" s="1">
        <v>421911</v>
      </c>
      <c r="N130" s="1">
        <v>3420</v>
      </c>
      <c r="O130" t="s">
        <v>660</v>
      </c>
    </row>
    <row r="131" spans="1:15" x14ac:dyDescent="0.3">
      <c r="A131" t="s">
        <v>69</v>
      </c>
      <c r="B131" s="28" t="s">
        <v>20</v>
      </c>
      <c r="C131" t="s">
        <v>37</v>
      </c>
      <c r="D131" s="1">
        <v>81700</v>
      </c>
      <c r="E131" s="1">
        <v>245100</v>
      </c>
      <c r="F131" s="1">
        <v>3000</v>
      </c>
      <c r="J131" t="s">
        <v>20</v>
      </c>
      <c r="K131" t="s">
        <v>30</v>
      </c>
      <c r="L131" s="1">
        <v>117500</v>
      </c>
      <c r="M131" s="1">
        <v>378297</v>
      </c>
      <c r="N131" s="1">
        <v>3242</v>
      </c>
      <c r="O131" t="s">
        <v>661</v>
      </c>
    </row>
    <row r="132" spans="1:15" x14ac:dyDescent="0.3">
      <c r="A132" t="s">
        <v>69</v>
      </c>
      <c r="B132" s="28" t="s">
        <v>21</v>
      </c>
      <c r="C132" t="s">
        <v>37</v>
      </c>
      <c r="D132" s="1">
        <v>81600</v>
      </c>
      <c r="E132" s="1">
        <v>285600</v>
      </c>
      <c r="F132" s="1">
        <v>3500</v>
      </c>
      <c r="J132" t="s">
        <v>20</v>
      </c>
      <c r="K132" t="s">
        <v>37</v>
      </c>
      <c r="L132" s="1">
        <v>81700</v>
      </c>
      <c r="M132" s="1">
        <v>245100</v>
      </c>
      <c r="N132" s="1">
        <v>3000</v>
      </c>
      <c r="O132" t="s">
        <v>662</v>
      </c>
    </row>
    <row r="133" spans="1:15" x14ac:dyDescent="0.3">
      <c r="A133" t="s">
        <v>69</v>
      </c>
      <c r="B133" s="28" t="s">
        <v>22</v>
      </c>
      <c r="C133" t="s">
        <v>37</v>
      </c>
      <c r="D133" s="1">
        <v>87000</v>
      </c>
      <c r="E133" s="1">
        <v>217500</v>
      </c>
      <c r="F133" s="1">
        <v>2500</v>
      </c>
      <c r="J133" t="s">
        <v>20</v>
      </c>
      <c r="K133" t="s">
        <v>38</v>
      </c>
      <c r="L133" s="1">
        <v>71500</v>
      </c>
      <c r="M133" s="1">
        <v>231475</v>
      </c>
      <c r="N133" s="1">
        <v>3262</v>
      </c>
      <c r="O133" t="s">
        <v>663</v>
      </c>
    </row>
    <row r="134" spans="1:15" x14ac:dyDescent="0.3">
      <c r="A134" t="s">
        <v>69</v>
      </c>
      <c r="B134" s="28" t="s">
        <v>23</v>
      </c>
      <c r="C134" t="s">
        <v>37</v>
      </c>
      <c r="D134" s="1">
        <v>85000</v>
      </c>
      <c r="E134" s="1">
        <v>147500</v>
      </c>
      <c r="F134" s="1">
        <v>1735</v>
      </c>
      <c r="J134" t="s">
        <v>20</v>
      </c>
      <c r="K134" t="s">
        <v>43</v>
      </c>
      <c r="L134" s="1">
        <v>58100</v>
      </c>
      <c r="M134" s="1">
        <v>174300</v>
      </c>
      <c r="N134" s="1">
        <v>3000</v>
      </c>
      <c r="O134" t="s">
        <v>664</v>
      </c>
    </row>
    <row r="135" spans="1:15" x14ac:dyDescent="0.3">
      <c r="A135" t="s">
        <v>69</v>
      </c>
      <c r="B135" s="28" t="s">
        <v>24</v>
      </c>
      <c r="C135" t="s">
        <v>37</v>
      </c>
      <c r="D135" s="1">
        <v>85000</v>
      </c>
      <c r="E135" s="1">
        <v>296069</v>
      </c>
      <c r="F135" s="1">
        <v>3489</v>
      </c>
      <c r="J135" t="s">
        <v>20</v>
      </c>
      <c r="K135" t="s">
        <v>12</v>
      </c>
      <c r="L135" s="1">
        <v>30500</v>
      </c>
      <c r="M135" s="1">
        <v>97437</v>
      </c>
      <c r="N135" s="1">
        <v>3216</v>
      </c>
      <c r="O135" t="s">
        <v>665</v>
      </c>
    </row>
    <row r="136" spans="1:15" x14ac:dyDescent="0.3">
      <c r="A136" t="s">
        <v>69</v>
      </c>
      <c r="B136" s="28" t="s">
        <v>25</v>
      </c>
      <c r="C136" t="s">
        <v>37</v>
      </c>
      <c r="D136" s="1">
        <v>93500</v>
      </c>
      <c r="E136" s="1">
        <v>261510</v>
      </c>
      <c r="F136" s="1">
        <v>2806</v>
      </c>
      <c r="J136" t="s">
        <v>20</v>
      </c>
      <c r="K136" t="s">
        <v>51</v>
      </c>
      <c r="L136" s="1">
        <v>17300</v>
      </c>
      <c r="M136" s="1">
        <v>52587</v>
      </c>
      <c r="N136" s="1">
        <v>3153</v>
      </c>
      <c r="O136" t="s">
        <v>666</v>
      </c>
    </row>
    <row r="137" spans="1:15" x14ac:dyDescent="0.3">
      <c r="A137" t="s">
        <v>69</v>
      </c>
      <c r="B137" s="28" t="s">
        <v>15</v>
      </c>
      <c r="C137" t="s">
        <v>38</v>
      </c>
      <c r="D137" s="1">
        <v>55000</v>
      </c>
      <c r="E137" s="1">
        <v>158050</v>
      </c>
      <c r="F137" s="1">
        <v>2900</v>
      </c>
      <c r="J137" t="s">
        <v>20</v>
      </c>
      <c r="K137" t="s">
        <v>44</v>
      </c>
      <c r="L137" s="1">
        <v>15000</v>
      </c>
      <c r="M137" s="1">
        <v>45000</v>
      </c>
      <c r="N137" s="1">
        <v>3000</v>
      </c>
      <c r="O137" t="s">
        <v>667</v>
      </c>
    </row>
    <row r="138" spans="1:15" x14ac:dyDescent="0.3">
      <c r="A138" t="s">
        <v>69</v>
      </c>
      <c r="B138" s="28" t="s">
        <v>16</v>
      </c>
      <c r="C138" t="s">
        <v>38</v>
      </c>
      <c r="D138" s="1">
        <v>55000</v>
      </c>
      <c r="E138" s="1">
        <v>127400</v>
      </c>
      <c r="F138" s="1">
        <v>2600</v>
      </c>
      <c r="J138" t="s">
        <v>20</v>
      </c>
      <c r="K138" t="s">
        <v>40</v>
      </c>
      <c r="L138" s="1">
        <v>12000</v>
      </c>
      <c r="M138" s="1">
        <v>36000</v>
      </c>
      <c r="N138" s="1">
        <v>3000</v>
      </c>
      <c r="O138" t="s">
        <v>668</v>
      </c>
    </row>
    <row r="139" spans="1:15" x14ac:dyDescent="0.3">
      <c r="A139" t="s">
        <v>69</v>
      </c>
      <c r="B139" s="28" t="s">
        <v>17</v>
      </c>
      <c r="C139" t="s">
        <v>38</v>
      </c>
      <c r="D139" s="1">
        <v>77640</v>
      </c>
      <c r="E139" s="1">
        <v>270690</v>
      </c>
      <c r="F139" s="1">
        <v>3500</v>
      </c>
      <c r="J139" t="s">
        <v>20</v>
      </c>
      <c r="K139" t="s">
        <v>33</v>
      </c>
      <c r="L139" s="1">
        <v>8020</v>
      </c>
      <c r="M139" s="1">
        <v>24764</v>
      </c>
      <c r="N139" s="1">
        <v>3171</v>
      </c>
      <c r="O139" t="s">
        <v>669</v>
      </c>
    </row>
    <row r="140" spans="1:15" x14ac:dyDescent="0.3">
      <c r="A140" t="s">
        <v>69</v>
      </c>
      <c r="B140" s="28" t="s">
        <v>18</v>
      </c>
      <c r="C140" t="s">
        <v>38</v>
      </c>
      <c r="D140" s="1">
        <v>80000</v>
      </c>
      <c r="E140" s="1">
        <v>165585</v>
      </c>
      <c r="F140" s="1">
        <v>2100</v>
      </c>
      <c r="J140" t="s">
        <v>20</v>
      </c>
      <c r="K140" t="s">
        <v>32</v>
      </c>
      <c r="L140" s="1">
        <v>5000</v>
      </c>
      <c r="M140" s="1">
        <v>15000</v>
      </c>
      <c r="N140" s="1">
        <v>3000</v>
      </c>
      <c r="O140" t="s">
        <v>670</v>
      </c>
    </row>
    <row r="141" spans="1:15" x14ac:dyDescent="0.3">
      <c r="A141" t="s">
        <v>69</v>
      </c>
      <c r="B141" s="28" t="s">
        <v>19</v>
      </c>
      <c r="C141" t="s">
        <v>38</v>
      </c>
      <c r="D141" s="1">
        <v>72750</v>
      </c>
      <c r="E141" s="1">
        <v>223939</v>
      </c>
      <c r="F141" s="1">
        <v>3149</v>
      </c>
      <c r="J141" t="s">
        <v>20</v>
      </c>
      <c r="K141" t="s">
        <v>36</v>
      </c>
      <c r="L141" s="1">
        <v>5000</v>
      </c>
      <c r="M141" s="1">
        <v>15000</v>
      </c>
      <c r="N141" s="1">
        <v>3000</v>
      </c>
      <c r="O141" t="s">
        <v>671</v>
      </c>
    </row>
    <row r="142" spans="1:15" x14ac:dyDescent="0.3">
      <c r="A142" t="s">
        <v>69</v>
      </c>
      <c r="B142" s="28" t="s">
        <v>20</v>
      </c>
      <c r="C142" t="s">
        <v>38</v>
      </c>
      <c r="D142" s="1">
        <v>71500</v>
      </c>
      <c r="E142" s="1">
        <v>231475</v>
      </c>
      <c r="F142" s="1">
        <v>3262</v>
      </c>
      <c r="J142" t="s">
        <v>20</v>
      </c>
      <c r="K142" t="s">
        <v>29</v>
      </c>
      <c r="L142" s="1">
        <v>4000</v>
      </c>
      <c r="M142" s="1">
        <v>12000</v>
      </c>
      <c r="N142" s="1">
        <v>3000</v>
      </c>
      <c r="O142" t="s">
        <v>672</v>
      </c>
    </row>
    <row r="143" spans="1:15" x14ac:dyDescent="0.3">
      <c r="A143" t="s">
        <v>69</v>
      </c>
      <c r="B143" s="28" t="s">
        <v>21</v>
      </c>
      <c r="C143" t="s">
        <v>38</v>
      </c>
      <c r="D143" s="1">
        <v>75500</v>
      </c>
      <c r="E143" s="1">
        <v>259450</v>
      </c>
      <c r="F143" s="1">
        <v>3436</v>
      </c>
      <c r="J143" t="s">
        <v>20</v>
      </c>
      <c r="K143" t="s">
        <v>31</v>
      </c>
      <c r="L143" s="1">
        <v>4000</v>
      </c>
      <c r="M143" s="1">
        <v>12000</v>
      </c>
      <c r="N143" s="1">
        <v>3000</v>
      </c>
      <c r="O143" t="s">
        <v>673</v>
      </c>
    </row>
    <row r="144" spans="1:15" x14ac:dyDescent="0.3">
      <c r="A144" t="s">
        <v>69</v>
      </c>
      <c r="B144" s="28" t="s">
        <v>22</v>
      </c>
      <c r="C144" t="s">
        <v>38</v>
      </c>
      <c r="D144" s="1">
        <v>73900</v>
      </c>
      <c r="E144" s="1">
        <v>240990</v>
      </c>
      <c r="F144" s="1">
        <v>3261</v>
      </c>
      <c r="J144" t="s">
        <v>20</v>
      </c>
      <c r="K144" t="s">
        <v>45</v>
      </c>
      <c r="L144" s="1">
        <v>4000</v>
      </c>
      <c r="M144" s="1">
        <v>12000</v>
      </c>
      <c r="N144" s="1">
        <v>3000</v>
      </c>
      <c r="O144" t="s">
        <v>675</v>
      </c>
    </row>
    <row r="145" spans="1:15" x14ac:dyDescent="0.3">
      <c r="A145" t="s">
        <v>69</v>
      </c>
      <c r="B145" s="28" t="s">
        <v>23</v>
      </c>
      <c r="C145" t="s">
        <v>38</v>
      </c>
      <c r="D145" s="1">
        <v>77905</v>
      </c>
      <c r="E145" s="1">
        <v>215313</v>
      </c>
      <c r="F145" s="1">
        <v>2764</v>
      </c>
      <c r="J145" t="s">
        <v>20</v>
      </c>
      <c r="K145" t="s">
        <v>48</v>
      </c>
      <c r="L145" s="1">
        <v>4000</v>
      </c>
      <c r="M145" s="1">
        <v>12000</v>
      </c>
      <c r="N145" s="1">
        <v>3000</v>
      </c>
      <c r="O145" t="s">
        <v>676</v>
      </c>
    </row>
    <row r="146" spans="1:15" x14ac:dyDescent="0.3">
      <c r="A146" t="s">
        <v>69</v>
      </c>
      <c r="B146" s="28" t="s">
        <v>24</v>
      </c>
      <c r="C146" t="s">
        <v>38</v>
      </c>
      <c r="D146" s="1">
        <v>74500</v>
      </c>
      <c r="E146" s="1">
        <v>213076</v>
      </c>
      <c r="F146" s="1">
        <v>2879</v>
      </c>
      <c r="J146" t="s">
        <v>20</v>
      </c>
      <c r="K146" t="s">
        <v>28</v>
      </c>
      <c r="L146" s="1">
        <v>3600</v>
      </c>
      <c r="M146" s="1">
        <v>10800</v>
      </c>
      <c r="N146" s="1">
        <v>3000</v>
      </c>
      <c r="O146" t="s">
        <v>677</v>
      </c>
    </row>
    <row r="147" spans="1:15" x14ac:dyDescent="0.3">
      <c r="A147" t="s">
        <v>69</v>
      </c>
      <c r="B147" s="28" t="s">
        <v>25</v>
      </c>
      <c r="C147" t="s">
        <v>38</v>
      </c>
      <c r="D147" s="1">
        <v>95500</v>
      </c>
      <c r="E147" s="1">
        <v>206100</v>
      </c>
      <c r="F147" s="1">
        <v>2314</v>
      </c>
      <c r="J147" t="s">
        <v>20</v>
      </c>
      <c r="K147" t="s">
        <v>39</v>
      </c>
      <c r="L147" s="1">
        <v>2500</v>
      </c>
      <c r="M147" s="1">
        <v>7500</v>
      </c>
      <c r="N147" s="1">
        <v>3000</v>
      </c>
      <c r="O147" t="s">
        <v>678</v>
      </c>
    </row>
    <row r="148" spans="1:15" x14ac:dyDescent="0.3">
      <c r="A148" t="s">
        <v>69</v>
      </c>
      <c r="B148" s="28" t="s">
        <v>15</v>
      </c>
      <c r="C148" t="s">
        <v>39</v>
      </c>
      <c r="D148" s="1">
        <v>1500</v>
      </c>
      <c r="E148" s="1">
        <v>3300</v>
      </c>
      <c r="F148" s="1">
        <v>2200</v>
      </c>
      <c r="J148" t="s">
        <v>20</v>
      </c>
      <c r="K148" t="s">
        <v>46</v>
      </c>
      <c r="L148" s="1">
        <v>2000</v>
      </c>
      <c r="M148" s="1">
        <v>6000</v>
      </c>
      <c r="N148" s="1">
        <v>3000</v>
      </c>
      <c r="O148" t="s">
        <v>679</v>
      </c>
    </row>
    <row r="149" spans="1:15" x14ac:dyDescent="0.3">
      <c r="A149" t="s">
        <v>69</v>
      </c>
      <c r="B149" s="28" t="s">
        <v>16</v>
      </c>
      <c r="C149" t="s">
        <v>39</v>
      </c>
      <c r="D149" s="1">
        <v>1500</v>
      </c>
      <c r="E149" s="1">
        <v>3600</v>
      </c>
      <c r="F149" s="1">
        <v>2400</v>
      </c>
      <c r="J149" t="s">
        <v>20</v>
      </c>
      <c r="K149" t="s">
        <v>34</v>
      </c>
      <c r="L149" s="1">
        <v>1500</v>
      </c>
      <c r="M149" s="1">
        <v>4500</v>
      </c>
      <c r="N149" s="1">
        <v>3000</v>
      </c>
      <c r="O149" t="s">
        <v>680</v>
      </c>
    </row>
    <row r="150" spans="1:15" x14ac:dyDescent="0.3">
      <c r="A150" t="s">
        <v>69</v>
      </c>
      <c r="B150" s="28" t="s">
        <v>17</v>
      </c>
      <c r="C150" t="s">
        <v>39</v>
      </c>
      <c r="D150" s="1">
        <v>2000</v>
      </c>
      <c r="E150" s="1">
        <v>6000</v>
      </c>
      <c r="F150" s="1">
        <v>3000</v>
      </c>
      <c r="J150" t="s">
        <v>20</v>
      </c>
      <c r="K150" t="s">
        <v>47</v>
      </c>
      <c r="L150" s="1">
        <v>800</v>
      </c>
      <c r="M150" s="1">
        <v>1984</v>
      </c>
      <c r="N150" s="1">
        <v>3200</v>
      </c>
      <c r="O150" t="s">
        <v>681</v>
      </c>
    </row>
    <row r="151" spans="1:15" x14ac:dyDescent="0.3">
      <c r="A151" t="s">
        <v>69</v>
      </c>
      <c r="B151" s="28" t="s">
        <v>18</v>
      </c>
      <c r="C151" t="s">
        <v>39</v>
      </c>
      <c r="D151" s="1">
        <v>2500</v>
      </c>
      <c r="E151" s="1">
        <v>6250</v>
      </c>
      <c r="F151" s="1">
        <v>2500</v>
      </c>
      <c r="L151" s="1">
        <f>SUM(L128:L150)</f>
        <v>1057280</v>
      </c>
      <c r="M151" s="1">
        <f>SUM(M128:M150)</f>
        <v>3377967</v>
      </c>
    </row>
    <row r="152" spans="1:15" x14ac:dyDescent="0.3">
      <c r="A152" t="s">
        <v>69</v>
      </c>
      <c r="B152" s="28" t="s">
        <v>19</v>
      </c>
      <c r="C152" t="s">
        <v>39</v>
      </c>
      <c r="D152" s="1">
        <v>2500</v>
      </c>
      <c r="E152" s="1">
        <v>8750</v>
      </c>
      <c r="F152" s="1">
        <v>3500</v>
      </c>
      <c r="J152" s="79" t="s">
        <v>20</v>
      </c>
      <c r="K152" s="2" t="s">
        <v>595</v>
      </c>
      <c r="L152" s="3">
        <v>1057280</v>
      </c>
      <c r="M152" s="3">
        <v>3377967</v>
      </c>
      <c r="N152" s="3">
        <v>3212</v>
      </c>
    </row>
    <row r="153" spans="1:15" x14ac:dyDescent="0.3">
      <c r="A153" t="s">
        <v>69</v>
      </c>
      <c r="B153" s="28" t="s">
        <v>20</v>
      </c>
      <c r="C153" t="s">
        <v>39</v>
      </c>
      <c r="D153" s="1">
        <v>2500</v>
      </c>
      <c r="E153" s="1">
        <v>7500</v>
      </c>
      <c r="F153" s="1">
        <v>3000</v>
      </c>
      <c r="J153" s="2" t="s">
        <v>1</v>
      </c>
      <c r="K153" s="2" t="s">
        <v>3</v>
      </c>
      <c r="L153" s="3" t="s">
        <v>6</v>
      </c>
      <c r="M153" s="3" t="s">
        <v>8</v>
      </c>
      <c r="N153" s="3" t="s">
        <v>9</v>
      </c>
      <c r="O153" t="s">
        <v>684</v>
      </c>
    </row>
    <row r="154" spans="1:15" x14ac:dyDescent="0.3">
      <c r="A154" t="s">
        <v>69</v>
      </c>
      <c r="B154" s="28" t="s">
        <v>21</v>
      </c>
      <c r="C154" t="s">
        <v>39</v>
      </c>
      <c r="D154" s="1">
        <v>2500</v>
      </c>
      <c r="E154" s="1">
        <v>7500</v>
      </c>
      <c r="F154" s="1">
        <v>3000</v>
      </c>
      <c r="J154" t="s">
        <v>21</v>
      </c>
      <c r="K154" t="s">
        <v>41</v>
      </c>
      <c r="L154" s="1">
        <v>295000</v>
      </c>
      <c r="M154" s="1">
        <v>977900</v>
      </c>
      <c r="N154" s="1">
        <v>3315</v>
      </c>
      <c r="O154" t="s">
        <v>658</v>
      </c>
    </row>
    <row r="155" spans="1:15" x14ac:dyDescent="0.3">
      <c r="A155" t="s">
        <v>69</v>
      </c>
      <c r="B155" s="28" t="s">
        <v>22</v>
      </c>
      <c r="C155" t="s">
        <v>39</v>
      </c>
      <c r="D155" s="1">
        <v>2500</v>
      </c>
      <c r="E155" s="1">
        <v>6250</v>
      </c>
      <c r="F155" s="1">
        <v>2500</v>
      </c>
      <c r="J155" t="s">
        <v>21</v>
      </c>
      <c r="K155" t="s">
        <v>35</v>
      </c>
      <c r="L155" s="1">
        <v>197300</v>
      </c>
      <c r="M155" s="1">
        <v>712400</v>
      </c>
      <c r="N155" s="1">
        <v>3611</v>
      </c>
      <c r="O155" t="s">
        <v>659</v>
      </c>
    </row>
    <row r="156" spans="1:15" x14ac:dyDescent="0.3">
      <c r="A156" t="s">
        <v>69</v>
      </c>
      <c r="B156" s="28" t="s">
        <v>23</v>
      </c>
      <c r="C156" t="s">
        <v>39</v>
      </c>
      <c r="D156" s="1">
        <v>3000</v>
      </c>
      <c r="E156" s="1">
        <v>4500</v>
      </c>
      <c r="F156" s="1">
        <v>1500</v>
      </c>
      <c r="J156" t="s">
        <v>21</v>
      </c>
      <c r="K156" t="s">
        <v>30</v>
      </c>
      <c r="L156" s="1">
        <v>117500</v>
      </c>
      <c r="M156" s="1">
        <v>410300</v>
      </c>
      <c r="N156" s="1">
        <v>3492</v>
      </c>
      <c r="O156" t="s">
        <v>660</v>
      </c>
    </row>
    <row r="157" spans="1:15" x14ac:dyDescent="0.3">
      <c r="A157" t="s">
        <v>69</v>
      </c>
      <c r="B157" s="28" t="s">
        <v>24</v>
      </c>
      <c r="C157" t="s">
        <v>39</v>
      </c>
      <c r="D157" s="1">
        <v>3000</v>
      </c>
      <c r="E157" s="1">
        <v>10348</v>
      </c>
      <c r="F157" s="1">
        <v>3514</v>
      </c>
      <c r="J157" t="s">
        <v>21</v>
      </c>
      <c r="K157" t="s">
        <v>26</v>
      </c>
      <c r="L157" s="1">
        <v>124150</v>
      </c>
      <c r="M157" s="1">
        <v>387660</v>
      </c>
      <c r="N157" s="1">
        <v>3123</v>
      </c>
      <c r="O157" t="s">
        <v>661</v>
      </c>
    </row>
    <row r="158" spans="1:15" x14ac:dyDescent="0.3">
      <c r="A158" t="s">
        <v>69</v>
      </c>
      <c r="B158" s="28" t="s">
        <v>25</v>
      </c>
      <c r="C158" t="s">
        <v>39</v>
      </c>
      <c r="D158" s="1">
        <v>3400</v>
      </c>
      <c r="E158" s="1">
        <v>8867</v>
      </c>
      <c r="F158" s="1">
        <v>2695</v>
      </c>
      <c r="J158" t="s">
        <v>21</v>
      </c>
      <c r="K158" t="s">
        <v>37</v>
      </c>
      <c r="L158" s="1">
        <v>81600</v>
      </c>
      <c r="M158" s="1">
        <v>285600</v>
      </c>
      <c r="N158" s="1">
        <v>3500</v>
      </c>
      <c r="O158" t="s">
        <v>662</v>
      </c>
    </row>
    <row r="159" spans="1:15" x14ac:dyDescent="0.3">
      <c r="A159" t="s">
        <v>69</v>
      </c>
      <c r="B159" s="28" t="s">
        <v>15</v>
      </c>
      <c r="C159" t="s">
        <v>40</v>
      </c>
      <c r="D159" s="1">
        <v>20000</v>
      </c>
      <c r="E159" s="1">
        <v>46800</v>
      </c>
      <c r="F159" s="1">
        <v>2400</v>
      </c>
      <c r="J159" t="s">
        <v>21</v>
      </c>
      <c r="K159" t="s">
        <v>38</v>
      </c>
      <c r="L159" s="1">
        <v>75500</v>
      </c>
      <c r="M159" s="1">
        <v>259450</v>
      </c>
      <c r="N159" s="1">
        <v>3436</v>
      </c>
      <c r="O159" t="s">
        <v>663</v>
      </c>
    </row>
    <row r="160" spans="1:15" x14ac:dyDescent="0.3">
      <c r="A160" t="s">
        <v>69</v>
      </c>
      <c r="B160" s="28" t="s">
        <v>16</v>
      </c>
      <c r="C160" t="s">
        <v>40</v>
      </c>
      <c r="D160" s="1">
        <v>15000</v>
      </c>
      <c r="E160" s="1">
        <v>40500</v>
      </c>
      <c r="F160" s="1">
        <v>2700</v>
      </c>
      <c r="J160" t="s">
        <v>21</v>
      </c>
      <c r="K160" t="s">
        <v>43</v>
      </c>
      <c r="L160" s="1">
        <v>58100</v>
      </c>
      <c r="M160" s="1">
        <v>174300</v>
      </c>
      <c r="N160" s="1">
        <v>3000</v>
      </c>
      <c r="O160" t="s">
        <v>664</v>
      </c>
    </row>
    <row r="161" spans="1:15" x14ac:dyDescent="0.3">
      <c r="A161" t="s">
        <v>69</v>
      </c>
      <c r="B161" s="28" t="s">
        <v>17</v>
      </c>
      <c r="C161" t="s">
        <v>40</v>
      </c>
      <c r="D161" s="1">
        <v>15000</v>
      </c>
      <c r="E161" s="1">
        <v>52500</v>
      </c>
      <c r="F161" s="1">
        <v>3500</v>
      </c>
      <c r="J161" t="s">
        <v>21</v>
      </c>
      <c r="K161" t="s">
        <v>12</v>
      </c>
      <c r="L161" s="1">
        <v>30500</v>
      </c>
      <c r="M161" s="1">
        <v>94300</v>
      </c>
      <c r="N161" s="1">
        <v>3092</v>
      </c>
      <c r="O161" t="s">
        <v>665</v>
      </c>
    </row>
    <row r="162" spans="1:15" x14ac:dyDescent="0.3">
      <c r="A162" t="s">
        <v>69</v>
      </c>
      <c r="B162" s="28" t="s">
        <v>18</v>
      </c>
      <c r="C162" t="s">
        <v>40</v>
      </c>
      <c r="D162" s="1">
        <v>15000</v>
      </c>
      <c r="E162" s="1">
        <v>22500</v>
      </c>
      <c r="F162" s="1">
        <v>1500</v>
      </c>
      <c r="J162" t="s">
        <v>21</v>
      </c>
      <c r="K162" t="s">
        <v>51</v>
      </c>
      <c r="L162" s="1">
        <v>17200</v>
      </c>
      <c r="M162" s="1">
        <v>59090</v>
      </c>
      <c r="N162" s="1">
        <v>3435</v>
      </c>
      <c r="O162" t="s">
        <v>666</v>
      </c>
    </row>
    <row r="163" spans="1:15" x14ac:dyDescent="0.3">
      <c r="A163" t="s">
        <v>69</v>
      </c>
      <c r="B163" s="28" t="s">
        <v>19</v>
      </c>
      <c r="C163" t="s">
        <v>40</v>
      </c>
      <c r="D163" s="1">
        <v>15000</v>
      </c>
      <c r="E163" s="1">
        <v>52527</v>
      </c>
      <c r="F163" s="1">
        <v>3502</v>
      </c>
      <c r="J163" t="s">
        <v>21</v>
      </c>
      <c r="K163" t="s">
        <v>44</v>
      </c>
      <c r="L163" s="1">
        <v>15000</v>
      </c>
      <c r="M163" s="1">
        <v>45000</v>
      </c>
      <c r="N163" s="1">
        <v>3000</v>
      </c>
      <c r="O163" t="s">
        <v>667</v>
      </c>
    </row>
    <row r="164" spans="1:15" x14ac:dyDescent="0.3">
      <c r="A164" t="s">
        <v>69</v>
      </c>
      <c r="B164" s="28" t="s">
        <v>20</v>
      </c>
      <c r="C164" t="s">
        <v>40</v>
      </c>
      <c r="D164" s="1">
        <v>12000</v>
      </c>
      <c r="E164" s="1">
        <v>36000</v>
      </c>
      <c r="F164" s="1">
        <v>3000</v>
      </c>
      <c r="J164" t="s">
        <v>21</v>
      </c>
      <c r="K164" t="s">
        <v>40</v>
      </c>
      <c r="L164" s="1">
        <v>12000</v>
      </c>
      <c r="M164" s="1">
        <v>36000</v>
      </c>
      <c r="N164" s="1">
        <v>3000</v>
      </c>
      <c r="O164" t="s">
        <v>668</v>
      </c>
    </row>
    <row r="165" spans="1:15" x14ac:dyDescent="0.3">
      <c r="A165" t="s">
        <v>69</v>
      </c>
      <c r="B165" s="28" t="s">
        <v>21</v>
      </c>
      <c r="C165" t="s">
        <v>40</v>
      </c>
      <c r="D165" s="1">
        <v>12000</v>
      </c>
      <c r="E165" s="1">
        <v>36000</v>
      </c>
      <c r="F165" s="1">
        <v>3000</v>
      </c>
      <c r="J165" t="s">
        <v>21</v>
      </c>
      <c r="K165" t="s">
        <v>33</v>
      </c>
      <c r="L165" s="1">
        <v>10200</v>
      </c>
      <c r="M165" s="1">
        <v>30600</v>
      </c>
      <c r="N165" s="1">
        <v>3000</v>
      </c>
      <c r="O165" t="s">
        <v>669</v>
      </c>
    </row>
    <row r="166" spans="1:15" x14ac:dyDescent="0.3">
      <c r="A166" t="s">
        <v>69</v>
      </c>
      <c r="B166" s="28" t="s">
        <v>22</v>
      </c>
      <c r="C166" t="s">
        <v>40</v>
      </c>
      <c r="D166" s="1">
        <v>12000</v>
      </c>
      <c r="E166" s="1">
        <v>30000</v>
      </c>
      <c r="F166" s="1">
        <v>2500</v>
      </c>
      <c r="J166" t="s">
        <v>21</v>
      </c>
      <c r="K166" t="s">
        <v>32</v>
      </c>
      <c r="L166" s="1">
        <v>5500</v>
      </c>
      <c r="M166" s="1">
        <v>16500</v>
      </c>
      <c r="N166" s="1">
        <v>3000</v>
      </c>
      <c r="O166" t="s">
        <v>670</v>
      </c>
    </row>
    <row r="167" spans="1:15" x14ac:dyDescent="0.3">
      <c r="A167" t="s">
        <v>69</v>
      </c>
      <c r="B167" s="28" t="s">
        <v>23</v>
      </c>
      <c r="C167" t="s">
        <v>40</v>
      </c>
      <c r="D167" s="1">
        <v>13000</v>
      </c>
      <c r="E167" s="1">
        <v>19500</v>
      </c>
      <c r="F167" s="1">
        <v>1500</v>
      </c>
      <c r="J167" t="s">
        <v>21</v>
      </c>
      <c r="K167" t="s">
        <v>36</v>
      </c>
      <c r="L167" s="1">
        <v>5000</v>
      </c>
      <c r="M167" s="1">
        <v>15000</v>
      </c>
      <c r="N167" s="1">
        <v>3000</v>
      </c>
      <c r="O167" t="s">
        <v>671</v>
      </c>
    </row>
    <row r="168" spans="1:15" x14ac:dyDescent="0.3">
      <c r="A168" t="s">
        <v>69</v>
      </c>
      <c r="B168" s="28" t="s">
        <v>24</v>
      </c>
      <c r="C168" t="s">
        <v>40</v>
      </c>
      <c r="D168" s="1">
        <v>13000</v>
      </c>
      <c r="E168" s="1">
        <v>48848</v>
      </c>
      <c r="F168" s="1">
        <v>3786</v>
      </c>
      <c r="J168" t="s">
        <v>21</v>
      </c>
      <c r="K168" t="s">
        <v>29</v>
      </c>
      <c r="L168" s="1">
        <v>4000</v>
      </c>
      <c r="M168" s="1">
        <v>12000</v>
      </c>
      <c r="N168" s="1">
        <v>3000</v>
      </c>
      <c r="O168" t="s">
        <v>672</v>
      </c>
    </row>
    <row r="169" spans="1:15" x14ac:dyDescent="0.3">
      <c r="A169" t="s">
        <v>69</v>
      </c>
      <c r="B169" s="28" t="s">
        <v>25</v>
      </c>
      <c r="C169" t="s">
        <v>40</v>
      </c>
      <c r="D169" s="1">
        <v>14300</v>
      </c>
      <c r="E169" s="1">
        <v>35150</v>
      </c>
      <c r="F169" s="1">
        <v>2500</v>
      </c>
      <c r="J169" t="s">
        <v>21</v>
      </c>
      <c r="K169" t="s">
        <v>31</v>
      </c>
      <c r="L169" s="1">
        <v>4000</v>
      </c>
      <c r="M169" s="1">
        <v>12000</v>
      </c>
      <c r="N169" s="1">
        <v>3000</v>
      </c>
      <c r="O169" t="s">
        <v>673</v>
      </c>
    </row>
    <row r="170" spans="1:15" x14ac:dyDescent="0.3">
      <c r="A170" t="s">
        <v>69</v>
      </c>
      <c r="B170" s="28" t="s">
        <v>15</v>
      </c>
      <c r="C170" t="s">
        <v>41</v>
      </c>
      <c r="D170" s="1">
        <v>220000</v>
      </c>
      <c r="E170" s="1">
        <v>566280</v>
      </c>
      <c r="F170" s="1">
        <v>2600</v>
      </c>
      <c r="J170" t="s">
        <v>21</v>
      </c>
      <c r="K170" t="s">
        <v>45</v>
      </c>
      <c r="L170" s="1">
        <v>4000</v>
      </c>
      <c r="M170" s="1">
        <v>12000</v>
      </c>
      <c r="N170" s="1">
        <v>3000</v>
      </c>
      <c r="O170" t="s">
        <v>675</v>
      </c>
    </row>
    <row r="171" spans="1:15" x14ac:dyDescent="0.3">
      <c r="A171" t="s">
        <v>69</v>
      </c>
      <c r="B171" s="28" t="s">
        <v>16</v>
      </c>
      <c r="C171" t="s">
        <v>41</v>
      </c>
      <c r="D171" s="1">
        <v>290000</v>
      </c>
      <c r="E171" s="1">
        <v>741000</v>
      </c>
      <c r="F171" s="1">
        <v>2600</v>
      </c>
      <c r="J171" t="s">
        <v>21</v>
      </c>
      <c r="K171" t="s">
        <v>48</v>
      </c>
      <c r="L171" s="1">
        <v>4000</v>
      </c>
      <c r="M171" s="1">
        <v>12000</v>
      </c>
      <c r="N171" s="1">
        <v>3000</v>
      </c>
      <c r="O171" t="s">
        <v>676</v>
      </c>
    </row>
    <row r="172" spans="1:15" x14ac:dyDescent="0.3">
      <c r="A172" t="s">
        <v>69</v>
      </c>
      <c r="B172" s="28" t="s">
        <v>17</v>
      </c>
      <c r="C172" t="s">
        <v>41</v>
      </c>
      <c r="D172" s="1">
        <v>231550</v>
      </c>
      <c r="E172" s="1">
        <v>832212</v>
      </c>
      <c r="F172" s="1">
        <v>3600</v>
      </c>
      <c r="J172" t="s">
        <v>21</v>
      </c>
      <c r="K172" t="s">
        <v>28</v>
      </c>
      <c r="L172" s="1">
        <v>3600</v>
      </c>
      <c r="M172" s="1">
        <v>11520</v>
      </c>
      <c r="N172" s="1">
        <v>3200</v>
      </c>
      <c r="O172" t="s">
        <v>677</v>
      </c>
    </row>
    <row r="173" spans="1:15" x14ac:dyDescent="0.3">
      <c r="A173" t="s">
        <v>69</v>
      </c>
      <c r="B173" s="28" t="s">
        <v>18</v>
      </c>
      <c r="C173" t="s">
        <v>41</v>
      </c>
      <c r="D173" s="1">
        <v>240000</v>
      </c>
      <c r="E173" s="1">
        <v>660380</v>
      </c>
      <c r="F173" s="1">
        <v>2800</v>
      </c>
      <c r="J173" t="s">
        <v>21</v>
      </c>
      <c r="K173" t="s">
        <v>58</v>
      </c>
      <c r="L173" s="1">
        <v>3200</v>
      </c>
      <c r="M173" s="1">
        <v>8960</v>
      </c>
      <c r="N173" s="1">
        <v>2800</v>
      </c>
      <c r="O173" t="s">
        <v>678</v>
      </c>
    </row>
    <row r="174" spans="1:15" x14ac:dyDescent="0.3">
      <c r="A174" t="s">
        <v>69</v>
      </c>
      <c r="B174" s="28" t="s">
        <v>19</v>
      </c>
      <c r="C174" t="s">
        <v>41</v>
      </c>
      <c r="D174" s="1">
        <v>270000</v>
      </c>
      <c r="E174" s="1">
        <v>833846</v>
      </c>
      <c r="F174" s="1">
        <v>3147</v>
      </c>
      <c r="J174" t="s">
        <v>21</v>
      </c>
      <c r="K174" t="s">
        <v>42</v>
      </c>
      <c r="L174" s="1">
        <v>3500</v>
      </c>
      <c r="M174" s="1">
        <v>8750</v>
      </c>
      <c r="N174" s="1">
        <v>2500</v>
      </c>
      <c r="O174" t="s">
        <v>679</v>
      </c>
    </row>
    <row r="175" spans="1:15" x14ac:dyDescent="0.3">
      <c r="A175" t="s">
        <v>69</v>
      </c>
      <c r="B175" s="28" t="s">
        <v>20</v>
      </c>
      <c r="C175" t="s">
        <v>41</v>
      </c>
      <c r="D175" s="1">
        <v>287600</v>
      </c>
      <c r="E175" s="1">
        <v>926060</v>
      </c>
      <c r="F175" s="1">
        <v>3235</v>
      </c>
      <c r="J175" t="s">
        <v>21</v>
      </c>
      <c r="K175" t="s">
        <v>39</v>
      </c>
      <c r="L175" s="1">
        <v>2500</v>
      </c>
      <c r="M175" s="1">
        <v>7500</v>
      </c>
      <c r="N175" s="1">
        <v>3000</v>
      </c>
      <c r="O175" t="s">
        <v>680</v>
      </c>
    </row>
    <row r="176" spans="1:15" x14ac:dyDescent="0.3">
      <c r="A176" t="s">
        <v>69</v>
      </c>
      <c r="B176" s="28" t="s">
        <v>21</v>
      </c>
      <c r="C176" t="s">
        <v>41</v>
      </c>
      <c r="D176" s="1">
        <v>295000</v>
      </c>
      <c r="E176" s="1">
        <v>977900</v>
      </c>
      <c r="F176" s="1">
        <v>3315</v>
      </c>
      <c r="J176" t="s">
        <v>21</v>
      </c>
      <c r="K176" t="s">
        <v>46</v>
      </c>
      <c r="L176" s="1">
        <v>2500</v>
      </c>
      <c r="M176" s="1">
        <v>7500</v>
      </c>
      <c r="N176" s="1">
        <v>3000</v>
      </c>
      <c r="O176" t="s">
        <v>681</v>
      </c>
    </row>
    <row r="177" spans="1:15" x14ac:dyDescent="0.3">
      <c r="A177" t="s">
        <v>69</v>
      </c>
      <c r="B177" s="28" t="s">
        <v>22</v>
      </c>
      <c r="C177" t="s">
        <v>41</v>
      </c>
      <c r="D177" s="1">
        <v>290600</v>
      </c>
      <c r="E177" s="1">
        <v>976160</v>
      </c>
      <c r="F177" s="1">
        <v>3359</v>
      </c>
      <c r="J177" t="s">
        <v>21</v>
      </c>
      <c r="K177" t="s">
        <v>34</v>
      </c>
      <c r="L177" s="1">
        <v>1500</v>
      </c>
      <c r="M177" s="1">
        <v>4500</v>
      </c>
      <c r="N177" s="1">
        <v>3000</v>
      </c>
      <c r="O177" t="s">
        <v>682</v>
      </c>
    </row>
    <row r="178" spans="1:15" x14ac:dyDescent="0.3">
      <c r="A178" t="s">
        <v>69</v>
      </c>
      <c r="B178" s="28" t="s">
        <v>23</v>
      </c>
      <c r="C178" t="s">
        <v>41</v>
      </c>
      <c r="D178" s="1">
        <v>290600</v>
      </c>
      <c r="E178" s="1">
        <v>830100</v>
      </c>
      <c r="F178" s="1">
        <v>2857</v>
      </c>
      <c r="J178" t="s">
        <v>21</v>
      </c>
      <c r="K178" t="s">
        <v>47</v>
      </c>
      <c r="L178" s="1">
        <v>800</v>
      </c>
      <c r="M178" s="1">
        <v>2400</v>
      </c>
      <c r="N178" s="1">
        <v>3000</v>
      </c>
      <c r="O178" t="s">
        <v>683</v>
      </c>
    </row>
    <row r="179" spans="1:15" x14ac:dyDescent="0.3">
      <c r="A179" t="s">
        <v>69</v>
      </c>
      <c r="B179" s="28" t="s">
        <v>24</v>
      </c>
      <c r="C179" t="s">
        <v>41</v>
      </c>
      <c r="D179" s="1">
        <v>275300</v>
      </c>
      <c r="E179" s="1">
        <v>616620</v>
      </c>
      <c r="F179" s="1">
        <v>2318</v>
      </c>
      <c r="L179" s="1">
        <f>SUM(L154:L178)</f>
        <v>1078150</v>
      </c>
      <c r="M179" s="1">
        <f>SUM(M154:M178)</f>
        <v>3603230</v>
      </c>
    </row>
    <row r="180" spans="1:15" x14ac:dyDescent="0.3">
      <c r="A180" t="s">
        <v>69</v>
      </c>
      <c r="B180" s="28" t="s">
        <v>25</v>
      </c>
      <c r="C180" t="s">
        <v>41</v>
      </c>
      <c r="D180" s="1">
        <v>355400</v>
      </c>
      <c r="E180" s="1">
        <v>310223</v>
      </c>
      <c r="F180" s="1">
        <v>1134</v>
      </c>
      <c r="J180" s="79" t="s">
        <v>21</v>
      </c>
      <c r="K180" s="2" t="s">
        <v>595</v>
      </c>
      <c r="L180" s="3">
        <v>1078150</v>
      </c>
      <c r="M180" s="3">
        <v>3603230</v>
      </c>
      <c r="N180" s="3">
        <v>3342</v>
      </c>
    </row>
    <row r="181" spans="1:15" x14ac:dyDescent="0.3">
      <c r="A181" t="s">
        <v>69</v>
      </c>
      <c r="B181" s="28" t="s">
        <v>21</v>
      </c>
      <c r="C181" t="s">
        <v>42</v>
      </c>
      <c r="D181" s="1">
        <v>3500</v>
      </c>
      <c r="E181" s="1">
        <v>8750</v>
      </c>
      <c r="F181" s="1">
        <v>2500</v>
      </c>
      <c r="J181" s="2" t="s">
        <v>1</v>
      </c>
      <c r="K181" s="2" t="s">
        <v>3</v>
      </c>
      <c r="L181" s="3" t="s">
        <v>6</v>
      </c>
      <c r="M181" s="3" t="s">
        <v>8</v>
      </c>
      <c r="N181" s="3" t="s">
        <v>9</v>
      </c>
    </row>
    <row r="182" spans="1:15" x14ac:dyDescent="0.3">
      <c r="A182" t="s">
        <v>69</v>
      </c>
      <c r="B182" s="28" t="s">
        <v>23</v>
      </c>
      <c r="C182" t="s">
        <v>42</v>
      </c>
      <c r="D182" s="1">
        <v>6500</v>
      </c>
      <c r="E182" s="1">
        <v>9750</v>
      </c>
      <c r="F182" s="1">
        <v>1500</v>
      </c>
      <c r="J182" t="s">
        <v>22</v>
      </c>
      <c r="K182" t="s">
        <v>41</v>
      </c>
      <c r="L182" s="1">
        <v>290600</v>
      </c>
      <c r="M182" s="1">
        <v>976160</v>
      </c>
      <c r="N182" s="1">
        <v>3359</v>
      </c>
      <c r="O182" t="s">
        <v>658</v>
      </c>
    </row>
    <row r="183" spans="1:15" x14ac:dyDescent="0.3">
      <c r="A183" t="s">
        <v>69</v>
      </c>
      <c r="B183" s="28" t="s">
        <v>24</v>
      </c>
      <c r="C183" t="s">
        <v>42</v>
      </c>
      <c r="D183" s="1">
        <v>6500</v>
      </c>
      <c r="E183" s="1">
        <v>22733</v>
      </c>
      <c r="F183" s="1">
        <v>3500</v>
      </c>
      <c r="J183" t="s">
        <v>22</v>
      </c>
      <c r="K183" t="s">
        <v>35</v>
      </c>
      <c r="L183" s="1">
        <v>197300</v>
      </c>
      <c r="M183" s="1">
        <v>631360</v>
      </c>
      <c r="N183" s="1">
        <v>3200</v>
      </c>
      <c r="O183" t="s">
        <v>659</v>
      </c>
    </row>
    <row r="184" spans="1:15" x14ac:dyDescent="0.3">
      <c r="A184" t="s">
        <v>69</v>
      </c>
      <c r="B184" s="28" t="s">
        <v>25</v>
      </c>
      <c r="C184" t="s">
        <v>42</v>
      </c>
      <c r="D184" s="1">
        <v>7150</v>
      </c>
      <c r="E184" s="1">
        <v>17625</v>
      </c>
      <c r="F184" s="1">
        <v>2500</v>
      </c>
      <c r="J184" t="s">
        <v>22</v>
      </c>
      <c r="K184" t="s">
        <v>26</v>
      </c>
      <c r="L184" s="1">
        <v>121355</v>
      </c>
      <c r="M184" s="1">
        <v>397956</v>
      </c>
      <c r="N184" s="1">
        <v>3279</v>
      </c>
      <c r="O184" t="s">
        <v>660</v>
      </c>
    </row>
    <row r="185" spans="1:15" x14ac:dyDescent="0.3">
      <c r="A185" t="s">
        <v>69</v>
      </c>
      <c r="B185" s="28" t="s">
        <v>15</v>
      </c>
      <c r="C185" t="s">
        <v>43</v>
      </c>
      <c r="D185" s="1">
        <v>38000</v>
      </c>
      <c r="E185" s="1">
        <v>89280</v>
      </c>
      <c r="F185" s="1">
        <v>2400</v>
      </c>
      <c r="J185" t="s">
        <v>22</v>
      </c>
      <c r="K185" t="s">
        <v>30</v>
      </c>
      <c r="L185" s="1">
        <v>114075</v>
      </c>
      <c r="M185" s="1">
        <v>365040</v>
      </c>
      <c r="N185" s="1">
        <v>3200</v>
      </c>
      <c r="O185" t="s">
        <v>661</v>
      </c>
    </row>
    <row r="186" spans="1:15" x14ac:dyDescent="0.3">
      <c r="A186" t="s">
        <v>69</v>
      </c>
      <c r="B186" s="28" t="s">
        <v>16</v>
      </c>
      <c r="C186" t="s">
        <v>43</v>
      </c>
      <c r="D186" s="1">
        <v>41407</v>
      </c>
      <c r="E186" s="1">
        <v>120080</v>
      </c>
      <c r="F186" s="1">
        <v>2900</v>
      </c>
      <c r="J186" t="s">
        <v>22</v>
      </c>
      <c r="K186" t="s">
        <v>38</v>
      </c>
      <c r="L186" s="1">
        <v>73900</v>
      </c>
      <c r="M186" s="1">
        <v>240990</v>
      </c>
      <c r="N186" s="1">
        <v>3261</v>
      </c>
      <c r="O186" t="s">
        <v>662</v>
      </c>
    </row>
    <row r="187" spans="1:15" x14ac:dyDescent="0.3">
      <c r="A187" t="s">
        <v>69</v>
      </c>
      <c r="B187" s="28" t="s">
        <v>17</v>
      </c>
      <c r="C187" t="s">
        <v>43</v>
      </c>
      <c r="D187" s="1">
        <v>35000</v>
      </c>
      <c r="E187" s="1">
        <v>122500</v>
      </c>
      <c r="F187" s="1">
        <v>3500</v>
      </c>
      <c r="J187" t="s">
        <v>22</v>
      </c>
      <c r="K187" t="s">
        <v>37</v>
      </c>
      <c r="L187" s="1">
        <v>87000</v>
      </c>
      <c r="M187" s="1">
        <v>217500</v>
      </c>
      <c r="N187" s="1">
        <v>2500</v>
      </c>
      <c r="O187" t="s">
        <v>663</v>
      </c>
    </row>
    <row r="188" spans="1:15" x14ac:dyDescent="0.3">
      <c r="A188" t="s">
        <v>69</v>
      </c>
      <c r="B188" s="28" t="s">
        <v>18</v>
      </c>
      <c r="C188" t="s">
        <v>43</v>
      </c>
      <c r="D188" s="1">
        <v>35000</v>
      </c>
      <c r="E188" s="1">
        <v>105000</v>
      </c>
      <c r="F188" s="1">
        <v>3000</v>
      </c>
      <c r="J188" t="s">
        <v>22</v>
      </c>
      <c r="K188" t="s">
        <v>43</v>
      </c>
      <c r="L188" s="1">
        <v>61500</v>
      </c>
      <c r="M188" s="1">
        <v>153750</v>
      </c>
      <c r="N188" s="1">
        <v>2500</v>
      </c>
      <c r="O188" t="s">
        <v>664</v>
      </c>
    </row>
    <row r="189" spans="1:15" x14ac:dyDescent="0.3">
      <c r="A189" t="s">
        <v>69</v>
      </c>
      <c r="B189" s="28" t="s">
        <v>19</v>
      </c>
      <c r="C189" t="s">
        <v>43</v>
      </c>
      <c r="D189" s="1">
        <v>49500</v>
      </c>
      <c r="E189" s="1">
        <v>173250</v>
      </c>
      <c r="F189" s="1">
        <v>3500</v>
      </c>
      <c r="J189" t="s">
        <v>22</v>
      </c>
      <c r="K189" t="s">
        <v>12</v>
      </c>
      <c r="L189" s="1">
        <v>30500</v>
      </c>
      <c r="M189" s="1">
        <v>85400</v>
      </c>
      <c r="N189" s="1">
        <v>2800</v>
      </c>
      <c r="O189" t="s">
        <v>665</v>
      </c>
    </row>
    <row r="190" spans="1:15" x14ac:dyDescent="0.3">
      <c r="A190" t="s">
        <v>69</v>
      </c>
      <c r="B190" s="28" t="s">
        <v>20</v>
      </c>
      <c r="C190" t="s">
        <v>43</v>
      </c>
      <c r="D190" s="1">
        <v>58100</v>
      </c>
      <c r="E190" s="1">
        <v>174300</v>
      </c>
      <c r="F190" s="1">
        <v>3000</v>
      </c>
      <c r="J190" t="s">
        <v>22</v>
      </c>
      <c r="K190" t="s">
        <v>51</v>
      </c>
      <c r="L190" s="1">
        <v>16290</v>
      </c>
      <c r="M190" s="1">
        <v>52119</v>
      </c>
      <c r="N190" s="1">
        <v>3199</v>
      </c>
      <c r="O190" t="s">
        <v>666</v>
      </c>
    </row>
    <row r="191" spans="1:15" x14ac:dyDescent="0.3">
      <c r="A191" t="s">
        <v>69</v>
      </c>
      <c r="B191" s="28" t="s">
        <v>21</v>
      </c>
      <c r="C191" t="s">
        <v>43</v>
      </c>
      <c r="D191" s="1">
        <v>58100</v>
      </c>
      <c r="E191" s="1">
        <v>174300</v>
      </c>
      <c r="F191" s="1">
        <v>3000</v>
      </c>
      <c r="J191" t="s">
        <v>22</v>
      </c>
      <c r="K191" t="s">
        <v>44</v>
      </c>
      <c r="L191" s="1">
        <v>15500</v>
      </c>
      <c r="M191" s="1">
        <v>38750</v>
      </c>
      <c r="N191" s="1">
        <v>2500</v>
      </c>
      <c r="O191" t="s">
        <v>667</v>
      </c>
    </row>
    <row r="192" spans="1:15" x14ac:dyDescent="0.3">
      <c r="A192" t="s">
        <v>69</v>
      </c>
      <c r="B192" s="28" t="s">
        <v>22</v>
      </c>
      <c r="C192" t="s">
        <v>43</v>
      </c>
      <c r="D192" s="1">
        <v>61500</v>
      </c>
      <c r="E192" s="1">
        <v>153750</v>
      </c>
      <c r="F192" s="1">
        <v>2500</v>
      </c>
      <c r="J192" t="s">
        <v>22</v>
      </c>
      <c r="K192" t="s">
        <v>33</v>
      </c>
      <c r="L192" s="1">
        <v>10200</v>
      </c>
      <c r="M192" s="1">
        <v>30530</v>
      </c>
      <c r="N192" s="1">
        <v>2993</v>
      </c>
      <c r="O192" t="s">
        <v>668</v>
      </c>
    </row>
    <row r="193" spans="1:15" x14ac:dyDescent="0.3">
      <c r="A193" t="s">
        <v>69</v>
      </c>
      <c r="B193" s="28" t="s">
        <v>23</v>
      </c>
      <c r="C193" t="s">
        <v>43</v>
      </c>
      <c r="D193" s="1">
        <v>61500</v>
      </c>
      <c r="E193" s="1">
        <v>100200</v>
      </c>
      <c r="F193" s="1">
        <v>1629</v>
      </c>
      <c r="J193" t="s">
        <v>22</v>
      </c>
      <c r="K193" t="s">
        <v>40</v>
      </c>
      <c r="L193" s="1">
        <v>12000</v>
      </c>
      <c r="M193" s="1">
        <v>30000</v>
      </c>
      <c r="N193" s="1">
        <v>2500</v>
      </c>
      <c r="O193" t="s">
        <v>669</v>
      </c>
    </row>
    <row r="194" spans="1:15" x14ac:dyDescent="0.3">
      <c r="A194" t="s">
        <v>69</v>
      </c>
      <c r="B194" s="28" t="s">
        <v>24</v>
      </c>
      <c r="C194" t="s">
        <v>43</v>
      </c>
      <c r="D194" s="1">
        <v>61500</v>
      </c>
      <c r="E194" s="1">
        <v>239639</v>
      </c>
      <c r="F194" s="1">
        <v>3900</v>
      </c>
      <c r="J194" t="s">
        <v>22</v>
      </c>
      <c r="K194" t="s">
        <v>36</v>
      </c>
      <c r="L194" s="1">
        <v>7500</v>
      </c>
      <c r="M194" s="1">
        <v>18750</v>
      </c>
      <c r="N194" s="1">
        <v>2500</v>
      </c>
      <c r="O194" t="s">
        <v>670</v>
      </c>
    </row>
    <row r="195" spans="1:15" x14ac:dyDescent="0.3">
      <c r="A195" t="s">
        <v>69</v>
      </c>
      <c r="B195" s="28" t="s">
        <v>25</v>
      </c>
      <c r="C195" t="s">
        <v>43</v>
      </c>
      <c r="D195" s="1">
        <v>67650</v>
      </c>
      <c r="E195" s="1">
        <v>188308</v>
      </c>
      <c r="F195" s="1">
        <v>2796</v>
      </c>
      <c r="J195" t="s">
        <v>22</v>
      </c>
      <c r="K195" t="s">
        <v>32</v>
      </c>
      <c r="L195" s="1">
        <v>6500</v>
      </c>
      <c r="M195" s="1">
        <v>16250</v>
      </c>
      <c r="N195" s="1">
        <v>2500</v>
      </c>
      <c r="O195" t="s">
        <v>671</v>
      </c>
    </row>
    <row r="196" spans="1:15" x14ac:dyDescent="0.3">
      <c r="A196" t="s">
        <v>69</v>
      </c>
      <c r="B196" s="28" t="s">
        <v>21</v>
      </c>
      <c r="C196" t="s">
        <v>58</v>
      </c>
      <c r="D196" s="1">
        <v>3200</v>
      </c>
      <c r="E196" s="1">
        <v>8960</v>
      </c>
      <c r="F196" s="1">
        <v>2800</v>
      </c>
      <c r="J196" t="s">
        <v>22</v>
      </c>
      <c r="K196" t="s">
        <v>46</v>
      </c>
      <c r="L196" s="1">
        <v>6000</v>
      </c>
      <c r="M196" s="1">
        <v>15000</v>
      </c>
      <c r="N196" s="1">
        <v>2500</v>
      </c>
      <c r="O196" t="s">
        <v>672</v>
      </c>
    </row>
    <row r="197" spans="1:15" x14ac:dyDescent="0.3">
      <c r="A197" t="s">
        <v>69</v>
      </c>
      <c r="B197" s="28" t="s">
        <v>23</v>
      </c>
      <c r="C197" t="s">
        <v>58</v>
      </c>
      <c r="D197" s="1">
        <v>2500</v>
      </c>
      <c r="E197" s="1">
        <v>3750</v>
      </c>
      <c r="F197" s="1">
        <v>1500</v>
      </c>
      <c r="J197" t="s">
        <v>22</v>
      </c>
      <c r="K197" t="s">
        <v>29</v>
      </c>
      <c r="L197" s="1">
        <v>4500</v>
      </c>
      <c r="M197" s="1">
        <v>11250</v>
      </c>
      <c r="N197" s="1">
        <v>2500</v>
      </c>
      <c r="O197" t="s">
        <v>673</v>
      </c>
    </row>
    <row r="198" spans="1:15" x14ac:dyDescent="0.3">
      <c r="A198" t="s">
        <v>69</v>
      </c>
      <c r="B198" s="28" t="s">
        <v>24</v>
      </c>
      <c r="C198" t="s">
        <v>58</v>
      </c>
      <c r="D198" s="1">
        <v>2500</v>
      </c>
      <c r="E198" s="1">
        <v>8740</v>
      </c>
      <c r="F198" s="1">
        <v>3500</v>
      </c>
      <c r="J198" t="s">
        <v>22</v>
      </c>
      <c r="K198" t="s">
        <v>31</v>
      </c>
      <c r="L198" s="1">
        <v>4500</v>
      </c>
      <c r="M198" s="1">
        <v>11250</v>
      </c>
      <c r="N198" s="1">
        <v>2500</v>
      </c>
      <c r="O198" t="s">
        <v>675</v>
      </c>
    </row>
    <row r="199" spans="1:15" x14ac:dyDescent="0.3">
      <c r="A199" t="s">
        <v>69</v>
      </c>
      <c r="B199" s="28" t="s">
        <v>25</v>
      </c>
      <c r="C199" t="s">
        <v>58</v>
      </c>
      <c r="D199" s="1">
        <v>2750</v>
      </c>
      <c r="E199" s="1">
        <v>6745</v>
      </c>
      <c r="F199" s="1">
        <v>2500</v>
      </c>
      <c r="J199" t="s">
        <v>22</v>
      </c>
      <c r="K199" t="s">
        <v>45</v>
      </c>
      <c r="L199" s="1">
        <v>4500</v>
      </c>
      <c r="M199" s="1">
        <v>11250</v>
      </c>
      <c r="N199" s="1">
        <v>2500</v>
      </c>
      <c r="O199" t="s">
        <v>676</v>
      </c>
    </row>
    <row r="200" spans="1:15" x14ac:dyDescent="0.3">
      <c r="A200" t="s">
        <v>69</v>
      </c>
      <c r="B200" s="28" t="s">
        <v>15</v>
      </c>
      <c r="C200" t="s">
        <v>44</v>
      </c>
      <c r="D200" s="1">
        <v>6000</v>
      </c>
      <c r="E200" s="1">
        <v>12000</v>
      </c>
      <c r="F200" s="1">
        <v>2000</v>
      </c>
      <c r="J200" t="s">
        <v>22</v>
      </c>
      <c r="K200" t="s">
        <v>28</v>
      </c>
      <c r="L200" s="1">
        <v>3600</v>
      </c>
      <c r="M200" s="1">
        <v>10440</v>
      </c>
      <c r="N200" s="1">
        <v>2900</v>
      </c>
      <c r="O200" t="s">
        <v>677</v>
      </c>
    </row>
    <row r="201" spans="1:15" x14ac:dyDescent="0.3">
      <c r="A201" t="s">
        <v>69</v>
      </c>
      <c r="B201" s="28" t="s">
        <v>16</v>
      </c>
      <c r="C201" t="s">
        <v>44</v>
      </c>
      <c r="D201" s="1">
        <v>15750</v>
      </c>
      <c r="E201" s="1">
        <v>37800</v>
      </c>
      <c r="F201" s="1">
        <v>2400</v>
      </c>
      <c r="J201" t="s">
        <v>22</v>
      </c>
      <c r="K201" t="s">
        <v>48</v>
      </c>
      <c r="L201" s="1">
        <v>4000</v>
      </c>
      <c r="M201" s="1">
        <v>10000</v>
      </c>
      <c r="N201" s="1">
        <v>2500</v>
      </c>
      <c r="O201" t="s">
        <v>678</v>
      </c>
    </row>
    <row r="202" spans="1:15" x14ac:dyDescent="0.3">
      <c r="A202" t="s">
        <v>69</v>
      </c>
      <c r="B202" s="28" t="s">
        <v>17</v>
      </c>
      <c r="C202" t="s">
        <v>44</v>
      </c>
      <c r="D202" s="1">
        <v>10000</v>
      </c>
      <c r="E202" s="1">
        <v>35000</v>
      </c>
      <c r="F202" s="1">
        <v>3500</v>
      </c>
      <c r="J202" t="s">
        <v>22</v>
      </c>
      <c r="K202" t="s">
        <v>34</v>
      </c>
      <c r="L202" s="1">
        <v>3500</v>
      </c>
      <c r="M202" s="1">
        <v>8750</v>
      </c>
      <c r="N202" s="1">
        <v>2500</v>
      </c>
      <c r="O202" t="s">
        <v>679</v>
      </c>
    </row>
    <row r="203" spans="1:15" x14ac:dyDescent="0.3">
      <c r="A203" t="s">
        <v>69</v>
      </c>
      <c r="B203" s="28" t="s">
        <v>18</v>
      </c>
      <c r="C203" t="s">
        <v>44</v>
      </c>
      <c r="D203" s="1">
        <v>12000</v>
      </c>
      <c r="E203" s="1">
        <v>36000</v>
      </c>
      <c r="F203" s="1">
        <v>3000</v>
      </c>
      <c r="J203" t="s">
        <v>22</v>
      </c>
      <c r="K203" t="s">
        <v>39</v>
      </c>
      <c r="L203" s="1">
        <v>2500</v>
      </c>
      <c r="M203" s="1">
        <v>6250</v>
      </c>
      <c r="N203" s="1">
        <v>2500</v>
      </c>
      <c r="O203" t="s">
        <v>680</v>
      </c>
    </row>
    <row r="204" spans="1:15" x14ac:dyDescent="0.3">
      <c r="A204" t="s">
        <v>69</v>
      </c>
      <c r="B204" s="28" t="s">
        <v>19</v>
      </c>
      <c r="C204" t="s">
        <v>44</v>
      </c>
      <c r="D204" s="1">
        <v>14700</v>
      </c>
      <c r="E204" s="1">
        <v>51450</v>
      </c>
      <c r="F204" s="1">
        <v>3500</v>
      </c>
      <c r="J204" t="s">
        <v>22</v>
      </c>
      <c r="K204" t="s">
        <v>47</v>
      </c>
      <c r="L204" s="1">
        <v>800</v>
      </c>
      <c r="M204" s="1">
        <v>2240</v>
      </c>
      <c r="N204" s="1">
        <v>2800</v>
      </c>
      <c r="O204" t="s">
        <v>681</v>
      </c>
    </row>
    <row r="205" spans="1:15" x14ac:dyDescent="0.3">
      <c r="A205" t="s">
        <v>69</v>
      </c>
      <c r="B205" s="28" t="s">
        <v>20</v>
      </c>
      <c r="C205" t="s">
        <v>44</v>
      </c>
      <c r="D205" s="1">
        <v>15000</v>
      </c>
      <c r="E205" s="1">
        <v>45000</v>
      </c>
      <c r="F205" s="1">
        <v>3000</v>
      </c>
      <c r="L205" s="1">
        <f>SUM(L182:L204)</f>
        <v>1078120</v>
      </c>
      <c r="M205" s="1">
        <f>SUM(M182:M204)</f>
        <v>3340985</v>
      </c>
    </row>
    <row r="206" spans="1:15" x14ac:dyDescent="0.3">
      <c r="A206" t="s">
        <v>69</v>
      </c>
      <c r="B206" s="28" t="s">
        <v>21</v>
      </c>
      <c r="C206" t="s">
        <v>44</v>
      </c>
      <c r="D206" s="1">
        <v>15000</v>
      </c>
      <c r="E206" s="1">
        <v>45000</v>
      </c>
      <c r="F206" s="1">
        <v>3000</v>
      </c>
      <c r="J206" s="79" t="s">
        <v>22</v>
      </c>
      <c r="K206" s="2" t="s">
        <v>595</v>
      </c>
      <c r="L206" s="3">
        <v>1078120</v>
      </c>
      <c r="M206" s="3">
        <v>3340985</v>
      </c>
      <c r="N206" s="3">
        <v>3099</v>
      </c>
    </row>
    <row r="207" spans="1:15" x14ac:dyDescent="0.3">
      <c r="A207" t="s">
        <v>69</v>
      </c>
      <c r="B207" s="28" t="s">
        <v>22</v>
      </c>
      <c r="C207" t="s">
        <v>44</v>
      </c>
      <c r="D207" s="1">
        <v>15500</v>
      </c>
      <c r="E207" s="1">
        <v>38750</v>
      </c>
      <c r="F207" s="1">
        <v>2500</v>
      </c>
      <c r="J207" s="2" t="s">
        <v>1</v>
      </c>
      <c r="K207" s="2" t="s">
        <v>3</v>
      </c>
      <c r="L207" s="3" t="s">
        <v>6</v>
      </c>
      <c r="M207" s="3" t="s">
        <v>8</v>
      </c>
      <c r="N207" s="3" t="s">
        <v>9</v>
      </c>
    </row>
    <row r="208" spans="1:15" x14ac:dyDescent="0.3">
      <c r="A208" t="s">
        <v>69</v>
      </c>
      <c r="B208" s="28" t="s">
        <v>23</v>
      </c>
      <c r="C208" t="s">
        <v>44</v>
      </c>
      <c r="D208" s="1">
        <v>15500</v>
      </c>
      <c r="E208" s="1">
        <v>23250</v>
      </c>
      <c r="F208" s="1">
        <v>1500</v>
      </c>
      <c r="J208" t="s">
        <v>23</v>
      </c>
      <c r="K208" s="78" t="s">
        <v>41</v>
      </c>
      <c r="L208" s="1">
        <v>290600</v>
      </c>
      <c r="M208" s="1">
        <v>830100</v>
      </c>
      <c r="N208" s="1">
        <v>2857</v>
      </c>
      <c r="O208" t="s">
        <v>658</v>
      </c>
    </row>
    <row r="209" spans="1:15" x14ac:dyDescent="0.3">
      <c r="A209" t="s">
        <v>69</v>
      </c>
      <c r="B209" s="28" t="s">
        <v>24</v>
      </c>
      <c r="C209" t="s">
        <v>44</v>
      </c>
      <c r="D209" s="1">
        <v>15500</v>
      </c>
      <c r="E209" s="1">
        <v>53710</v>
      </c>
      <c r="F209" s="1">
        <v>3472</v>
      </c>
      <c r="J209" t="s">
        <v>23</v>
      </c>
      <c r="K209" s="78" t="s">
        <v>35</v>
      </c>
      <c r="L209" s="1">
        <v>200800</v>
      </c>
      <c r="M209" s="1">
        <v>522368</v>
      </c>
      <c r="N209" s="1">
        <v>2601</v>
      </c>
      <c r="O209" t="s">
        <v>659</v>
      </c>
    </row>
    <row r="210" spans="1:15" x14ac:dyDescent="0.3">
      <c r="A210" t="s">
        <v>69</v>
      </c>
      <c r="B210" s="28" t="s">
        <v>25</v>
      </c>
      <c r="C210" t="s">
        <v>44</v>
      </c>
      <c r="D210" s="1">
        <v>61600</v>
      </c>
      <c r="E210" s="1">
        <v>161035</v>
      </c>
      <c r="F210" s="1">
        <v>2623</v>
      </c>
      <c r="J210" t="s">
        <v>23</v>
      </c>
      <c r="K210" s="78" t="s">
        <v>30</v>
      </c>
      <c r="L210" s="1">
        <v>125250</v>
      </c>
      <c r="M210" s="1">
        <v>343530</v>
      </c>
      <c r="N210" s="1">
        <v>2743</v>
      </c>
      <c r="O210" t="s">
        <v>660</v>
      </c>
    </row>
    <row r="211" spans="1:15" x14ac:dyDescent="0.3">
      <c r="A211" t="s">
        <v>69</v>
      </c>
      <c r="B211" s="28" t="s">
        <v>15</v>
      </c>
      <c r="C211" t="s">
        <v>51</v>
      </c>
      <c r="D211" s="1">
        <v>50000</v>
      </c>
      <c r="E211" s="1">
        <v>105600</v>
      </c>
      <c r="F211" s="1">
        <v>2400</v>
      </c>
      <c r="J211" t="s">
        <v>23</v>
      </c>
      <c r="K211" s="78" t="s">
        <v>26</v>
      </c>
      <c r="L211" s="1">
        <v>122455</v>
      </c>
      <c r="M211" s="1">
        <v>334028</v>
      </c>
      <c r="N211" s="1">
        <v>2728</v>
      </c>
      <c r="O211" t="s">
        <v>661</v>
      </c>
    </row>
    <row r="212" spans="1:15" x14ac:dyDescent="0.3">
      <c r="A212" t="s">
        <v>69</v>
      </c>
      <c r="B212" s="28" t="s">
        <v>16</v>
      </c>
      <c r="C212" t="s">
        <v>51</v>
      </c>
      <c r="D212" s="1">
        <v>50000</v>
      </c>
      <c r="E212" s="1">
        <v>105800</v>
      </c>
      <c r="F212" s="1">
        <v>2300</v>
      </c>
      <c r="J212" t="s">
        <v>23</v>
      </c>
      <c r="K212" s="78" t="s">
        <v>38</v>
      </c>
      <c r="L212" s="1">
        <v>77905</v>
      </c>
      <c r="M212" s="1">
        <v>215313</v>
      </c>
      <c r="N212" s="1">
        <v>2764</v>
      </c>
      <c r="O212" t="s">
        <v>662</v>
      </c>
    </row>
    <row r="213" spans="1:15" x14ac:dyDescent="0.3">
      <c r="A213" t="s">
        <v>69</v>
      </c>
      <c r="B213" s="28" t="s">
        <v>17</v>
      </c>
      <c r="C213" t="s">
        <v>51</v>
      </c>
      <c r="D213" s="1">
        <v>22030</v>
      </c>
      <c r="E213" s="1">
        <v>74460</v>
      </c>
      <c r="F213" s="1">
        <v>3400</v>
      </c>
      <c r="J213" t="s">
        <v>23</v>
      </c>
      <c r="K213" s="78" t="s">
        <v>37</v>
      </c>
      <c r="L213" s="1">
        <v>85000</v>
      </c>
      <c r="M213" s="1">
        <v>147500</v>
      </c>
      <c r="N213" s="1">
        <v>1735</v>
      </c>
      <c r="O213" t="s">
        <v>663</v>
      </c>
    </row>
    <row r="214" spans="1:15" x14ac:dyDescent="0.3">
      <c r="A214" t="s">
        <v>69</v>
      </c>
      <c r="B214" s="28" t="s">
        <v>18</v>
      </c>
      <c r="C214" t="s">
        <v>51</v>
      </c>
      <c r="D214" s="1">
        <v>24000</v>
      </c>
      <c r="E214" s="1">
        <v>35808</v>
      </c>
      <c r="F214" s="1">
        <v>1600</v>
      </c>
      <c r="J214" t="s">
        <v>23</v>
      </c>
      <c r="K214" s="78" t="s">
        <v>43</v>
      </c>
      <c r="L214" s="1">
        <v>61500</v>
      </c>
      <c r="M214" s="1">
        <v>100200</v>
      </c>
      <c r="N214" s="1">
        <v>1629</v>
      </c>
      <c r="O214" t="s">
        <v>664</v>
      </c>
    </row>
    <row r="215" spans="1:15" x14ac:dyDescent="0.3">
      <c r="A215" t="s">
        <v>69</v>
      </c>
      <c r="B215" s="28" t="s">
        <v>19</v>
      </c>
      <c r="C215" t="s">
        <v>51</v>
      </c>
      <c r="D215" s="1">
        <v>42860</v>
      </c>
      <c r="E215" s="1">
        <v>126262</v>
      </c>
      <c r="F215" s="1">
        <v>3019</v>
      </c>
      <c r="J215" t="s">
        <v>23</v>
      </c>
      <c r="K215" s="78" t="s">
        <v>12</v>
      </c>
      <c r="L215" s="1">
        <v>30500</v>
      </c>
      <c r="M215" s="1">
        <v>73900</v>
      </c>
      <c r="N215" s="1">
        <v>2423</v>
      </c>
      <c r="O215" t="s">
        <v>665</v>
      </c>
    </row>
    <row r="216" spans="1:15" x14ac:dyDescent="0.3">
      <c r="A216" t="s">
        <v>69</v>
      </c>
      <c r="B216" s="28" t="s">
        <v>20</v>
      </c>
      <c r="C216" t="s">
        <v>51</v>
      </c>
      <c r="D216" s="1">
        <v>17300</v>
      </c>
      <c r="E216" s="1">
        <v>52587</v>
      </c>
      <c r="F216" s="1">
        <v>3153</v>
      </c>
      <c r="J216" t="s">
        <v>23</v>
      </c>
      <c r="K216" s="78" t="s">
        <v>51</v>
      </c>
      <c r="L216" s="1">
        <v>21390</v>
      </c>
      <c r="M216" s="1">
        <v>56896</v>
      </c>
      <c r="N216" s="1">
        <v>2660</v>
      </c>
      <c r="O216" t="s">
        <v>666</v>
      </c>
    </row>
    <row r="217" spans="1:15" x14ac:dyDescent="0.3">
      <c r="A217" t="s">
        <v>69</v>
      </c>
      <c r="B217" s="28" t="s">
        <v>21</v>
      </c>
      <c r="C217" t="s">
        <v>51</v>
      </c>
      <c r="D217" s="1">
        <v>17200</v>
      </c>
      <c r="E217" s="1">
        <v>59090</v>
      </c>
      <c r="F217" s="1">
        <v>3435</v>
      </c>
      <c r="J217" t="s">
        <v>23</v>
      </c>
      <c r="K217" s="78" t="s">
        <v>33</v>
      </c>
      <c r="L217" s="1">
        <v>20200</v>
      </c>
      <c r="M217" s="1">
        <v>51795</v>
      </c>
      <c r="N217" s="1">
        <v>2564</v>
      </c>
      <c r="O217" t="s">
        <v>667</v>
      </c>
    </row>
    <row r="218" spans="1:15" x14ac:dyDescent="0.3">
      <c r="A218" t="s">
        <v>69</v>
      </c>
      <c r="B218" s="28" t="s">
        <v>22</v>
      </c>
      <c r="C218" t="s">
        <v>51</v>
      </c>
      <c r="D218" s="1">
        <v>16290</v>
      </c>
      <c r="E218" s="1">
        <v>52119</v>
      </c>
      <c r="F218" s="1">
        <v>3199</v>
      </c>
      <c r="J218" t="s">
        <v>23</v>
      </c>
      <c r="K218" s="78" t="s">
        <v>44</v>
      </c>
      <c r="L218" s="1">
        <v>15500</v>
      </c>
      <c r="M218" s="1">
        <v>23250</v>
      </c>
      <c r="N218" s="1">
        <v>1500</v>
      </c>
      <c r="O218" t="s">
        <v>668</v>
      </c>
    </row>
    <row r="219" spans="1:15" x14ac:dyDescent="0.3">
      <c r="A219" t="s">
        <v>69</v>
      </c>
      <c r="B219" s="28" t="s">
        <v>23</v>
      </c>
      <c r="C219" t="s">
        <v>51</v>
      </c>
      <c r="D219" s="1">
        <v>21390</v>
      </c>
      <c r="E219" s="1">
        <v>56896</v>
      </c>
      <c r="F219" s="1">
        <v>2660</v>
      </c>
      <c r="J219" t="s">
        <v>23</v>
      </c>
      <c r="K219" s="78" t="s">
        <v>40</v>
      </c>
      <c r="L219" s="1">
        <v>13000</v>
      </c>
      <c r="M219" s="1">
        <v>19500</v>
      </c>
      <c r="N219" s="1">
        <v>1500</v>
      </c>
      <c r="O219" t="s">
        <v>669</v>
      </c>
    </row>
    <row r="220" spans="1:15" x14ac:dyDescent="0.3">
      <c r="A220" t="s">
        <v>69</v>
      </c>
      <c r="B220" s="28" t="s">
        <v>24</v>
      </c>
      <c r="C220" t="s">
        <v>51</v>
      </c>
      <c r="D220" s="1">
        <v>10780</v>
      </c>
      <c r="E220" s="1">
        <v>27593</v>
      </c>
      <c r="F220" s="1">
        <v>2581</v>
      </c>
      <c r="J220" t="s">
        <v>23</v>
      </c>
      <c r="K220" s="78" t="s">
        <v>28</v>
      </c>
      <c r="L220" s="1">
        <v>5600</v>
      </c>
      <c r="M220" s="1">
        <v>14392</v>
      </c>
      <c r="N220" s="1">
        <v>2570</v>
      </c>
      <c r="O220" t="s">
        <v>670</v>
      </c>
    </row>
    <row r="221" spans="1:15" x14ac:dyDescent="0.3">
      <c r="A221" t="s">
        <v>69</v>
      </c>
      <c r="B221" s="28" t="s">
        <v>25</v>
      </c>
      <c r="C221" t="s">
        <v>51</v>
      </c>
      <c r="D221" s="1">
        <v>26150</v>
      </c>
      <c r="E221" s="1">
        <v>63088</v>
      </c>
      <c r="F221" s="1">
        <v>2652</v>
      </c>
      <c r="J221" t="s">
        <v>23</v>
      </c>
      <c r="K221" s="78" t="s">
        <v>36</v>
      </c>
      <c r="L221" s="1">
        <v>8000</v>
      </c>
      <c r="M221" s="1">
        <v>12000</v>
      </c>
      <c r="N221" s="1">
        <v>1500</v>
      </c>
      <c r="O221" t="s">
        <v>671</v>
      </c>
    </row>
    <row r="222" spans="1:15" x14ac:dyDescent="0.3">
      <c r="A222" t="s">
        <v>69</v>
      </c>
      <c r="B222" s="28" t="s">
        <v>15</v>
      </c>
      <c r="C222" t="s">
        <v>45</v>
      </c>
      <c r="D222" s="1">
        <v>3000</v>
      </c>
      <c r="E222" s="1">
        <v>7500</v>
      </c>
      <c r="F222" s="1">
        <v>2500</v>
      </c>
      <c r="J222" t="s">
        <v>23</v>
      </c>
      <c r="K222" s="78" t="s">
        <v>46</v>
      </c>
      <c r="L222" s="1">
        <v>8000</v>
      </c>
      <c r="M222" s="1">
        <v>12000</v>
      </c>
      <c r="N222" s="1">
        <v>1500</v>
      </c>
      <c r="O222" t="s">
        <v>672</v>
      </c>
    </row>
    <row r="223" spans="1:15" x14ac:dyDescent="0.3">
      <c r="A223" t="s">
        <v>69</v>
      </c>
      <c r="B223" s="28" t="s">
        <v>16</v>
      </c>
      <c r="C223" t="s">
        <v>45</v>
      </c>
      <c r="D223" s="1">
        <v>2000</v>
      </c>
      <c r="E223" s="1">
        <v>5400</v>
      </c>
      <c r="F223" s="1">
        <v>2700</v>
      </c>
      <c r="J223" t="s">
        <v>23</v>
      </c>
      <c r="K223" s="78" t="s">
        <v>32</v>
      </c>
      <c r="L223" s="1">
        <v>7000</v>
      </c>
      <c r="M223" s="1">
        <v>10500</v>
      </c>
      <c r="N223" s="1">
        <v>1500</v>
      </c>
      <c r="O223" t="s">
        <v>673</v>
      </c>
    </row>
    <row r="224" spans="1:15" x14ac:dyDescent="0.3">
      <c r="A224" t="s">
        <v>69</v>
      </c>
      <c r="B224" s="28" t="s">
        <v>17</v>
      </c>
      <c r="C224" t="s">
        <v>45</v>
      </c>
      <c r="D224" s="1">
        <v>3000</v>
      </c>
      <c r="E224" s="1">
        <v>10500</v>
      </c>
      <c r="F224" s="1">
        <v>3500</v>
      </c>
      <c r="J224" t="s">
        <v>23</v>
      </c>
      <c r="K224" s="78" t="s">
        <v>42</v>
      </c>
      <c r="L224" s="1">
        <v>6500</v>
      </c>
      <c r="M224" s="1">
        <v>9750</v>
      </c>
      <c r="N224" s="1">
        <v>1500</v>
      </c>
      <c r="O224" t="s">
        <v>675</v>
      </c>
    </row>
    <row r="225" spans="1:15" x14ac:dyDescent="0.3">
      <c r="A225" t="s">
        <v>69</v>
      </c>
      <c r="B225" s="28" t="s">
        <v>18</v>
      </c>
      <c r="C225" t="s">
        <v>45</v>
      </c>
      <c r="D225" s="1">
        <v>3500</v>
      </c>
      <c r="E225" s="1">
        <v>10500</v>
      </c>
      <c r="F225" s="1">
        <v>3000</v>
      </c>
      <c r="J225" t="s">
        <v>23</v>
      </c>
      <c r="K225" s="78" t="s">
        <v>29</v>
      </c>
      <c r="L225" s="1">
        <v>5000</v>
      </c>
      <c r="M225" s="1">
        <v>7500</v>
      </c>
      <c r="N225" s="1">
        <v>1500</v>
      </c>
      <c r="O225" t="s">
        <v>676</v>
      </c>
    </row>
    <row r="226" spans="1:15" x14ac:dyDescent="0.3">
      <c r="A226" t="s">
        <v>69</v>
      </c>
      <c r="B226" s="28" t="s">
        <v>19</v>
      </c>
      <c r="C226" t="s">
        <v>45</v>
      </c>
      <c r="D226" s="1">
        <v>3500</v>
      </c>
      <c r="E226" s="1">
        <v>12180</v>
      </c>
      <c r="F226" s="1">
        <v>3480</v>
      </c>
      <c r="J226" t="s">
        <v>23</v>
      </c>
      <c r="K226" s="78" t="s">
        <v>31</v>
      </c>
      <c r="L226" s="1">
        <v>5000</v>
      </c>
      <c r="M226" s="1">
        <v>7500</v>
      </c>
      <c r="N226" s="1">
        <v>1500</v>
      </c>
      <c r="O226" t="s">
        <v>677</v>
      </c>
    </row>
    <row r="227" spans="1:15" x14ac:dyDescent="0.3">
      <c r="A227" t="s">
        <v>69</v>
      </c>
      <c r="B227" s="28" t="s">
        <v>20</v>
      </c>
      <c r="C227" t="s">
        <v>45</v>
      </c>
      <c r="D227" s="1">
        <v>4000</v>
      </c>
      <c r="E227" s="1">
        <v>12000</v>
      </c>
      <c r="F227" s="1">
        <v>3000</v>
      </c>
      <c r="J227" t="s">
        <v>23</v>
      </c>
      <c r="K227" s="78" t="s">
        <v>45</v>
      </c>
      <c r="L227" s="1">
        <v>5000</v>
      </c>
      <c r="M227" s="1">
        <v>7500</v>
      </c>
      <c r="N227" s="1">
        <v>1500</v>
      </c>
      <c r="O227" t="s">
        <v>678</v>
      </c>
    </row>
    <row r="228" spans="1:15" x14ac:dyDescent="0.3">
      <c r="A228" t="s">
        <v>69</v>
      </c>
      <c r="B228" s="28" t="s">
        <v>21</v>
      </c>
      <c r="C228" t="s">
        <v>45</v>
      </c>
      <c r="D228" s="1">
        <v>4000</v>
      </c>
      <c r="E228" s="1">
        <v>12000</v>
      </c>
      <c r="F228" s="1">
        <v>3000</v>
      </c>
      <c r="J228" t="s">
        <v>23</v>
      </c>
      <c r="K228" s="78" t="s">
        <v>34</v>
      </c>
      <c r="L228" s="1">
        <v>4500</v>
      </c>
      <c r="M228" s="1">
        <v>6750</v>
      </c>
      <c r="N228" s="1">
        <v>1500</v>
      </c>
      <c r="O228" t="s">
        <v>679</v>
      </c>
    </row>
    <row r="229" spans="1:15" x14ac:dyDescent="0.3">
      <c r="A229" t="s">
        <v>69</v>
      </c>
      <c r="B229" s="28" t="s">
        <v>22</v>
      </c>
      <c r="C229" t="s">
        <v>45</v>
      </c>
      <c r="D229" s="1">
        <v>4500</v>
      </c>
      <c r="E229" s="1">
        <v>11250</v>
      </c>
      <c r="F229" s="1">
        <v>2500</v>
      </c>
      <c r="J229" t="s">
        <v>23</v>
      </c>
      <c r="K229" s="78" t="s">
        <v>48</v>
      </c>
      <c r="L229" s="1">
        <v>4000</v>
      </c>
      <c r="M229" s="1">
        <v>6000</v>
      </c>
      <c r="N229" s="1">
        <v>1500</v>
      </c>
      <c r="O229" t="s">
        <v>680</v>
      </c>
    </row>
    <row r="230" spans="1:15" x14ac:dyDescent="0.3">
      <c r="A230" t="s">
        <v>69</v>
      </c>
      <c r="B230" s="28" t="s">
        <v>23</v>
      </c>
      <c r="C230" t="s">
        <v>45</v>
      </c>
      <c r="D230" s="1">
        <v>5000</v>
      </c>
      <c r="E230" s="1">
        <v>7500</v>
      </c>
      <c r="F230" s="1">
        <v>1500</v>
      </c>
      <c r="J230" t="s">
        <v>23</v>
      </c>
      <c r="K230" s="78" t="s">
        <v>39</v>
      </c>
      <c r="L230" s="1">
        <v>3000</v>
      </c>
      <c r="M230" s="1">
        <v>4500</v>
      </c>
      <c r="N230" s="1">
        <v>1500</v>
      </c>
      <c r="O230" t="s">
        <v>681</v>
      </c>
    </row>
    <row r="231" spans="1:15" x14ac:dyDescent="0.3">
      <c r="A231" t="s">
        <v>69</v>
      </c>
      <c r="B231" s="28" t="s">
        <v>24</v>
      </c>
      <c r="C231" t="s">
        <v>45</v>
      </c>
      <c r="D231" s="1">
        <v>5000</v>
      </c>
      <c r="E231" s="1">
        <v>17436</v>
      </c>
      <c r="F231" s="1">
        <v>3492</v>
      </c>
      <c r="J231" t="s">
        <v>23</v>
      </c>
      <c r="K231" s="78" t="s">
        <v>58</v>
      </c>
      <c r="L231" s="1">
        <v>2500</v>
      </c>
      <c r="M231" s="1">
        <v>3750</v>
      </c>
      <c r="N231" s="1">
        <v>1500</v>
      </c>
      <c r="O231" t="s">
        <v>682</v>
      </c>
    </row>
    <row r="232" spans="1:15" x14ac:dyDescent="0.3">
      <c r="A232" t="s">
        <v>69</v>
      </c>
      <c r="B232" s="28" t="s">
        <v>25</v>
      </c>
      <c r="C232" t="s">
        <v>45</v>
      </c>
      <c r="D232" s="1">
        <v>5500</v>
      </c>
      <c r="E232" s="1">
        <v>15154</v>
      </c>
      <c r="F232" s="1">
        <v>2840</v>
      </c>
      <c r="J232" t="s">
        <v>23</v>
      </c>
      <c r="K232" s="78" t="s">
        <v>47</v>
      </c>
      <c r="L232" s="1">
        <v>800</v>
      </c>
      <c r="M232" s="1">
        <v>2160</v>
      </c>
      <c r="N232" s="1">
        <v>2700</v>
      </c>
      <c r="O232" t="s">
        <v>683</v>
      </c>
    </row>
    <row r="233" spans="1:15" x14ac:dyDescent="0.3">
      <c r="A233" t="s">
        <v>69</v>
      </c>
      <c r="B233" s="28" t="s">
        <v>15</v>
      </c>
      <c r="C233" t="s">
        <v>46</v>
      </c>
      <c r="D233" s="1">
        <v>2000</v>
      </c>
      <c r="E233" s="1">
        <v>5000</v>
      </c>
      <c r="F233" s="1">
        <v>2500</v>
      </c>
      <c r="J233" t="s">
        <v>23</v>
      </c>
      <c r="K233" s="78" t="s">
        <v>27</v>
      </c>
      <c r="L233" s="1">
        <v>500</v>
      </c>
      <c r="M233" s="1">
        <v>750</v>
      </c>
      <c r="N233" s="1">
        <v>1500</v>
      </c>
      <c r="O233" t="s">
        <v>684</v>
      </c>
    </row>
    <row r="234" spans="1:15" x14ac:dyDescent="0.3">
      <c r="A234" t="s">
        <v>69</v>
      </c>
      <c r="B234" s="28" t="s">
        <v>16</v>
      </c>
      <c r="C234" t="s">
        <v>46</v>
      </c>
      <c r="D234" s="1">
        <v>1500</v>
      </c>
      <c r="E234" s="1">
        <v>3600</v>
      </c>
      <c r="F234" s="1">
        <v>2400</v>
      </c>
      <c r="L234" s="1">
        <f>SUM(L208:L233)</f>
        <v>1129500</v>
      </c>
      <c r="M234" s="1">
        <f>SUM(M208:M233)</f>
        <v>2823432</v>
      </c>
    </row>
    <row r="235" spans="1:15" x14ac:dyDescent="0.3">
      <c r="A235" t="s">
        <v>69</v>
      </c>
      <c r="B235" s="28" t="s">
        <v>17</v>
      </c>
      <c r="C235" t="s">
        <v>46</v>
      </c>
      <c r="D235" s="1">
        <v>2500</v>
      </c>
      <c r="E235" s="1">
        <v>7000</v>
      </c>
      <c r="F235" s="1">
        <v>2800</v>
      </c>
      <c r="J235" s="79" t="s">
        <v>23</v>
      </c>
      <c r="K235" s="2" t="s">
        <v>595</v>
      </c>
      <c r="L235" s="3">
        <v>1129500</v>
      </c>
      <c r="M235" s="3">
        <v>2823432</v>
      </c>
      <c r="N235" s="3">
        <v>2500</v>
      </c>
    </row>
    <row r="236" spans="1:15" x14ac:dyDescent="0.3">
      <c r="A236" t="s">
        <v>69</v>
      </c>
      <c r="B236" s="28" t="s">
        <v>18</v>
      </c>
      <c r="C236" t="s">
        <v>46</v>
      </c>
      <c r="D236" s="1">
        <v>2500</v>
      </c>
      <c r="E236" s="1">
        <v>5000</v>
      </c>
      <c r="F236" s="1">
        <v>2000</v>
      </c>
      <c r="J236" s="2" t="s">
        <v>1</v>
      </c>
      <c r="K236" s="2" t="s">
        <v>3</v>
      </c>
      <c r="L236" s="3" t="s">
        <v>6</v>
      </c>
      <c r="M236" s="3" t="s">
        <v>8</v>
      </c>
      <c r="N236" s="3" t="s">
        <v>9</v>
      </c>
    </row>
    <row r="237" spans="1:15" x14ac:dyDescent="0.3">
      <c r="A237" t="s">
        <v>69</v>
      </c>
      <c r="B237" s="28" t="s">
        <v>19</v>
      </c>
      <c r="C237" t="s">
        <v>46</v>
      </c>
      <c r="D237" s="1">
        <v>2000</v>
      </c>
      <c r="E237" s="1">
        <v>5800</v>
      </c>
      <c r="F237" s="1">
        <v>2900</v>
      </c>
      <c r="J237" t="s">
        <v>24</v>
      </c>
      <c r="K237" s="78" t="s">
        <v>41</v>
      </c>
      <c r="L237" s="1">
        <v>275300</v>
      </c>
      <c r="M237" s="1">
        <v>616620</v>
      </c>
      <c r="N237" s="1">
        <v>2318</v>
      </c>
      <c r="O237" t="s">
        <v>658</v>
      </c>
    </row>
    <row r="238" spans="1:15" x14ac:dyDescent="0.3">
      <c r="A238" t="s">
        <v>69</v>
      </c>
      <c r="B238" s="28" t="s">
        <v>20</v>
      </c>
      <c r="C238" t="s">
        <v>46</v>
      </c>
      <c r="D238" s="1">
        <v>2000</v>
      </c>
      <c r="E238" s="1">
        <v>6000</v>
      </c>
      <c r="F238" s="1">
        <v>3000</v>
      </c>
      <c r="J238" t="s">
        <v>24</v>
      </c>
      <c r="K238" s="78" t="s">
        <v>35</v>
      </c>
      <c r="L238" s="1">
        <v>215400</v>
      </c>
      <c r="M238" s="1">
        <v>613265</v>
      </c>
      <c r="N238" s="1">
        <v>2860</v>
      </c>
      <c r="O238" t="s">
        <v>659</v>
      </c>
    </row>
    <row r="239" spans="1:15" x14ac:dyDescent="0.3">
      <c r="A239" t="s">
        <v>69</v>
      </c>
      <c r="B239" s="28" t="s">
        <v>21</v>
      </c>
      <c r="C239" t="s">
        <v>46</v>
      </c>
      <c r="D239" s="1">
        <v>2500</v>
      </c>
      <c r="E239" s="1">
        <v>7500</v>
      </c>
      <c r="F239" s="1">
        <v>3000</v>
      </c>
      <c r="J239" t="s">
        <v>24</v>
      </c>
      <c r="K239" s="78" t="s">
        <v>30</v>
      </c>
      <c r="L239" s="1">
        <v>135500</v>
      </c>
      <c r="M239" s="1">
        <v>388420</v>
      </c>
      <c r="N239" s="1">
        <v>2886</v>
      </c>
      <c r="O239" t="s">
        <v>660</v>
      </c>
    </row>
    <row r="240" spans="1:15" x14ac:dyDescent="0.3">
      <c r="A240" t="s">
        <v>69</v>
      </c>
      <c r="B240" s="28" t="s">
        <v>22</v>
      </c>
      <c r="C240" t="s">
        <v>46</v>
      </c>
      <c r="D240" s="1">
        <v>6000</v>
      </c>
      <c r="E240" s="1">
        <v>15000</v>
      </c>
      <c r="F240" s="1">
        <v>2500</v>
      </c>
      <c r="J240" t="s">
        <v>24</v>
      </c>
      <c r="K240" s="78" t="s">
        <v>37</v>
      </c>
      <c r="L240" s="1">
        <v>85000</v>
      </c>
      <c r="M240" s="1">
        <v>296069</v>
      </c>
      <c r="N240" s="1">
        <v>3489</v>
      </c>
      <c r="O240" t="s">
        <v>661</v>
      </c>
    </row>
    <row r="241" spans="1:15" x14ac:dyDescent="0.3">
      <c r="A241" t="s">
        <v>69</v>
      </c>
      <c r="B241" s="28" t="s">
        <v>23</v>
      </c>
      <c r="C241" t="s">
        <v>46</v>
      </c>
      <c r="D241" s="1">
        <v>8000</v>
      </c>
      <c r="E241" s="1">
        <v>12000</v>
      </c>
      <c r="F241" s="1">
        <v>1500</v>
      </c>
      <c r="J241" t="s">
        <v>24</v>
      </c>
      <c r="K241" s="78" t="s">
        <v>43</v>
      </c>
      <c r="L241" s="1">
        <v>61500</v>
      </c>
      <c r="M241" s="1">
        <v>239639</v>
      </c>
      <c r="N241" s="1">
        <v>3900</v>
      </c>
      <c r="O241" t="s">
        <v>662</v>
      </c>
    </row>
    <row r="242" spans="1:15" x14ac:dyDescent="0.3">
      <c r="A242" t="s">
        <v>69</v>
      </c>
      <c r="B242" s="28" t="s">
        <v>24</v>
      </c>
      <c r="C242" t="s">
        <v>46</v>
      </c>
      <c r="D242" s="1">
        <v>8000</v>
      </c>
      <c r="E242" s="1">
        <v>27729</v>
      </c>
      <c r="F242" s="1">
        <v>3470</v>
      </c>
      <c r="J242" t="s">
        <v>24</v>
      </c>
      <c r="K242" s="78" t="s">
        <v>38</v>
      </c>
      <c r="L242" s="1">
        <v>74500</v>
      </c>
      <c r="M242" s="1">
        <v>213076</v>
      </c>
      <c r="N242" s="1">
        <v>2879</v>
      </c>
      <c r="O242" t="s">
        <v>663</v>
      </c>
    </row>
    <row r="243" spans="1:15" x14ac:dyDescent="0.3">
      <c r="A243" t="s">
        <v>69</v>
      </c>
      <c r="B243" s="28" t="s">
        <v>25</v>
      </c>
      <c r="C243" t="s">
        <v>46</v>
      </c>
      <c r="D243" s="1">
        <v>8800</v>
      </c>
      <c r="E243" s="1">
        <v>22145</v>
      </c>
      <c r="F243" s="1">
        <v>2575</v>
      </c>
      <c r="J243" t="s">
        <v>24</v>
      </c>
      <c r="K243" s="78" t="s">
        <v>26</v>
      </c>
      <c r="L243" s="1">
        <v>117500</v>
      </c>
      <c r="M243" s="1">
        <v>199254</v>
      </c>
      <c r="N243" s="1">
        <v>1767</v>
      </c>
      <c r="O243" t="s">
        <v>664</v>
      </c>
    </row>
    <row r="244" spans="1:15" x14ac:dyDescent="0.3">
      <c r="A244" t="s">
        <v>69</v>
      </c>
      <c r="B244" s="28" t="s">
        <v>16</v>
      </c>
      <c r="C244" t="s">
        <v>47</v>
      </c>
      <c r="D244" s="1">
        <v>3000</v>
      </c>
      <c r="E244" s="1">
        <v>8700</v>
      </c>
      <c r="F244" s="1">
        <v>2900</v>
      </c>
      <c r="J244" t="s">
        <v>24</v>
      </c>
      <c r="K244" s="78" t="s">
        <v>12</v>
      </c>
      <c r="L244" s="1">
        <v>30100</v>
      </c>
      <c r="M244" s="1">
        <v>69717</v>
      </c>
      <c r="N244" s="1">
        <v>2351</v>
      </c>
      <c r="O244" t="s">
        <v>665</v>
      </c>
    </row>
    <row r="245" spans="1:15" x14ac:dyDescent="0.3">
      <c r="A245" t="s">
        <v>69</v>
      </c>
      <c r="B245" s="28" t="s">
        <v>18</v>
      </c>
      <c r="C245" t="s">
        <v>47</v>
      </c>
      <c r="D245" s="1">
        <v>500</v>
      </c>
      <c r="E245" s="1">
        <v>550</v>
      </c>
      <c r="F245" s="1">
        <v>1100</v>
      </c>
      <c r="J245" t="s">
        <v>24</v>
      </c>
      <c r="K245" s="78" t="s">
        <v>44</v>
      </c>
      <c r="L245" s="1">
        <v>15500</v>
      </c>
      <c r="M245" s="1">
        <v>53710</v>
      </c>
      <c r="N245" s="1">
        <v>3472</v>
      </c>
      <c r="O245" t="s">
        <v>666</v>
      </c>
    </row>
    <row r="246" spans="1:15" x14ac:dyDescent="0.3">
      <c r="A246" t="s">
        <v>69</v>
      </c>
      <c r="B246" s="28" t="s">
        <v>19</v>
      </c>
      <c r="C246" t="s">
        <v>47</v>
      </c>
      <c r="D246" s="1">
        <v>550</v>
      </c>
      <c r="E246" s="1">
        <v>1760</v>
      </c>
      <c r="F246" s="1">
        <v>3200</v>
      </c>
      <c r="J246" t="s">
        <v>24</v>
      </c>
      <c r="K246" s="78" t="s">
        <v>33</v>
      </c>
      <c r="L246" s="1">
        <v>22400</v>
      </c>
      <c r="M246" s="1">
        <v>50798</v>
      </c>
      <c r="N246" s="1">
        <v>2286</v>
      </c>
      <c r="O246" t="s">
        <v>667</v>
      </c>
    </row>
    <row r="247" spans="1:15" x14ac:dyDescent="0.3">
      <c r="A247" t="s">
        <v>69</v>
      </c>
      <c r="B247" s="28" t="s">
        <v>20</v>
      </c>
      <c r="C247" t="s">
        <v>47</v>
      </c>
      <c r="D247" s="1">
        <v>800</v>
      </c>
      <c r="E247" s="1">
        <v>1984</v>
      </c>
      <c r="F247" s="1">
        <v>3200</v>
      </c>
      <c r="J247" t="s">
        <v>24</v>
      </c>
      <c r="K247" s="78" t="s">
        <v>40</v>
      </c>
      <c r="L247" s="1">
        <v>13000</v>
      </c>
      <c r="M247" s="1">
        <v>48848</v>
      </c>
      <c r="N247" s="1">
        <v>3786</v>
      </c>
      <c r="O247" t="s">
        <v>668</v>
      </c>
    </row>
    <row r="248" spans="1:15" x14ac:dyDescent="0.3">
      <c r="A248" t="s">
        <v>69</v>
      </c>
      <c r="B248" s="28" t="s">
        <v>21</v>
      </c>
      <c r="C248" t="s">
        <v>47</v>
      </c>
      <c r="D248" s="1">
        <v>800</v>
      </c>
      <c r="E248" s="1">
        <v>2400</v>
      </c>
      <c r="F248" s="1">
        <v>3000</v>
      </c>
      <c r="J248" t="s">
        <v>24</v>
      </c>
      <c r="K248" s="78" t="s">
        <v>36</v>
      </c>
      <c r="L248" s="1">
        <v>10000</v>
      </c>
      <c r="M248" s="1">
        <v>32832</v>
      </c>
      <c r="N248" s="1">
        <v>3300</v>
      </c>
      <c r="O248" t="s">
        <v>669</v>
      </c>
    </row>
    <row r="249" spans="1:15" x14ac:dyDescent="0.3">
      <c r="A249" t="s">
        <v>69</v>
      </c>
      <c r="B249" s="28" t="s">
        <v>22</v>
      </c>
      <c r="C249" t="s">
        <v>47</v>
      </c>
      <c r="D249" s="1">
        <v>800</v>
      </c>
      <c r="E249" s="1">
        <v>2240</v>
      </c>
      <c r="F249" s="1">
        <v>2800</v>
      </c>
      <c r="J249" t="s">
        <v>24</v>
      </c>
      <c r="K249" s="78" t="s">
        <v>46</v>
      </c>
      <c r="L249" s="1">
        <v>8000</v>
      </c>
      <c r="M249" s="1">
        <v>27729</v>
      </c>
      <c r="N249" s="1">
        <v>3470</v>
      </c>
      <c r="O249" t="s">
        <v>670</v>
      </c>
    </row>
    <row r="250" spans="1:15" x14ac:dyDescent="0.3">
      <c r="A250" t="s">
        <v>69</v>
      </c>
      <c r="B250" s="28" t="s">
        <v>23</v>
      </c>
      <c r="C250" t="s">
        <v>47</v>
      </c>
      <c r="D250" s="1">
        <v>800</v>
      </c>
      <c r="E250" s="1">
        <v>2160</v>
      </c>
      <c r="F250" s="1">
        <v>2700</v>
      </c>
      <c r="J250" t="s">
        <v>24</v>
      </c>
      <c r="K250" s="78" t="s">
        <v>51</v>
      </c>
      <c r="L250" s="1">
        <v>10780</v>
      </c>
      <c r="M250" s="1">
        <v>27593</v>
      </c>
      <c r="N250" s="1">
        <v>2581</v>
      </c>
      <c r="O250" t="s">
        <v>671</v>
      </c>
    </row>
    <row r="251" spans="1:15" x14ac:dyDescent="0.3">
      <c r="A251" t="s">
        <v>69</v>
      </c>
      <c r="B251" s="28" t="s">
        <v>24</v>
      </c>
      <c r="C251" t="s">
        <v>47</v>
      </c>
      <c r="D251" s="1">
        <v>900</v>
      </c>
      <c r="E251" s="1">
        <v>2075</v>
      </c>
      <c r="F251" s="1">
        <v>2500</v>
      </c>
      <c r="J251" t="s">
        <v>24</v>
      </c>
      <c r="K251" s="78" t="s">
        <v>42</v>
      </c>
      <c r="L251" s="1">
        <v>6500</v>
      </c>
      <c r="M251" s="1">
        <v>22733</v>
      </c>
      <c r="N251" s="1">
        <v>3500</v>
      </c>
      <c r="O251" t="s">
        <v>672</v>
      </c>
    </row>
    <row r="252" spans="1:15" x14ac:dyDescent="0.3">
      <c r="A252" t="s">
        <v>69</v>
      </c>
      <c r="B252" s="28" t="s">
        <v>25</v>
      </c>
      <c r="C252" t="s">
        <v>47</v>
      </c>
      <c r="D252" s="1">
        <v>1040</v>
      </c>
      <c r="E252" s="1">
        <v>544</v>
      </c>
      <c r="F252" s="1">
        <v>1700</v>
      </c>
      <c r="J252" t="s">
        <v>24</v>
      </c>
      <c r="K252" s="78" t="s">
        <v>32</v>
      </c>
      <c r="L252" s="1">
        <v>7000</v>
      </c>
      <c r="M252" s="1">
        <v>21429</v>
      </c>
      <c r="N252" s="1">
        <v>3066</v>
      </c>
      <c r="O252" t="s">
        <v>673</v>
      </c>
    </row>
    <row r="253" spans="1:15" x14ac:dyDescent="0.3">
      <c r="A253" t="s">
        <v>69</v>
      </c>
      <c r="B253" s="28" t="s">
        <v>15</v>
      </c>
      <c r="C253" t="s">
        <v>48</v>
      </c>
      <c r="D253" s="1">
        <v>3500</v>
      </c>
      <c r="E253" s="1">
        <v>8750</v>
      </c>
      <c r="F253" s="1">
        <v>2500</v>
      </c>
      <c r="J253" t="s">
        <v>24</v>
      </c>
      <c r="K253" s="78" t="s">
        <v>45</v>
      </c>
      <c r="L253" s="1">
        <v>5000</v>
      </c>
      <c r="M253" s="1">
        <v>17436</v>
      </c>
      <c r="N253" s="1">
        <v>3492</v>
      </c>
      <c r="O253" t="s">
        <v>675</v>
      </c>
    </row>
    <row r="254" spans="1:15" x14ac:dyDescent="0.3">
      <c r="A254" t="s">
        <v>69</v>
      </c>
      <c r="B254" s="28" t="s">
        <v>17</v>
      </c>
      <c r="C254" t="s">
        <v>48</v>
      </c>
      <c r="D254" s="1">
        <v>3500</v>
      </c>
      <c r="E254" s="1">
        <v>12250</v>
      </c>
      <c r="F254" s="1">
        <v>3500</v>
      </c>
      <c r="J254" t="s">
        <v>24</v>
      </c>
      <c r="K254" s="78" t="s">
        <v>31</v>
      </c>
      <c r="L254" s="1">
        <v>5000</v>
      </c>
      <c r="M254" s="1">
        <v>15162</v>
      </c>
      <c r="N254" s="1">
        <v>3038</v>
      </c>
      <c r="O254" t="s">
        <v>676</v>
      </c>
    </row>
    <row r="255" spans="1:15" x14ac:dyDescent="0.3">
      <c r="A255" t="s">
        <v>69</v>
      </c>
      <c r="B255" s="28" t="s">
        <v>18</v>
      </c>
      <c r="C255" t="s">
        <v>48</v>
      </c>
      <c r="D255" s="1">
        <v>4000</v>
      </c>
      <c r="E255" s="1">
        <v>12000</v>
      </c>
      <c r="F255" s="1">
        <v>3000</v>
      </c>
      <c r="J255" t="s">
        <v>24</v>
      </c>
      <c r="K255" s="78" t="s">
        <v>29</v>
      </c>
      <c r="L255" s="1">
        <v>5000</v>
      </c>
      <c r="M255" s="1">
        <v>15048</v>
      </c>
      <c r="N255" s="1">
        <v>3010</v>
      </c>
      <c r="O255" t="s">
        <v>677</v>
      </c>
    </row>
    <row r="256" spans="1:15" x14ac:dyDescent="0.3">
      <c r="A256" t="s">
        <v>69</v>
      </c>
      <c r="B256" s="28" t="s">
        <v>19</v>
      </c>
      <c r="C256" t="s">
        <v>48</v>
      </c>
      <c r="D256" s="1">
        <v>4000</v>
      </c>
      <c r="E256" s="1">
        <v>14000</v>
      </c>
      <c r="F256" s="1">
        <v>3500</v>
      </c>
      <c r="J256" t="s">
        <v>24</v>
      </c>
      <c r="K256" s="78" t="s">
        <v>48</v>
      </c>
      <c r="L256" s="1">
        <v>4000</v>
      </c>
      <c r="M256" s="1">
        <v>13979</v>
      </c>
      <c r="N256" s="1">
        <v>3500</v>
      </c>
      <c r="O256" t="s">
        <v>678</v>
      </c>
    </row>
    <row r="257" spans="1:15" x14ac:dyDescent="0.3">
      <c r="A257" t="s">
        <v>69</v>
      </c>
      <c r="B257" s="28" t="s">
        <v>20</v>
      </c>
      <c r="C257" t="s">
        <v>48</v>
      </c>
      <c r="D257" s="1">
        <v>4000</v>
      </c>
      <c r="E257" s="1">
        <v>12000</v>
      </c>
      <c r="F257" s="1">
        <v>3000</v>
      </c>
      <c r="J257" t="s">
        <v>24</v>
      </c>
      <c r="K257" s="78" t="s">
        <v>34</v>
      </c>
      <c r="L257" s="1">
        <v>4500</v>
      </c>
      <c r="M257" s="1">
        <v>13608</v>
      </c>
      <c r="N257" s="1">
        <v>3044</v>
      </c>
      <c r="O257" t="s">
        <v>679</v>
      </c>
    </row>
    <row r="258" spans="1:15" x14ac:dyDescent="0.3">
      <c r="A258" t="s">
        <v>69</v>
      </c>
      <c r="B258" s="28" t="s">
        <v>21</v>
      </c>
      <c r="C258" t="s">
        <v>48</v>
      </c>
      <c r="D258" s="1">
        <v>4000</v>
      </c>
      <c r="E258" s="1">
        <v>12000</v>
      </c>
      <c r="F258" s="1">
        <v>3000</v>
      </c>
      <c r="J258" t="s">
        <v>24</v>
      </c>
      <c r="K258" s="78" t="s">
        <v>28</v>
      </c>
      <c r="L258" s="1">
        <v>4800</v>
      </c>
      <c r="M258" s="1">
        <v>11326</v>
      </c>
      <c r="N258" s="1">
        <v>2420</v>
      </c>
      <c r="O258" t="s">
        <v>680</v>
      </c>
    </row>
    <row r="259" spans="1:15" x14ac:dyDescent="0.3">
      <c r="A259" t="s">
        <v>69</v>
      </c>
      <c r="B259" s="28" t="s">
        <v>22</v>
      </c>
      <c r="C259" t="s">
        <v>48</v>
      </c>
      <c r="D259" s="1">
        <v>4000</v>
      </c>
      <c r="E259" s="1">
        <v>10000</v>
      </c>
      <c r="F259" s="1">
        <v>2500</v>
      </c>
      <c r="J259" t="s">
        <v>24</v>
      </c>
      <c r="K259" s="78" t="s">
        <v>39</v>
      </c>
      <c r="L259" s="1">
        <v>3000</v>
      </c>
      <c r="M259" s="1">
        <v>10348</v>
      </c>
      <c r="N259" s="1">
        <v>3514</v>
      </c>
      <c r="O259" t="s">
        <v>681</v>
      </c>
    </row>
    <row r="260" spans="1:15" x14ac:dyDescent="0.3">
      <c r="A260" t="s">
        <v>69</v>
      </c>
      <c r="B260" s="28" t="s">
        <v>23</v>
      </c>
      <c r="C260" t="s">
        <v>48</v>
      </c>
      <c r="D260" s="1">
        <v>4000</v>
      </c>
      <c r="E260" s="1">
        <v>6000</v>
      </c>
      <c r="F260" s="1">
        <v>1500</v>
      </c>
      <c r="J260" t="s">
        <v>24</v>
      </c>
      <c r="K260" s="78" t="s">
        <v>58</v>
      </c>
      <c r="L260" s="1">
        <v>2500</v>
      </c>
      <c r="M260" s="1">
        <v>8740</v>
      </c>
      <c r="N260" s="1">
        <v>3500</v>
      </c>
      <c r="O260" t="s">
        <v>682</v>
      </c>
    </row>
    <row r="261" spans="1:15" x14ac:dyDescent="0.3">
      <c r="A261" t="s">
        <v>69</v>
      </c>
      <c r="B261" s="28" t="s">
        <v>24</v>
      </c>
      <c r="C261" t="s">
        <v>48</v>
      </c>
      <c r="D261" s="1">
        <v>4000</v>
      </c>
      <c r="E261" s="1">
        <v>13979</v>
      </c>
      <c r="F261" s="1">
        <v>3500</v>
      </c>
      <c r="J261" t="s">
        <v>24</v>
      </c>
      <c r="K261" s="78" t="s">
        <v>47</v>
      </c>
      <c r="L261" s="1">
        <v>900</v>
      </c>
      <c r="M261" s="1">
        <v>2075</v>
      </c>
      <c r="N261" s="1">
        <v>2500</v>
      </c>
      <c r="O261" t="s">
        <v>683</v>
      </c>
    </row>
    <row r="262" spans="1:15" x14ac:dyDescent="0.3">
      <c r="A262" t="s">
        <v>69</v>
      </c>
      <c r="B262" s="28" t="s">
        <v>25</v>
      </c>
      <c r="C262" t="s">
        <v>48</v>
      </c>
      <c r="D262" s="1">
        <v>4400</v>
      </c>
      <c r="E262" s="1">
        <v>9256</v>
      </c>
      <c r="F262" s="1">
        <v>2163</v>
      </c>
      <c r="J262" t="s">
        <v>24</v>
      </c>
      <c r="K262" s="78" t="s">
        <v>27</v>
      </c>
      <c r="L262" s="1">
        <v>500</v>
      </c>
      <c r="M262" s="1">
        <v>1520</v>
      </c>
      <c r="N262" s="1">
        <v>3040</v>
      </c>
      <c r="O262" t="s">
        <v>684</v>
      </c>
    </row>
    <row r="263" spans="1:15" x14ac:dyDescent="0.3">
      <c r="A263" t="s">
        <v>69</v>
      </c>
      <c r="B263" s="28" t="s">
        <v>14</v>
      </c>
      <c r="C263" t="s">
        <v>595</v>
      </c>
      <c r="D263" s="1">
        <v>970350</v>
      </c>
      <c r="E263" s="1">
        <v>2737945</v>
      </c>
      <c r="F263" s="1">
        <v>2822</v>
      </c>
      <c r="L263" s="1">
        <f>SUM(L237:L262)</f>
        <v>1123180</v>
      </c>
      <c r="M263" s="1">
        <f>SUM(M237:M262)</f>
        <v>3030974</v>
      </c>
    </row>
    <row r="264" spans="1:15" x14ac:dyDescent="0.3">
      <c r="A264" t="s">
        <v>69</v>
      </c>
      <c r="B264" s="28" t="s">
        <v>15</v>
      </c>
      <c r="C264" t="s">
        <v>595</v>
      </c>
      <c r="D264" s="1">
        <v>869000</v>
      </c>
      <c r="E264" s="1">
        <v>1915310</v>
      </c>
      <c r="F264" s="1">
        <v>2460</v>
      </c>
      <c r="J264" s="79" t="s">
        <v>24</v>
      </c>
      <c r="K264" s="2" t="s">
        <v>595</v>
      </c>
      <c r="L264" s="3">
        <v>1123180</v>
      </c>
      <c r="M264" s="3">
        <v>3030971</v>
      </c>
      <c r="N264" s="3">
        <v>2742</v>
      </c>
    </row>
    <row r="265" spans="1:15" x14ac:dyDescent="0.3">
      <c r="A265" t="s">
        <v>69</v>
      </c>
      <c r="B265" s="28" t="s">
        <v>16</v>
      </c>
      <c r="C265" t="s">
        <v>595</v>
      </c>
      <c r="D265" s="1">
        <v>980572</v>
      </c>
      <c r="E265" s="1">
        <v>2498134</v>
      </c>
      <c r="F265" s="1">
        <v>2653</v>
      </c>
      <c r="J265" s="2" t="s">
        <v>1</v>
      </c>
      <c r="K265" s="2" t="s">
        <v>3</v>
      </c>
      <c r="L265" s="3" t="s">
        <v>6</v>
      </c>
      <c r="M265" s="3" t="s">
        <v>8</v>
      </c>
      <c r="N265" s="3" t="s">
        <v>9</v>
      </c>
    </row>
    <row r="266" spans="1:15" x14ac:dyDescent="0.3">
      <c r="A266" t="s">
        <v>69</v>
      </c>
      <c r="B266" s="28" t="s">
        <v>17</v>
      </c>
      <c r="C266" t="s">
        <v>595</v>
      </c>
      <c r="D266" s="1">
        <v>871840</v>
      </c>
      <c r="E266" s="1">
        <v>3159862</v>
      </c>
      <c r="F266" s="1">
        <v>3650</v>
      </c>
      <c r="J266" t="s">
        <v>25</v>
      </c>
      <c r="K266" s="78" t="s">
        <v>35</v>
      </c>
      <c r="L266" s="1">
        <v>261150</v>
      </c>
      <c r="M266" s="1">
        <v>822003</v>
      </c>
      <c r="N266" s="1">
        <v>3273</v>
      </c>
      <c r="O266" t="s">
        <v>658</v>
      </c>
    </row>
    <row r="267" spans="1:15" x14ac:dyDescent="0.3">
      <c r="A267" t="s">
        <v>69</v>
      </c>
      <c r="B267" s="28" t="s">
        <v>18</v>
      </c>
      <c r="C267" t="s">
        <v>595</v>
      </c>
      <c r="D267" s="1">
        <v>894290</v>
      </c>
      <c r="E267" s="1">
        <v>2353796</v>
      </c>
      <c r="F267" s="1">
        <v>2653</v>
      </c>
      <c r="J267" t="s">
        <v>25</v>
      </c>
      <c r="K267" s="78" t="s">
        <v>30</v>
      </c>
      <c r="L267" s="1">
        <v>158000</v>
      </c>
      <c r="M267" s="1">
        <v>493145</v>
      </c>
      <c r="N267" s="1">
        <v>3283</v>
      </c>
      <c r="O267" t="s">
        <v>659</v>
      </c>
    </row>
    <row r="268" spans="1:15" x14ac:dyDescent="0.3">
      <c r="A268" t="s">
        <v>69</v>
      </c>
      <c r="B268" s="28" t="s">
        <v>19</v>
      </c>
      <c r="C268" t="s">
        <v>595</v>
      </c>
      <c r="D268" s="1">
        <v>1028772</v>
      </c>
      <c r="E268" s="1">
        <v>3142543</v>
      </c>
      <c r="F268" s="1">
        <v>3208</v>
      </c>
      <c r="J268" t="s">
        <v>25</v>
      </c>
      <c r="K268" s="78" t="s">
        <v>41</v>
      </c>
      <c r="L268" s="1">
        <v>355400</v>
      </c>
      <c r="M268" s="1">
        <v>310223</v>
      </c>
      <c r="N268" s="1">
        <v>1134</v>
      </c>
      <c r="O268" t="s">
        <v>660</v>
      </c>
    </row>
    <row r="269" spans="1:15" x14ac:dyDescent="0.3">
      <c r="A269" t="s">
        <v>69</v>
      </c>
      <c r="B269" s="28" t="s">
        <v>20</v>
      </c>
      <c r="C269" t="s">
        <v>595</v>
      </c>
      <c r="D269" s="1">
        <v>1057280</v>
      </c>
      <c r="E269" s="1">
        <v>3377967</v>
      </c>
      <c r="F269" s="1">
        <v>3212</v>
      </c>
      <c r="J269" t="s">
        <v>25</v>
      </c>
      <c r="K269" s="78" t="s">
        <v>37</v>
      </c>
      <c r="L269" s="1">
        <v>93500</v>
      </c>
      <c r="M269" s="1">
        <v>261510</v>
      </c>
      <c r="N269" s="1">
        <v>2806</v>
      </c>
      <c r="O269" t="s">
        <v>661</v>
      </c>
    </row>
    <row r="270" spans="1:15" x14ac:dyDescent="0.3">
      <c r="A270" t="s">
        <v>69</v>
      </c>
      <c r="B270" s="28" t="s">
        <v>21</v>
      </c>
      <c r="C270" t="s">
        <v>595</v>
      </c>
      <c r="D270" s="1">
        <v>1078150</v>
      </c>
      <c r="E270" s="1">
        <v>3603230</v>
      </c>
      <c r="F270" s="1">
        <v>3342</v>
      </c>
      <c r="J270" t="s">
        <v>25</v>
      </c>
      <c r="K270" s="78" t="s">
        <v>38</v>
      </c>
      <c r="L270" s="1">
        <v>95500</v>
      </c>
      <c r="M270" s="1">
        <v>206100</v>
      </c>
      <c r="N270" s="1">
        <v>2314</v>
      </c>
      <c r="O270" t="s">
        <v>662</v>
      </c>
    </row>
    <row r="271" spans="1:15" x14ac:dyDescent="0.3">
      <c r="A271" t="s">
        <v>69</v>
      </c>
      <c r="B271" s="28" t="s">
        <v>22</v>
      </c>
      <c r="C271" t="s">
        <v>595</v>
      </c>
      <c r="D271" s="1">
        <v>1078120</v>
      </c>
      <c r="E271" s="1">
        <v>3340985</v>
      </c>
      <c r="F271" s="1">
        <v>3099</v>
      </c>
      <c r="J271" t="s">
        <v>25</v>
      </c>
      <c r="K271" s="78" t="s">
        <v>43</v>
      </c>
      <c r="L271" s="1">
        <v>67650</v>
      </c>
      <c r="M271" s="1">
        <v>188308</v>
      </c>
      <c r="N271" s="1">
        <v>2796</v>
      </c>
      <c r="O271" t="s">
        <v>663</v>
      </c>
    </row>
    <row r="272" spans="1:15" x14ac:dyDescent="0.3">
      <c r="A272" t="s">
        <v>69</v>
      </c>
      <c r="B272" s="28" t="s">
        <v>23</v>
      </c>
      <c r="C272" t="s">
        <v>595</v>
      </c>
      <c r="D272" s="1">
        <v>1129500</v>
      </c>
      <c r="E272" s="1">
        <v>2823432</v>
      </c>
      <c r="F272" s="1">
        <v>2500</v>
      </c>
      <c r="J272" t="s">
        <v>25</v>
      </c>
      <c r="K272" s="78" t="s">
        <v>44</v>
      </c>
      <c r="L272" s="1">
        <v>61600</v>
      </c>
      <c r="M272" s="1">
        <v>161035</v>
      </c>
      <c r="N272" s="1">
        <v>2623</v>
      </c>
      <c r="O272" t="s">
        <v>664</v>
      </c>
    </row>
    <row r="273" spans="1:15" x14ac:dyDescent="0.3">
      <c r="A273" t="s">
        <v>69</v>
      </c>
      <c r="B273" s="28" t="s">
        <v>24</v>
      </c>
      <c r="C273" t="s">
        <v>595</v>
      </c>
      <c r="D273" s="1">
        <v>1123180</v>
      </c>
      <c r="E273" s="1">
        <v>3030971</v>
      </c>
      <c r="F273" s="1">
        <v>2742</v>
      </c>
      <c r="J273" t="s">
        <v>25</v>
      </c>
      <c r="K273" s="78" t="s">
        <v>12</v>
      </c>
      <c r="L273" s="1">
        <v>38300</v>
      </c>
      <c r="M273" s="1">
        <v>87062</v>
      </c>
      <c r="N273" s="1">
        <v>2368</v>
      </c>
      <c r="O273" t="s">
        <v>665</v>
      </c>
    </row>
    <row r="274" spans="1:15" x14ac:dyDescent="0.3">
      <c r="A274" t="s">
        <v>69</v>
      </c>
      <c r="B274" s="28" t="s">
        <v>25</v>
      </c>
      <c r="C274" t="s">
        <v>595</v>
      </c>
      <c r="D274" s="1">
        <v>1415045</v>
      </c>
      <c r="E274" s="1">
        <v>2895233</v>
      </c>
      <c r="F274" s="1">
        <v>2307</v>
      </c>
      <c r="J274" t="s">
        <v>25</v>
      </c>
      <c r="K274" s="78" t="s">
        <v>26</v>
      </c>
      <c r="L274" s="1">
        <v>143930</v>
      </c>
      <c r="M274" s="1">
        <v>72538</v>
      </c>
      <c r="N274" s="1">
        <v>700</v>
      </c>
      <c r="O274" t="s">
        <v>666</v>
      </c>
    </row>
    <row r="275" spans="1:15" x14ac:dyDescent="0.3">
      <c r="J275" t="s">
        <v>25</v>
      </c>
      <c r="K275" s="78" t="s">
        <v>51</v>
      </c>
      <c r="L275" s="1">
        <v>26150</v>
      </c>
      <c r="M275" s="1">
        <v>63088</v>
      </c>
      <c r="N275" s="1">
        <v>2652</v>
      </c>
      <c r="O275" t="s">
        <v>667</v>
      </c>
    </row>
    <row r="276" spans="1:15" x14ac:dyDescent="0.3">
      <c r="J276" t="s">
        <v>25</v>
      </c>
      <c r="K276" s="78" t="s">
        <v>40</v>
      </c>
      <c r="L276" s="1">
        <v>14300</v>
      </c>
      <c r="M276" s="1">
        <v>35150</v>
      </c>
      <c r="N276" s="1">
        <v>2500</v>
      </c>
      <c r="O276" t="s">
        <v>668</v>
      </c>
    </row>
    <row r="277" spans="1:15" x14ac:dyDescent="0.3">
      <c r="J277" t="s">
        <v>25</v>
      </c>
      <c r="K277" s="78" t="s">
        <v>36</v>
      </c>
      <c r="L277" s="1">
        <v>8800</v>
      </c>
      <c r="M277" s="1">
        <v>23313</v>
      </c>
      <c r="N277" s="1">
        <v>2700</v>
      </c>
      <c r="O277" t="s">
        <v>669</v>
      </c>
    </row>
    <row r="278" spans="1:15" x14ac:dyDescent="0.3">
      <c r="J278" t="s">
        <v>25</v>
      </c>
      <c r="K278" s="78" t="s">
        <v>46</v>
      </c>
      <c r="L278" s="1">
        <v>8800</v>
      </c>
      <c r="M278" s="1">
        <v>22145</v>
      </c>
      <c r="N278" s="1">
        <v>2575</v>
      </c>
      <c r="O278" t="s">
        <v>670</v>
      </c>
    </row>
    <row r="279" spans="1:15" x14ac:dyDescent="0.3">
      <c r="J279" t="s">
        <v>25</v>
      </c>
      <c r="K279" s="78" t="s">
        <v>33</v>
      </c>
      <c r="L279" s="1">
        <v>26650</v>
      </c>
      <c r="M279" s="1">
        <v>22052</v>
      </c>
      <c r="N279" s="1">
        <v>1095</v>
      </c>
      <c r="O279" t="s">
        <v>671</v>
      </c>
    </row>
    <row r="280" spans="1:15" x14ac:dyDescent="0.3">
      <c r="J280" t="s">
        <v>25</v>
      </c>
      <c r="K280" s="78" t="s">
        <v>32</v>
      </c>
      <c r="L280" s="1">
        <v>8100</v>
      </c>
      <c r="M280" s="1">
        <v>18561</v>
      </c>
      <c r="N280" s="1">
        <v>2329</v>
      </c>
      <c r="O280" t="s">
        <v>672</v>
      </c>
    </row>
    <row r="281" spans="1:15" x14ac:dyDescent="0.3">
      <c r="J281" t="s">
        <v>25</v>
      </c>
      <c r="K281" s="78" t="s">
        <v>42</v>
      </c>
      <c r="L281" s="1">
        <v>7150</v>
      </c>
      <c r="M281" s="1">
        <v>17625</v>
      </c>
      <c r="N281" s="1">
        <v>2500</v>
      </c>
      <c r="O281" t="s">
        <v>673</v>
      </c>
    </row>
    <row r="282" spans="1:15" x14ac:dyDescent="0.3">
      <c r="J282" t="s">
        <v>25</v>
      </c>
      <c r="K282" s="78" t="s">
        <v>29</v>
      </c>
      <c r="L282" s="1">
        <v>5800</v>
      </c>
      <c r="M282" s="1">
        <v>15187</v>
      </c>
      <c r="N282" s="1">
        <v>2657</v>
      </c>
      <c r="O282" t="s">
        <v>675</v>
      </c>
    </row>
    <row r="283" spans="1:15" x14ac:dyDescent="0.3">
      <c r="J283" t="s">
        <v>25</v>
      </c>
      <c r="K283" s="78" t="s">
        <v>45</v>
      </c>
      <c r="L283" s="1">
        <v>5500</v>
      </c>
      <c r="M283" s="1">
        <v>15154</v>
      </c>
      <c r="N283" s="1">
        <v>2840</v>
      </c>
      <c r="O283" t="s">
        <v>676</v>
      </c>
    </row>
    <row r="284" spans="1:15" x14ac:dyDescent="0.3">
      <c r="J284" t="s">
        <v>25</v>
      </c>
      <c r="K284" s="78" t="s">
        <v>31</v>
      </c>
      <c r="L284" s="1">
        <v>5800</v>
      </c>
      <c r="M284" s="1">
        <v>13244</v>
      </c>
      <c r="N284" s="1">
        <v>2340</v>
      </c>
      <c r="O284" t="s">
        <v>677</v>
      </c>
    </row>
    <row r="285" spans="1:15" x14ac:dyDescent="0.3">
      <c r="J285" t="s">
        <v>25</v>
      </c>
      <c r="K285" s="78" t="s">
        <v>34</v>
      </c>
      <c r="L285" s="1">
        <v>4950</v>
      </c>
      <c r="M285" s="1">
        <v>11040</v>
      </c>
      <c r="N285" s="1">
        <v>2300</v>
      </c>
      <c r="O285" t="s">
        <v>678</v>
      </c>
    </row>
    <row r="286" spans="1:15" x14ac:dyDescent="0.3">
      <c r="J286" t="s">
        <v>25</v>
      </c>
      <c r="K286" s="78" t="s">
        <v>28</v>
      </c>
      <c r="L286" s="1">
        <v>5850</v>
      </c>
      <c r="M286" s="1">
        <v>10152</v>
      </c>
      <c r="N286" s="1">
        <v>1800</v>
      </c>
      <c r="O286" t="s">
        <v>679</v>
      </c>
    </row>
    <row r="287" spans="1:15" x14ac:dyDescent="0.3">
      <c r="J287" t="s">
        <v>25</v>
      </c>
      <c r="K287" s="78" t="s">
        <v>48</v>
      </c>
      <c r="L287" s="1">
        <v>4400</v>
      </c>
      <c r="M287" s="1">
        <v>9256</v>
      </c>
      <c r="N287" s="1">
        <v>2163</v>
      </c>
      <c r="O287" t="s">
        <v>680</v>
      </c>
    </row>
    <row r="288" spans="1:15" x14ac:dyDescent="0.3">
      <c r="J288" t="s">
        <v>25</v>
      </c>
      <c r="K288" s="78" t="s">
        <v>39</v>
      </c>
      <c r="L288" s="1">
        <v>3400</v>
      </c>
      <c r="M288" s="1">
        <v>8867</v>
      </c>
      <c r="N288" s="1">
        <v>2695</v>
      </c>
      <c r="O288" t="s">
        <v>681</v>
      </c>
    </row>
    <row r="289" spans="10:16" x14ac:dyDescent="0.3">
      <c r="J289" t="s">
        <v>25</v>
      </c>
      <c r="K289" s="78" t="s">
        <v>58</v>
      </c>
      <c r="L289" s="1">
        <v>2750</v>
      </c>
      <c r="M289" s="1">
        <v>6745</v>
      </c>
      <c r="N289" s="1">
        <v>2500</v>
      </c>
      <c r="O289" t="s">
        <v>682</v>
      </c>
    </row>
    <row r="290" spans="10:16" x14ac:dyDescent="0.3">
      <c r="J290" t="s">
        <v>25</v>
      </c>
      <c r="K290" s="78" t="s">
        <v>27</v>
      </c>
      <c r="L290" s="1">
        <v>575</v>
      </c>
      <c r="M290" s="1">
        <v>1188</v>
      </c>
      <c r="N290" s="1">
        <v>2200</v>
      </c>
      <c r="O290" t="s">
        <v>683</v>
      </c>
    </row>
    <row r="291" spans="10:16" x14ac:dyDescent="0.3">
      <c r="J291" t="s">
        <v>25</v>
      </c>
      <c r="K291" s="78" t="s">
        <v>47</v>
      </c>
      <c r="L291" s="1">
        <v>1040</v>
      </c>
      <c r="M291" s="1">
        <v>544</v>
      </c>
      <c r="N291" s="1">
        <v>1700</v>
      </c>
      <c r="O291" t="s">
        <v>684</v>
      </c>
    </row>
    <row r="292" spans="10:16" x14ac:dyDescent="0.3">
      <c r="L292" s="1">
        <f>SUM(L266:L291)</f>
        <v>1415045</v>
      </c>
      <c r="M292" s="1">
        <f>SUM(M266:M291)</f>
        <v>2895235</v>
      </c>
    </row>
    <row r="293" spans="10:16" x14ac:dyDescent="0.3">
      <c r="J293" s="79" t="s">
        <v>25</v>
      </c>
      <c r="K293" s="2" t="s">
        <v>595</v>
      </c>
      <c r="L293" s="3">
        <v>1415045</v>
      </c>
      <c r="M293" s="3">
        <v>2895233</v>
      </c>
      <c r="N293" s="3">
        <v>2307</v>
      </c>
    </row>
    <row r="297" spans="10:16" x14ac:dyDescent="0.3">
      <c r="J297" s="5" t="s">
        <v>655</v>
      </c>
    </row>
    <row r="298" spans="10:16" x14ac:dyDescent="0.3">
      <c r="L298" t="s">
        <v>23</v>
      </c>
      <c r="M298" t="s">
        <v>24</v>
      </c>
      <c r="N298" t="s">
        <v>25</v>
      </c>
      <c r="O298" t="s">
        <v>656</v>
      </c>
      <c r="P298" t="s">
        <v>657</v>
      </c>
    </row>
    <row r="299" spans="10:16" x14ac:dyDescent="0.3">
      <c r="K299" s="78" t="s">
        <v>30</v>
      </c>
      <c r="L299" s="1">
        <v>2743</v>
      </c>
      <c r="M299" s="1">
        <v>2886</v>
      </c>
      <c r="N299" s="1">
        <v>3283</v>
      </c>
      <c r="O299" s="3">
        <v>2970.6666666666665</v>
      </c>
      <c r="P299" t="s">
        <v>658</v>
      </c>
    </row>
    <row r="300" spans="10:16" x14ac:dyDescent="0.3">
      <c r="K300" s="78" t="s">
        <v>35</v>
      </c>
      <c r="L300" s="1">
        <v>2601</v>
      </c>
      <c r="M300" s="1">
        <v>2860</v>
      </c>
      <c r="N300" s="1">
        <v>3273</v>
      </c>
      <c r="O300" s="3">
        <v>2911.3333333333335</v>
      </c>
      <c r="P300" t="s">
        <v>659</v>
      </c>
    </row>
    <row r="301" spans="10:16" x14ac:dyDescent="0.3">
      <c r="K301" s="78" t="s">
        <v>43</v>
      </c>
      <c r="L301" s="1">
        <v>1629</v>
      </c>
      <c r="M301" s="1">
        <v>3900</v>
      </c>
      <c r="N301" s="1">
        <v>2796</v>
      </c>
      <c r="O301" s="3">
        <v>2775</v>
      </c>
      <c r="P301" t="s">
        <v>660</v>
      </c>
    </row>
    <row r="302" spans="10:16" x14ac:dyDescent="0.3">
      <c r="K302" s="78" t="s">
        <v>37</v>
      </c>
      <c r="L302" s="1">
        <v>1735</v>
      </c>
      <c r="M302" s="1">
        <v>3489</v>
      </c>
      <c r="N302" s="1">
        <v>2806</v>
      </c>
      <c r="O302" s="3">
        <v>2676.6666666666665</v>
      </c>
      <c r="P302" t="s">
        <v>661</v>
      </c>
    </row>
    <row r="303" spans="10:16" x14ac:dyDescent="0.3">
      <c r="K303" s="78" t="s">
        <v>38</v>
      </c>
      <c r="L303" s="1">
        <v>2764</v>
      </c>
      <c r="M303" s="1">
        <v>2879</v>
      </c>
      <c r="N303" s="1">
        <v>2314</v>
      </c>
      <c r="O303" s="3">
        <v>2652.3333333333335</v>
      </c>
      <c r="P303" t="s">
        <v>662</v>
      </c>
    </row>
    <row r="304" spans="10:16" x14ac:dyDescent="0.3">
      <c r="K304" s="78" t="s">
        <v>51</v>
      </c>
      <c r="L304" s="1">
        <v>2660</v>
      </c>
      <c r="M304" s="1">
        <v>2581</v>
      </c>
      <c r="N304" s="1">
        <v>2652</v>
      </c>
      <c r="O304" s="3">
        <v>2631</v>
      </c>
      <c r="P304" t="s">
        <v>663</v>
      </c>
    </row>
    <row r="305" spans="11:16" x14ac:dyDescent="0.3">
      <c r="K305" s="78" t="s">
        <v>45</v>
      </c>
      <c r="L305" s="1">
        <v>1500</v>
      </c>
      <c r="M305" s="1">
        <v>3492</v>
      </c>
      <c r="N305" s="1">
        <v>2840</v>
      </c>
      <c r="O305" s="3">
        <v>2610.6666666666665</v>
      </c>
      <c r="P305" t="s">
        <v>664</v>
      </c>
    </row>
    <row r="306" spans="11:16" x14ac:dyDescent="0.3">
      <c r="K306" s="78" t="s">
        <v>40</v>
      </c>
      <c r="L306" s="1">
        <v>1500</v>
      </c>
      <c r="M306" s="1">
        <v>3786</v>
      </c>
      <c r="N306" s="1">
        <v>2500</v>
      </c>
      <c r="O306" s="3">
        <v>2595.3333333333335</v>
      </c>
      <c r="P306" t="s">
        <v>665</v>
      </c>
    </row>
    <row r="307" spans="11:16" x14ac:dyDescent="0.3">
      <c r="K307" s="78" t="s">
        <v>39</v>
      </c>
      <c r="L307" s="1">
        <v>1500</v>
      </c>
      <c r="M307" s="1">
        <v>3514</v>
      </c>
      <c r="N307" s="1">
        <v>2695</v>
      </c>
      <c r="O307" s="3">
        <v>2569.6666666666665</v>
      </c>
      <c r="P307" t="s">
        <v>666</v>
      </c>
    </row>
    <row r="308" spans="11:16" x14ac:dyDescent="0.3">
      <c r="K308" s="78" t="s">
        <v>44</v>
      </c>
      <c r="L308" s="1">
        <v>1500</v>
      </c>
      <c r="M308" s="1">
        <v>3472</v>
      </c>
      <c r="N308" s="1">
        <v>2623</v>
      </c>
      <c r="O308" s="3">
        <v>2531.6666666666665</v>
      </c>
      <c r="P308" t="s">
        <v>667</v>
      </c>
    </row>
    <row r="309" spans="11:16" x14ac:dyDescent="0.3">
      <c r="K309" s="78" t="s">
        <v>46</v>
      </c>
      <c r="L309" s="1">
        <v>1500</v>
      </c>
      <c r="M309" s="1">
        <v>3470</v>
      </c>
      <c r="N309" s="1">
        <v>2575</v>
      </c>
      <c r="O309" s="3">
        <v>2515</v>
      </c>
      <c r="P309" t="s">
        <v>668</v>
      </c>
    </row>
    <row r="310" spans="11:16" x14ac:dyDescent="0.3">
      <c r="K310" s="78" t="s">
        <v>36</v>
      </c>
      <c r="L310" s="1">
        <v>1500</v>
      </c>
      <c r="M310" s="1">
        <v>3300</v>
      </c>
      <c r="N310" s="1">
        <v>2700</v>
      </c>
      <c r="O310" s="3">
        <v>2500</v>
      </c>
      <c r="P310" t="s">
        <v>669</v>
      </c>
    </row>
    <row r="311" spans="11:16" x14ac:dyDescent="0.3">
      <c r="K311" s="78" t="s">
        <v>42</v>
      </c>
      <c r="L311" s="1">
        <v>1500</v>
      </c>
      <c r="M311" s="1">
        <v>3500</v>
      </c>
      <c r="N311" s="1">
        <v>2500</v>
      </c>
      <c r="O311" s="3">
        <v>2500</v>
      </c>
      <c r="P311" t="s">
        <v>670</v>
      </c>
    </row>
    <row r="312" spans="11:16" x14ac:dyDescent="0.3">
      <c r="K312" s="78" t="s">
        <v>58</v>
      </c>
      <c r="L312" s="1">
        <v>1500</v>
      </c>
      <c r="M312" s="1">
        <v>3500</v>
      </c>
      <c r="N312" s="1">
        <v>2500</v>
      </c>
      <c r="O312" s="3">
        <v>2500</v>
      </c>
      <c r="P312" t="s">
        <v>671</v>
      </c>
    </row>
    <row r="313" spans="11:16" x14ac:dyDescent="0.3">
      <c r="K313" s="78" t="s">
        <v>29</v>
      </c>
      <c r="L313" s="1">
        <v>1500</v>
      </c>
      <c r="M313" s="1">
        <v>3010</v>
      </c>
      <c r="N313" s="1">
        <v>2657</v>
      </c>
      <c r="O313" s="3">
        <v>2389</v>
      </c>
      <c r="P313" t="s">
        <v>672</v>
      </c>
    </row>
    <row r="314" spans="11:16" x14ac:dyDescent="0.3">
      <c r="K314" s="78" t="s">
        <v>48</v>
      </c>
      <c r="L314" s="1">
        <v>1500</v>
      </c>
      <c r="M314" s="1">
        <v>3500</v>
      </c>
      <c r="N314" s="1">
        <v>2163</v>
      </c>
      <c r="O314" s="3">
        <v>2387.6666666666665</v>
      </c>
      <c r="P314" t="s">
        <v>673</v>
      </c>
    </row>
    <row r="315" spans="11:16" x14ac:dyDescent="0.3">
      <c r="K315" s="78" t="s">
        <v>12</v>
      </c>
      <c r="L315" s="1">
        <v>2423</v>
      </c>
      <c r="M315" s="1">
        <v>2351</v>
      </c>
      <c r="N315" s="1">
        <v>2368</v>
      </c>
      <c r="O315" s="3">
        <v>2380.6666666666665</v>
      </c>
      <c r="P315" t="s">
        <v>675</v>
      </c>
    </row>
    <row r="316" spans="11:16" x14ac:dyDescent="0.3">
      <c r="K316" s="78" t="s">
        <v>47</v>
      </c>
      <c r="L316" s="1">
        <v>2700</v>
      </c>
      <c r="M316" s="1">
        <v>2500</v>
      </c>
      <c r="N316" s="1">
        <v>1700</v>
      </c>
      <c r="O316" s="3">
        <v>2300</v>
      </c>
      <c r="P316" t="s">
        <v>676</v>
      </c>
    </row>
    <row r="317" spans="11:16" x14ac:dyDescent="0.3">
      <c r="K317" s="78" t="s">
        <v>32</v>
      </c>
      <c r="L317" s="1">
        <v>1500</v>
      </c>
      <c r="M317" s="1">
        <v>3066</v>
      </c>
      <c r="N317" s="1">
        <v>2329</v>
      </c>
      <c r="O317" s="3">
        <v>2298.3333333333335</v>
      </c>
      <c r="P317" t="s">
        <v>677</v>
      </c>
    </row>
    <row r="318" spans="11:16" x14ac:dyDescent="0.3">
      <c r="K318" s="78" t="s">
        <v>31</v>
      </c>
      <c r="L318" s="1">
        <v>1500</v>
      </c>
      <c r="M318" s="1">
        <v>3038</v>
      </c>
      <c r="N318" s="1">
        <v>2340</v>
      </c>
      <c r="O318" s="3">
        <v>2292.6666666666665</v>
      </c>
      <c r="P318" t="s">
        <v>678</v>
      </c>
    </row>
    <row r="319" spans="11:16" x14ac:dyDescent="0.3">
      <c r="K319" s="78" t="s">
        <v>34</v>
      </c>
      <c r="L319" s="1">
        <v>1500</v>
      </c>
      <c r="M319" s="1">
        <v>3044</v>
      </c>
      <c r="N319" s="1">
        <v>2300</v>
      </c>
      <c r="O319" s="3">
        <v>2281.3333333333335</v>
      </c>
      <c r="P319" t="s">
        <v>679</v>
      </c>
    </row>
    <row r="320" spans="11:16" x14ac:dyDescent="0.3">
      <c r="K320" s="78" t="s">
        <v>28</v>
      </c>
      <c r="L320" s="1">
        <v>2570</v>
      </c>
      <c r="M320" s="1">
        <v>2420</v>
      </c>
      <c r="N320" s="1">
        <v>1800</v>
      </c>
      <c r="O320" s="3">
        <v>2263.3333333333335</v>
      </c>
      <c r="P320" t="s">
        <v>680</v>
      </c>
    </row>
    <row r="321" spans="11:18" x14ac:dyDescent="0.3">
      <c r="K321" s="78" t="s">
        <v>27</v>
      </c>
      <c r="L321" s="1">
        <v>1500</v>
      </c>
      <c r="M321" s="1">
        <v>3040</v>
      </c>
      <c r="N321" s="1">
        <v>2200</v>
      </c>
      <c r="O321" s="3">
        <v>2246.6666666666665</v>
      </c>
      <c r="P321" t="s">
        <v>681</v>
      </c>
    </row>
    <row r="322" spans="11:18" x14ac:dyDescent="0.3">
      <c r="K322" s="78" t="s">
        <v>41</v>
      </c>
      <c r="L322" s="1">
        <v>2857</v>
      </c>
      <c r="M322" s="1">
        <v>2318</v>
      </c>
      <c r="N322" s="1">
        <v>1134</v>
      </c>
      <c r="O322" s="3">
        <v>2103</v>
      </c>
      <c r="P322" t="s">
        <v>682</v>
      </c>
    </row>
    <row r="323" spans="11:18" x14ac:dyDescent="0.3">
      <c r="K323" s="78" t="s">
        <v>33</v>
      </c>
      <c r="L323" s="1">
        <v>2564</v>
      </c>
      <c r="M323" s="1">
        <v>2286</v>
      </c>
      <c r="N323" s="1">
        <v>1095</v>
      </c>
      <c r="O323" s="3">
        <v>1981.6666666666667</v>
      </c>
      <c r="P323" t="s">
        <v>683</v>
      </c>
    </row>
    <row r="324" spans="11:18" x14ac:dyDescent="0.3">
      <c r="K324" s="78" t="s">
        <v>26</v>
      </c>
      <c r="L324" s="1">
        <v>2728</v>
      </c>
      <c r="M324" s="1">
        <v>1767</v>
      </c>
      <c r="N324" s="1">
        <v>700</v>
      </c>
      <c r="O324" s="3">
        <v>1731.6666666666667</v>
      </c>
      <c r="P324" t="s">
        <v>684</v>
      </c>
      <c r="R324" t="s">
        <v>674</v>
      </c>
    </row>
  </sheetData>
  <autoFilter ref="A1:I274"/>
  <sortState ref="J3:N24">
    <sortCondition descending="1" ref="M3:M2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I300"/>
  <sheetViews>
    <sheetView topLeftCell="A61" workbookViewId="0">
      <selection activeCell="M75" sqref="M75"/>
    </sheetView>
  </sheetViews>
  <sheetFormatPr baseColWidth="10" defaultRowHeight="14.4" x14ac:dyDescent="0.3"/>
  <cols>
    <col min="1" max="1" width="7.44140625" customWidth="1"/>
    <col min="2" max="2" width="22.88671875" customWidth="1"/>
    <col min="3" max="3" width="15.21875" customWidth="1"/>
    <col min="4" max="4" width="16.109375" customWidth="1"/>
    <col min="5" max="5" width="16.21875" customWidth="1"/>
    <col min="6" max="6" width="14.44140625" customWidth="1"/>
    <col min="12" max="12" width="13.88671875" bestFit="1" customWidth="1"/>
  </cols>
  <sheetData>
    <row r="2" spans="2:6" x14ac:dyDescent="0.3">
      <c r="C2" s="5" t="s">
        <v>553</v>
      </c>
    </row>
    <row r="4" spans="2:6" x14ac:dyDescent="0.3">
      <c r="B4" s="2" t="s">
        <v>554</v>
      </c>
      <c r="C4" s="40" t="s">
        <v>555</v>
      </c>
      <c r="D4" s="40" t="s">
        <v>556</v>
      </c>
      <c r="E4" s="40" t="s">
        <v>557</v>
      </c>
      <c r="F4" s="40" t="s">
        <v>558</v>
      </c>
    </row>
    <row r="5" spans="2:6" x14ac:dyDescent="0.3">
      <c r="B5" s="2" t="s">
        <v>559</v>
      </c>
      <c r="C5" s="10" t="s">
        <v>171</v>
      </c>
      <c r="D5" s="10" t="s">
        <v>171</v>
      </c>
      <c r="E5" s="10" t="s">
        <v>152</v>
      </c>
      <c r="F5" s="10" t="s">
        <v>172</v>
      </c>
    </row>
    <row r="6" spans="2:6" x14ac:dyDescent="0.3">
      <c r="B6" s="2" t="s">
        <v>560</v>
      </c>
      <c r="C6" t="s">
        <v>561</v>
      </c>
    </row>
    <row r="7" spans="2:6" x14ac:dyDescent="0.3">
      <c r="B7" s="2" t="s">
        <v>562</v>
      </c>
      <c r="C7" t="s">
        <v>563</v>
      </c>
    </row>
    <row r="8" spans="2:6" x14ac:dyDescent="0.3">
      <c r="B8" s="2" t="s">
        <v>564</v>
      </c>
      <c r="C8" t="s">
        <v>565</v>
      </c>
    </row>
    <row r="10" spans="2:6" x14ac:dyDescent="0.3">
      <c r="B10" s="2" t="s">
        <v>566</v>
      </c>
      <c r="C10" t="s">
        <v>567</v>
      </c>
      <c r="D10" t="s">
        <v>568</v>
      </c>
    </row>
    <row r="11" spans="2:6" x14ac:dyDescent="0.3">
      <c r="B11" s="2" t="s">
        <v>569</v>
      </c>
      <c r="C11" s="2" t="s">
        <v>570</v>
      </c>
      <c r="D11" t="s">
        <v>571</v>
      </c>
    </row>
    <row r="12" spans="2:6" x14ac:dyDescent="0.3">
      <c r="D12" t="s">
        <v>572</v>
      </c>
    </row>
    <row r="13" spans="2:6" x14ac:dyDescent="0.3">
      <c r="D13" t="s">
        <v>573</v>
      </c>
    </row>
    <row r="14" spans="2:6" x14ac:dyDescent="0.3">
      <c r="D14" t="s">
        <v>574</v>
      </c>
    </row>
    <row r="16" spans="2:6" x14ac:dyDescent="0.3">
      <c r="C16" s="2" t="s">
        <v>575</v>
      </c>
      <c r="D16" t="s">
        <v>576</v>
      </c>
    </row>
    <row r="17" spans="2:15" x14ac:dyDescent="0.3">
      <c r="D17" t="s">
        <v>577</v>
      </c>
    </row>
    <row r="18" spans="2:15" x14ac:dyDescent="0.3">
      <c r="D18" t="s">
        <v>578</v>
      </c>
    </row>
    <row r="19" spans="2:15" x14ac:dyDescent="0.3">
      <c r="D19" t="s">
        <v>579</v>
      </c>
    </row>
    <row r="21" spans="2:15" ht="15" thickBot="1" x14ac:dyDescent="0.35">
      <c r="C21" s="2" t="s">
        <v>580</v>
      </c>
      <c r="D21" t="s">
        <v>581</v>
      </c>
    </row>
    <row r="22" spans="2:15" x14ac:dyDescent="0.3">
      <c r="B22" s="64"/>
      <c r="C22" s="75" t="s">
        <v>647</v>
      </c>
      <c r="D22" s="76" t="s">
        <v>648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6"/>
    </row>
    <row r="23" spans="2:15" x14ac:dyDescent="0.3">
      <c r="B23" s="67"/>
      <c r="C23" s="68"/>
      <c r="D23" s="69" t="s">
        <v>649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70"/>
    </row>
    <row r="24" spans="2:15" ht="15" thickBot="1" x14ac:dyDescent="0.35">
      <c r="B24" s="71"/>
      <c r="C24" s="73"/>
      <c r="D24" s="72" t="s">
        <v>650</v>
      </c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4"/>
    </row>
    <row r="26" spans="2:15" x14ac:dyDescent="0.3">
      <c r="C26" s="41" t="s">
        <v>582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spans="2:15" x14ac:dyDescent="0.3">
      <c r="C27" s="26" t="s">
        <v>583</v>
      </c>
      <c r="D27" t="s">
        <v>584</v>
      </c>
    </row>
    <row r="28" spans="2:15" x14ac:dyDescent="0.3">
      <c r="C28" s="26" t="s">
        <v>585</v>
      </c>
      <c r="D28" t="s">
        <v>586</v>
      </c>
    </row>
    <row r="29" spans="2:15" x14ac:dyDescent="0.3">
      <c r="C29" s="26" t="s">
        <v>587</v>
      </c>
      <c r="D29" t="s">
        <v>588</v>
      </c>
    </row>
    <row r="30" spans="2:15" x14ac:dyDescent="0.3">
      <c r="C30" s="26" t="s">
        <v>589</v>
      </c>
      <c r="D30" t="s">
        <v>590</v>
      </c>
    </row>
    <row r="31" spans="2:15" x14ac:dyDescent="0.3">
      <c r="C31" s="26" t="s">
        <v>591</v>
      </c>
      <c r="D31" t="s">
        <v>592</v>
      </c>
    </row>
    <row r="32" spans="2:15" x14ac:dyDescent="0.3">
      <c r="C32" s="26" t="s">
        <v>593</v>
      </c>
      <c r="D32" t="s">
        <v>626</v>
      </c>
    </row>
    <row r="33" spans="3:15" x14ac:dyDescent="0.3">
      <c r="C33" s="26"/>
    </row>
    <row r="37" spans="3:15" x14ac:dyDescent="0.3">
      <c r="C37" s="41" t="s">
        <v>594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</row>
    <row r="38" spans="3:15" s="28" customFormat="1" x14ac:dyDescent="0.3">
      <c r="C38" s="62" t="s">
        <v>627</v>
      </c>
    </row>
    <row r="39" spans="3:15" s="28" customFormat="1" x14ac:dyDescent="0.3">
      <c r="C39" s="62">
        <v>1</v>
      </c>
      <c r="D39" s="28" t="s">
        <v>628</v>
      </c>
    </row>
    <row r="40" spans="3:15" s="28" customFormat="1" x14ac:dyDescent="0.3">
      <c r="C40" s="62">
        <v>2</v>
      </c>
      <c r="D40" s="28" t="s">
        <v>629</v>
      </c>
    </row>
    <row r="41" spans="3:15" s="28" customFormat="1" x14ac:dyDescent="0.3">
      <c r="C41" s="62">
        <v>3</v>
      </c>
      <c r="D41" s="28" t="s">
        <v>630</v>
      </c>
    </row>
    <row r="42" spans="3:15" s="28" customFormat="1" ht="15" thickBot="1" x14ac:dyDescent="0.35">
      <c r="C42" s="62"/>
    </row>
    <row r="43" spans="3:15" s="28" customFormat="1" ht="15" thickBot="1" x14ac:dyDescent="0.35">
      <c r="C43" s="62"/>
      <c r="E43" s="63" t="s">
        <v>633</v>
      </c>
    </row>
    <row r="45" spans="3:15" x14ac:dyDescent="0.3">
      <c r="E45" s="42" t="s">
        <v>605</v>
      </c>
    </row>
    <row r="47" spans="3:15" x14ac:dyDescent="0.3">
      <c r="H47" s="43" t="s">
        <v>1</v>
      </c>
      <c r="I47" s="44" t="s">
        <v>171</v>
      </c>
    </row>
    <row r="48" spans="3:15" x14ac:dyDescent="0.3">
      <c r="H48" s="45" t="str">
        <f t="shared" ref="H48:H59" si="0">Q52</f>
        <v>2013/14</v>
      </c>
      <c r="I48" s="46">
        <f t="shared" ref="I48:I59" si="1">R52</f>
        <v>970350</v>
      </c>
    </row>
    <row r="49" spans="3:35" x14ac:dyDescent="0.3">
      <c r="H49" s="45" t="str">
        <f t="shared" si="0"/>
        <v>2014/15</v>
      </c>
      <c r="I49" s="46">
        <f t="shared" si="1"/>
        <v>869000</v>
      </c>
      <c r="K49" s="49"/>
    </row>
    <row r="50" spans="3:35" x14ac:dyDescent="0.3">
      <c r="H50" s="45" t="str">
        <f t="shared" si="0"/>
        <v>2015/16</v>
      </c>
      <c r="I50" s="46">
        <f t="shared" si="1"/>
        <v>980572</v>
      </c>
      <c r="K50" s="49"/>
    </row>
    <row r="51" spans="3:35" x14ac:dyDescent="0.3">
      <c r="H51" s="45" t="str">
        <f t="shared" si="0"/>
        <v>2016/17</v>
      </c>
      <c r="I51" s="46">
        <f t="shared" si="1"/>
        <v>871840</v>
      </c>
      <c r="K51" s="49"/>
      <c r="Q51" s="2" t="s">
        <v>1</v>
      </c>
      <c r="R51" s="3" t="s">
        <v>6</v>
      </c>
      <c r="S51" s="3" t="s">
        <v>7</v>
      </c>
      <c r="T51" s="3" t="s">
        <v>8</v>
      </c>
    </row>
    <row r="52" spans="3:35" x14ac:dyDescent="0.3">
      <c r="H52" s="45" t="str">
        <f t="shared" si="0"/>
        <v>2017/18</v>
      </c>
      <c r="I52" s="46">
        <f t="shared" si="1"/>
        <v>894290</v>
      </c>
      <c r="K52" s="61" t="s">
        <v>617</v>
      </c>
      <c r="Q52" t="s">
        <v>14</v>
      </c>
      <c r="R52" s="1">
        <v>970350</v>
      </c>
      <c r="S52" s="1">
        <v>970350</v>
      </c>
      <c r="T52" s="1">
        <v>2737945</v>
      </c>
    </row>
    <row r="53" spans="3:35" x14ac:dyDescent="0.3">
      <c r="H53" s="45" t="str">
        <f t="shared" si="0"/>
        <v>2018/19</v>
      </c>
      <c r="I53" s="46">
        <f t="shared" si="1"/>
        <v>1028772</v>
      </c>
      <c r="K53" s="49"/>
      <c r="Q53" t="s">
        <v>15</v>
      </c>
      <c r="R53" s="1">
        <v>869000</v>
      </c>
      <c r="S53" s="1">
        <v>778500</v>
      </c>
      <c r="T53" s="1">
        <v>1915310</v>
      </c>
    </row>
    <row r="54" spans="3:35" x14ac:dyDescent="0.3">
      <c r="H54" s="45" t="str">
        <f t="shared" si="0"/>
        <v>2019/20</v>
      </c>
      <c r="I54" s="46">
        <f t="shared" si="1"/>
        <v>1057280</v>
      </c>
      <c r="K54" s="61" t="s">
        <v>651</v>
      </c>
      <c r="Q54" t="s">
        <v>16</v>
      </c>
      <c r="R54" s="1">
        <v>980572</v>
      </c>
      <c r="S54" s="1">
        <v>941572</v>
      </c>
      <c r="T54" s="1">
        <v>2498134</v>
      </c>
    </row>
    <row r="55" spans="3:35" x14ac:dyDescent="0.3">
      <c r="H55" s="45" t="str">
        <f t="shared" si="0"/>
        <v>2020/21</v>
      </c>
      <c r="I55" s="46">
        <f t="shared" si="1"/>
        <v>1078150</v>
      </c>
      <c r="K55" s="49"/>
      <c r="Q55" t="s">
        <v>17</v>
      </c>
      <c r="R55" s="1">
        <v>871840</v>
      </c>
      <c r="S55" s="1">
        <v>865690</v>
      </c>
      <c r="T55" s="1">
        <v>3159862</v>
      </c>
    </row>
    <row r="56" spans="3:35" x14ac:dyDescent="0.3">
      <c r="H56" s="45" t="str">
        <f t="shared" si="0"/>
        <v>2021/22</v>
      </c>
      <c r="I56" s="46">
        <f t="shared" si="1"/>
        <v>1078120</v>
      </c>
      <c r="K56" s="49"/>
      <c r="Q56" t="s">
        <v>18</v>
      </c>
      <c r="R56" s="1">
        <v>894290</v>
      </c>
      <c r="S56" s="1">
        <v>887240</v>
      </c>
      <c r="T56" s="1">
        <v>2353796</v>
      </c>
    </row>
    <row r="57" spans="3:35" x14ac:dyDescent="0.3">
      <c r="H57" s="45" t="str">
        <f t="shared" si="0"/>
        <v>2022/23</v>
      </c>
      <c r="I57" s="46">
        <f t="shared" si="1"/>
        <v>1129500</v>
      </c>
      <c r="K57" s="49"/>
      <c r="Q57" t="s">
        <v>19</v>
      </c>
      <c r="R57" s="1">
        <v>1028772</v>
      </c>
      <c r="S57" s="1">
        <v>979492</v>
      </c>
      <c r="T57" s="1">
        <v>3142543</v>
      </c>
    </row>
    <row r="58" spans="3:35" x14ac:dyDescent="0.3">
      <c r="H58" s="45" t="str">
        <f t="shared" si="0"/>
        <v>2023/24</v>
      </c>
      <c r="I58" s="46">
        <f t="shared" si="1"/>
        <v>1123180</v>
      </c>
      <c r="K58" s="49"/>
      <c r="Q58" t="s">
        <v>20</v>
      </c>
      <c r="R58" s="1">
        <v>1057280</v>
      </c>
      <c r="S58" s="1">
        <v>1051780</v>
      </c>
      <c r="T58" s="1">
        <v>3377967</v>
      </c>
    </row>
    <row r="59" spans="3:35" x14ac:dyDescent="0.3">
      <c r="H59" s="47" t="str">
        <f t="shared" si="0"/>
        <v>2024/25</v>
      </c>
      <c r="I59" s="48">
        <f t="shared" si="1"/>
        <v>1415045</v>
      </c>
      <c r="K59" s="49"/>
      <c r="Q59" t="s">
        <v>21</v>
      </c>
      <c r="R59" s="1">
        <v>1078150</v>
      </c>
      <c r="S59" s="1">
        <v>1078150</v>
      </c>
      <c r="T59" s="1">
        <v>3603230</v>
      </c>
    </row>
    <row r="60" spans="3:35" x14ac:dyDescent="0.3">
      <c r="K60" s="60"/>
      <c r="Q60" t="s">
        <v>22</v>
      </c>
      <c r="R60" s="1">
        <v>1078120</v>
      </c>
      <c r="S60" s="1">
        <v>1078120</v>
      </c>
      <c r="T60" s="1">
        <v>3340985</v>
      </c>
    </row>
    <row r="61" spans="3:35" x14ac:dyDescent="0.3">
      <c r="H61" s="54" t="s">
        <v>607</v>
      </c>
      <c r="I61" s="55">
        <f>(I59-I48)/I48</f>
        <v>0.45828309372906684</v>
      </c>
      <c r="Q61" t="s">
        <v>23</v>
      </c>
      <c r="R61" s="1">
        <v>1129500</v>
      </c>
      <c r="S61" s="1">
        <v>1129500</v>
      </c>
      <c r="T61" s="1">
        <v>2823432</v>
      </c>
    </row>
    <row r="62" spans="3:35" x14ac:dyDescent="0.3">
      <c r="H62" s="56" t="s">
        <v>608</v>
      </c>
      <c r="I62" s="57">
        <f>(I59/I48)^(1/11)-1</f>
        <v>3.4891244775677954E-2</v>
      </c>
      <c r="Q62" t="s">
        <v>24</v>
      </c>
      <c r="R62" s="1">
        <v>1123180</v>
      </c>
      <c r="S62" s="1">
        <v>1105414</v>
      </c>
      <c r="T62" s="1">
        <v>3030971</v>
      </c>
      <c r="AG62" s="1"/>
      <c r="AH62" s="1"/>
      <c r="AI62" s="1"/>
    </row>
    <row r="63" spans="3:35" x14ac:dyDescent="0.3">
      <c r="C63" t="s">
        <v>606</v>
      </c>
      <c r="Q63" t="s">
        <v>25</v>
      </c>
      <c r="R63" s="1">
        <v>1415045</v>
      </c>
      <c r="S63" s="1">
        <v>1254863</v>
      </c>
      <c r="T63" s="1">
        <v>2895233</v>
      </c>
      <c r="AG63" s="1"/>
      <c r="AH63" s="1"/>
      <c r="AI63" s="1"/>
    </row>
    <row r="64" spans="3:35" ht="15" thickBot="1" x14ac:dyDescent="0.35">
      <c r="AG64" s="1"/>
      <c r="AH64" s="1"/>
      <c r="AI64" s="1"/>
    </row>
    <row r="65" spans="5:35" ht="15" thickBot="1" x14ac:dyDescent="0.35">
      <c r="E65" s="63" t="s">
        <v>634</v>
      </c>
      <c r="AG65" s="1"/>
      <c r="AH65" s="1"/>
      <c r="AI65" s="1"/>
    </row>
    <row r="66" spans="5:35" x14ac:dyDescent="0.3">
      <c r="F66" s="42" t="s">
        <v>609</v>
      </c>
      <c r="Q66" s="2" t="s">
        <v>1</v>
      </c>
      <c r="R66" s="3" t="s">
        <v>8</v>
      </c>
      <c r="S66" s="3" t="s">
        <v>9</v>
      </c>
      <c r="AG66" s="1"/>
      <c r="AH66" s="1"/>
      <c r="AI66" s="1"/>
    </row>
    <row r="67" spans="5:35" x14ac:dyDescent="0.3">
      <c r="H67" s="43" t="s">
        <v>1</v>
      </c>
      <c r="I67" s="50" t="s">
        <v>610</v>
      </c>
      <c r="J67" s="51" t="s">
        <v>611</v>
      </c>
      <c r="Q67" t="s">
        <v>14</v>
      </c>
      <c r="R67" s="1">
        <v>2737945</v>
      </c>
      <c r="S67" s="1">
        <v>2822</v>
      </c>
      <c r="AG67" s="1"/>
      <c r="AH67" s="1"/>
      <c r="AI67" s="1"/>
    </row>
    <row r="68" spans="5:35" x14ac:dyDescent="0.3">
      <c r="H68" s="45" t="str">
        <f>Q67</f>
        <v>2013/14</v>
      </c>
      <c r="I68" s="52">
        <f t="shared" ref="I68:J68" si="2">R67</f>
        <v>2737945</v>
      </c>
      <c r="J68" s="46">
        <f t="shared" si="2"/>
        <v>2822</v>
      </c>
      <c r="Q68" t="s">
        <v>15</v>
      </c>
      <c r="R68" s="1">
        <v>1915310</v>
      </c>
      <c r="S68" s="1">
        <v>2460</v>
      </c>
      <c r="AI68" s="1"/>
    </row>
    <row r="69" spans="5:35" x14ac:dyDescent="0.3">
      <c r="H69" s="45" t="str">
        <f t="shared" ref="H69:H77" si="3">Q68</f>
        <v>2014/15</v>
      </c>
      <c r="I69" s="52">
        <f t="shared" ref="I69:I78" si="4">R68</f>
        <v>1915310</v>
      </c>
      <c r="J69" s="46">
        <f t="shared" ref="J69:J78" si="5">S68</f>
        <v>2460</v>
      </c>
      <c r="L69" s="49"/>
      <c r="Q69" t="s">
        <v>16</v>
      </c>
      <c r="R69" s="1">
        <v>2498134</v>
      </c>
      <c r="S69" s="1">
        <v>2653</v>
      </c>
      <c r="AG69" s="1"/>
      <c r="AH69" s="1"/>
      <c r="AI69" s="1"/>
    </row>
    <row r="70" spans="5:35" x14ac:dyDescent="0.3">
      <c r="H70" s="45" t="str">
        <f t="shared" si="3"/>
        <v>2015/16</v>
      </c>
      <c r="I70" s="52">
        <f t="shared" si="4"/>
        <v>2498134</v>
      </c>
      <c r="J70" s="46">
        <f t="shared" si="5"/>
        <v>2653</v>
      </c>
      <c r="L70" s="49"/>
      <c r="Q70" t="s">
        <v>17</v>
      </c>
      <c r="R70" s="1">
        <v>3159862</v>
      </c>
      <c r="S70" s="1">
        <v>3650</v>
      </c>
      <c r="AG70" s="1"/>
      <c r="AH70" s="1"/>
      <c r="AI70" s="1"/>
    </row>
    <row r="71" spans="5:35" x14ac:dyDescent="0.3">
      <c r="H71" s="45" t="str">
        <f t="shared" si="3"/>
        <v>2016/17</v>
      </c>
      <c r="I71" s="52">
        <f t="shared" si="4"/>
        <v>3159862</v>
      </c>
      <c r="J71" s="46">
        <f t="shared" si="5"/>
        <v>3650</v>
      </c>
      <c r="L71" s="49"/>
      <c r="Q71" t="s">
        <v>18</v>
      </c>
      <c r="R71" s="1">
        <v>2353796</v>
      </c>
      <c r="S71" s="1">
        <v>2653</v>
      </c>
      <c r="AG71" s="1"/>
      <c r="AH71" s="1"/>
      <c r="AI71" s="1"/>
    </row>
    <row r="72" spans="5:35" x14ac:dyDescent="0.3">
      <c r="H72" s="45" t="str">
        <f t="shared" si="3"/>
        <v>2017/18</v>
      </c>
      <c r="I72" s="52">
        <f t="shared" si="4"/>
        <v>2353796</v>
      </c>
      <c r="J72" s="46">
        <f t="shared" si="5"/>
        <v>2653</v>
      </c>
      <c r="L72" s="61" t="s">
        <v>617</v>
      </c>
      <c r="Q72" t="s">
        <v>19</v>
      </c>
      <c r="R72" s="1">
        <v>3142543</v>
      </c>
      <c r="S72" s="1">
        <v>3208</v>
      </c>
      <c r="AG72" s="1"/>
      <c r="AH72" s="1"/>
      <c r="AI72" s="1"/>
    </row>
    <row r="73" spans="5:35" x14ac:dyDescent="0.3">
      <c r="H73" s="45" t="str">
        <f t="shared" si="3"/>
        <v>2018/19</v>
      </c>
      <c r="I73" s="52">
        <f t="shared" si="4"/>
        <v>3142543</v>
      </c>
      <c r="J73" s="46">
        <f t="shared" si="5"/>
        <v>3208</v>
      </c>
      <c r="L73" s="49"/>
      <c r="Q73" t="s">
        <v>20</v>
      </c>
      <c r="R73" s="1">
        <v>3377967</v>
      </c>
      <c r="S73" s="1">
        <v>3212</v>
      </c>
      <c r="AG73" s="1"/>
      <c r="AH73" s="1"/>
      <c r="AI73" s="1"/>
    </row>
    <row r="74" spans="5:35" x14ac:dyDescent="0.3">
      <c r="H74" s="45" t="str">
        <f t="shared" si="3"/>
        <v>2019/20</v>
      </c>
      <c r="I74" s="52">
        <f t="shared" si="4"/>
        <v>3377967</v>
      </c>
      <c r="J74" s="46">
        <f t="shared" si="5"/>
        <v>3212</v>
      </c>
      <c r="L74" s="49"/>
      <c r="Q74" t="s">
        <v>21</v>
      </c>
      <c r="R74" s="1">
        <v>3603230</v>
      </c>
      <c r="S74" s="1">
        <v>3342</v>
      </c>
      <c r="AG74" s="1"/>
      <c r="AH74" s="1"/>
      <c r="AI74" s="1"/>
    </row>
    <row r="75" spans="5:35" x14ac:dyDescent="0.3">
      <c r="H75" s="45" t="str">
        <f t="shared" si="3"/>
        <v>2020/21</v>
      </c>
      <c r="I75" s="52">
        <f t="shared" si="4"/>
        <v>3603230</v>
      </c>
      <c r="J75" s="46">
        <f t="shared" si="5"/>
        <v>3342</v>
      </c>
      <c r="L75" s="49"/>
      <c r="Q75" t="s">
        <v>22</v>
      </c>
      <c r="R75" s="1">
        <v>3340985</v>
      </c>
      <c r="S75" s="1">
        <v>3099</v>
      </c>
      <c r="AI75" s="1"/>
    </row>
    <row r="76" spans="5:35" x14ac:dyDescent="0.3">
      <c r="H76" s="45" t="str">
        <f t="shared" si="3"/>
        <v>2021/22</v>
      </c>
      <c r="I76" s="52">
        <f t="shared" si="4"/>
        <v>3340985</v>
      </c>
      <c r="J76" s="46">
        <f t="shared" si="5"/>
        <v>3099</v>
      </c>
      <c r="L76" s="49"/>
      <c r="Q76" t="s">
        <v>23</v>
      </c>
      <c r="R76" s="1">
        <v>2823432</v>
      </c>
      <c r="S76" s="1">
        <v>2500</v>
      </c>
      <c r="AG76" s="1"/>
      <c r="AH76" s="1"/>
      <c r="AI76" s="1"/>
    </row>
    <row r="77" spans="5:35" x14ac:dyDescent="0.3">
      <c r="H77" s="45" t="str">
        <f t="shared" si="3"/>
        <v>2022/23</v>
      </c>
      <c r="I77" s="52">
        <f t="shared" si="4"/>
        <v>2823432</v>
      </c>
      <c r="J77" s="46">
        <f t="shared" si="5"/>
        <v>2500</v>
      </c>
      <c r="L77" s="49"/>
      <c r="Q77" t="s">
        <v>24</v>
      </c>
      <c r="R77" s="1">
        <v>3030971</v>
      </c>
      <c r="S77" s="1">
        <v>2742</v>
      </c>
      <c r="AG77" s="1"/>
      <c r="AH77" s="1"/>
      <c r="AI77" s="1"/>
    </row>
    <row r="78" spans="5:35" x14ac:dyDescent="0.3">
      <c r="H78" s="45" t="str">
        <f>Q77</f>
        <v>2023/24</v>
      </c>
      <c r="I78" s="52">
        <f t="shared" si="4"/>
        <v>3030971</v>
      </c>
      <c r="J78" s="46">
        <f t="shared" si="5"/>
        <v>2742</v>
      </c>
      <c r="L78" s="49"/>
      <c r="Q78" t="s">
        <v>25</v>
      </c>
      <c r="R78" s="1">
        <v>2895233</v>
      </c>
      <c r="S78" s="1">
        <v>2307</v>
      </c>
      <c r="AG78" s="1"/>
      <c r="AH78" s="1"/>
      <c r="AI78" s="1"/>
    </row>
    <row r="79" spans="5:35" x14ac:dyDescent="0.3">
      <c r="H79" s="47" t="str">
        <f t="shared" ref="H79" si="6">Q78</f>
        <v>2024/25</v>
      </c>
      <c r="I79" s="53">
        <f t="shared" ref="I79" si="7">R78</f>
        <v>2895233</v>
      </c>
      <c r="J79" s="48">
        <f t="shared" ref="J79" si="8">S78</f>
        <v>2307</v>
      </c>
      <c r="L79" s="49"/>
      <c r="AG79" s="1"/>
      <c r="AH79" s="1"/>
      <c r="AI79" s="1"/>
    </row>
    <row r="80" spans="5:35" x14ac:dyDescent="0.3">
      <c r="L80" s="60"/>
      <c r="AG80" s="1"/>
      <c r="AH80" s="1"/>
      <c r="AI80" s="1"/>
    </row>
    <row r="81" spans="3:35" x14ac:dyDescent="0.3">
      <c r="H81" s="54" t="s">
        <v>607</v>
      </c>
      <c r="I81" s="58">
        <f>(I79-I68)/I68</f>
        <v>5.7447465160914479E-2</v>
      </c>
      <c r="J81" s="55">
        <f>(J79-J68)/J68</f>
        <v>-0.18249468462083629</v>
      </c>
      <c r="R81" t="s">
        <v>614</v>
      </c>
      <c r="AG81" s="1"/>
      <c r="AH81" s="1"/>
      <c r="AI81" s="1"/>
    </row>
    <row r="82" spans="3:35" x14ac:dyDescent="0.3">
      <c r="H82" s="56" t="s">
        <v>608</v>
      </c>
      <c r="I82" s="59">
        <f>(I79/I68)^(1/11)-1</f>
        <v>5.0909105412622058E-3</v>
      </c>
      <c r="J82" s="57">
        <f>(J79/J68)^(1/11)-1</f>
        <v>-1.8151233969928793E-2</v>
      </c>
      <c r="R82" t="s">
        <v>612</v>
      </c>
      <c r="AG82" s="1"/>
      <c r="AH82" s="1"/>
      <c r="AI82" s="1"/>
    </row>
    <row r="83" spans="3:35" ht="15" thickBot="1" x14ac:dyDescent="0.35">
      <c r="C83" t="s">
        <v>606</v>
      </c>
      <c r="R83" s="10" t="s">
        <v>10</v>
      </c>
      <c r="S83" s="10" t="s">
        <v>57</v>
      </c>
      <c r="T83" s="10" t="s">
        <v>61</v>
      </c>
      <c r="U83" s="10" t="s">
        <v>604</v>
      </c>
      <c r="V83" s="10" t="s">
        <v>70</v>
      </c>
      <c r="W83" s="10" t="s">
        <v>615</v>
      </c>
      <c r="AI83" s="1"/>
    </row>
    <row r="84" spans="3:35" ht="15" thickBot="1" x14ac:dyDescent="0.35">
      <c r="E84" s="63" t="s">
        <v>635</v>
      </c>
      <c r="Q84" t="s">
        <v>15</v>
      </c>
      <c r="R84" s="1">
        <v>326120</v>
      </c>
      <c r="S84" s="1">
        <v>17610</v>
      </c>
      <c r="T84" s="1">
        <v>2407550</v>
      </c>
      <c r="U84" s="1">
        <v>1915310</v>
      </c>
      <c r="V84" s="1">
        <v>308840</v>
      </c>
      <c r="W84" s="1">
        <v>83400</v>
      </c>
      <c r="AG84" s="1"/>
      <c r="AH84" s="1"/>
      <c r="AI84" s="1"/>
    </row>
    <row r="85" spans="3:35" x14ac:dyDescent="0.3">
      <c r="Q85" t="s">
        <v>16</v>
      </c>
      <c r="R85" s="1">
        <v>292090</v>
      </c>
      <c r="S85" s="1">
        <v>10300</v>
      </c>
      <c r="T85" s="1">
        <v>4262476</v>
      </c>
      <c r="U85" s="1">
        <v>2498134</v>
      </c>
      <c r="V85" s="1">
        <v>484050</v>
      </c>
      <c r="W85" s="1">
        <v>96700</v>
      </c>
      <c r="AG85" s="1"/>
      <c r="AH85" s="1"/>
      <c r="AI85" s="1"/>
    </row>
    <row r="86" spans="3:35" x14ac:dyDescent="0.3">
      <c r="Q86" t="s">
        <v>17</v>
      </c>
      <c r="R86" s="1">
        <v>330448</v>
      </c>
      <c r="S86" s="1">
        <v>71530</v>
      </c>
      <c r="T86" s="1">
        <v>4483905</v>
      </c>
      <c r="U86" s="1">
        <v>3159862</v>
      </c>
      <c r="V86" s="1">
        <v>304490</v>
      </c>
      <c r="W86" s="1">
        <v>93600</v>
      </c>
      <c r="AG86" s="1"/>
      <c r="AH86" s="1"/>
      <c r="AI86" s="1"/>
    </row>
    <row r="87" spans="3:35" x14ac:dyDescent="0.3">
      <c r="Q87" t="s">
        <v>18</v>
      </c>
      <c r="R87" s="1">
        <v>394649</v>
      </c>
      <c r="S87" s="1">
        <v>47470</v>
      </c>
      <c r="T87" s="1">
        <v>3661765</v>
      </c>
      <c r="U87" s="1">
        <v>2353796</v>
      </c>
      <c r="V87" s="1">
        <v>151185</v>
      </c>
      <c r="W87" s="1">
        <v>105700</v>
      </c>
      <c r="AG87" s="1"/>
      <c r="AH87" s="1"/>
      <c r="AI87" s="1"/>
    </row>
    <row r="88" spans="3:35" x14ac:dyDescent="0.3">
      <c r="Q88" t="s">
        <v>19</v>
      </c>
      <c r="R88" s="1">
        <v>551040</v>
      </c>
      <c r="S88" s="1">
        <v>222218</v>
      </c>
      <c r="T88" s="1">
        <v>4405979</v>
      </c>
      <c r="U88" s="1">
        <v>3142543</v>
      </c>
      <c r="V88" s="1">
        <v>218056</v>
      </c>
      <c r="W88" s="1">
        <v>117600</v>
      </c>
      <c r="AG88" s="1"/>
      <c r="AH88" s="1"/>
      <c r="AI88" s="1"/>
    </row>
    <row r="89" spans="3:35" x14ac:dyDescent="0.3">
      <c r="Q89" t="s">
        <v>20</v>
      </c>
      <c r="R89" s="1">
        <v>555715</v>
      </c>
      <c r="S89" s="1">
        <v>151461</v>
      </c>
      <c r="T89" s="1">
        <v>5653025</v>
      </c>
      <c r="U89" s="1">
        <v>3377967</v>
      </c>
      <c r="V89" s="1">
        <v>240331</v>
      </c>
      <c r="W89" s="1">
        <v>112399</v>
      </c>
      <c r="AG89" s="1"/>
      <c r="AH89" s="1"/>
      <c r="AI89" s="1"/>
    </row>
    <row r="90" spans="3:35" x14ac:dyDescent="0.3">
      <c r="Q90" t="s">
        <v>21</v>
      </c>
      <c r="R90" s="1">
        <v>500110</v>
      </c>
      <c r="S90" s="1">
        <v>54443</v>
      </c>
      <c r="T90" s="1">
        <v>5138847</v>
      </c>
      <c r="U90" s="1">
        <v>3603230</v>
      </c>
      <c r="V90" s="1">
        <v>402233</v>
      </c>
      <c r="W90" s="1">
        <v>126768</v>
      </c>
      <c r="AI90" s="1"/>
    </row>
    <row r="91" spans="3:35" x14ac:dyDescent="0.3">
      <c r="Q91" t="s">
        <v>22</v>
      </c>
      <c r="R91" s="1">
        <v>642082</v>
      </c>
      <c r="S91" s="1">
        <v>45026</v>
      </c>
      <c r="T91" s="1">
        <v>5386950</v>
      </c>
      <c r="U91" s="1">
        <v>3340985</v>
      </c>
      <c r="V91" s="1">
        <v>375926</v>
      </c>
      <c r="W91" s="1">
        <v>96325</v>
      </c>
      <c r="AG91" s="1"/>
      <c r="AH91" s="1"/>
      <c r="AI91" s="1"/>
    </row>
    <row r="92" spans="3:35" x14ac:dyDescent="0.3">
      <c r="K92" s="5" t="s">
        <v>616</v>
      </c>
      <c r="Q92" t="s">
        <v>23</v>
      </c>
      <c r="R92" s="1">
        <v>339228</v>
      </c>
      <c r="S92" s="1">
        <v>70695</v>
      </c>
      <c r="T92" s="1">
        <v>4549312</v>
      </c>
      <c r="U92" s="1">
        <v>2823432</v>
      </c>
      <c r="V92" s="1">
        <v>352529</v>
      </c>
      <c r="W92" s="1">
        <v>200120</v>
      </c>
      <c r="AG92" s="1"/>
      <c r="AH92" s="1"/>
      <c r="AI92" s="1"/>
    </row>
    <row r="93" spans="3:35" x14ac:dyDescent="0.3">
      <c r="Q93" t="s">
        <v>24</v>
      </c>
      <c r="R93" s="1">
        <v>595011</v>
      </c>
      <c r="S93" s="1">
        <v>21457</v>
      </c>
      <c r="T93" s="1">
        <v>1551073</v>
      </c>
      <c r="U93" s="1">
        <v>3030971</v>
      </c>
      <c r="V93" s="1">
        <v>314300</v>
      </c>
      <c r="W93" s="1">
        <v>97686</v>
      </c>
      <c r="AG93" s="1"/>
      <c r="AH93" s="1"/>
      <c r="AI93" s="1"/>
    </row>
    <row r="94" spans="3:35" x14ac:dyDescent="0.3">
      <c r="K94" s="61" t="s">
        <v>617</v>
      </c>
      <c r="Q94" t="s">
        <v>25</v>
      </c>
      <c r="R94" s="1">
        <v>440033</v>
      </c>
      <c r="S94" s="1">
        <v>73052</v>
      </c>
      <c r="T94" s="1">
        <v>1612241</v>
      </c>
      <c r="U94" s="1">
        <v>2895233</v>
      </c>
      <c r="V94" s="1">
        <v>325826</v>
      </c>
      <c r="W94" s="1">
        <v>193944</v>
      </c>
      <c r="AG94" s="1"/>
      <c r="AH94" s="1"/>
      <c r="AI94" s="1"/>
    </row>
    <row r="95" spans="3:35" x14ac:dyDescent="0.3">
      <c r="AG95" s="1"/>
      <c r="AH95" s="1"/>
      <c r="AI95" s="1"/>
    </row>
    <row r="96" spans="3:35" x14ac:dyDescent="0.3">
      <c r="K96" s="61" t="s">
        <v>643</v>
      </c>
      <c r="AG96" s="1"/>
      <c r="AH96" s="1"/>
      <c r="AI96" s="1"/>
    </row>
    <row r="97" spans="3:35" x14ac:dyDescent="0.3">
      <c r="AI97" s="1"/>
    </row>
    <row r="98" spans="3:35" x14ac:dyDescent="0.3">
      <c r="X98" s="1"/>
      <c r="Y98" s="1"/>
      <c r="AG98" s="1"/>
      <c r="AH98" s="1"/>
      <c r="AI98" s="1"/>
    </row>
    <row r="99" spans="3:35" x14ac:dyDescent="0.3">
      <c r="X99" s="1"/>
      <c r="Y99" s="1"/>
      <c r="AG99" s="1"/>
      <c r="AH99" s="1"/>
      <c r="AI99" s="1"/>
    </row>
    <row r="100" spans="3:35" x14ac:dyDescent="0.3">
      <c r="X100" s="1"/>
      <c r="Y100" s="1"/>
      <c r="AG100" s="1"/>
      <c r="AH100" s="1"/>
      <c r="AI100" s="1"/>
    </row>
    <row r="101" spans="3:35" x14ac:dyDescent="0.3">
      <c r="X101" s="1"/>
      <c r="Y101" s="1"/>
      <c r="AG101" s="1"/>
      <c r="AH101" s="1"/>
      <c r="AI101" s="1"/>
    </row>
    <row r="102" spans="3:35" ht="15" thickBot="1" x14ac:dyDescent="0.35">
      <c r="C102" t="s">
        <v>606</v>
      </c>
      <c r="X102" s="1"/>
      <c r="Y102" s="1"/>
      <c r="AG102" s="1"/>
      <c r="AH102" s="1"/>
      <c r="AI102" s="1"/>
    </row>
    <row r="103" spans="3:35" ht="15" thickBot="1" x14ac:dyDescent="0.35">
      <c r="E103" s="63" t="s">
        <v>636</v>
      </c>
      <c r="X103" s="1"/>
      <c r="Y103" s="1"/>
      <c r="AG103" s="1"/>
      <c r="AH103" s="1"/>
      <c r="AI103" s="1"/>
    </row>
    <row r="104" spans="3:35" x14ac:dyDescent="0.3">
      <c r="X104" s="1"/>
      <c r="Y104" s="1"/>
      <c r="AG104" s="1"/>
      <c r="AH104" s="1"/>
      <c r="AI104" s="1"/>
    </row>
    <row r="105" spans="3:35" x14ac:dyDescent="0.3">
      <c r="X105" s="1"/>
      <c r="Y105" s="1"/>
      <c r="AG105" s="1"/>
      <c r="AH105" s="1"/>
      <c r="AI105" s="1"/>
    </row>
    <row r="106" spans="3:35" x14ac:dyDescent="0.3">
      <c r="X106" s="1"/>
      <c r="Y106" s="1"/>
      <c r="AG106" s="1"/>
      <c r="AH106" s="1"/>
      <c r="AI106" s="1"/>
    </row>
    <row r="107" spans="3:35" x14ac:dyDescent="0.3">
      <c r="X107" s="1"/>
      <c r="Y107" s="1"/>
      <c r="AI107" s="1"/>
    </row>
    <row r="108" spans="3:35" x14ac:dyDescent="0.3">
      <c r="X108" s="1"/>
      <c r="Y108" s="1"/>
      <c r="AG108" s="1"/>
      <c r="AH108" s="1"/>
      <c r="AI108" s="1"/>
    </row>
    <row r="109" spans="3:35" x14ac:dyDescent="0.3">
      <c r="X109" s="1"/>
      <c r="Y109" s="1"/>
      <c r="AG109" s="1"/>
      <c r="AH109" s="1"/>
      <c r="AI109" s="1"/>
    </row>
    <row r="110" spans="3:35" x14ac:dyDescent="0.3">
      <c r="K110" s="61" t="s">
        <v>618</v>
      </c>
      <c r="X110" s="1"/>
      <c r="Y110" s="1"/>
      <c r="AG110" s="1"/>
      <c r="AH110" s="1"/>
      <c r="AI110" s="1"/>
    </row>
    <row r="111" spans="3:35" x14ac:dyDescent="0.3">
      <c r="X111" s="1"/>
      <c r="Y111" s="1"/>
      <c r="AG111" s="1"/>
      <c r="AH111" s="1"/>
      <c r="AI111" s="1"/>
    </row>
    <row r="112" spans="3:35" x14ac:dyDescent="0.3">
      <c r="X112" s="1"/>
      <c r="Y112" s="1"/>
      <c r="AG112" s="1"/>
      <c r="AH112" s="1"/>
      <c r="AI112" s="1"/>
    </row>
    <row r="113" spans="3:35" x14ac:dyDescent="0.3">
      <c r="X113" s="1"/>
      <c r="Y113" s="1"/>
      <c r="AG113" s="1"/>
      <c r="AH113" s="1"/>
      <c r="AI113" s="1"/>
    </row>
    <row r="114" spans="3:35" x14ac:dyDescent="0.3">
      <c r="X114" s="1"/>
      <c r="Y114" s="1"/>
      <c r="AG114" s="1"/>
      <c r="AH114" s="1"/>
      <c r="AI114" s="1"/>
    </row>
    <row r="115" spans="3:35" x14ac:dyDescent="0.3">
      <c r="X115" s="1"/>
      <c r="Y115" s="1"/>
      <c r="AG115" s="1"/>
      <c r="AH115" s="1"/>
      <c r="AI115" s="1"/>
    </row>
    <row r="116" spans="3:35" x14ac:dyDescent="0.3">
      <c r="X116" s="1"/>
      <c r="Y116" s="1"/>
      <c r="AG116" s="1"/>
      <c r="AH116" s="1"/>
      <c r="AI116" s="1"/>
    </row>
    <row r="117" spans="3:35" x14ac:dyDescent="0.3">
      <c r="X117" s="1"/>
      <c r="Y117" s="1"/>
      <c r="AG117" s="1"/>
      <c r="AH117" s="1"/>
      <c r="AI117" s="1"/>
    </row>
    <row r="118" spans="3:35" x14ac:dyDescent="0.3">
      <c r="X118" s="1"/>
      <c r="Y118" s="1"/>
      <c r="AG118" s="1"/>
      <c r="AH118" s="1"/>
      <c r="AI118" s="1"/>
    </row>
    <row r="119" spans="3:35" x14ac:dyDescent="0.3">
      <c r="X119" s="1"/>
      <c r="Y119" s="1"/>
      <c r="AG119" s="1"/>
      <c r="AH119" s="1"/>
      <c r="AI119" s="1"/>
    </row>
    <row r="120" spans="3:35" x14ac:dyDescent="0.3">
      <c r="W120" s="1"/>
      <c r="X120" s="1"/>
      <c r="Y120" s="1"/>
      <c r="AI120" s="1"/>
    </row>
    <row r="121" spans="3:35" x14ac:dyDescent="0.3">
      <c r="W121" s="1"/>
      <c r="X121" s="1"/>
      <c r="Y121" s="1"/>
      <c r="AG121" s="1"/>
      <c r="AH121" s="1"/>
      <c r="AI121" s="1"/>
    </row>
    <row r="122" spans="3:35" x14ac:dyDescent="0.3">
      <c r="C122" t="s">
        <v>606</v>
      </c>
      <c r="W122" s="1"/>
      <c r="X122" s="1"/>
      <c r="Y122" s="1"/>
      <c r="AG122" s="1"/>
      <c r="AH122" s="1"/>
      <c r="AI122" s="1"/>
    </row>
    <row r="123" spans="3:35" ht="15" thickBot="1" x14ac:dyDescent="0.35">
      <c r="X123" s="1"/>
      <c r="Y123" s="3"/>
      <c r="AG123" s="1"/>
      <c r="AH123" s="1"/>
      <c r="AI123" s="1"/>
    </row>
    <row r="124" spans="3:35" ht="15" thickBot="1" x14ac:dyDescent="0.35">
      <c r="E124" s="63" t="s">
        <v>637</v>
      </c>
      <c r="W124" s="1"/>
      <c r="X124" s="1"/>
      <c r="Y124" s="1"/>
      <c r="AG124" s="1"/>
      <c r="AH124" s="1"/>
      <c r="AI124" s="1"/>
    </row>
    <row r="125" spans="3:35" x14ac:dyDescent="0.3">
      <c r="D125" s="2" t="s">
        <v>632</v>
      </c>
      <c r="J125" s="5" t="s">
        <v>624</v>
      </c>
      <c r="W125" s="1"/>
      <c r="X125" s="1"/>
      <c r="Y125" s="1"/>
      <c r="AG125" s="1"/>
      <c r="AH125" s="1"/>
      <c r="AI125" s="1"/>
    </row>
    <row r="126" spans="3:35" x14ac:dyDescent="0.3">
      <c r="W126" s="1"/>
      <c r="X126" s="1"/>
      <c r="Y126" s="1"/>
      <c r="AG126" s="1"/>
      <c r="AH126" s="1"/>
      <c r="AI126" s="1"/>
    </row>
    <row r="127" spans="3:35" x14ac:dyDescent="0.3">
      <c r="W127" s="1"/>
      <c r="X127" s="1"/>
      <c r="Y127" s="1"/>
      <c r="AG127" s="1"/>
      <c r="AH127" s="1"/>
      <c r="AI127" s="1"/>
    </row>
    <row r="128" spans="3:35" x14ac:dyDescent="0.3">
      <c r="W128" s="1"/>
      <c r="X128" s="1"/>
      <c r="Y128" s="1"/>
      <c r="AG128" s="1"/>
      <c r="AH128" s="1"/>
      <c r="AI128" s="1"/>
    </row>
    <row r="129" spans="4:35" x14ac:dyDescent="0.3">
      <c r="K129" t="s">
        <v>625</v>
      </c>
      <c r="W129" s="1"/>
      <c r="X129" s="1"/>
      <c r="Y129" s="1"/>
      <c r="AG129" s="1"/>
      <c r="AH129" s="1"/>
      <c r="AI129" s="1"/>
    </row>
    <row r="130" spans="4:35" x14ac:dyDescent="0.3">
      <c r="J130" s="26" t="s">
        <v>619</v>
      </c>
      <c r="K130" s="1">
        <v>101766</v>
      </c>
      <c r="W130" s="1"/>
      <c r="X130" s="1"/>
      <c r="Y130" s="1"/>
      <c r="AG130" s="1"/>
      <c r="AH130" s="1"/>
      <c r="AI130" s="1"/>
    </row>
    <row r="131" spans="4:35" x14ac:dyDescent="0.3">
      <c r="J131" s="26" t="s">
        <v>620</v>
      </c>
      <c r="K131" s="1">
        <v>14396</v>
      </c>
      <c r="W131" s="1"/>
      <c r="X131" s="1"/>
      <c r="Y131" s="1"/>
      <c r="AG131" s="1"/>
      <c r="AH131" s="1"/>
      <c r="AI131" s="1"/>
    </row>
    <row r="132" spans="4:35" x14ac:dyDescent="0.3">
      <c r="J132" s="26" t="s">
        <v>621</v>
      </c>
      <c r="K132" s="1">
        <v>740812</v>
      </c>
      <c r="T132" s="1"/>
      <c r="X132" s="1"/>
      <c r="Y132" s="3"/>
      <c r="AG132" s="1"/>
      <c r="AH132" s="1"/>
      <c r="AI132" s="1"/>
    </row>
    <row r="133" spans="4:35" x14ac:dyDescent="0.3">
      <c r="J133" s="26" t="s">
        <v>622</v>
      </c>
      <c r="K133" s="1">
        <v>473056</v>
      </c>
      <c r="W133" s="1"/>
      <c r="X133" s="1"/>
      <c r="Y133" s="1"/>
      <c r="AG133" s="1"/>
      <c r="AH133" s="1"/>
      <c r="AI133" s="1"/>
    </row>
    <row r="134" spans="4:35" x14ac:dyDescent="0.3">
      <c r="J134" s="26" t="s">
        <v>623</v>
      </c>
      <c r="K134" s="1">
        <v>2895233</v>
      </c>
      <c r="W134" s="1"/>
      <c r="X134" s="1"/>
      <c r="Y134" s="1"/>
      <c r="AG134" s="1"/>
      <c r="AH134" s="1"/>
      <c r="AI134" s="1"/>
    </row>
    <row r="135" spans="4:35" x14ac:dyDescent="0.3">
      <c r="W135" s="1"/>
      <c r="X135" s="1"/>
      <c r="Y135" s="1"/>
      <c r="AG135" s="1"/>
      <c r="AH135" s="1"/>
      <c r="AI135" s="1"/>
    </row>
    <row r="136" spans="4:35" x14ac:dyDescent="0.3">
      <c r="W136" s="1"/>
      <c r="X136" s="1"/>
      <c r="Y136" s="1"/>
      <c r="AG136" s="1"/>
      <c r="AH136" s="1"/>
      <c r="AI136" s="1"/>
    </row>
    <row r="137" spans="4:35" x14ac:dyDescent="0.3">
      <c r="J137" s="77" t="s">
        <v>653</v>
      </c>
      <c r="W137" s="1"/>
      <c r="X137" s="1"/>
      <c r="Y137" s="1"/>
      <c r="AG137" s="1"/>
      <c r="AH137" s="1"/>
      <c r="AI137" s="1"/>
    </row>
    <row r="138" spans="4:35" x14ac:dyDescent="0.3">
      <c r="J138" s="5" t="s">
        <v>654</v>
      </c>
      <c r="W138" s="1"/>
      <c r="X138" s="1"/>
      <c r="Y138" s="1"/>
      <c r="AG138" s="1"/>
      <c r="AH138" s="1"/>
      <c r="AI138" s="1"/>
    </row>
    <row r="139" spans="4:35" x14ac:dyDescent="0.3">
      <c r="W139" s="1"/>
      <c r="X139" s="1"/>
      <c r="Y139" s="1"/>
      <c r="AG139" s="1"/>
      <c r="AH139" s="1"/>
      <c r="AI139" s="1"/>
    </row>
    <row r="140" spans="4:35" x14ac:dyDescent="0.3">
      <c r="W140" s="1"/>
      <c r="X140" s="1"/>
      <c r="Y140" s="1"/>
      <c r="AG140" s="1"/>
      <c r="AH140" s="1"/>
      <c r="AI140" s="1"/>
    </row>
    <row r="141" spans="4:35" x14ac:dyDescent="0.3">
      <c r="W141" s="1"/>
      <c r="X141" s="1"/>
      <c r="Y141" s="1"/>
      <c r="AG141" s="1"/>
      <c r="AH141" s="1"/>
      <c r="AI141" s="1"/>
    </row>
    <row r="142" spans="4:35" x14ac:dyDescent="0.3">
      <c r="W142" s="1"/>
      <c r="X142" s="1"/>
      <c r="Y142" s="1"/>
      <c r="AG142" s="1"/>
      <c r="AH142" s="1"/>
      <c r="AI142" s="1"/>
    </row>
    <row r="143" spans="4:35" x14ac:dyDescent="0.3">
      <c r="W143" s="1"/>
      <c r="X143" s="1"/>
      <c r="Y143" s="1"/>
      <c r="AG143" s="1"/>
      <c r="AH143" s="1"/>
      <c r="AI143" s="1"/>
    </row>
    <row r="144" spans="4:35" x14ac:dyDescent="0.3">
      <c r="D144" t="s">
        <v>606</v>
      </c>
      <c r="W144" s="1"/>
      <c r="X144" s="1"/>
      <c r="Y144" s="1"/>
      <c r="AG144" s="1"/>
      <c r="AH144" s="1"/>
      <c r="AI144" s="1"/>
    </row>
    <row r="145" spans="3:35" x14ac:dyDescent="0.3">
      <c r="W145" s="1"/>
      <c r="X145" s="1"/>
      <c r="Y145" s="1"/>
      <c r="AG145" s="1"/>
      <c r="AH145" s="1"/>
      <c r="AI145" s="1"/>
    </row>
    <row r="146" spans="3:35" x14ac:dyDescent="0.3">
      <c r="W146" s="1"/>
      <c r="X146" s="1"/>
      <c r="Y146" s="1"/>
      <c r="AG146" s="1"/>
      <c r="AH146" s="1"/>
      <c r="AI146" s="1"/>
    </row>
    <row r="147" spans="3:35" x14ac:dyDescent="0.3">
      <c r="W147" s="1"/>
      <c r="X147" s="1"/>
      <c r="Y147" s="1"/>
      <c r="AG147" s="1"/>
      <c r="AH147" s="1"/>
      <c r="AI147" s="1"/>
    </row>
    <row r="148" spans="3:35" x14ac:dyDescent="0.3">
      <c r="W148" s="1"/>
      <c r="X148" s="1"/>
      <c r="Y148" s="1"/>
      <c r="AG148" s="1"/>
      <c r="AH148" s="1"/>
      <c r="AI148" s="1"/>
    </row>
    <row r="149" spans="3:35" x14ac:dyDescent="0.3">
      <c r="W149" s="1"/>
      <c r="X149" s="1"/>
      <c r="Y149" s="1"/>
      <c r="AG149" s="1"/>
      <c r="AH149" s="1"/>
      <c r="AI149" s="1"/>
    </row>
    <row r="150" spans="3:35" x14ac:dyDescent="0.3">
      <c r="W150" s="1"/>
      <c r="X150" s="1"/>
      <c r="Y150" s="1"/>
      <c r="AG150" s="1"/>
      <c r="AH150" s="1"/>
      <c r="AI150" s="1"/>
    </row>
    <row r="151" spans="3:35" x14ac:dyDescent="0.3">
      <c r="C151" s="41" t="s">
        <v>631</v>
      </c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X151" s="1"/>
      <c r="Y151" s="3"/>
      <c r="AG151" s="1"/>
      <c r="AH151" s="1"/>
      <c r="AI151" s="1"/>
    </row>
    <row r="152" spans="3:35" x14ac:dyDescent="0.3">
      <c r="W152" s="1"/>
      <c r="X152" s="1"/>
      <c r="Y152" s="1"/>
      <c r="AI152" s="1"/>
    </row>
    <row r="153" spans="3:35" x14ac:dyDescent="0.3">
      <c r="C153" t="s">
        <v>644</v>
      </c>
      <c r="W153" s="1"/>
      <c r="X153" s="1"/>
      <c r="Y153" s="1"/>
      <c r="AG153" s="1"/>
      <c r="AH153" s="1"/>
      <c r="AI153" s="1"/>
    </row>
    <row r="154" spans="3:35" x14ac:dyDescent="0.3">
      <c r="C154" t="s">
        <v>645</v>
      </c>
      <c r="W154" s="1"/>
      <c r="X154" s="1"/>
      <c r="Y154" s="1"/>
      <c r="AG154" s="1"/>
      <c r="AH154" s="1"/>
      <c r="AI154" s="1"/>
    </row>
    <row r="155" spans="3:35" x14ac:dyDescent="0.3">
      <c r="C155" t="s">
        <v>638</v>
      </c>
      <c r="W155" s="1"/>
      <c r="X155" s="1"/>
      <c r="Y155" s="1"/>
      <c r="AG155" s="1"/>
      <c r="AH155" s="1"/>
      <c r="AI155" s="1"/>
    </row>
    <row r="156" spans="3:35" x14ac:dyDescent="0.3">
      <c r="C156" t="s">
        <v>640</v>
      </c>
      <c r="W156" s="1"/>
      <c r="X156" s="1"/>
      <c r="Y156" s="1"/>
      <c r="AG156" s="1"/>
      <c r="AH156" s="1"/>
      <c r="AI156" s="1"/>
    </row>
    <row r="157" spans="3:35" x14ac:dyDescent="0.3">
      <c r="C157" t="s">
        <v>641</v>
      </c>
      <c r="W157" s="1"/>
      <c r="X157" s="1"/>
      <c r="Y157" s="1"/>
      <c r="AG157" s="1"/>
      <c r="AH157" s="1"/>
      <c r="AI157" s="1"/>
    </row>
    <row r="158" spans="3:35" x14ac:dyDescent="0.3">
      <c r="C158" t="s">
        <v>639</v>
      </c>
      <c r="W158" s="1"/>
      <c r="X158" s="1"/>
      <c r="Y158" s="1"/>
      <c r="AG158" s="1"/>
      <c r="AH158" s="1"/>
      <c r="AI158" s="1"/>
    </row>
    <row r="159" spans="3:35" x14ac:dyDescent="0.3">
      <c r="W159" s="1"/>
      <c r="X159" s="1"/>
      <c r="Y159" s="1"/>
      <c r="AG159" s="1"/>
      <c r="AH159" s="1"/>
      <c r="AI159" s="1"/>
    </row>
    <row r="160" spans="3:35" x14ac:dyDescent="0.3">
      <c r="W160" s="1"/>
      <c r="X160" s="1"/>
      <c r="Y160" s="1"/>
      <c r="AG160" s="1"/>
      <c r="AH160" s="1"/>
      <c r="AI160" s="1"/>
    </row>
    <row r="161" spans="3:35" x14ac:dyDescent="0.3">
      <c r="W161" s="1"/>
      <c r="X161" s="1"/>
      <c r="Y161" s="1"/>
      <c r="AG161" s="1"/>
      <c r="AH161" s="1"/>
      <c r="AI161" s="1"/>
    </row>
    <row r="162" spans="3:35" x14ac:dyDescent="0.3">
      <c r="C162" s="41" t="s">
        <v>642</v>
      </c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W162" s="1"/>
      <c r="X162" s="1"/>
      <c r="Y162" s="1"/>
      <c r="AG162" s="1"/>
      <c r="AH162" s="1"/>
      <c r="AI162" s="1"/>
    </row>
    <row r="163" spans="3:35" x14ac:dyDescent="0.3">
      <c r="W163" s="1"/>
      <c r="X163" s="1"/>
      <c r="Y163" s="1"/>
      <c r="AG163" s="1"/>
      <c r="AH163" s="1"/>
      <c r="AI163" s="1"/>
    </row>
    <row r="164" spans="3:35" x14ac:dyDescent="0.3">
      <c r="C164" t="s">
        <v>646</v>
      </c>
      <c r="W164" s="1"/>
      <c r="X164" s="1"/>
      <c r="Y164" s="1"/>
      <c r="AG164" s="1"/>
      <c r="AH164" s="1"/>
      <c r="AI164" s="1"/>
    </row>
    <row r="165" spans="3:35" x14ac:dyDescent="0.3">
      <c r="C165" t="s">
        <v>652</v>
      </c>
      <c r="W165" s="1"/>
      <c r="X165" s="1"/>
      <c r="Y165" s="1"/>
      <c r="AG165" s="1"/>
      <c r="AH165" s="1"/>
      <c r="AI165" s="1"/>
    </row>
    <row r="166" spans="3:35" x14ac:dyDescent="0.3">
      <c r="W166" s="1"/>
      <c r="X166" s="1"/>
      <c r="Y166" s="1"/>
      <c r="AG166" s="1"/>
      <c r="AH166" s="1"/>
      <c r="AI166" s="1"/>
    </row>
    <row r="167" spans="3:35" x14ac:dyDescent="0.3">
      <c r="C167" s="5" t="s">
        <v>685</v>
      </c>
      <c r="X167" s="1"/>
      <c r="Y167" s="3"/>
      <c r="AG167" s="1"/>
      <c r="AH167" s="1"/>
      <c r="AI167" s="1"/>
    </row>
    <row r="168" spans="3:35" x14ac:dyDescent="0.3">
      <c r="W168" s="1"/>
      <c r="X168" s="1"/>
      <c r="Y168" s="3"/>
      <c r="AG168" s="1"/>
      <c r="AH168" s="1"/>
      <c r="AI168" s="1"/>
    </row>
    <row r="169" spans="3:35" x14ac:dyDescent="0.3">
      <c r="X169" s="1"/>
      <c r="Y169" s="1"/>
      <c r="AG169" s="1"/>
      <c r="AH169" s="1"/>
      <c r="AI169" s="1"/>
    </row>
    <row r="170" spans="3:35" x14ac:dyDescent="0.3">
      <c r="C170" s="2" t="s">
        <v>693</v>
      </c>
      <c r="X170" s="1"/>
      <c r="Y170" s="1"/>
      <c r="AG170" s="1"/>
      <c r="AH170" s="1"/>
      <c r="AI170" s="1"/>
    </row>
    <row r="171" spans="3:35" x14ac:dyDescent="0.3">
      <c r="C171" s="2" t="s">
        <v>3</v>
      </c>
      <c r="D171" s="2" t="s">
        <v>23</v>
      </c>
      <c r="E171" s="2" t="s">
        <v>24</v>
      </c>
      <c r="F171" s="2" t="s">
        <v>25</v>
      </c>
      <c r="G171" s="2" t="s">
        <v>656</v>
      </c>
      <c r="H171" s="2" t="s">
        <v>657</v>
      </c>
      <c r="X171" s="1"/>
      <c r="Y171" s="1"/>
      <c r="AG171" s="1"/>
      <c r="AH171" s="1"/>
      <c r="AI171" s="1"/>
    </row>
    <row r="172" spans="3:35" x14ac:dyDescent="0.3">
      <c r="C172" s="80" t="s">
        <v>30</v>
      </c>
      <c r="D172" s="1">
        <v>2743</v>
      </c>
      <c r="E172" s="1">
        <v>2886</v>
      </c>
      <c r="F172" s="1">
        <v>3283</v>
      </c>
      <c r="G172" s="3">
        <v>2970.6666666666665</v>
      </c>
      <c r="H172" t="s">
        <v>658</v>
      </c>
      <c r="X172" s="1"/>
      <c r="Y172" s="1"/>
      <c r="AG172" s="1"/>
      <c r="AH172" s="1"/>
      <c r="AI172" s="1"/>
    </row>
    <row r="173" spans="3:35" x14ac:dyDescent="0.3">
      <c r="C173" s="80" t="s">
        <v>35</v>
      </c>
      <c r="D173" s="1">
        <v>2601</v>
      </c>
      <c r="E173" s="1">
        <v>2860</v>
      </c>
      <c r="F173" s="1">
        <v>3273</v>
      </c>
      <c r="G173" s="3">
        <v>2911.3333333333335</v>
      </c>
      <c r="H173" t="s">
        <v>659</v>
      </c>
      <c r="X173" s="1"/>
      <c r="Y173" s="1"/>
      <c r="AG173" s="1"/>
      <c r="AH173" s="1"/>
      <c r="AI173" s="1"/>
    </row>
    <row r="174" spans="3:35" x14ac:dyDescent="0.3">
      <c r="C174" s="80" t="s">
        <v>43</v>
      </c>
      <c r="D174" s="1">
        <v>1629</v>
      </c>
      <c r="E174" s="1">
        <v>3900</v>
      </c>
      <c r="F174" s="1">
        <v>2796</v>
      </c>
      <c r="G174" s="3">
        <v>2775</v>
      </c>
      <c r="H174" t="s">
        <v>660</v>
      </c>
      <c r="X174" s="1"/>
      <c r="Y174" s="1"/>
      <c r="AG174" s="1"/>
      <c r="AH174" s="1"/>
      <c r="AI174" s="1"/>
    </row>
    <row r="175" spans="3:35" x14ac:dyDescent="0.3">
      <c r="C175" s="80" t="s">
        <v>37</v>
      </c>
      <c r="D175" s="1">
        <v>1735</v>
      </c>
      <c r="E175" s="1">
        <v>3489</v>
      </c>
      <c r="F175" s="1">
        <v>2806</v>
      </c>
      <c r="G175" s="3">
        <v>2676.6666666666665</v>
      </c>
      <c r="H175" t="s">
        <v>661</v>
      </c>
      <c r="X175" s="1"/>
      <c r="Y175" s="1"/>
      <c r="AG175" s="1"/>
      <c r="AH175" s="1"/>
      <c r="AI175" s="1"/>
    </row>
    <row r="176" spans="3:35" x14ac:dyDescent="0.3">
      <c r="C176" s="80" t="s">
        <v>38</v>
      </c>
      <c r="D176" s="1">
        <v>2764</v>
      </c>
      <c r="E176" s="1">
        <v>2879</v>
      </c>
      <c r="F176" s="1">
        <v>2314</v>
      </c>
      <c r="G176" s="3">
        <v>2652.3333333333335</v>
      </c>
      <c r="H176" t="s">
        <v>662</v>
      </c>
      <c r="X176" s="1"/>
      <c r="Y176" s="1"/>
      <c r="AG176" s="1"/>
      <c r="AH176" s="1"/>
      <c r="AI176" s="1"/>
    </row>
    <row r="177" spans="3:35" x14ac:dyDescent="0.3">
      <c r="C177" s="80" t="s">
        <v>51</v>
      </c>
      <c r="D177" s="1">
        <v>2660</v>
      </c>
      <c r="E177" s="1">
        <v>2581</v>
      </c>
      <c r="F177" s="1">
        <v>2652</v>
      </c>
      <c r="G177" s="3">
        <v>2631</v>
      </c>
      <c r="H177" t="s">
        <v>663</v>
      </c>
      <c r="X177" s="1"/>
      <c r="Y177" s="1"/>
      <c r="AG177" s="1"/>
      <c r="AH177" s="1"/>
      <c r="AI177" s="1"/>
    </row>
    <row r="178" spans="3:35" x14ac:dyDescent="0.3">
      <c r="C178" s="80" t="s">
        <v>45</v>
      </c>
      <c r="D178" s="1">
        <v>1500</v>
      </c>
      <c r="E178" s="1">
        <v>3492</v>
      </c>
      <c r="F178" s="1">
        <v>2840</v>
      </c>
      <c r="G178" s="3">
        <v>2610.6666666666665</v>
      </c>
      <c r="H178" t="s">
        <v>664</v>
      </c>
      <c r="X178" s="1"/>
      <c r="Y178" s="1"/>
      <c r="AG178" s="1"/>
      <c r="AH178" s="1"/>
      <c r="AI178" s="1"/>
    </row>
    <row r="179" spans="3:35" x14ac:dyDescent="0.3">
      <c r="C179" s="80" t="s">
        <v>40</v>
      </c>
      <c r="D179" s="1">
        <v>1500</v>
      </c>
      <c r="E179" s="1">
        <v>3786</v>
      </c>
      <c r="F179" s="1">
        <v>2500</v>
      </c>
      <c r="G179" s="3">
        <v>2595.3333333333335</v>
      </c>
      <c r="H179" t="s">
        <v>665</v>
      </c>
      <c r="X179" s="1"/>
      <c r="Y179" s="1"/>
      <c r="AG179" s="1"/>
      <c r="AH179" s="1"/>
      <c r="AI179" s="1"/>
    </row>
    <row r="180" spans="3:35" x14ac:dyDescent="0.3">
      <c r="C180" s="80" t="s">
        <v>39</v>
      </c>
      <c r="D180" s="1">
        <v>1500</v>
      </c>
      <c r="E180" s="1">
        <v>3514</v>
      </c>
      <c r="F180" s="1">
        <v>2695</v>
      </c>
      <c r="G180" s="3">
        <v>2569.6666666666665</v>
      </c>
      <c r="H180" t="s">
        <v>666</v>
      </c>
      <c r="X180" s="1"/>
      <c r="Y180" s="1"/>
      <c r="AG180" s="1"/>
      <c r="AH180" s="1"/>
      <c r="AI180" s="1"/>
    </row>
    <row r="181" spans="3:35" x14ac:dyDescent="0.3">
      <c r="C181" s="80" t="s">
        <v>44</v>
      </c>
      <c r="D181" s="1">
        <v>1500</v>
      </c>
      <c r="E181" s="1">
        <v>3472</v>
      </c>
      <c r="F181" s="1">
        <v>2623</v>
      </c>
      <c r="G181" s="3">
        <v>2531.6666666666665</v>
      </c>
      <c r="H181" t="s">
        <v>667</v>
      </c>
      <c r="X181" s="1"/>
      <c r="Y181" s="1"/>
      <c r="AG181" s="1"/>
      <c r="AH181" s="1"/>
      <c r="AI181" s="1"/>
    </row>
    <row r="182" spans="3:35" x14ac:dyDescent="0.3">
      <c r="C182" s="80" t="s">
        <v>46</v>
      </c>
      <c r="D182" s="1">
        <v>1500</v>
      </c>
      <c r="E182" s="1">
        <v>3470</v>
      </c>
      <c r="F182" s="1">
        <v>2575</v>
      </c>
      <c r="G182" s="3">
        <v>2515</v>
      </c>
      <c r="H182" t="s">
        <v>668</v>
      </c>
      <c r="X182" s="1"/>
      <c r="Y182" s="1"/>
      <c r="AG182" s="1"/>
      <c r="AH182" s="1"/>
      <c r="AI182" s="1"/>
    </row>
    <row r="183" spans="3:35" x14ac:dyDescent="0.3">
      <c r="C183" s="80" t="s">
        <v>36</v>
      </c>
      <c r="D183" s="1">
        <v>1500</v>
      </c>
      <c r="E183" s="1">
        <v>3300</v>
      </c>
      <c r="F183" s="1">
        <v>2700</v>
      </c>
      <c r="G183" s="3">
        <v>2500</v>
      </c>
      <c r="H183" t="s">
        <v>669</v>
      </c>
      <c r="X183" s="1"/>
      <c r="Y183" s="1"/>
      <c r="AG183" s="1"/>
      <c r="AH183" s="1"/>
      <c r="AI183" s="1"/>
    </row>
    <row r="184" spans="3:35" x14ac:dyDescent="0.3">
      <c r="C184" s="80" t="s">
        <v>42</v>
      </c>
      <c r="D184" s="1">
        <v>1500</v>
      </c>
      <c r="E184" s="1">
        <v>3500</v>
      </c>
      <c r="F184" s="1">
        <v>2500</v>
      </c>
      <c r="G184" s="3">
        <v>2500</v>
      </c>
      <c r="H184" t="s">
        <v>670</v>
      </c>
      <c r="X184" s="1"/>
      <c r="Y184" s="1"/>
      <c r="AG184" s="1"/>
      <c r="AH184" s="1"/>
      <c r="AI184" s="1"/>
    </row>
    <row r="185" spans="3:35" x14ac:dyDescent="0.3">
      <c r="C185" s="80" t="s">
        <v>58</v>
      </c>
      <c r="D185" s="1">
        <v>1500</v>
      </c>
      <c r="E185" s="1">
        <v>3500</v>
      </c>
      <c r="F185" s="1">
        <v>2500</v>
      </c>
      <c r="G185" s="3">
        <v>2500</v>
      </c>
      <c r="H185" t="s">
        <v>671</v>
      </c>
      <c r="X185" s="1"/>
      <c r="Y185" s="1"/>
      <c r="AG185" s="1"/>
      <c r="AH185" s="1"/>
      <c r="AI185" s="1"/>
    </row>
    <row r="186" spans="3:35" x14ac:dyDescent="0.3">
      <c r="C186" s="80" t="s">
        <v>29</v>
      </c>
      <c r="D186" s="1">
        <v>1500</v>
      </c>
      <c r="E186" s="1">
        <v>3010</v>
      </c>
      <c r="F186" s="1">
        <v>2657</v>
      </c>
      <c r="G186" s="3">
        <v>2389</v>
      </c>
      <c r="H186" t="s">
        <v>672</v>
      </c>
      <c r="X186" s="1"/>
      <c r="Y186" s="1"/>
      <c r="AG186" s="1"/>
      <c r="AH186" s="1"/>
      <c r="AI186" s="1"/>
    </row>
    <row r="187" spans="3:35" x14ac:dyDescent="0.3">
      <c r="C187" s="80" t="s">
        <v>48</v>
      </c>
      <c r="D187" s="1">
        <v>1500</v>
      </c>
      <c r="E187" s="1">
        <v>3500</v>
      </c>
      <c r="F187" s="1">
        <v>2163</v>
      </c>
      <c r="G187" s="3">
        <v>2387.6666666666665</v>
      </c>
      <c r="H187" t="s">
        <v>673</v>
      </c>
      <c r="X187" s="1"/>
      <c r="Y187" s="1"/>
      <c r="AG187" s="1"/>
      <c r="AH187" s="1"/>
      <c r="AI187" s="1"/>
    </row>
    <row r="188" spans="3:35" x14ac:dyDescent="0.3">
      <c r="C188" s="80" t="s">
        <v>12</v>
      </c>
      <c r="D188" s="1">
        <v>2423</v>
      </c>
      <c r="E188" s="1">
        <v>2351</v>
      </c>
      <c r="F188" s="1">
        <v>2368</v>
      </c>
      <c r="G188" s="3">
        <v>2380.6666666666665</v>
      </c>
      <c r="H188" t="s">
        <v>675</v>
      </c>
      <c r="X188" s="1"/>
      <c r="Y188" s="1"/>
      <c r="AI188" s="1"/>
    </row>
    <row r="189" spans="3:35" x14ac:dyDescent="0.3">
      <c r="C189" s="80" t="s">
        <v>47</v>
      </c>
      <c r="D189" s="1">
        <v>2700</v>
      </c>
      <c r="E189" s="1">
        <v>2500</v>
      </c>
      <c r="F189" s="1">
        <v>1700</v>
      </c>
      <c r="G189" s="3">
        <v>2300</v>
      </c>
      <c r="H189" t="s">
        <v>676</v>
      </c>
      <c r="X189" s="1"/>
      <c r="Y189" s="1"/>
      <c r="AG189" s="1"/>
      <c r="AH189" s="1"/>
      <c r="AI189" s="1"/>
    </row>
    <row r="190" spans="3:35" x14ac:dyDescent="0.3">
      <c r="C190" s="80" t="s">
        <v>32</v>
      </c>
      <c r="D190" s="1">
        <v>1500</v>
      </c>
      <c r="E190" s="1">
        <v>3066</v>
      </c>
      <c r="F190" s="1">
        <v>2329</v>
      </c>
      <c r="G190" s="3">
        <v>2298.3333333333335</v>
      </c>
      <c r="H190" t="s">
        <v>677</v>
      </c>
      <c r="X190" s="1"/>
      <c r="Y190" s="1"/>
      <c r="AG190" s="1"/>
      <c r="AH190" s="1"/>
      <c r="AI190" s="1"/>
    </row>
    <row r="191" spans="3:35" x14ac:dyDescent="0.3">
      <c r="C191" s="80" t="s">
        <v>31</v>
      </c>
      <c r="D191" s="1">
        <v>1500</v>
      </c>
      <c r="E191" s="1">
        <v>3038</v>
      </c>
      <c r="F191" s="1">
        <v>2340</v>
      </c>
      <c r="G191" s="3">
        <v>2292.6666666666665</v>
      </c>
      <c r="H191" t="s">
        <v>678</v>
      </c>
      <c r="X191" s="1"/>
      <c r="Y191" s="1"/>
      <c r="AG191" s="1"/>
      <c r="AH191" s="1"/>
      <c r="AI191" s="1"/>
    </row>
    <row r="192" spans="3:35" x14ac:dyDescent="0.3">
      <c r="C192" s="80" t="s">
        <v>34</v>
      </c>
      <c r="D192" s="1">
        <v>1500</v>
      </c>
      <c r="E192" s="1">
        <v>3044</v>
      </c>
      <c r="F192" s="1">
        <v>2300</v>
      </c>
      <c r="G192" s="3">
        <v>2281.3333333333335</v>
      </c>
      <c r="H192" t="s">
        <v>679</v>
      </c>
      <c r="X192" s="1"/>
      <c r="Y192" s="1"/>
      <c r="AG192" s="1"/>
      <c r="AH192" s="1"/>
      <c r="AI192" s="1"/>
    </row>
    <row r="193" spans="3:35" x14ac:dyDescent="0.3">
      <c r="C193" s="80" t="s">
        <v>28</v>
      </c>
      <c r="D193" s="1">
        <v>2570</v>
      </c>
      <c r="E193" s="1">
        <v>2420</v>
      </c>
      <c r="F193" s="1">
        <v>1800</v>
      </c>
      <c r="G193" s="3">
        <v>2263.3333333333335</v>
      </c>
      <c r="H193" t="s">
        <v>680</v>
      </c>
      <c r="X193" s="1"/>
      <c r="Y193" s="1"/>
      <c r="AG193" s="1"/>
      <c r="AH193" s="1"/>
      <c r="AI193" s="1"/>
    </row>
    <row r="194" spans="3:35" x14ac:dyDescent="0.3">
      <c r="C194" s="80" t="s">
        <v>27</v>
      </c>
      <c r="D194" s="1">
        <v>1500</v>
      </c>
      <c r="E194" s="1">
        <v>3040</v>
      </c>
      <c r="F194" s="1">
        <v>2200</v>
      </c>
      <c r="G194" s="3">
        <v>2246.6666666666665</v>
      </c>
      <c r="H194" t="s">
        <v>681</v>
      </c>
      <c r="X194" s="1"/>
      <c r="Y194" s="1"/>
      <c r="AG194" s="1"/>
      <c r="AH194" s="1"/>
      <c r="AI194" s="1"/>
    </row>
    <row r="195" spans="3:35" x14ac:dyDescent="0.3">
      <c r="C195" s="80" t="s">
        <v>41</v>
      </c>
      <c r="D195" s="1">
        <v>2857</v>
      </c>
      <c r="E195" s="1">
        <v>2318</v>
      </c>
      <c r="F195" s="1">
        <v>1134</v>
      </c>
      <c r="G195" s="3">
        <v>2103</v>
      </c>
      <c r="H195" t="s">
        <v>682</v>
      </c>
      <c r="X195" s="1"/>
      <c r="Y195" s="1"/>
      <c r="AG195" s="1"/>
      <c r="AH195" s="1"/>
      <c r="AI195" s="1"/>
    </row>
    <row r="196" spans="3:35" x14ac:dyDescent="0.3">
      <c r="C196" s="80" t="s">
        <v>33</v>
      </c>
      <c r="D196" s="1">
        <v>2564</v>
      </c>
      <c r="E196" s="1">
        <v>2286</v>
      </c>
      <c r="F196" s="1">
        <v>1095</v>
      </c>
      <c r="G196" s="3">
        <v>1981.6666666666667</v>
      </c>
      <c r="H196" t="s">
        <v>683</v>
      </c>
      <c r="X196" s="1"/>
      <c r="Y196" s="1"/>
      <c r="AG196" s="1"/>
      <c r="AH196" s="1"/>
      <c r="AI196" s="1"/>
    </row>
    <row r="197" spans="3:35" x14ac:dyDescent="0.3">
      <c r="C197" s="80" t="s">
        <v>26</v>
      </c>
      <c r="D197" s="1">
        <v>2728</v>
      </c>
      <c r="E197" s="1">
        <v>1767</v>
      </c>
      <c r="F197" s="1">
        <v>700</v>
      </c>
      <c r="G197" s="3">
        <v>1731.6666666666667</v>
      </c>
      <c r="H197" t="s">
        <v>684</v>
      </c>
      <c r="X197" s="1"/>
      <c r="Y197" s="1"/>
      <c r="AG197" s="1"/>
      <c r="AH197" s="1"/>
      <c r="AI197" s="1"/>
    </row>
    <row r="198" spans="3:35" x14ac:dyDescent="0.3">
      <c r="X198" s="1"/>
      <c r="Y198" s="1"/>
      <c r="AG198" s="1"/>
      <c r="AH198" s="1"/>
      <c r="AI198" s="1"/>
    </row>
    <row r="199" spans="3:35" x14ac:dyDescent="0.3">
      <c r="X199" s="1"/>
      <c r="Y199" s="1"/>
      <c r="AG199" s="1"/>
      <c r="AH199" s="1"/>
      <c r="AI199" s="1"/>
    </row>
    <row r="200" spans="3:35" x14ac:dyDescent="0.3">
      <c r="C200" s="81" t="s">
        <v>686</v>
      </c>
      <c r="X200" s="1"/>
      <c r="Y200" s="1"/>
      <c r="AG200" s="1"/>
      <c r="AH200" s="1"/>
      <c r="AI200" s="1"/>
    </row>
    <row r="201" spans="3:35" x14ac:dyDescent="0.3">
      <c r="C201" s="82" t="s">
        <v>3</v>
      </c>
      <c r="D201" s="83" t="s">
        <v>25</v>
      </c>
      <c r="E201" s="83" t="s">
        <v>24</v>
      </c>
      <c r="F201" s="83" t="s">
        <v>23</v>
      </c>
      <c r="G201" s="83" t="s">
        <v>22</v>
      </c>
      <c r="H201" s="83" t="s">
        <v>21</v>
      </c>
      <c r="I201" s="83" t="s">
        <v>687</v>
      </c>
      <c r="J201" s="83" t="s">
        <v>688</v>
      </c>
      <c r="K201" s="83" t="s">
        <v>689</v>
      </c>
      <c r="L201" s="83" t="s">
        <v>690</v>
      </c>
      <c r="M201" s="83" t="s">
        <v>691</v>
      </c>
      <c r="N201" s="83" t="s">
        <v>692</v>
      </c>
      <c r="O201" s="10"/>
      <c r="X201" s="1"/>
      <c r="Y201" s="1"/>
      <c r="AG201" s="1"/>
      <c r="AH201" s="1"/>
      <c r="AI201" s="1"/>
    </row>
    <row r="202" spans="3:35" x14ac:dyDescent="0.3">
      <c r="C202" s="28" t="s">
        <v>35</v>
      </c>
      <c r="D202" t="s">
        <v>658</v>
      </c>
      <c r="E202" t="s">
        <v>659</v>
      </c>
      <c r="F202" t="s">
        <v>659</v>
      </c>
      <c r="G202" t="s">
        <v>659</v>
      </c>
      <c r="X202" s="1"/>
      <c r="Y202" s="1"/>
      <c r="AG202" s="1"/>
      <c r="AH202" s="1"/>
      <c r="AI202" s="1"/>
    </row>
    <row r="203" spans="3:35" x14ac:dyDescent="0.3">
      <c r="C203" s="28" t="s">
        <v>30</v>
      </c>
      <c r="D203" t="s">
        <v>659</v>
      </c>
      <c r="E203" t="s">
        <v>660</v>
      </c>
      <c r="F203" t="s">
        <v>660</v>
      </c>
      <c r="G203" t="s">
        <v>661</v>
      </c>
      <c r="X203" s="1"/>
      <c r="Y203" s="1"/>
      <c r="AG203" s="1"/>
      <c r="AH203" s="1"/>
      <c r="AI203" s="1"/>
    </row>
    <row r="204" spans="3:35" x14ac:dyDescent="0.3">
      <c r="C204" s="28" t="s">
        <v>41</v>
      </c>
      <c r="D204" t="s">
        <v>660</v>
      </c>
      <c r="E204" t="s">
        <v>658</v>
      </c>
      <c r="F204" t="s">
        <v>658</v>
      </c>
      <c r="G204" t="s">
        <v>658</v>
      </c>
      <c r="X204" s="1"/>
      <c r="Y204" s="1"/>
      <c r="AG204" s="1"/>
      <c r="AH204" s="1"/>
      <c r="AI204" s="1"/>
    </row>
    <row r="205" spans="3:35" x14ac:dyDescent="0.3">
      <c r="C205" s="28" t="s">
        <v>37</v>
      </c>
      <c r="D205" t="s">
        <v>661</v>
      </c>
      <c r="E205" t="s">
        <v>661</v>
      </c>
      <c r="F205" t="s">
        <v>663</v>
      </c>
      <c r="G205" t="s">
        <v>663</v>
      </c>
      <c r="X205" s="1"/>
      <c r="Y205" s="1"/>
      <c r="AG205" s="1"/>
      <c r="AH205" s="1"/>
      <c r="AI205" s="1"/>
    </row>
    <row r="206" spans="3:35" x14ac:dyDescent="0.3">
      <c r="C206" s="28" t="s">
        <v>38</v>
      </c>
      <c r="D206" t="s">
        <v>662</v>
      </c>
      <c r="E206" t="s">
        <v>663</v>
      </c>
      <c r="F206" t="s">
        <v>662</v>
      </c>
      <c r="G206" t="s">
        <v>662</v>
      </c>
      <c r="X206" s="1"/>
      <c r="Y206" s="1"/>
      <c r="AG206" s="1"/>
      <c r="AH206" s="1"/>
      <c r="AI206" s="1"/>
    </row>
    <row r="207" spans="3:35" x14ac:dyDescent="0.3">
      <c r="C207" s="28" t="s">
        <v>43</v>
      </c>
      <c r="D207" t="s">
        <v>663</v>
      </c>
      <c r="E207" t="s">
        <v>662</v>
      </c>
      <c r="F207" t="s">
        <v>664</v>
      </c>
      <c r="G207" t="s">
        <v>664</v>
      </c>
      <c r="X207" s="1"/>
      <c r="Y207" s="1"/>
      <c r="AG207" s="1"/>
      <c r="AH207" s="1"/>
      <c r="AI207" s="1"/>
    </row>
    <row r="208" spans="3:35" x14ac:dyDescent="0.3">
      <c r="C208" s="28" t="s">
        <v>44</v>
      </c>
      <c r="D208" t="s">
        <v>664</v>
      </c>
      <c r="E208" t="s">
        <v>666</v>
      </c>
      <c r="F208" t="s">
        <v>668</v>
      </c>
      <c r="G208" t="s">
        <v>667</v>
      </c>
      <c r="X208" s="1"/>
      <c r="Y208" s="1"/>
      <c r="AG208" s="1"/>
      <c r="AH208" s="1"/>
      <c r="AI208" s="1"/>
    </row>
    <row r="209" spans="3:35" x14ac:dyDescent="0.3">
      <c r="C209" s="28" t="s">
        <v>12</v>
      </c>
      <c r="D209" t="s">
        <v>665</v>
      </c>
      <c r="E209" t="s">
        <v>665</v>
      </c>
      <c r="F209" t="s">
        <v>665</v>
      </c>
      <c r="G209" t="s">
        <v>665</v>
      </c>
      <c r="X209" s="1"/>
      <c r="Y209" s="1"/>
      <c r="AG209" s="1"/>
      <c r="AH209" s="1"/>
      <c r="AI209" s="1"/>
    </row>
    <row r="210" spans="3:35" x14ac:dyDescent="0.3">
      <c r="C210" s="28" t="s">
        <v>26</v>
      </c>
      <c r="D210" t="s">
        <v>666</v>
      </c>
      <c r="E210" t="s">
        <v>664</v>
      </c>
      <c r="F210" t="s">
        <v>661</v>
      </c>
      <c r="G210" t="s">
        <v>660</v>
      </c>
      <c r="X210" s="1"/>
      <c r="Y210" s="1"/>
      <c r="AG210" s="1"/>
      <c r="AH210" s="1"/>
      <c r="AI210" s="1"/>
    </row>
    <row r="211" spans="3:35" x14ac:dyDescent="0.3">
      <c r="C211" s="28" t="s">
        <v>51</v>
      </c>
      <c r="D211" t="s">
        <v>667</v>
      </c>
      <c r="E211" t="s">
        <v>671</v>
      </c>
      <c r="F211" t="s">
        <v>666</v>
      </c>
      <c r="G211" t="s">
        <v>666</v>
      </c>
      <c r="X211" s="1"/>
      <c r="Y211" s="1"/>
      <c r="AG211" s="1"/>
      <c r="AH211" s="1"/>
      <c r="AI211" s="1"/>
    </row>
    <row r="212" spans="3:35" x14ac:dyDescent="0.3">
      <c r="C212" s="28" t="s">
        <v>40</v>
      </c>
      <c r="D212" t="s">
        <v>668</v>
      </c>
      <c r="E212" t="s">
        <v>668</v>
      </c>
      <c r="F212" t="s">
        <v>669</v>
      </c>
      <c r="G212" t="s">
        <v>669</v>
      </c>
      <c r="I212" s="5" t="s">
        <v>694</v>
      </c>
      <c r="X212" s="1"/>
      <c r="Y212" s="1"/>
      <c r="AG212" s="1"/>
      <c r="AH212" s="1"/>
      <c r="AI212" s="1"/>
    </row>
    <row r="213" spans="3:35" x14ac:dyDescent="0.3">
      <c r="C213" s="28" t="s">
        <v>36</v>
      </c>
      <c r="D213" t="s">
        <v>669</v>
      </c>
      <c r="E213" t="s">
        <v>669</v>
      </c>
      <c r="F213" t="s">
        <v>671</v>
      </c>
      <c r="G213" t="s">
        <v>670</v>
      </c>
      <c r="X213" s="1"/>
      <c r="Y213" s="1"/>
      <c r="AG213" s="1"/>
      <c r="AH213" s="1"/>
      <c r="AI213" s="1"/>
    </row>
    <row r="214" spans="3:35" x14ac:dyDescent="0.3">
      <c r="C214" s="28" t="s">
        <v>46</v>
      </c>
      <c r="D214" t="s">
        <v>670</v>
      </c>
      <c r="E214" t="s">
        <v>670</v>
      </c>
      <c r="F214" t="s">
        <v>672</v>
      </c>
      <c r="G214" t="s">
        <v>672</v>
      </c>
      <c r="X214" s="1"/>
      <c r="Y214" s="1"/>
      <c r="AG214" s="1"/>
      <c r="AH214" s="1"/>
      <c r="AI214" s="1"/>
    </row>
    <row r="215" spans="3:35" x14ac:dyDescent="0.3">
      <c r="C215" s="28" t="s">
        <v>33</v>
      </c>
      <c r="D215" t="s">
        <v>671</v>
      </c>
      <c r="E215" t="s">
        <v>667</v>
      </c>
      <c r="F215" t="s">
        <v>667</v>
      </c>
      <c r="G215" t="s">
        <v>668</v>
      </c>
      <c r="X215" s="1"/>
      <c r="Y215" s="1"/>
      <c r="AG215" s="1"/>
      <c r="AH215" s="1"/>
      <c r="AI215" s="1"/>
    </row>
    <row r="216" spans="3:35" x14ac:dyDescent="0.3">
      <c r="C216" s="28" t="s">
        <v>32</v>
      </c>
      <c r="D216" t="s">
        <v>672</v>
      </c>
      <c r="E216" t="s">
        <v>673</v>
      </c>
      <c r="F216" t="s">
        <v>673</v>
      </c>
      <c r="G216" t="s">
        <v>671</v>
      </c>
      <c r="X216" s="1"/>
      <c r="Y216" s="1"/>
      <c r="AG216" s="1"/>
      <c r="AH216" s="1"/>
      <c r="AI216" s="1"/>
    </row>
    <row r="217" spans="3:35" x14ac:dyDescent="0.3">
      <c r="C217" s="28" t="s">
        <v>42</v>
      </c>
      <c r="D217" t="s">
        <v>673</v>
      </c>
      <c r="E217" t="s">
        <v>672</v>
      </c>
      <c r="F217" t="s">
        <v>675</v>
      </c>
      <c r="G217" s="78" t="s">
        <v>242</v>
      </c>
      <c r="X217" s="1"/>
      <c r="Y217" s="1"/>
      <c r="AG217" s="1"/>
      <c r="AH217" s="1"/>
      <c r="AI217" s="1"/>
    </row>
    <row r="218" spans="3:35" x14ac:dyDescent="0.3">
      <c r="C218" s="28" t="s">
        <v>29</v>
      </c>
      <c r="D218" t="s">
        <v>675</v>
      </c>
      <c r="E218" t="s">
        <v>677</v>
      </c>
      <c r="F218" t="s">
        <v>676</v>
      </c>
      <c r="G218" t="s">
        <v>673</v>
      </c>
      <c r="X218" s="1"/>
      <c r="Y218" s="1"/>
      <c r="AG218" s="1"/>
      <c r="AH218" s="1"/>
      <c r="AI218" s="1"/>
    </row>
    <row r="219" spans="3:35" x14ac:dyDescent="0.3">
      <c r="C219" s="28" t="s">
        <v>45</v>
      </c>
      <c r="D219" t="s">
        <v>676</v>
      </c>
      <c r="E219" t="s">
        <v>675</v>
      </c>
      <c r="F219" t="s">
        <v>678</v>
      </c>
      <c r="G219" t="s">
        <v>676</v>
      </c>
      <c r="X219" s="1"/>
      <c r="Y219" s="1"/>
      <c r="AG219" s="1"/>
      <c r="AH219" s="1"/>
      <c r="AI219" s="1"/>
    </row>
    <row r="220" spans="3:35" x14ac:dyDescent="0.3">
      <c r="C220" s="28" t="s">
        <v>31</v>
      </c>
      <c r="D220" t="s">
        <v>677</v>
      </c>
      <c r="E220" t="s">
        <v>676</v>
      </c>
      <c r="F220" t="s">
        <v>677</v>
      </c>
      <c r="G220" t="s">
        <v>675</v>
      </c>
      <c r="X220" s="1"/>
      <c r="Y220" s="1"/>
      <c r="AG220" s="1"/>
      <c r="AH220" s="1"/>
      <c r="AI220" s="1"/>
    </row>
    <row r="221" spans="3:35" x14ac:dyDescent="0.3">
      <c r="C221" s="28" t="s">
        <v>34</v>
      </c>
      <c r="D221" t="s">
        <v>678</v>
      </c>
      <c r="E221" t="s">
        <v>679</v>
      </c>
      <c r="F221" t="s">
        <v>679</v>
      </c>
      <c r="G221" t="s">
        <v>679</v>
      </c>
      <c r="X221" s="1"/>
      <c r="Y221" s="1"/>
      <c r="AG221" s="1"/>
      <c r="AH221" s="1"/>
      <c r="AI221" s="1"/>
    </row>
    <row r="222" spans="3:35" x14ac:dyDescent="0.3">
      <c r="C222" s="28" t="s">
        <v>28</v>
      </c>
      <c r="D222" t="s">
        <v>679</v>
      </c>
      <c r="E222" t="s">
        <v>680</v>
      </c>
      <c r="F222" t="s">
        <v>670</v>
      </c>
      <c r="G222" t="s">
        <v>677</v>
      </c>
      <c r="X222" s="1"/>
      <c r="Y222" s="1"/>
      <c r="AG222" s="1"/>
      <c r="AH222" s="1"/>
      <c r="AI222" s="1"/>
    </row>
    <row r="223" spans="3:35" x14ac:dyDescent="0.3">
      <c r="C223" s="28" t="s">
        <v>48</v>
      </c>
      <c r="D223" t="s">
        <v>680</v>
      </c>
      <c r="E223" t="s">
        <v>678</v>
      </c>
      <c r="F223" t="s">
        <v>680</v>
      </c>
      <c r="G223" t="s">
        <v>678</v>
      </c>
      <c r="X223" s="1"/>
      <c r="Y223" s="1"/>
      <c r="AG223" s="1"/>
      <c r="AH223" s="1"/>
      <c r="AI223" s="1"/>
    </row>
    <row r="224" spans="3:35" x14ac:dyDescent="0.3">
      <c r="C224" s="28" t="s">
        <v>39</v>
      </c>
      <c r="D224" t="s">
        <v>681</v>
      </c>
      <c r="E224" t="s">
        <v>681</v>
      </c>
      <c r="F224" t="s">
        <v>681</v>
      </c>
      <c r="G224" t="s">
        <v>680</v>
      </c>
      <c r="X224" s="1"/>
      <c r="Y224" s="1"/>
      <c r="AG224" s="1"/>
      <c r="AH224" s="1"/>
      <c r="AI224" s="1"/>
    </row>
    <row r="225" spans="3:35" x14ac:dyDescent="0.3">
      <c r="C225" s="28" t="s">
        <v>58</v>
      </c>
      <c r="D225" t="s">
        <v>682</v>
      </c>
      <c r="E225" t="s">
        <v>682</v>
      </c>
      <c r="F225" t="s">
        <v>682</v>
      </c>
      <c r="G225" s="78" t="s">
        <v>242</v>
      </c>
      <c r="X225" s="1"/>
      <c r="Y225" s="1"/>
    </row>
    <row r="226" spans="3:35" x14ac:dyDescent="0.3">
      <c r="C226" s="28" t="s">
        <v>27</v>
      </c>
      <c r="D226" t="s">
        <v>683</v>
      </c>
      <c r="E226" t="s">
        <v>684</v>
      </c>
      <c r="F226" t="s">
        <v>684</v>
      </c>
      <c r="G226" s="78" t="s">
        <v>242</v>
      </c>
      <c r="X226" s="1"/>
      <c r="Y226" s="1"/>
    </row>
    <row r="227" spans="3:35" x14ac:dyDescent="0.3">
      <c r="C227" s="28" t="s">
        <v>47</v>
      </c>
      <c r="D227" t="s">
        <v>684</v>
      </c>
      <c r="E227" t="s">
        <v>683</v>
      </c>
      <c r="F227" t="s">
        <v>683</v>
      </c>
      <c r="G227" t="s">
        <v>681</v>
      </c>
      <c r="X227" s="1"/>
      <c r="Y227" s="1"/>
    </row>
    <row r="228" spans="3:35" x14ac:dyDescent="0.3">
      <c r="X228" s="1"/>
      <c r="Y228" s="1"/>
    </row>
    <row r="229" spans="3:35" x14ac:dyDescent="0.3">
      <c r="X229" s="1"/>
      <c r="Y229" s="1"/>
    </row>
    <row r="230" spans="3:35" x14ac:dyDescent="0.3">
      <c r="X230" s="1"/>
      <c r="Y230" s="1"/>
    </row>
    <row r="231" spans="3:35" x14ac:dyDescent="0.3">
      <c r="X231" s="1"/>
      <c r="Y231" s="1"/>
    </row>
    <row r="232" spans="3:35" x14ac:dyDescent="0.3">
      <c r="X232" s="1"/>
      <c r="Y232" s="1"/>
    </row>
    <row r="233" spans="3:35" x14ac:dyDescent="0.3">
      <c r="X233" s="1"/>
      <c r="Y233" s="1"/>
    </row>
    <row r="234" spans="3:35" x14ac:dyDescent="0.3">
      <c r="X234" s="1"/>
      <c r="Y234" s="1"/>
    </row>
    <row r="235" spans="3:35" x14ac:dyDescent="0.3">
      <c r="X235" s="1"/>
      <c r="Y235" s="1"/>
    </row>
    <row r="236" spans="3:35" x14ac:dyDescent="0.3">
      <c r="X236" s="1"/>
      <c r="Y236" s="1"/>
    </row>
    <row r="237" spans="3:35" x14ac:dyDescent="0.3">
      <c r="X237" s="1"/>
      <c r="Y237" s="1"/>
    </row>
    <row r="238" spans="3:35" x14ac:dyDescent="0.3">
      <c r="Q238" t="s">
        <v>613</v>
      </c>
      <c r="R238" t="s">
        <v>71</v>
      </c>
      <c r="S238" t="s">
        <v>21</v>
      </c>
      <c r="T238" s="1">
        <v>4011</v>
      </c>
      <c r="X238" s="1"/>
      <c r="Y238" s="1"/>
    </row>
    <row r="239" spans="3:35" x14ac:dyDescent="0.3">
      <c r="Q239" t="s">
        <v>613</v>
      </c>
      <c r="R239" t="s">
        <v>71</v>
      </c>
      <c r="S239" t="s">
        <v>22</v>
      </c>
      <c r="T239" s="1">
        <v>5800</v>
      </c>
      <c r="X239" s="1"/>
      <c r="Y239" s="1"/>
      <c r="AG239" s="1"/>
      <c r="AH239" s="1"/>
      <c r="AI239" s="1"/>
    </row>
    <row r="240" spans="3:35" x14ac:dyDescent="0.3">
      <c r="Q240" t="s">
        <v>613</v>
      </c>
      <c r="R240" t="s">
        <v>71</v>
      </c>
      <c r="S240" t="s">
        <v>23</v>
      </c>
      <c r="T240" s="1">
        <v>3500</v>
      </c>
      <c r="X240" s="1"/>
      <c r="Y240" s="1"/>
      <c r="AG240" s="1"/>
      <c r="AH240" s="1"/>
      <c r="AI240" s="1"/>
    </row>
    <row r="241" spans="17:35" x14ac:dyDescent="0.3">
      <c r="Q241" t="s">
        <v>613</v>
      </c>
      <c r="R241" t="s">
        <v>71</v>
      </c>
      <c r="S241" t="s">
        <v>24</v>
      </c>
      <c r="T241" s="1">
        <v>5650</v>
      </c>
      <c r="X241" s="1"/>
      <c r="Y241" s="1"/>
      <c r="AG241" s="1"/>
      <c r="AH241" s="1"/>
      <c r="AI241" s="1"/>
    </row>
    <row r="242" spans="17:35" x14ac:dyDescent="0.3">
      <c r="Q242" t="s">
        <v>613</v>
      </c>
      <c r="R242" t="s">
        <v>71</v>
      </c>
      <c r="S242" t="s">
        <v>25</v>
      </c>
      <c r="T242" s="1">
        <v>3316</v>
      </c>
      <c r="X242" s="1"/>
      <c r="Y242" s="1"/>
      <c r="AG242" s="1"/>
      <c r="AH242" s="1"/>
      <c r="AI242" s="1"/>
    </row>
    <row r="243" spans="17:35" x14ac:dyDescent="0.3">
      <c r="Q243" t="s">
        <v>613</v>
      </c>
      <c r="R243" t="s">
        <v>71</v>
      </c>
      <c r="S243" t="s">
        <v>50</v>
      </c>
      <c r="T243" s="1">
        <v>2506</v>
      </c>
      <c r="X243" s="1"/>
      <c r="Y243" s="1"/>
      <c r="AG243" s="1"/>
      <c r="AH243" s="1"/>
      <c r="AI243" s="1"/>
    </row>
    <row r="244" spans="17:35" x14ac:dyDescent="0.3">
      <c r="Q244" t="s">
        <v>613</v>
      </c>
      <c r="R244" t="s">
        <v>72</v>
      </c>
      <c r="S244" t="s">
        <v>14</v>
      </c>
      <c r="T244" s="1">
        <v>12700</v>
      </c>
      <c r="X244" s="1"/>
      <c r="Y244" s="1"/>
      <c r="AG244" s="1"/>
      <c r="AH244" s="1"/>
      <c r="AI244" s="1"/>
    </row>
    <row r="245" spans="17:35" x14ac:dyDescent="0.3">
      <c r="Q245" t="s">
        <v>613</v>
      </c>
      <c r="R245" t="s">
        <v>72</v>
      </c>
      <c r="S245" t="s">
        <v>15</v>
      </c>
      <c r="T245" s="1">
        <v>113080</v>
      </c>
      <c r="X245" s="1"/>
      <c r="Y245" s="1"/>
      <c r="AG245" s="1"/>
      <c r="AH245" s="1"/>
      <c r="AI245" s="1"/>
    </row>
    <row r="246" spans="17:35" x14ac:dyDescent="0.3">
      <c r="Q246" t="s">
        <v>613</v>
      </c>
      <c r="R246" t="s">
        <v>72</v>
      </c>
      <c r="S246" t="s">
        <v>16</v>
      </c>
      <c r="T246" s="1">
        <v>439420</v>
      </c>
      <c r="X246" s="1"/>
      <c r="Y246" s="1"/>
      <c r="AG246" s="1"/>
      <c r="AH246" s="1"/>
      <c r="AI246" s="1"/>
    </row>
    <row r="247" spans="17:35" x14ac:dyDescent="0.3">
      <c r="Q247" t="s">
        <v>613</v>
      </c>
      <c r="R247" t="s">
        <v>72</v>
      </c>
      <c r="S247" t="s">
        <v>17</v>
      </c>
      <c r="T247" s="1">
        <v>545022</v>
      </c>
      <c r="X247" s="1"/>
      <c r="Y247" s="1"/>
      <c r="AG247" s="1"/>
      <c r="AH247" s="1"/>
      <c r="AI247" s="1"/>
    </row>
    <row r="248" spans="17:35" x14ac:dyDescent="0.3">
      <c r="Q248" t="s">
        <v>613</v>
      </c>
      <c r="R248" t="s">
        <v>72</v>
      </c>
      <c r="S248" t="s">
        <v>18</v>
      </c>
      <c r="T248" s="1">
        <v>1115157</v>
      </c>
      <c r="X248" s="1"/>
      <c r="Y248" s="1"/>
      <c r="AG248" s="1"/>
      <c r="AH248" s="1"/>
      <c r="AI248" s="1"/>
    </row>
    <row r="249" spans="17:35" x14ac:dyDescent="0.3">
      <c r="Q249" t="s">
        <v>613</v>
      </c>
      <c r="R249" t="s">
        <v>72</v>
      </c>
      <c r="S249" t="s">
        <v>19</v>
      </c>
      <c r="T249" s="1">
        <v>709340</v>
      </c>
      <c r="X249" s="1"/>
      <c r="Y249" s="1"/>
      <c r="AG249" s="1"/>
      <c r="AH249" s="1"/>
      <c r="AI249" s="1"/>
    </row>
    <row r="250" spans="17:35" x14ac:dyDescent="0.3">
      <c r="Q250" t="s">
        <v>613</v>
      </c>
      <c r="R250" t="s">
        <v>72</v>
      </c>
      <c r="S250" t="s">
        <v>20</v>
      </c>
      <c r="T250" s="1">
        <v>1380730</v>
      </c>
      <c r="X250" s="1"/>
      <c r="Y250" s="1"/>
      <c r="AG250" s="1"/>
      <c r="AH250" s="1"/>
      <c r="AI250" s="1"/>
    </row>
    <row r="251" spans="17:35" x14ac:dyDescent="0.3">
      <c r="Q251" t="s">
        <v>613</v>
      </c>
      <c r="R251" t="s">
        <v>72</v>
      </c>
      <c r="S251" t="s">
        <v>21</v>
      </c>
      <c r="T251" s="1">
        <v>468401</v>
      </c>
      <c r="X251" s="1"/>
      <c r="Y251" s="1"/>
      <c r="AG251" s="1"/>
      <c r="AH251" s="1"/>
      <c r="AI251" s="1"/>
    </row>
    <row r="252" spans="17:35" x14ac:dyDescent="0.3">
      <c r="Q252" t="s">
        <v>613</v>
      </c>
      <c r="R252" t="s">
        <v>72</v>
      </c>
      <c r="S252" t="s">
        <v>22</v>
      </c>
      <c r="T252" s="1">
        <v>694135</v>
      </c>
      <c r="X252" s="1"/>
      <c r="Y252" s="1"/>
      <c r="AG252" s="1"/>
      <c r="AH252" s="1"/>
      <c r="AI252" s="1"/>
    </row>
    <row r="253" spans="17:35" x14ac:dyDescent="0.3">
      <c r="Q253" t="s">
        <v>613</v>
      </c>
      <c r="R253" t="s">
        <v>72</v>
      </c>
      <c r="S253" t="s">
        <v>23</v>
      </c>
      <c r="T253" s="1">
        <v>253363</v>
      </c>
      <c r="X253" s="1"/>
      <c r="Y253" s="1"/>
      <c r="AG253" s="1"/>
      <c r="AH253" s="1"/>
      <c r="AI253" s="1"/>
    </row>
    <row r="254" spans="17:35" x14ac:dyDescent="0.3">
      <c r="Q254" t="s">
        <v>613</v>
      </c>
      <c r="R254" t="s">
        <v>72</v>
      </c>
      <c r="S254" t="s">
        <v>24</v>
      </c>
      <c r="T254" s="1">
        <v>474562</v>
      </c>
      <c r="X254" s="1"/>
      <c r="Y254" s="1"/>
      <c r="AG254" s="1"/>
      <c r="AH254" s="1"/>
      <c r="AI254" s="1"/>
    </row>
    <row r="255" spans="17:35" x14ac:dyDescent="0.3">
      <c r="Q255" t="s">
        <v>613</v>
      </c>
      <c r="R255" t="s">
        <v>72</v>
      </c>
      <c r="S255" t="s">
        <v>25</v>
      </c>
      <c r="T255" s="1">
        <v>433058</v>
      </c>
      <c r="X255" s="1"/>
      <c r="Y255" s="1"/>
      <c r="AG255" s="1"/>
      <c r="AH255" s="1"/>
      <c r="AI255" s="1"/>
    </row>
    <row r="256" spans="17:35" x14ac:dyDescent="0.3">
      <c r="Q256" t="s">
        <v>613</v>
      </c>
      <c r="R256" t="s">
        <v>72</v>
      </c>
      <c r="S256" t="s">
        <v>50</v>
      </c>
      <c r="T256" s="1">
        <v>805857</v>
      </c>
      <c r="X256" s="1"/>
      <c r="Y256" s="1"/>
      <c r="AG256" s="1"/>
      <c r="AH256" s="1"/>
      <c r="AI256" s="1"/>
    </row>
    <row r="257" spans="17:35" x14ac:dyDescent="0.3">
      <c r="Q257" t="s">
        <v>613</v>
      </c>
      <c r="R257" t="s">
        <v>49</v>
      </c>
      <c r="S257" t="s">
        <v>15</v>
      </c>
      <c r="T257" s="1">
        <v>720</v>
      </c>
      <c r="AG257" s="1"/>
      <c r="AH257" s="1"/>
      <c r="AI257" s="1"/>
    </row>
    <row r="258" spans="17:35" x14ac:dyDescent="0.3">
      <c r="Q258" t="s">
        <v>613</v>
      </c>
      <c r="R258" t="s">
        <v>49</v>
      </c>
      <c r="S258" t="s">
        <v>16</v>
      </c>
      <c r="T258" s="1">
        <v>400</v>
      </c>
      <c r="AG258" s="1"/>
      <c r="AH258" s="1"/>
      <c r="AI258" s="1"/>
    </row>
    <row r="259" spans="17:35" x14ac:dyDescent="0.3">
      <c r="Q259" t="s">
        <v>613</v>
      </c>
      <c r="R259" t="s">
        <v>49</v>
      </c>
      <c r="S259" t="s">
        <v>18</v>
      </c>
      <c r="T259" s="1">
        <v>0</v>
      </c>
      <c r="AG259" s="1"/>
      <c r="AH259" s="1"/>
      <c r="AI259" s="1"/>
    </row>
    <row r="260" spans="17:35" x14ac:dyDescent="0.3">
      <c r="Q260" t="s">
        <v>613</v>
      </c>
      <c r="R260" t="s">
        <v>49</v>
      </c>
      <c r="S260" t="s">
        <v>19</v>
      </c>
      <c r="T260" s="1">
        <v>200</v>
      </c>
      <c r="AG260" s="1"/>
      <c r="AH260" s="1"/>
      <c r="AI260" s="1"/>
    </row>
    <row r="261" spans="17:35" x14ac:dyDescent="0.3">
      <c r="Q261" t="s">
        <v>613</v>
      </c>
      <c r="R261" t="s">
        <v>49</v>
      </c>
      <c r="S261" t="s">
        <v>20</v>
      </c>
      <c r="T261" s="1">
        <v>1435</v>
      </c>
      <c r="AG261" s="1"/>
      <c r="AH261" s="1"/>
      <c r="AI261" s="1"/>
    </row>
    <row r="262" spans="17:35" x14ac:dyDescent="0.3">
      <c r="Q262" t="s">
        <v>613</v>
      </c>
      <c r="R262" t="s">
        <v>49</v>
      </c>
      <c r="S262" t="s">
        <v>21</v>
      </c>
      <c r="T262" s="1">
        <v>485</v>
      </c>
      <c r="AG262" s="1"/>
      <c r="AH262" s="1"/>
      <c r="AI262" s="1"/>
    </row>
    <row r="263" spans="17:35" x14ac:dyDescent="0.3">
      <c r="Q263" t="s">
        <v>613</v>
      </c>
      <c r="R263" t="s">
        <v>49</v>
      </c>
      <c r="S263" t="s">
        <v>22</v>
      </c>
      <c r="T263" s="1">
        <v>2710</v>
      </c>
    </row>
    <row r="264" spans="17:35" x14ac:dyDescent="0.3">
      <c r="Q264" t="s">
        <v>613</v>
      </c>
      <c r="R264" t="s">
        <v>49</v>
      </c>
      <c r="S264" t="s">
        <v>23</v>
      </c>
      <c r="T264" s="1">
        <v>850</v>
      </c>
    </row>
    <row r="265" spans="17:35" x14ac:dyDescent="0.3">
      <c r="Q265" t="s">
        <v>613</v>
      </c>
      <c r="R265" t="s">
        <v>49</v>
      </c>
      <c r="S265" t="s">
        <v>24</v>
      </c>
      <c r="T265" s="1">
        <v>3320</v>
      </c>
    </row>
    <row r="266" spans="17:35" x14ac:dyDescent="0.3">
      <c r="Q266" t="s">
        <v>613</v>
      </c>
      <c r="R266" t="s">
        <v>49</v>
      </c>
      <c r="S266" t="s">
        <v>25</v>
      </c>
      <c r="T266" s="1">
        <v>1305</v>
      </c>
    </row>
    <row r="267" spans="17:35" x14ac:dyDescent="0.3">
      <c r="Q267" t="s">
        <v>613</v>
      </c>
      <c r="R267" t="s">
        <v>49</v>
      </c>
      <c r="S267" t="s">
        <v>50</v>
      </c>
      <c r="T267" s="1">
        <v>8994</v>
      </c>
    </row>
    <row r="268" spans="17:35" x14ac:dyDescent="0.3">
      <c r="Q268" t="s">
        <v>613</v>
      </c>
      <c r="R268" t="s">
        <v>52</v>
      </c>
      <c r="S268" t="s">
        <v>19</v>
      </c>
      <c r="T268" s="1">
        <v>2450</v>
      </c>
    </row>
    <row r="269" spans="17:35" x14ac:dyDescent="0.3">
      <c r="Q269" t="s">
        <v>613</v>
      </c>
      <c r="R269" t="s">
        <v>52</v>
      </c>
      <c r="S269" t="s">
        <v>25</v>
      </c>
      <c r="T269" s="1">
        <v>1195</v>
      </c>
    </row>
    <row r="270" spans="17:35" x14ac:dyDescent="0.3">
      <c r="Q270" t="s">
        <v>613</v>
      </c>
      <c r="R270" t="s">
        <v>52</v>
      </c>
      <c r="S270" t="s">
        <v>50</v>
      </c>
      <c r="T270" s="1">
        <v>11046</v>
      </c>
    </row>
    <row r="271" spans="17:35" x14ac:dyDescent="0.3">
      <c r="Q271" t="s">
        <v>613</v>
      </c>
      <c r="R271" t="s">
        <v>53</v>
      </c>
      <c r="S271" t="s">
        <v>17</v>
      </c>
      <c r="T271" s="1">
        <v>0</v>
      </c>
    </row>
    <row r="272" spans="17:35" x14ac:dyDescent="0.3">
      <c r="Q272" t="s">
        <v>613</v>
      </c>
      <c r="R272" t="s">
        <v>53</v>
      </c>
      <c r="S272" t="s">
        <v>18</v>
      </c>
      <c r="T272" s="1">
        <v>10569</v>
      </c>
    </row>
    <row r="273" spans="17:35" x14ac:dyDescent="0.3">
      <c r="Q273" t="s">
        <v>613</v>
      </c>
      <c r="R273" t="s">
        <v>53</v>
      </c>
      <c r="S273" t="s">
        <v>19</v>
      </c>
      <c r="T273" s="1">
        <v>15300</v>
      </c>
    </row>
    <row r="274" spans="17:35" x14ac:dyDescent="0.3">
      <c r="Q274" t="s">
        <v>613</v>
      </c>
      <c r="R274" t="s">
        <v>53</v>
      </c>
      <c r="S274" t="s">
        <v>20</v>
      </c>
      <c r="T274" s="1">
        <v>23890</v>
      </c>
    </row>
    <row r="275" spans="17:35" x14ac:dyDescent="0.3">
      <c r="Q275" t="s">
        <v>613</v>
      </c>
      <c r="R275" t="s">
        <v>53</v>
      </c>
      <c r="S275" t="s">
        <v>21</v>
      </c>
      <c r="T275" s="1">
        <v>20035</v>
      </c>
    </row>
    <row r="276" spans="17:35" x14ac:dyDescent="0.3">
      <c r="Q276" t="s">
        <v>613</v>
      </c>
      <c r="R276" t="s">
        <v>53</v>
      </c>
      <c r="S276" t="s">
        <v>22</v>
      </c>
      <c r="T276" s="1">
        <v>32284</v>
      </c>
    </row>
    <row r="277" spans="17:35" x14ac:dyDescent="0.3">
      <c r="Q277" t="s">
        <v>613</v>
      </c>
      <c r="R277" t="s">
        <v>53</v>
      </c>
      <c r="S277" t="s">
        <v>23</v>
      </c>
      <c r="T277" s="1">
        <v>19586</v>
      </c>
    </row>
    <row r="278" spans="17:35" x14ac:dyDescent="0.3">
      <c r="Q278" t="s">
        <v>613</v>
      </c>
      <c r="R278" t="s">
        <v>53</v>
      </c>
      <c r="S278" t="s">
        <v>24</v>
      </c>
      <c r="T278" s="1">
        <v>27448</v>
      </c>
      <c r="AG278" s="1"/>
      <c r="AH278" s="1"/>
      <c r="AI278" s="1"/>
    </row>
    <row r="279" spans="17:35" x14ac:dyDescent="0.3">
      <c r="Q279" t="s">
        <v>613</v>
      </c>
      <c r="R279" t="s">
        <v>53</v>
      </c>
      <c r="S279" t="s">
        <v>25</v>
      </c>
      <c r="T279" s="1">
        <v>15334</v>
      </c>
      <c r="AG279" s="1"/>
      <c r="AH279" s="1"/>
      <c r="AI279" s="1"/>
    </row>
    <row r="280" spans="17:35" x14ac:dyDescent="0.3">
      <c r="Q280" t="s">
        <v>613</v>
      </c>
      <c r="R280" t="s">
        <v>53</v>
      </c>
      <c r="S280" t="s">
        <v>50</v>
      </c>
      <c r="T280" s="1">
        <v>7924</v>
      </c>
    </row>
    <row r="281" spans="17:35" x14ac:dyDescent="0.3">
      <c r="Q281" t="s">
        <v>613</v>
      </c>
      <c r="R281" t="s">
        <v>54</v>
      </c>
      <c r="S281" t="s">
        <v>18</v>
      </c>
      <c r="T281" s="1">
        <v>0</v>
      </c>
    </row>
    <row r="282" spans="17:35" x14ac:dyDescent="0.3">
      <c r="Q282" t="s">
        <v>613</v>
      </c>
      <c r="R282" t="s">
        <v>54</v>
      </c>
      <c r="S282" t="s">
        <v>19</v>
      </c>
      <c r="T282" s="1">
        <v>0</v>
      </c>
    </row>
    <row r="283" spans="17:35" x14ac:dyDescent="0.3">
      <c r="Q283" t="s">
        <v>613</v>
      </c>
      <c r="R283" t="s">
        <v>54</v>
      </c>
      <c r="S283" t="s">
        <v>20</v>
      </c>
      <c r="T283" s="1">
        <v>0</v>
      </c>
    </row>
    <row r="284" spans="17:35" x14ac:dyDescent="0.3">
      <c r="Q284" t="s">
        <v>613</v>
      </c>
      <c r="R284" t="s">
        <v>54</v>
      </c>
      <c r="S284" t="s">
        <v>21</v>
      </c>
      <c r="T284" s="1">
        <v>8505</v>
      </c>
    </row>
    <row r="285" spans="17:35" x14ac:dyDescent="0.3">
      <c r="Q285" t="s">
        <v>613</v>
      </c>
      <c r="R285" t="s">
        <v>54</v>
      </c>
      <c r="S285" t="s">
        <v>22</v>
      </c>
      <c r="T285" s="1">
        <v>9270</v>
      </c>
    </row>
    <row r="286" spans="17:35" x14ac:dyDescent="0.3">
      <c r="Q286" t="s">
        <v>613</v>
      </c>
      <c r="R286" t="s">
        <v>54</v>
      </c>
      <c r="S286" t="s">
        <v>23</v>
      </c>
      <c r="T286" s="1">
        <v>3740</v>
      </c>
    </row>
    <row r="287" spans="17:35" x14ac:dyDescent="0.3">
      <c r="Q287" t="s">
        <v>613</v>
      </c>
      <c r="R287" t="s">
        <v>54</v>
      </c>
      <c r="S287" t="s">
        <v>24</v>
      </c>
      <c r="T287" s="1">
        <v>6830</v>
      </c>
    </row>
    <row r="288" spans="17:35" x14ac:dyDescent="0.3">
      <c r="Q288" t="s">
        <v>613</v>
      </c>
      <c r="R288" t="s">
        <v>54</v>
      </c>
      <c r="S288" t="s">
        <v>25</v>
      </c>
      <c r="T288" s="1">
        <v>4079</v>
      </c>
    </row>
    <row r="289" spans="17:20" x14ac:dyDescent="0.3">
      <c r="Q289" t="s">
        <v>613</v>
      </c>
      <c r="R289" t="s">
        <v>54</v>
      </c>
      <c r="S289" t="s">
        <v>50</v>
      </c>
      <c r="T289" s="1">
        <v>25402</v>
      </c>
    </row>
    <row r="290" spans="17:20" x14ac:dyDescent="0.3">
      <c r="Q290" t="s">
        <v>613</v>
      </c>
      <c r="R290" t="s">
        <v>55</v>
      </c>
      <c r="S290" t="s">
        <v>24</v>
      </c>
      <c r="T290" s="1">
        <v>1050</v>
      </c>
    </row>
    <row r="291" spans="17:20" x14ac:dyDescent="0.3">
      <c r="Q291" t="s">
        <v>613</v>
      </c>
      <c r="R291" t="s">
        <v>55</v>
      </c>
      <c r="S291" t="s">
        <v>25</v>
      </c>
      <c r="T291" s="1">
        <v>1199</v>
      </c>
    </row>
    <row r="292" spans="17:20" x14ac:dyDescent="0.3">
      <c r="Q292" t="s">
        <v>613</v>
      </c>
      <c r="R292" t="s">
        <v>55</v>
      </c>
      <c r="S292" t="s">
        <v>50</v>
      </c>
      <c r="T292" s="1">
        <v>1324</v>
      </c>
    </row>
    <row r="293" spans="17:20" x14ac:dyDescent="0.3">
      <c r="Q293" t="s">
        <v>613</v>
      </c>
      <c r="R293" t="s">
        <v>56</v>
      </c>
      <c r="S293" t="s">
        <v>19</v>
      </c>
      <c r="T293" s="1">
        <v>10500</v>
      </c>
    </row>
    <row r="294" spans="17:20" x14ac:dyDescent="0.3">
      <c r="Q294" t="s">
        <v>613</v>
      </c>
      <c r="R294" t="s">
        <v>56</v>
      </c>
      <c r="S294" t="s">
        <v>20</v>
      </c>
      <c r="T294" s="1">
        <v>39688</v>
      </c>
    </row>
    <row r="295" spans="17:20" x14ac:dyDescent="0.3">
      <c r="Q295" t="s">
        <v>613</v>
      </c>
      <c r="R295" t="s">
        <v>56</v>
      </c>
      <c r="S295" t="s">
        <v>21</v>
      </c>
      <c r="T295" s="1">
        <v>12615</v>
      </c>
    </row>
    <row r="296" spans="17:20" x14ac:dyDescent="0.3">
      <c r="Q296" t="s">
        <v>613</v>
      </c>
      <c r="R296" t="s">
        <v>56</v>
      </c>
      <c r="S296" t="s">
        <v>22</v>
      </c>
      <c r="T296" s="1">
        <v>24766</v>
      </c>
    </row>
    <row r="297" spans="17:20" x14ac:dyDescent="0.3">
      <c r="Q297" t="s">
        <v>613</v>
      </c>
      <c r="R297" t="s">
        <v>56</v>
      </c>
      <c r="S297" t="s">
        <v>23</v>
      </c>
      <c r="T297" s="1">
        <v>15760</v>
      </c>
    </row>
    <row r="298" spans="17:20" x14ac:dyDescent="0.3">
      <c r="Q298" t="s">
        <v>613</v>
      </c>
      <c r="R298" t="s">
        <v>56</v>
      </c>
      <c r="S298" t="s">
        <v>24</v>
      </c>
      <c r="T298" s="1">
        <v>34720</v>
      </c>
    </row>
    <row r="299" spans="17:20" x14ac:dyDescent="0.3">
      <c r="Q299" t="s">
        <v>613</v>
      </c>
      <c r="R299" t="s">
        <v>56</v>
      </c>
      <c r="S299" t="s">
        <v>25</v>
      </c>
      <c r="T299" s="1">
        <v>19326</v>
      </c>
    </row>
    <row r="300" spans="17:20" x14ac:dyDescent="0.3">
      <c r="Q300" t="s">
        <v>613</v>
      </c>
      <c r="R300" t="s">
        <v>56</v>
      </c>
      <c r="S300" t="s">
        <v>50</v>
      </c>
      <c r="T300" s="1">
        <v>26146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33"/>
  <sheetViews>
    <sheetView workbookViewId="0">
      <pane ySplit="1" topLeftCell="A1603" activePane="bottomLeft" state="frozen"/>
      <selection pane="bottomLeft" activeCell="G1615" sqref="G1615"/>
    </sheetView>
  </sheetViews>
  <sheetFormatPr baseColWidth="10" defaultRowHeight="14.4" x14ac:dyDescent="0.3"/>
  <cols>
    <col min="1" max="1" width="11.88671875" bestFit="1" customWidth="1"/>
    <col min="2" max="2" width="10.88671875" bestFit="1" customWidth="1"/>
    <col min="3" max="3" width="20" bestFit="1" customWidth="1"/>
    <col min="4" max="4" width="15.109375" bestFit="1" customWidth="1"/>
    <col min="5" max="5" width="12.109375" bestFit="1" customWidth="1"/>
    <col min="6" max="6" width="16.5546875" bestFit="1" customWidth="1"/>
    <col min="7" max="7" width="19.109375" style="1" bestFit="1" customWidth="1"/>
    <col min="8" max="8" width="19.88671875" style="1" bestFit="1" customWidth="1"/>
    <col min="9" max="9" width="15.88671875" style="1" bestFit="1" customWidth="1"/>
    <col min="10" max="10" width="20.109375" style="1" bestFit="1" customWidth="1"/>
  </cols>
  <sheetData>
    <row r="1" spans="1:10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t="s">
        <v>10</v>
      </c>
      <c r="B2" t="s">
        <v>15</v>
      </c>
      <c r="C2" t="s">
        <v>11</v>
      </c>
      <c r="D2" t="s">
        <v>12</v>
      </c>
      <c r="E2">
        <v>86</v>
      </c>
      <c r="F2">
        <v>7</v>
      </c>
      <c r="G2" s="1">
        <v>3000</v>
      </c>
      <c r="H2" s="1">
        <v>2000</v>
      </c>
      <c r="I2" s="1">
        <v>4400</v>
      </c>
      <c r="J2" s="1">
        <v>2200</v>
      </c>
    </row>
    <row r="3" spans="1:10" x14ac:dyDescent="0.3">
      <c r="A3" t="s">
        <v>10</v>
      </c>
      <c r="B3" t="s">
        <v>16</v>
      </c>
      <c r="C3" t="s">
        <v>11</v>
      </c>
      <c r="D3" t="s">
        <v>12</v>
      </c>
      <c r="E3">
        <v>86</v>
      </c>
      <c r="F3">
        <v>7</v>
      </c>
      <c r="G3" s="1">
        <v>3000</v>
      </c>
      <c r="H3" s="1">
        <v>2500</v>
      </c>
      <c r="I3" s="1">
        <v>4000</v>
      </c>
      <c r="J3" s="1">
        <v>1600</v>
      </c>
    </row>
    <row r="4" spans="1:10" x14ac:dyDescent="0.3">
      <c r="A4" t="s">
        <v>10</v>
      </c>
      <c r="B4" t="s">
        <v>17</v>
      </c>
      <c r="C4" t="s">
        <v>11</v>
      </c>
      <c r="D4" t="s">
        <v>12</v>
      </c>
      <c r="E4">
        <v>86</v>
      </c>
      <c r="F4">
        <v>7</v>
      </c>
      <c r="G4" s="1">
        <v>12000</v>
      </c>
      <c r="H4" s="1">
        <v>12000</v>
      </c>
      <c r="I4" s="1">
        <v>31200</v>
      </c>
      <c r="J4" s="1">
        <v>2600</v>
      </c>
    </row>
    <row r="5" spans="1:10" x14ac:dyDescent="0.3">
      <c r="A5" t="s">
        <v>10</v>
      </c>
      <c r="B5" t="s">
        <v>18</v>
      </c>
      <c r="C5" t="s">
        <v>11</v>
      </c>
      <c r="D5" t="s">
        <v>12</v>
      </c>
      <c r="E5">
        <v>86</v>
      </c>
      <c r="F5">
        <v>7</v>
      </c>
      <c r="G5" s="1">
        <v>12000</v>
      </c>
      <c r="H5" s="1">
        <v>11420</v>
      </c>
      <c r="I5" s="1">
        <v>17130</v>
      </c>
      <c r="J5" s="1">
        <v>1500</v>
      </c>
    </row>
    <row r="6" spans="1:10" x14ac:dyDescent="0.3">
      <c r="A6" t="s">
        <v>10</v>
      </c>
      <c r="B6" t="s">
        <v>19</v>
      </c>
      <c r="C6" t="s">
        <v>11</v>
      </c>
      <c r="D6" t="s">
        <v>12</v>
      </c>
      <c r="E6">
        <v>86</v>
      </c>
      <c r="F6">
        <v>7</v>
      </c>
      <c r="G6" s="1">
        <v>14330</v>
      </c>
      <c r="H6" s="1">
        <v>13770</v>
      </c>
      <c r="I6" s="1">
        <v>46818</v>
      </c>
      <c r="J6" s="1">
        <v>3400</v>
      </c>
    </row>
    <row r="7" spans="1:10" x14ac:dyDescent="0.3">
      <c r="A7" t="s">
        <v>10</v>
      </c>
      <c r="B7" t="s">
        <v>20</v>
      </c>
      <c r="C7" t="s">
        <v>11</v>
      </c>
      <c r="D7" t="s">
        <v>12</v>
      </c>
      <c r="E7">
        <v>86</v>
      </c>
      <c r="F7">
        <v>7</v>
      </c>
      <c r="G7" s="1">
        <v>14500</v>
      </c>
      <c r="H7" s="1">
        <v>13230</v>
      </c>
      <c r="I7" s="1">
        <v>35721</v>
      </c>
      <c r="J7" s="1">
        <v>2700</v>
      </c>
    </row>
    <row r="8" spans="1:10" x14ac:dyDescent="0.3">
      <c r="A8" t="s">
        <v>10</v>
      </c>
      <c r="B8" t="s">
        <v>21</v>
      </c>
      <c r="C8" t="s">
        <v>11</v>
      </c>
      <c r="D8" t="s">
        <v>12</v>
      </c>
      <c r="E8">
        <v>86</v>
      </c>
      <c r="F8">
        <v>7</v>
      </c>
      <c r="G8" s="1">
        <v>16000</v>
      </c>
      <c r="H8" s="1">
        <v>15250</v>
      </c>
      <c r="I8" s="1">
        <v>42700</v>
      </c>
      <c r="J8" s="1">
        <v>2800</v>
      </c>
    </row>
    <row r="9" spans="1:10" x14ac:dyDescent="0.3">
      <c r="A9" t="s">
        <v>10</v>
      </c>
      <c r="B9" t="s">
        <v>22</v>
      </c>
      <c r="C9" t="s">
        <v>11</v>
      </c>
      <c r="D9" t="s">
        <v>12</v>
      </c>
      <c r="E9">
        <v>86</v>
      </c>
      <c r="F9">
        <v>7</v>
      </c>
      <c r="G9" s="1">
        <v>39500</v>
      </c>
      <c r="H9" s="1">
        <v>38250</v>
      </c>
      <c r="I9" s="1">
        <v>107100</v>
      </c>
      <c r="J9" s="1">
        <v>2800</v>
      </c>
    </row>
    <row r="10" spans="1:10" x14ac:dyDescent="0.3">
      <c r="A10" t="s">
        <v>10</v>
      </c>
      <c r="B10" t="s">
        <v>23</v>
      </c>
      <c r="C10" t="s">
        <v>11</v>
      </c>
      <c r="D10" t="s">
        <v>12</v>
      </c>
      <c r="E10">
        <v>86</v>
      </c>
      <c r="F10">
        <v>7</v>
      </c>
      <c r="G10" s="1">
        <v>24300</v>
      </c>
      <c r="H10" s="1">
        <v>23050</v>
      </c>
      <c r="I10" s="1">
        <v>41490</v>
      </c>
      <c r="J10" s="1">
        <v>1800</v>
      </c>
    </row>
    <row r="11" spans="1:10" x14ac:dyDescent="0.3">
      <c r="A11" t="s">
        <v>10</v>
      </c>
      <c r="B11" t="s">
        <v>24</v>
      </c>
      <c r="C11" t="s">
        <v>11</v>
      </c>
      <c r="D11" t="s">
        <v>12</v>
      </c>
      <c r="E11">
        <v>86</v>
      </c>
      <c r="F11">
        <v>7</v>
      </c>
      <c r="G11" s="1">
        <v>35800</v>
      </c>
      <c r="H11" s="1">
        <v>35380</v>
      </c>
      <c r="I11" s="1">
        <v>81374</v>
      </c>
      <c r="J11" s="1">
        <v>2300</v>
      </c>
    </row>
    <row r="12" spans="1:10" x14ac:dyDescent="0.3">
      <c r="A12" t="s">
        <v>10</v>
      </c>
      <c r="B12" t="s">
        <v>25</v>
      </c>
      <c r="C12" t="s">
        <v>11</v>
      </c>
      <c r="D12" t="s">
        <v>12</v>
      </c>
      <c r="E12">
        <v>86</v>
      </c>
      <c r="F12">
        <v>7</v>
      </c>
      <c r="G12" s="1">
        <v>35700</v>
      </c>
      <c r="H12" s="1">
        <v>32750</v>
      </c>
      <c r="I12" s="1">
        <v>58950</v>
      </c>
      <c r="J12" s="1">
        <v>1800</v>
      </c>
    </row>
    <row r="13" spans="1:10" x14ac:dyDescent="0.3">
      <c r="A13" t="s">
        <v>10</v>
      </c>
      <c r="B13" t="s">
        <v>15</v>
      </c>
      <c r="C13" t="s">
        <v>11</v>
      </c>
      <c r="D13" t="s">
        <v>26</v>
      </c>
      <c r="E13">
        <v>86</v>
      </c>
      <c r="F13">
        <v>14</v>
      </c>
      <c r="G13" s="1">
        <v>3000</v>
      </c>
      <c r="H13" s="1">
        <v>2500</v>
      </c>
      <c r="I13" s="1">
        <v>6000</v>
      </c>
      <c r="J13" s="1">
        <v>2400</v>
      </c>
    </row>
    <row r="14" spans="1:10" x14ac:dyDescent="0.3">
      <c r="A14" t="s">
        <v>10</v>
      </c>
      <c r="B14" t="s">
        <v>16</v>
      </c>
      <c r="C14" t="s">
        <v>11</v>
      </c>
      <c r="D14" t="s">
        <v>26</v>
      </c>
      <c r="E14">
        <v>86</v>
      </c>
      <c r="F14">
        <v>14</v>
      </c>
      <c r="G14" s="1">
        <v>3000</v>
      </c>
      <c r="H14" s="1">
        <v>2500</v>
      </c>
      <c r="I14" s="1">
        <v>3750</v>
      </c>
      <c r="J14" s="1">
        <v>1500</v>
      </c>
    </row>
    <row r="15" spans="1:10" x14ac:dyDescent="0.3">
      <c r="A15" t="s">
        <v>10</v>
      </c>
      <c r="B15" t="s">
        <v>17</v>
      </c>
      <c r="C15" t="s">
        <v>11</v>
      </c>
      <c r="D15" t="s">
        <v>26</v>
      </c>
      <c r="E15">
        <v>86</v>
      </c>
      <c r="F15">
        <v>14</v>
      </c>
      <c r="G15" s="1">
        <v>6220</v>
      </c>
      <c r="H15" s="1">
        <v>6110</v>
      </c>
      <c r="I15" s="1">
        <v>17719</v>
      </c>
      <c r="J15" s="1">
        <v>2900</v>
      </c>
    </row>
    <row r="16" spans="1:10" x14ac:dyDescent="0.3">
      <c r="A16" t="s">
        <v>10</v>
      </c>
      <c r="B16" t="s">
        <v>18</v>
      </c>
      <c r="C16" t="s">
        <v>11</v>
      </c>
      <c r="D16" t="s">
        <v>26</v>
      </c>
      <c r="E16">
        <v>86</v>
      </c>
      <c r="F16">
        <v>14</v>
      </c>
      <c r="G16" s="1">
        <v>5000</v>
      </c>
      <c r="H16" s="1">
        <v>5000</v>
      </c>
      <c r="I16" s="1">
        <v>19000</v>
      </c>
      <c r="J16" s="1">
        <v>3800</v>
      </c>
    </row>
    <row r="17" spans="1:10" x14ac:dyDescent="0.3">
      <c r="A17" t="s">
        <v>10</v>
      </c>
      <c r="B17" t="s">
        <v>19</v>
      </c>
      <c r="C17" t="s">
        <v>11</v>
      </c>
      <c r="D17" t="s">
        <v>26</v>
      </c>
      <c r="E17">
        <v>86</v>
      </c>
      <c r="F17">
        <v>14</v>
      </c>
      <c r="G17" s="1">
        <v>7630</v>
      </c>
      <c r="H17" s="1">
        <v>7120</v>
      </c>
      <c r="I17" s="1">
        <v>26344</v>
      </c>
      <c r="J17" s="1">
        <v>3700</v>
      </c>
    </row>
    <row r="18" spans="1:10" x14ac:dyDescent="0.3">
      <c r="A18" t="s">
        <v>10</v>
      </c>
      <c r="B18" t="s">
        <v>20</v>
      </c>
      <c r="C18" t="s">
        <v>11</v>
      </c>
      <c r="D18" t="s">
        <v>26</v>
      </c>
      <c r="E18">
        <v>86</v>
      </c>
      <c r="F18">
        <v>14</v>
      </c>
      <c r="G18" s="1">
        <v>9200</v>
      </c>
      <c r="H18" s="1">
        <v>8460</v>
      </c>
      <c r="I18" s="1">
        <v>28764</v>
      </c>
      <c r="J18" s="1">
        <v>3400</v>
      </c>
    </row>
    <row r="19" spans="1:10" x14ac:dyDescent="0.3">
      <c r="A19" t="s">
        <v>10</v>
      </c>
      <c r="B19" t="s">
        <v>21</v>
      </c>
      <c r="C19" t="s">
        <v>11</v>
      </c>
      <c r="D19" t="s">
        <v>26</v>
      </c>
      <c r="E19">
        <v>86</v>
      </c>
      <c r="F19">
        <v>14</v>
      </c>
      <c r="G19" s="1">
        <v>9500</v>
      </c>
      <c r="H19" s="1">
        <v>9300</v>
      </c>
      <c r="I19" s="1">
        <v>22320</v>
      </c>
      <c r="J19" s="1">
        <v>2400</v>
      </c>
    </row>
    <row r="20" spans="1:10" x14ac:dyDescent="0.3">
      <c r="A20" t="s">
        <v>10</v>
      </c>
      <c r="B20" t="s">
        <v>22</v>
      </c>
      <c r="C20" t="s">
        <v>11</v>
      </c>
      <c r="D20" t="s">
        <v>26</v>
      </c>
      <c r="E20">
        <v>86</v>
      </c>
      <c r="F20">
        <v>14</v>
      </c>
      <c r="G20" s="1">
        <v>10800</v>
      </c>
      <c r="H20" s="1">
        <v>10570</v>
      </c>
      <c r="I20" s="1">
        <v>28539</v>
      </c>
      <c r="J20" s="1">
        <v>2700</v>
      </c>
    </row>
    <row r="21" spans="1:10" x14ac:dyDescent="0.3">
      <c r="A21" t="s">
        <v>10</v>
      </c>
      <c r="B21" t="s">
        <v>23</v>
      </c>
      <c r="C21" t="s">
        <v>11</v>
      </c>
      <c r="D21" t="s">
        <v>26</v>
      </c>
      <c r="E21">
        <v>86</v>
      </c>
      <c r="F21">
        <v>14</v>
      </c>
      <c r="G21" s="1">
        <v>8950</v>
      </c>
      <c r="H21" s="1">
        <v>8370</v>
      </c>
      <c r="I21" s="1">
        <v>15485</v>
      </c>
      <c r="J21" s="1">
        <v>1850</v>
      </c>
    </row>
    <row r="22" spans="1:10" x14ac:dyDescent="0.3">
      <c r="A22" t="s">
        <v>10</v>
      </c>
      <c r="B22" t="s">
        <v>24</v>
      </c>
      <c r="C22" t="s">
        <v>11</v>
      </c>
      <c r="D22" t="s">
        <v>26</v>
      </c>
      <c r="E22">
        <v>86</v>
      </c>
      <c r="F22">
        <v>14</v>
      </c>
      <c r="G22" s="1">
        <v>16900</v>
      </c>
      <c r="H22" s="1">
        <v>16700</v>
      </c>
      <c r="I22" s="1">
        <v>30060</v>
      </c>
      <c r="J22" s="1">
        <v>1800</v>
      </c>
    </row>
    <row r="23" spans="1:10" x14ac:dyDescent="0.3">
      <c r="A23" t="s">
        <v>10</v>
      </c>
      <c r="B23" t="s">
        <v>25</v>
      </c>
      <c r="C23" t="s">
        <v>11</v>
      </c>
      <c r="D23" t="s">
        <v>26</v>
      </c>
      <c r="E23">
        <v>86</v>
      </c>
      <c r="F23">
        <v>14</v>
      </c>
      <c r="G23" s="1">
        <v>17400</v>
      </c>
      <c r="H23" s="1">
        <v>13240</v>
      </c>
      <c r="I23" s="1">
        <v>13240</v>
      </c>
      <c r="J23" s="1">
        <v>1000</v>
      </c>
    </row>
    <row r="24" spans="1:10" x14ac:dyDescent="0.3">
      <c r="A24" t="s">
        <v>10</v>
      </c>
      <c r="B24" t="s">
        <v>23</v>
      </c>
      <c r="C24" t="s">
        <v>11</v>
      </c>
      <c r="D24" t="s">
        <v>27</v>
      </c>
      <c r="E24">
        <v>86</v>
      </c>
      <c r="F24">
        <v>21</v>
      </c>
      <c r="G24" s="1">
        <v>500</v>
      </c>
      <c r="H24" s="1">
        <v>500</v>
      </c>
      <c r="I24" s="1">
        <v>1000</v>
      </c>
      <c r="J24" s="1">
        <v>2000</v>
      </c>
    </row>
    <row r="25" spans="1:10" x14ac:dyDescent="0.3">
      <c r="A25" t="s">
        <v>10</v>
      </c>
      <c r="B25" t="s">
        <v>24</v>
      </c>
      <c r="C25" t="s">
        <v>11</v>
      </c>
      <c r="D25" t="s">
        <v>27</v>
      </c>
      <c r="E25">
        <v>86</v>
      </c>
      <c r="F25">
        <v>21</v>
      </c>
      <c r="G25" s="1">
        <v>500</v>
      </c>
      <c r="H25" s="1">
        <v>500</v>
      </c>
      <c r="I25" s="1">
        <v>1250</v>
      </c>
      <c r="J25" s="1">
        <v>2500</v>
      </c>
    </row>
    <row r="26" spans="1:10" x14ac:dyDescent="0.3">
      <c r="A26" t="s">
        <v>10</v>
      </c>
      <c r="B26" t="s">
        <v>25</v>
      </c>
      <c r="C26" t="s">
        <v>11</v>
      </c>
      <c r="D26" t="s">
        <v>27</v>
      </c>
      <c r="E26">
        <v>86</v>
      </c>
      <c r="F26">
        <v>21</v>
      </c>
      <c r="G26" s="1">
        <v>600</v>
      </c>
      <c r="H26" s="1">
        <v>540</v>
      </c>
      <c r="I26" s="1">
        <v>972</v>
      </c>
      <c r="J26" s="1">
        <v>1800</v>
      </c>
    </row>
    <row r="27" spans="1:10" x14ac:dyDescent="0.3">
      <c r="A27" t="s">
        <v>10</v>
      </c>
      <c r="B27" t="s">
        <v>15</v>
      </c>
      <c r="C27" t="s">
        <v>11</v>
      </c>
      <c r="D27" t="s">
        <v>28</v>
      </c>
      <c r="E27">
        <v>86</v>
      </c>
      <c r="F27">
        <v>28</v>
      </c>
      <c r="G27" s="1">
        <v>4000</v>
      </c>
      <c r="H27" s="1">
        <v>4000</v>
      </c>
      <c r="I27" s="1">
        <v>8800</v>
      </c>
      <c r="J27" s="1">
        <v>2200</v>
      </c>
    </row>
    <row r="28" spans="1:10" x14ac:dyDescent="0.3">
      <c r="A28" t="s">
        <v>10</v>
      </c>
      <c r="B28" t="s">
        <v>16</v>
      </c>
      <c r="C28" t="s">
        <v>11</v>
      </c>
      <c r="D28" t="s">
        <v>28</v>
      </c>
      <c r="E28">
        <v>86</v>
      </c>
      <c r="F28">
        <v>28</v>
      </c>
      <c r="G28" s="1">
        <v>4000</v>
      </c>
      <c r="H28" s="1">
        <v>3500</v>
      </c>
      <c r="I28" s="1">
        <v>4550</v>
      </c>
      <c r="J28" s="1">
        <v>1300</v>
      </c>
    </row>
    <row r="29" spans="1:10" x14ac:dyDescent="0.3">
      <c r="A29" t="s">
        <v>10</v>
      </c>
      <c r="B29" t="s">
        <v>17</v>
      </c>
      <c r="C29" t="s">
        <v>11</v>
      </c>
      <c r="D29" t="s">
        <v>28</v>
      </c>
      <c r="E29">
        <v>86</v>
      </c>
      <c r="F29">
        <v>28</v>
      </c>
      <c r="G29" s="1">
        <v>3730</v>
      </c>
      <c r="H29" s="1">
        <v>3480</v>
      </c>
      <c r="I29" s="1">
        <v>10092</v>
      </c>
      <c r="J29" s="1">
        <v>2900</v>
      </c>
    </row>
    <row r="30" spans="1:10" x14ac:dyDescent="0.3">
      <c r="A30" t="s">
        <v>10</v>
      </c>
      <c r="B30" t="s">
        <v>18</v>
      </c>
      <c r="C30" t="s">
        <v>11</v>
      </c>
      <c r="D30" t="s">
        <v>28</v>
      </c>
      <c r="E30">
        <v>86</v>
      </c>
      <c r="F30">
        <v>28</v>
      </c>
      <c r="G30" s="1">
        <v>80</v>
      </c>
      <c r="H30" s="1">
        <v>80</v>
      </c>
      <c r="I30" s="1">
        <v>256</v>
      </c>
      <c r="J30" s="1">
        <v>3200</v>
      </c>
    </row>
    <row r="31" spans="1:10" x14ac:dyDescent="0.3">
      <c r="A31" t="s">
        <v>10</v>
      </c>
      <c r="B31" t="s">
        <v>19</v>
      </c>
      <c r="C31" t="s">
        <v>11</v>
      </c>
      <c r="D31" t="s">
        <v>28</v>
      </c>
      <c r="E31">
        <v>86</v>
      </c>
      <c r="F31">
        <v>28</v>
      </c>
      <c r="G31" s="1">
        <v>4015</v>
      </c>
      <c r="H31" s="1">
        <v>3835</v>
      </c>
      <c r="I31" s="1">
        <v>11505</v>
      </c>
      <c r="J31" s="1">
        <v>3000</v>
      </c>
    </row>
    <row r="32" spans="1:10" x14ac:dyDescent="0.3">
      <c r="A32" t="s">
        <v>10</v>
      </c>
      <c r="B32" t="s">
        <v>20</v>
      </c>
      <c r="C32" t="s">
        <v>11</v>
      </c>
      <c r="D32" t="s">
        <v>28</v>
      </c>
      <c r="E32">
        <v>86</v>
      </c>
      <c r="F32">
        <v>28</v>
      </c>
      <c r="G32" s="1">
        <v>4200</v>
      </c>
      <c r="H32" s="1">
        <v>3990</v>
      </c>
      <c r="I32" s="1">
        <v>10773</v>
      </c>
      <c r="J32" s="1">
        <v>2700</v>
      </c>
    </row>
    <row r="33" spans="1:10" x14ac:dyDescent="0.3">
      <c r="A33" t="s">
        <v>10</v>
      </c>
      <c r="B33" t="s">
        <v>21</v>
      </c>
      <c r="C33" t="s">
        <v>11</v>
      </c>
      <c r="D33" t="s">
        <v>28</v>
      </c>
      <c r="E33">
        <v>86</v>
      </c>
      <c r="F33">
        <v>28</v>
      </c>
      <c r="G33" s="1">
        <v>2200</v>
      </c>
      <c r="H33" s="1">
        <v>2200</v>
      </c>
      <c r="I33" s="1">
        <v>5500</v>
      </c>
      <c r="J33" s="1">
        <v>2500</v>
      </c>
    </row>
    <row r="34" spans="1:10" x14ac:dyDescent="0.3">
      <c r="A34" t="s">
        <v>10</v>
      </c>
      <c r="B34" t="s">
        <v>22</v>
      </c>
      <c r="C34" t="s">
        <v>11</v>
      </c>
      <c r="D34" t="s">
        <v>28</v>
      </c>
      <c r="E34">
        <v>86</v>
      </c>
      <c r="F34">
        <v>28</v>
      </c>
      <c r="G34" s="1">
        <v>3100</v>
      </c>
      <c r="H34" s="1">
        <v>2980</v>
      </c>
      <c r="I34" s="1">
        <v>9536</v>
      </c>
      <c r="J34" s="1">
        <v>3200</v>
      </c>
    </row>
    <row r="35" spans="1:10" x14ac:dyDescent="0.3">
      <c r="A35" t="s">
        <v>10</v>
      </c>
      <c r="B35" t="s">
        <v>23</v>
      </c>
      <c r="C35" t="s">
        <v>11</v>
      </c>
      <c r="D35" t="s">
        <v>28</v>
      </c>
      <c r="E35">
        <v>86</v>
      </c>
      <c r="F35">
        <v>28</v>
      </c>
      <c r="G35" s="1">
        <v>2200</v>
      </c>
      <c r="H35" s="1">
        <v>1850</v>
      </c>
      <c r="I35" s="1">
        <v>3330</v>
      </c>
      <c r="J35" s="1">
        <v>1800</v>
      </c>
    </row>
    <row r="36" spans="1:10" x14ac:dyDescent="0.3">
      <c r="A36" t="s">
        <v>10</v>
      </c>
      <c r="B36" t="s">
        <v>24</v>
      </c>
      <c r="C36" t="s">
        <v>11</v>
      </c>
      <c r="D36" t="s">
        <v>28</v>
      </c>
      <c r="E36">
        <v>86</v>
      </c>
      <c r="F36">
        <v>28</v>
      </c>
      <c r="G36" s="1">
        <v>4200</v>
      </c>
      <c r="H36" s="1">
        <v>4200</v>
      </c>
      <c r="I36" s="1">
        <v>10080</v>
      </c>
      <c r="J36" s="1">
        <v>2400</v>
      </c>
    </row>
    <row r="37" spans="1:10" x14ac:dyDescent="0.3">
      <c r="A37" t="s">
        <v>10</v>
      </c>
      <c r="B37" t="s">
        <v>25</v>
      </c>
      <c r="C37" t="s">
        <v>11</v>
      </c>
      <c r="D37" t="s">
        <v>28</v>
      </c>
      <c r="E37">
        <v>86</v>
      </c>
      <c r="F37">
        <v>28</v>
      </c>
      <c r="G37" s="1">
        <v>3900</v>
      </c>
      <c r="H37" s="1">
        <v>3750</v>
      </c>
      <c r="I37" s="1">
        <v>9750</v>
      </c>
      <c r="J37" s="1">
        <v>2600</v>
      </c>
    </row>
    <row r="38" spans="1:10" x14ac:dyDescent="0.3">
      <c r="A38" t="s">
        <v>10</v>
      </c>
      <c r="B38" t="s">
        <v>15</v>
      </c>
      <c r="C38" t="s">
        <v>11</v>
      </c>
      <c r="D38" t="s">
        <v>29</v>
      </c>
      <c r="E38">
        <v>86</v>
      </c>
      <c r="F38">
        <v>35</v>
      </c>
      <c r="G38" s="1">
        <v>15000</v>
      </c>
      <c r="H38" s="1">
        <v>15000</v>
      </c>
      <c r="I38" s="1">
        <v>42000</v>
      </c>
      <c r="J38" s="1">
        <v>2800</v>
      </c>
    </row>
    <row r="39" spans="1:10" x14ac:dyDescent="0.3">
      <c r="A39" t="s">
        <v>10</v>
      </c>
      <c r="B39" t="s">
        <v>16</v>
      </c>
      <c r="C39" t="s">
        <v>11</v>
      </c>
      <c r="D39" t="s">
        <v>29</v>
      </c>
      <c r="E39">
        <v>86</v>
      </c>
      <c r="F39">
        <v>35</v>
      </c>
      <c r="G39" s="1">
        <v>15000</v>
      </c>
      <c r="H39" s="1">
        <v>15000</v>
      </c>
      <c r="I39" s="1">
        <v>45000</v>
      </c>
      <c r="J39" s="1">
        <v>3000</v>
      </c>
    </row>
    <row r="40" spans="1:10" x14ac:dyDescent="0.3">
      <c r="A40" t="s">
        <v>10</v>
      </c>
      <c r="B40" t="s">
        <v>17</v>
      </c>
      <c r="C40" t="s">
        <v>11</v>
      </c>
      <c r="D40" t="s">
        <v>29</v>
      </c>
      <c r="E40">
        <v>86</v>
      </c>
      <c r="F40">
        <v>35</v>
      </c>
      <c r="G40" s="1">
        <v>10000</v>
      </c>
      <c r="H40" s="1">
        <v>10000</v>
      </c>
      <c r="I40" s="1">
        <v>28000</v>
      </c>
      <c r="J40" s="1">
        <v>2800</v>
      </c>
    </row>
    <row r="41" spans="1:10" x14ac:dyDescent="0.3">
      <c r="A41" t="s">
        <v>10</v>
      </c>
      <c r="B41" t="s">
        <v>18</v>
      </c>
      <c r="C41" t="s">
        <v>11</v>
      </c>
      <c r="D41" t="s">
        <v>29</v>
      </c>
      <c r="E41">
        <v>86</v>
      </c>
      <c r="F41">
        <v>35</v>
      </c>
      <c r="G41" s="1">
        <v>12000</v>
      </c>
      <c r="H41" s="1">
        <v>12000</v>
      </c>
      <c r="I41" s="1">
        <v>48000</v>
      </c>
      <c r="J41" s="1">
        <v>4000</v>
      </c>
    </row>
    <row r="42" spans="1:10" x14ac:dyDescent="0.3">
      <c r="A42" t="s">
        <v>10</v>
      </c>
      <c r="B42" t="s">
        <v>19</v>
      </c>
      <c r="C42" t="s">
        <v>11</v>
      </c>
      <c r="D42" t="s">
        <v>29</v>
      </c>
      <c r="E42">
        <v>86</v>
      </c>
      <c r="F42">
        <v>35</v>
      </c>
      <c r="G42" s="1">
        <v>15000</v>
      </c>
      <c r="H42" s="1">
        <v>14000</v>
      </c>
      <c r="I42" s="1">
        <v>42000</v>
      </c>
      <c r="J42" s="1">
        <v>3000</v>
      </c>
    </row>
    <row r="43" spans="1:10" x14ac:dyDescent="0.3">
      <c r="A43" t="s">
        <v>10</v>
      </c>
      <c r="B43" t="s">
        <v>20</v>
      </c>
      <c r="C43" t="s">
        <v>11</v>
      </c>
      <c r="D43" t="s">
        <v>29</v>
      </c>
      <c r="E43">
        <v>86</v>
      </c>
      <c r="F43">
        <v>35</v>
      </c>
      <c r="G43" s="1">
        <v>15000</v>
      </c>
      <c r="H43" s="1">
        <v>15000</v>
      </c>
      <c r="I43" s="1">
        <v>45000</v>
      </c>
      <c r="J43" s="1">
        <v>3000</v>
      </c>
    </row>
    <row r="44" spans="1:10" x14ac:dyDescent="0.3">
      <c r="A44" t="s">
        <v>10</v>
      </c>
      <c r="B44" t="s">
        <v>21</v>
      </c>
      <c r="C44" t="s">
        <v>11</v>
      </c>
      <c r="D44" t="s">
        <v>29</v>
      </c>
      <c r="E44">
        <v>86</v>
      </c>
      <c r="F44">
        <v>35</v>
      </c>
      <c r="G44" s="1">
        <v>15000</v>
      </c>
      <c r="H44" s="1">
        <v>15000</v>
      </c>
      <c r="I44" s="1">
        <v>45000</v>
      </c>
      <c r="J44" s="1">
        <v>3000</v>
      </c>
    </row>
    <row r="45" spans="1:10" x14ac:dyDescent="0.3">
      <c r="A45" t="s">
        <v>10</v>
      </c>
      <c r="B45" t="s">
        <v>22</v>
      </c>
      <c r="C45" t="s">
        <v>11</v>
      </c>
      <c r="D45" t="s">
        <v>29</v>
      </c>
      <c r="E45">
        <v>86</v>
      </c>
      <c r="F45">
        <v>35</v>
      </c>
      <c r="G45" s="1">
        <v>15000</v>
      </c>
      <c r="H45" s="1">
        <v>15000</v>
      </c>
      <c r="I45" s="1">
        <v>37500</v>
      </c>
      <c r="J45" s="1">
        <v>2500</v>
      </c>
    </row>
    <row r="46" spans="1:10" x14ac:dyDescent="0.3">
      <c r="A46" t="s">
        <v>10</v>
      </c>
      <c r="B46" t="s">
        <v>23</v>
      </c>
      <c r="C46" t="s">
        <v>11</v>
      </c>
      <c r="D46" t="s">
        <v>29</v>
      </c>
      <c r="E46">
        <v>86</v>
      </c>
      <c r="F46">
        <v>35</v>
      </c>
      <c r="G46" s="1">
        <v>18000</v>
      </c>
      <c r="H46" s="1">
        <v>18000</v>
      </c>
      <c r="I46" s="1">
        <v>36000</v>
      </c>
      <c r="J46" s="1">
        <v>2000</v>
      </c>
    </row>
    <row r="47" spans="1:10" x14ac:dyDescent="0.3">
      <c r="A47" t="s">
        <v>10</v>
      </c>
      <c r="B47" t="s">
        <v>24</v>
      </c>
      <c r="C47" t="s">
        <v>11</v>
      </c>
      <c r="D47" t="s">
        <v>29</v>
      </c>
      <c r="E47">
        <v>86</v>
      </c>
      <c r="F47">
        <v>35</v>
      </c>
      <c r="G47" s="1">
        <v>18000</v>
      </c>
      <c r="H47" s="1">
        <v>18000</v>
      </c>
      <c r="I47" s="1">
        <v>45000</v>
      </c>
      <c r="J47" s="1">
        <v>2500</v>
      </c>
    </row>
    <row r="48" spans="1:10" x14ac:dyDescent="0.3">
      <c r="A48" t="s">
        <v>10</v>
      </c>
      <c r="B48" t="s">
        <v>25</v>
      </c>
      <c r="C48" t="s">
        <v>11</v>
      </c>
      <c r="D48" t="s">
        <v>29</v>
      </c>
      <c r="E48">
        <v>86</v>
      </c>
      <c r="F48">
        <v>35</v>
      </c>
      <c r="G48" s="1">
        <v>15000</v>
      </c>
      <c r="H48" s="1">
        <v>14915</v>
      </c>
      <c r="I48" s="1">
        <v>29830</v>
      </c>
      <c r="J48" s="1">
        <v>2000</v>
      </c>
    </row>
    <row r="49" spans="1:10" x14ac:dyDescent="0.3">
      <c r="A49" t="s">
        <v>10</v>
      </c>
      <c r="B49" t="s">
        <v>15</v>
      </c>
      <c r="C49" t="s">
        <v>11</v>
      </c>
      <c r="D49" t="s">
        <v>30</v>
      </c>
      <c r="E49">
        <v>86</v>
      </c>
      <c r="F49">
        <v>42</v>
      </c>
      <c r="G49" s="1">
        <v>3000</v>
      </c>
      <c r="H49" s="1">
        <v>2000</v>
      </c>
      <c r="I49" s="1">
        <v>4200</v>
      </c>
      <c r="J49" s="1">
        <v>2100</v>
      </c>
    </row>
    <row r="50" spans="1:10" x14ac:dyDescent="0.3">
      <c r="A50" t="s">
        <v>10</v>
      </c>
      <c r="B50" t="s">
        <v>16</v>
      </c>
      <c r="C50" t="s">
        <v>11</v>
      </c>
      <c r="D50" t="s">
        <v>30</v>
      </c>
      <c r="E50">
        <v>86</v>
      </c>
      <c r="F50">
        <v>42</v>
      </c>
      <c r="G50" s="1">
        <v>3000</v>
      </c>
      <c r="H50" s="1">
        <v>2500</v>
      </c>
      <c r="I50" s="1">
        <v>2500</v>
      </c>
      <c r="J50" s="1">
        <v>1000</v>
      </c>
    </row>
    <row r="51" spans="1:10" x14ac:dyDescent="0.3">
      <c r="A51" t="s">
        <v>10</v>
      </c>
      <c r="B51" t="s">
        <v>17</v>
      </c>
      <c r="C51" t="s">
        <v>11</v>
      </c>
      <c r="D51" t="s">
        <v>30</v>
      </c>
      <c r="E51">
        <v>86</v>
      </c>
      <c r="F51">
        <v>42</v>
      </c>
      <c r="G51" s="1">
        <v>5480</v>
      </c>
      <c r="H51" s="1">
        <v>5220</v>
      </c>
      <c r="I51" s="1">
        <v>12528</v>
      </c>
      <c r="J51" s="1">
        <v>2400</v>
      </c>
    </row>
    <row r="52" spans="1:10" x14ac:dyDescent="0.3">
      <c r="A52" t="s">
        <v>10</v>
      </c>
      <c r="B52" t="s">
        <v>18</v>
      </c>
      <c r="C52" t="s">
        <v>11</v>
      </c>
      <c r="D52" t="s">
        <v>30</v>
      </c>
      <c r="E52">
        <v>86</v>
      </c>
      <c r="F52">
        <v>42</v>
      </c>
      <c r="G52" s="1">
        <v>5500</v>
      </c>
      <c r="H52" s="1">
        <v>5380</v>
      </c>
      <c r="I52" s="1">
        <v>12912</v>
      </c>
      <c r="J52" s="1">
        <v>2400</v>
      </c>
    </row>
    <row r="53" spans="1:10" x14ac:dyDescent="0.3">
      <c r="A53" t="s">
        <v>10</v>
      </c>
      <c r="B53" t="s">
        <v>19</v>
      </c>
      <c r="C53" t="s">
        <v>11</v>
      </c>
      <c r="D53" t="s">
        <v>30</v>
      </c>
      <c r="E53">
        <v>86</v>
      </c>
      <c r="F53">
        <v>42</v>
      </c>
      <c r="G53" s="1">
        <v>21210</v>
      </c>
      <c r="H53" s="1">
        <v>17350</v>
      </c>
      <c r="I53" s="1">
        <v>58990</v>
      </c>
      <c r="J53" s="1">
        <v>3400</v>
      </c>
    </row>
    <row r="54" spans="1:10" x14ac:dyDescent="0.3">
      <c r="A54" t="s">
        <v>10</v>
      </c>
      <c r="B54" t="s">
        <v>20</v>
      </c>
      <c r="C54" t="s">
        <v>11</v>
      </c>
      <c r="D54" t="s">
        <v>30</v>
      </c>
      <c r="E54">
        <v>86</v>
      </c>
      <c r="F54">
        <v>42</v>
      </c>
      <c r="G54" s="1">
        <v>22500</v>
      </c>
      <c r="H54" s="1">
        <v>22130</v>
      </c>
      <c r="I54" s="1">
        <v>59751</v>
      </c>
      <c r="J54" s="1">
        <v>2700</v>
      </c>
    </row>
    <row r="55" spans="1:10" x14ac:dyDescent="0.3">
      <c r="A55" t="s">
        <v>10</v>
      </c>
      <c r="B55" t="s">
        <v>21</v>
      </c>
      <c r="C55" t="s">
        <v>11</v>
      </c>
      <c r="D55" t="s">
        <v>30</v>
      </c>
      <c r="E55">
        <v>86</v>
      </c>
      <c r="F55">
        <v>42</v>
      </c>
      <c r="G55" s="1">
        <v>19500</v>
      </c>
      <c r="H55" s="1">
        <v>18970</v>
      </c>
      <c r="I55" s="1">
        <v>53116</v>
      </c>
      <c r="J55" s="1">
        <v>2800</v>
      </c>
    </row>
    <row r="56" spans="1:10" x14ac:dyDescent="0.3">
      <c r="A56" t="s">
        <v>10</v>
      </c>
      <c r="B56" t="s">
        <v>22</v>
      </c>
      <c r="C56" t="s">
        <v>11</v>
      </c>
      <c r="D56" t="s">
        <v>30</v>
      </c>
      <c r="E56">
        <v>86</v>
      </c>
      <c r="F56">
        <v>42</v>
      </c>
      <c r="G56" s="1">
        <v>23000</v>
      </c>
      <c r="H56" s="1">
        <v>22750</v>
      </c>
      <c r="I56" s="1">
        <v>72800</v>
      </c>
      <c r="J56" s="1">
        <v>3200</v>
      </c>
    </row>
    <row r="57" spans="1:10" x14ac:dyDescent="0.3">
      <c r="A57" t="s">
        <v>10</v>
      </c>
      <c r="B57" t="s">
        <v>23</v>
      </c>
      <c r="C57" t="s">
        <v>11</v>
      </c>
      <c r="D57" t="s">
        <v>30</v>
      </c>
      <c r="E57">
        <v>86</v>
      </c>
      <c r="F57">
        <v>42</v>
      </c>
      <c r="G57" s="1">
        <v>17950</v>
      </c>
      <c r="H57" s="1">
        <v>16540</v>
      </c>
      <c r="I57" s="1">
        <v>31426</v>
      </c>
      <c r="J57" s="1">
        <v>1900</v>
      </c>
    </row>
    <row r="58" spans="1:10" x14ac:dyDescent="0.3">
      <c r="A58" t="s">
        <v>10</v>
      </c>
      <c r="B58" t="s">
        <v>24</v>
      </c>
      <c r="C58" t="s">
        <v>11</v>
      </c>
      <c r="D58" t="s">
        <v>30</v>
      </c>
      <c r="E58">
        <v>86</v>
      </c>
      <c r="F58">
        <v>42</v>
      </c>
      <c r="G58" s="1">
        <v>22700</v>
      </c>
      <c r="H58" s="1">
        <v>22640</v>
      </c>
      <c r="I58" s="1">
        <v>61128</v>
      </c>
      <c r="J58" s="1">
        <v>2700</v>
      </c>
    </row>
    <row r="59" spans="1:10" x14ac:dyDescent="0.3">
      <c r="A59" t="s">
        <v>10</v>
      </c>
      <c r="B59" t="s">
        <v>25</v>
      </c>
      <c r="C59" t="s">
        <v>11</v>
      </c>
      <c r="D59" t="s">
        <v>30</v>
      </c>
      <c r="E59">
        <v>86</v>
      </c>
      <c r="F59">
        <v>42</v>
      </c>
      <c r="G59" s="1">
        <v>24900</v>
      </c>
      <c r="H59" s="1">
        <v>24040</v>
      </c>
      <c r="I59" s="1">
        <v>72120</v>
      </c>
      <c r="J59" s="1">
        <v>3000</v>
      </c>
    </row>
    <row r="60" spans="1:10" x14ac:dyDescent="0.3">
      <c r="A60" t="s">
        <v>10</v>
      </c>
      <c r="B60" t="s">
        <v>15</v>
      </c>
      <c r="C60" t="s">
        <v>11</v>
      </c>
      <c r="D60" t="s">
        <v>31</v>
      </c>
      <c r="E60">
        <v>86</v>
      </c>
      <c r="F60">
        <v>49</v>
      </c>
      <c r="G60" s="1">
        <v>4000</v>
      </c>
      <c r="H60" s="1">
        <v>4000</v>
      </c>
      <c r="I60" s="1">
        <v>11200</v>
      </c>
      <c r="J60" s="1">
        <v>2800</v>
      </c>
    </row>
    <row r="61" spans="1:10" x14ac:dyDescent="0.3">
      <c r="A61" t="s">
        <v>10</v>
      </c>
      <c r="B61" t="s">
        <v>16</v>
      </c>
      <c r="C61" t="s">
        <v>11</v>
      </c>
      <c r="D61" t="s">
        <v>31</v>
      </c>
      <c r="E61">
        <v>86</v>
      </c>
      <c r="F61">
        <v>49</v>
      </c>
      <c r="G61" s="1">
        <v>5000</v>
      </c>
      <c r="H61" s="1">
        <v>5000</v>
      </c>
      <c r="I61" s="1">
        <v>15000</v>
      </c>
      <c r="J61" s="1">
        <v>3000</v>
      </c>
    </row>
    <row r="62" spans="1:10" x14ac:dyDescent="0.3">
      <c r="A62" t="s">
        <v>10</v>
      </c>
      <c r="B62" t="s">
        <v>17</v>
      </c>
      <c r="C62" t="s">
        <v>11</v>
      </c>
      <c r="D62" t="s">
        <v>31</v>
      </c>
      <c r="E62">
        <v>86</v>
      </c>
      <c r="F62">
        <v>49</v>
      </c>
      <c r="G62" s="1">
        <v>4000</v>
      </c>
      <c r="H62" s="1">
        <v>4000</v>
      </c>
      <c r="I62" s="1">
        <v>11200</v>
      </c>
      <c r="J62" s="1">
        <v>2800</v>
      </c>
    </row>
    <row r="63" spans="1:10" x14ac:dyDescent="0.3">
      <c r="A63" t="s">
        <v>10</v>
      </c>
      <c r="B63" t="s">
        <v>18</v>
      </c>
      <c r="C63" t="s">
        <v>11</v>
      </c>
      <c r="D63" t="s">
        <v>31</v>
      </c>
      <c r="E63">
        <v>86</v>
      </c>
      <c r="F63">
        <v>49</v>
      </c>
      <c r="G63" s="1">
        <v>5000</v>
      </c>
      <c r="H63" s="1">
        <v>5000</v>
      </c>
      <c r="I63" s="1">
        <v>17500</v>
      </c>
      <c r="J63" s="1">
        <v>3500</v>
      </c>
    </row>
    <row r="64" spans="1:10" x14ac:dyDescent="0.3">
      <c r="A64" t="s">
        <v>10</v>
      </c>
      <c r="B64" t="s">
        <v>19</v>
      </c>
      <c r="C64" t="s">
        <v>11</v>
      </c>
      <c r="D64" t="s">
        <v>31</v>
      </c>
      <c r="E64">
        <v>86</v>
      </c>
      <c r="F64">
        <v>49</v>
      </c>
      <c r="G64" s="1">
        <v>5000</v>
      </c>
      <c r="H64" s="1">
        <v>5000</v>
      </c>
      <c r="I64" s="1">
        <v>15000</v>
      </c>
      <c r="J64" s="1">
        <v>3000</v>
      </c>
    </row>
    <row r="65" spans="1:10" x14ac:dyDescent="0.3">
      <c r="A65" t="s">
        <v>10</v>
      </c>
      <c r="B65" t="s">
        <v>20</v>
      </c>
      <c r="C65" t="s">
        <v>11</v>
      </c>
      <c r="D65" t="s">
        <v>31</v>
      </c>
      <c r="E65">
        <v>86</v>
      </c>
      <c r="F65">
        <v>49</v>
      </c>
      <c r="G65" s="1">
        <v>5000</v>
      </c>
      <c r="H65" s="1">
        <v>5000</v>
      </c>
      <c r="I65" s="1">
        <v>15000</v>
      </c>
      <c r="J65" s="1">
        <v>3000</v>
      </c>
    </row>
    <row r="66" spans="1:10" x14ac:dyDescent="0.3">
      <c r="A66" t="s">
        <v>10</v>
      </c>
      <c r="B66" t="s">
        <v>21</v>
      </c>
      <c r="C66" t="s">
        <v>11</v>
      </c>
      <c r="D66" t="s">
        <v>31</v>
      </c>
      <c r="E66">
        <v>86</v>
      </c>
      <c r="F66">
        <v>49</v>
      </c>
      <c r="G66" s="1">
        <v>5000</v>
      </c>
      <c r="H66" s="1">
        <v>5000</v>
      </c>
      <c r="I66" s="1">
        <v>15000</v>
      </c>
      <c r="J66" s="1">
        <v>3000</v>
      </c>
    </row>
    <row r="67" spans="1:10" x14ac:dyDescent="0.3">
      <c r="A67" t="s">
        <v>10</v>
      </c>
      <c r="B67" t="s">
        <v>22</v>
      </c>
      <c r="C67" t="s">
        <v>11</v>
      </c>
      <c r="D67" t="s">
        <v>31</v>
      </c>
      <c r="E67">
        <v>86</v>
      </c>
      <c r="F67">
        <v>49</v>
      </c>
      <c r="G67" s="1">
        <v>5000</v>
      </c>
      <c r="H67" s="1">
        <v>5000</v>
      </c>
      <c r="I67" s="1">
        <v>12500</v>
      </c>
      <c r="J67" s="1">
        <v>2500</v>
      </c>
    </row>
    <row r="68" spans="1:10" x14ac:dyDescent="0.3">
      <c r="A68" t="s">
        <v>10</v>
      </c>
      <c r="B68" t="s">
        <v>23</v>
      </c>
      <c r="C68" t="s">
        <v>11</v>
      </c>
      <c r="D68" t="s">
        <v>31</v>
      </c>
      <c r="E68">
        <v>86</v>
      </c>
      <c r="F68">
        <v>49</v>
      </c>
      <c r="G68" s="1">
        <v>5000</v>
      </c>
      <c r="H68" s="1">
        <v>5000</v>
      </c>
      <c r="I68" s="1">
        <v>10000</v>
      </c>
      <c r="J68" s="1">
        <v>2000</v>
      </c>
    </row>
    <row r="69" spans="1:10" x14ac:dyDescent="0.3">
      <c r="A69" t="s">
        <v>10</v>
      </c>
      <c r="B69" t="s">
        <v>24</v>
      </c>
      <c r="C69" t="s">
        <v>11</v>
      </c>
      <c r="D69" t="s">
        <v>31</v>
      </c>
      <c r="E69">
        <v>86</v>
      </c>
      <c r="F69">
        <v>49</v>
      </c>
      <c r="G69" s="1">
        <v>5000</v>
      </c>
      <c r="H69" s="1">
        <v>5000</v>
      </c>
      <c r="I69" s="1">
        <v>15000</v>
      </c>
      <c r="J69" s="1">
        <v>3000</v>
      </c>
    </row>
    <row r="70" spans="1:10" x14ac:dyDescent="0.3">
      <c r="A70" t="s">
        <v>10</v>
      </c>
      <c r="B70" t="s">
        <v>25</v>
      </c>
      <c r="C70" t="s">
        <v>11</v>
      </c>
      <c r="D70" t="s">
        <v>31</v>
      </c>
      <c r="E70">
        <v>86</v>
      </c>
      <c r="F70">
        <v>49</v>
      </c>
      <c r="G70" s="1">
        <v>5000</v>
      </c>
      <c r="H70" s="1">
        <v>4950</v>
      </c>
      <c r="I70" s="1">
        <v>10395</v>
      </c>
      <c r="J70" s="1">
        <v>2100</v>
      </c>
    </row>
    <row r="71" spans="1:10" x14ac:dyDescent="0.3">
      <c r="A71" t="s">
        <v>10</v>
      </c>
      <c r="B71" t="s">
        <v>23</v>
      </c>
      <c r="C71" t="s">
        <v>11</v>
      </c>
      <c r="D71" t="s">
        <v>32</v>
      </c>
      <c r="E71">
        <v>86</v>
      </c>
      <c r="F71">
        <v>63</v>
      </c>
      <c r="G71" s="1">
        <v>150</v>
      </c>
      <c r="H71" s="1">
        <v>150</v>
      </c>
      <c r="I71" s="1">
        <v>270</v>
      </c>
      <c r="J71" s="1">
        <v>1800</v>
      </c>
    </row>
    <row r="72" spans="1:10" x14ac:dyDescent="0.3">
      <c r="A72" t="s">
        <v>10</v>
      </c>
      <c r="B72" t="s">
        <v>24</v>
      </c>
      <c r="C72" t="s">
        <v>11</v>
      </c>
      <c r="D72" t="s">
        <v>32</v>
      </c>
      <c r="E72">
        <v>86</v>
      </c>
      <c r="F72">
        <v>63</v>
      </c>
      <c r="G72" s="1">
        <v>300</v>
      </c>
      <c r="H72" s="1">
        <v>300</v>
      </c>
      <c r="I72" s="1">
        <v>600</v>
      </c>
      <c r="J72" s="1">
        <v>2000</v>
      </c>
    </row>
    <row r="73" spans="1:10" x14ac:dyDescent="0.3">
      <c r="A73" t="s">
        <v>10</v>
      </c>
      <c r="B73" t="s">
        <v>25</v>
      </c>
      <c r="C73" t="s">
        <v>11</v>
      </c>
      <c r="D73" t="s">
        <v>32</v>
      </c>
      <c r="E73">
        <v>86</v>
      </c>
      <c r="F73">
        <v>63</v>
      </c>
      <c r="G73" s="1">
        <v>250</v>
      </c>
      <c r="H73" s="1">
        <v>235</v>
      </c>
      <c r="I73" s="1">
        <v>517</v>
      </c>
      <c r="J73" s="1">
        <v>2200</v>
      </c>
    </row>
    <row r="74" spans="1:10" x14ac:dyDescent="0.3">
      <c r="A74" t="s">
        <v>10</v>
      </c>
      <c r="B74" t="s">
        <v>15</v>
      </c>
      <c r="C74" t="s">
        <v>11</v>
      </c>
      <c r="D74" t="s">
        <v>33</v>
      </c>
      <c r="E74">
        <v>86</v>
      </c>
      <c r="F74">
        <v>56</v>
      </c>
      <c r="G74" s="1">
        <v>1500</v>
      </c>
      <c r="H74" s="1">
        <v>1200</v>
      </c>
      <c r="I74" s="1">
        <v>3120</v>
      </c>
      <c r="J74" s="1">
        <v>2600</v>
      </c>
    </row>
    <row r="75" spans="1:10" x14ac:dyDescent="0.3">
      <c r="A75" t="s">
        <v>10</v>
      </c>
      <c r="B75" t="s">
        <v>16</v>
      </c>
      <c r="C75" t="s">
        <v>11</v>
      </c>
      <c r="D75" t="s">
        <v>33</v>
      </c>
      <c r="E75">
        <v>86</v>
      </c>
      <c r="F75">
        <v>56</v>
      </c>
      <c r="G75" s="1">
        <v>1500</v>
      </c>
      <c r="H75" s="1">
        <v>1300</v>
      </c>
      <c r="I75" s="1">
        <v>2470</v>
      </c>
      <c r="J75" s="1">
        <v>1900</v>
      </c>
    </row>
    <row r="76" spans="1:10" x14ac:dyDescent="0.3">
      <c r="A76" t="s">
        <v>10</v>
      </c>
      <c r="B76" t="s">
        <v>17</v>
      </c>
      <c r="C76" t="s">
        <v>11</v>
      </c>
      <c r="D76" t="s">
        <v>33</v>
      </c>
      <c r="E76">
        <v>86</v>
      </c>
      <c r="F76">
        <v>56</v>
      </c>
      <c r="G76" s="1">
        <v>1150</v>
      </c>
      <c r="H76" s="1">
        <v>1150</v>
      </c>
      <c r="I76" s="1">
        <v>2760</v>
      </c>
      <c r="J76" s="1">
        <v>2400</v>
      </c>
    </row>
    <row r="77" spans="1:10" x14ac:dyDescent="0.3">
      <c r="A77" t="s">
        <v>10</v>
      </c>
      <c r="B77" t="s">
        <v>18</v>
      </c>
      <c r="C77" t="s">
        <v>11</v>
      </c>
      <c r="D77" t="s">
        <v>33</v>
      </c>
      <c r="E77">
        <v>86</v>
      </c>
      <c r="F77">
        <v>56</v>
      </c>
      <c r="G77" s="1">
        <v>1500</v>
      </c>
      <c r="H77" s="1">
        <v>1380</v>
      </c>
      <c r="I77" s="1">
        <v>3588</v>
      </c>
      <c r="J77" s="1">
        <v>2600</v>
      </c>
    </row>
    <row r="78" spans="1:10" x14ac:dyDescent="0.3">
      <c r="A78" t="s">
        <v>10</v>
      </c>
      <c r="B78" t="s">
        <v>19</v>
      </c>
      <c r="C78" t="s">
        <v>11</v>
      </c>
      <c r="D78" t="s">
        <v>33</v>
      </c>
      <c r="E78">
        <v>86</v>
      </c>
      <c r="F78">
        <v>56</v>
      </c>
      <c r="G78" s="1">
        <v>1834</v>
      </c>
      <c r="H78" s="1">
        <v>1724</v>
      </c>
      <c r="I78" s="1">
        <v>5689</v>
      </c>
      <c r="J78" s="1">
        <v>3300</v>
      </c>
    </row>
    <row r="79" spans="1:10" x14ac:dyDescent="0.3">
      <c r="A79" t="s">
        <v>10</v>
      </c>
      <c r="B79" t="s">
        <v>20</v>
      </c>
      <c r="C79" t="s">
        <v>11</v>
      </c>
      <c r="D79" t="s">
        <v>33</v>
      </c>
      <c r="E79">
        <v>86</v>
      </c>
      <c r="F79">
        <v>56</v>
      </c>
      <c r="G79" s="1">
        <v>2400</v>
      </c>
      <c r="H79" s="1">
        <v>1570</v>
      </c>
      <c r="I79" s="1">
        <v>4082</v>
      </c>
      <c r="J79" s="1">
        <v>2600</v>
      </c>
    </row>
    <row r="80" spans="1:10" x14ac:dyDescent="0.3">
      <c r="A80" t="s">
        <v>10</v>
      </c>
      <c r="B80" t="s">
        <v>21</v>
      </c>
      <c r="C80" t="s">
        <v>11</v>
      </c>
      <c r="D80" t="s">
        <v>33</v>
      </c>
      <c r="E80">
        <v>86</v>
      </c>
      <c r="F80">
        <v>56</v>
      </c>
      <c r="G80" s="1">
        <v>4200</v>
      </c>
      <c r="H80" s="1">
        <v>4200</v>
      </c>
      <c r="I80" s="1">
        <v>11760</v>
      </c>
      <c r="J80" s="1">
        <v>2800</v>
      </c>
    </row>
    <row r="81" spans="1:10" x14ac:dyDescent="0.3">
      <c r="A81" t="s">
        <v>10</v>
      </c>
      <c r="B81" t="s">
        <v>22</v>
      </c>
      <c r="C81" t="s">
        <v>11</v>
      </c>
      <c r="D81" t="s">
        <v>33</v>
      </c>
      <c r="E81">
        <v>86</v>
      </c>
      <c r="F81">
        <v>56</v>
      </c>
      <c r="G81" s="1">
        <v>5200</v>
      </c>
      <c r="H81" s="1">
        <v>5200</v>
      </c>
      <c r="I81" s="1">
        <v>15600</v>
      </c>
      <c r="J81" s="1">
        <v>3000</v>
      </c>
    </row>
    <row r="82" spans="1:10" x14ac:dyDescent="0.3">
      <c r="A82" t="s">
        <v>10</v>
      </c>
      <c r="B82" t="s">
        <v>23</v>
      </c>
      <c r="C82" t="s">
        <v>11</v>
      </c>
      <c r="D82" t="s">
        <v>33</v>
      </c>
      <c r="E82">
        <v>86</v>
      </c>
      <c r="F82">
        <v>56</v>
      </c>
      <c r="G82" s="1">
        <v>3900</v>
      </c>
      <c r="H82" s="1">
        <v>3630</v>
      </c>
      <c r="I82" s="1">
        <v>6534</v>
      </c>
      <c r="J82" s="1">
        <v>1800</v>
      </c>
    </row>
    <row r="83" spans="1:10" x14ac:dyDescent="0.3">
      <c r="A83" t="s">
        <v>10</v>
      </c>
      <c r="B83" t="s">
        <v>24</v>
      </c>
      <c r="C83" t="s">
        <v>11</v>
      </c>
      <c r="D83" t="s">
        <v>33</v>
      </c>
      <c r="E83">
        <v>86</v>
      </c>
      <c r="F83">
        <v>56</v>
      </c>
      <c r="G83" s="1">
        <v>5600</v>
      </c>
      <c r="H83" s="1">
        <v>5550</v>
      </c>
      <c r="I83" s="1">
        <v>14985</v>
      </c>
      <c r="J83" s="1">
        <v>2700</v>
      </c>
    </row>
    <row r="84" spans="1:10" x14ac:dyDescent="0.3">
      <c r="A84" t="s">
        <v>10</v>
      </c>
      <c r="B84" t="s">
        <v>25</v>
      </c>
      <c r="C84" t="s">
        <v>11</v>
      </c>
      <c r="D84" t="s">
        <v>33</v>
      </c>
      <c r="E84">
        <v>86</v>
      </c>
      <c r="F84">
        <v>56</v>
      </c>
      <c r="G84" s="1">
        <v>5100</v>
      </c>
      <c r="H84" s="1">
        <v>4830</v>
      </c>
      <c r="I84" s="1">
        <v>9177</v>
      </c>
      <c r="J84" s="1">
        <v>1900</v>
      </c>
    </row>
    <row r="85" spans="1:10" x14ac:dyDescent="0.3">
      <c r="A85" t="s">
        <v>10</v>
      </c>
      <c r="B85" t="s">
        <v>15</v>
      </c>
      <c r="C85" t="s">
        <v>11</v>
      </c>
      <c r="D85" t="s">
        <v>34</v>
      </c>
      <c r="E85">
        <v>86</v>
      </c>
      <c r="F85">
        <v>70</v>
      </c>
      <c r="G85" s="1">
        <v>6000</v>
      </c>
      <c r="H85" s="1">
        <v>6000</v>
      </c>
      <c r="I85" s="1">
        <v>15000</v>
      </c>
      <c r="J85" s="1">
        <v>2500</v>
      </c>
    </row>
    <row r="86" spans="1:10" x14ac:dyDescent="0.3">
      <c r="A86" t="s">
        <v>10</v>
      </c>
      <c r="B86" t="s">
        <v>16</v>
      </c>
      <c r="C86" t="s">
        <v>11</v>
      </c>
      <c r="D86" t="s">
        <v>34</v>
      </c>
      <c r="E86">
        <v>86</v>
      </c>
      <c r="F86">
        <v>70</v>
      </c>
      <c r="G86" s="1">
        <v>5000</v>
      </c>
      <c r="H86" s="1">
        <v>5000</v>
      </c>
      <c r="I86" s="1">
        <v>13000</v>
      </c>
      <c r="J86" s="1">
        <v>2600</v>
      </c>
    </row>
    <row r="87" spans="1:10" x14ac:dyDescent="0.3">
      <c r="A87" t="s">
        <v>10</v>
      </c>
      <c r="B87" t="s">
        <v>17</v>
      </c>
      <c r="C87" t="s">
        <v>11</v>
      </c>
      <c r="D87" t="s">
        <v>34</v>
      </c>
      <c r="E87">
        <v>86</v>
      </c>
      <c r="F87">
        <v>70</v>
      </c>
      <c r="G87" s="1">
        <v>4000</v>
      </c>
      <c r="H87" s="1">
        <v>4000</v>
      </c>
      <c r="I87" s="1">
        <v>11200</v>
      </c>
      <c r="J87" s="1">
        <v>2800</v>
      </c>
    </row>
    <row r="88" spans="1:10" x14ac:dyDescent="0.3">
      <c r="A88" t="s">
        <v>10</v>
      </c>
      <c r="B88" t="s">
        <v>18</v>
      </c>
      <c r="C88" t="s">
        <v>11</v>
      </c>
      <c r="D88" t="s">
        <v>34</v>
      </c>
      <c r="E88">
        <v>86</v>
      </c>
      <c r="F88">
        <v>70</v>
      </c>
      <c r="G88" s="1">
        <v>5000</v>
      </c>
      <c r="H88" s="1">
        <v>5000</v>
      </c>
      <c r="I88" s="1">
        <v>17500</v>
      </c>
      <c r="J88" s="1">
        <v>3500</v>
      </c>
    </row>
    <row r="89" spans="1:10" x14ac:dyDescent="0.3">
      <c r="A89" t="s">
        <v>10</v>
      </c>
      <c r="B89" t="s">
        <v>19</v>
      </c>
      <c r="C89" t="s">
        <v>11</v>
      </c>
      <c r="D89" t="s">
        <v>34</v>
      </c>
      <c r="E89">
        <v>86</v>
      </c>
      <c r="F89">
        <v>70</v>
      </c>
      <c r="G89" s="1">
        <v>6000</v>
      </c>
      <c r="H89" s="1">
        <v>5200</v>
      </c>
      <c r="I89" s="1">
        <v>15600</v>
      </c>
      <c r="J89" s="1">
        <v>3000</v>
      </c>
    </row>
    <row r="90" spans="1:10" x14ac:dyDescent="0.3">
      <c r="A90" t="s">
        <v>10</v>
      </c>
      <c r="B90" t="s">
        <v>20</v>
      </c>
      <c r="C90" t="s">
        <v>11</v>
      </c>
      <c r="D90" t="s">
        <v>34</v>
      </c>
      <c r="E90">
        <v>86</v>
      </c>
      <c r="F90">
        <v>70</v>
      </c>
      <c r="G90" s="1">
        <v>6000</v>
      </c>
      <c r="H90" s="1">
        <v>6000</v>
      </c>
      <c r="I90" s="1">
        <v>18000</v>
      </c>
      <c r="J90" s="1">
        <v>3000</v>
      </c>
    </row>
    <row r="91" spans="1:10" x14ac:dyDescent="0.3">
      <c r="A91" t="s">
        <v>10</v>
      </c>
      <c r="B91" t="s">
        <v>21</v>
      </c>
      <c r="C91" t="s">
        <v>11</v>
      </c>
      <c r="D91" t="s">
        <v>34</v>
      </c>
      <c r="E91">
        <v>86</v>
      </c>
      <c r="F91">
        <v>70</v>
      </c>
      <c r="G91" s="1">
        <v>6000</v>
      </c>
      <c r="H91" s="1">
        <v>6000</v>
      </c>
      <c r="I91" s="1">
        <v>16800</v>
      </c>
      <c r="J91" s="1">
        <v>2800</v>
      </c>
    </row>
    <row r="92" spans="1:10" x14ac:dyDescent="0.3">
      <c r="A92" t="s">
        <v>10</v>
      </c>
      <c r="B92" t="s">
        <v>22</v>
      </c>
      <c r="C92" t="s">
        <v>11</v>
      </c>
      <c r="D92" t="s">
        <v>34</v>
      </c>
      <c r="E92">
        <v>86</v>
      </c>
      <c r="F92">
        <v>70</v>
      </c>
      <c r="G92" s="1">
        <v>6000</v>
      </c>
      <c r="H92" s="1">
        <v>6000</v>
      </c>
      <c r="I92" s="1">
        <v>12000</v>
      </c>
      <c r="J92" s="1">
        <v>2000</v>
      </c>
    </row>
    <row r="93" spans="1:10" x14ac:dyDescent="0.3">
      <c r="A93" t="s">
        <v>10</v>
      </c>
      <c r="B93" t="s">
        <v>23</v>
      </c>
      <c r="C93" t="s">
        <v>11</v>
      </c>
      <c r="D93" t="s">
        <v>34</v>
      </c>
      <c r="E93">
        <v>86</v>
      </c>
      <c r="F93">
        <v>70</v>
      </c>
      <c r="G93" s="1">
        <v>6000</v>
      </c>
      <c r="H93" s="1">
        <v>6000</v>
      </c>
      <c r="I93" s="1">
        <v>12000</v>
      </c>
      <c r="J93" s="1">
        <v>2000</v>
      </c>
    </row>
    <row r="94" spans="1:10" x14ac:dyDescent="0.3">
      <c r="A94" t="s">
        <v>10</v>
      </c>
      <c r="B94" t="s">
        <v>24</v>
      </c>
      <c r="C94" t="s">
        <v>11</v>
      </c>
      <c r="D94" t="s">
        <v>34</v>
      </c>
      <c r="E94">
        <v>86</v>
      </c>
      <c r="F94">
        <v>70</v>
      </c>
      <c r="G94" s="1">
        <v>6000</v>
      </c>
      <c r="H94" s="1">
        <v>6000</v>
      </c>
      <c r="I94" s="1">
        <v>18000</v>
      </c>
      <c r="J94" s="1">
        <v>3000</v>
      </c>
    </row>
    <row r="95" spans="1:10" x14ac:dyDescent="0.3">
      <c r="A95" t="s">
        <v>10</v>
      </c>
      <c r="B95" t="s">
        <v>25</v>
      </c>
      <c r="C95" t="s">
        <v>11</v>
      </c>
      <c r="D95" t="s">
        <v>34</v>
      </c>
      <c r="E95">
        <v>86</v>
      </c>
      <c r="F95">
        <v>70</v>
      </c>
      <c r="G95" s="1">
        <v>6000</v>
      </c>
      <c r="H95" s="1">
        <v>5955</v>
      </c>
      <c r="I95" s="1">
        <v>13101</v>
      </c>
      <c r="J95" s="1">
        <v>2200</v>
      </c>
    </row>
    <row r="96" spans="1:10" x14ac:dyDescent="0.3">
      <c r="A96" t="s">
        <v>10</v>
      </c>
      <c r="B96" t="s">
        <v>15</v>
      </c>
      <c r="C96" t="s">
        <v>11</v>
      </c>
      <c r="D96" t="s">
        <v>35</v>
      </c>
      <c r="E96">
        <v>86</v>
      </c>
      <c r="F96">
        <v>77</v>
      </c>
      <c r="G96" s="1">
        <v>5000</v>
      </c>
      <c r="H96" s="1">
        <v>4000</v>
      </c>
      <c r="I96" s="1">
        <v>8800</v>
      </c>
      <c r="J96" s="1">
        <v>2200</v>
      </c>
    </row>
    <row r="97" spans="1:10" x14ac:dyDescent="0.3">
      <c r="A97" t="s">
        <v>10</v>
      </c>
      <c r="B97" t="s">
        <v>16</v>
      </c>
      <c r="C97" t="s">
        <v>11</v>
      </c>
      <c r="D97" t="s">
        <v>35</v>
      </c>
      <c r="E97">
        <v>86</v>
      </c>
      <c r="F97">
        <v>77</v>
      </c>
      <c r="G97" s="1">
        <v>5000</v>
      </c>
      <c r="H97" s="1">
        <v>4700</v>
      </c>
      <c r="I97" s="1">
        <v>7520</v>
      </c>
      <c r="J97" s="1">
        <v>1600</v>
      </c>
    </row>
    <row r="98" spans="1:10" x14ac:dyDescent="0.3">
      <c r="A98" t="s">
        <v>10</v>
      </c>
      <c r="B98" t="s">
        <v>17</v>
      </c>
      <c r="C98" t="s">
        <v>11</v>
      </c>
      <c r="D98" t="s">
        <v>35</v>
      </c>
      <c r="E98">
        <v>86</v>
      </c>
      <c r="F98">
        <v>77</v>
      </c>
      <c r="G98" s="1">
        <v>2190</v>
      </c>
      <c r="H98" s="1">
        <v>2130</v>
      </c>
      <c r="I98" s="1">
        <v>5964</v>
      </c>
      <c r="J98" s="1">
        <v>2800</v>
      </c>
    </row>
    <row r="99" spans="1:10" x14ac:dyDescent="0.3">
      <c r="A99" t="s">
        <v>10</v>
      </c>
      <c r="B99" t="s">
        <v>18</v>
      </c>
      <c r="C99" t="s">
        <v>11</v>
      </c>
      <c r="D99" t="s">
        <v>35</v>
      </c>
      <c r="E99">
        <v>86</v>
      </c>
      <c r="F99">
        <v>77</v>
      </c>
      <c r="G99" s="1">
        <v>3200</v>
      </c>
      <c r="H99" s="1">
        <v>3060</v>
      </c>
      <c r="I99" s="1">
        <v>7956</v>
      </c>
      <c r="J99" s="1">
        <v>2600</v>
      </c>
    </row>
    <row r="100" spans="1:10" x14ac:dyDescent="0.3">
      <c r="A100" t="s">
        <v>10</v>
      </c>
      <c r="B100" t="s">
        <v>19</v>
      </c>
      <c r="C100" t="s">
        <v>11</v>
      </c>
      <c r="D100" t="s">
        <v>35</v>
      </c>
      <c r="E100">
        <v>86</v>
      </c>
      <c r="F100">
        <v>77</v>
      </c>
      <c r="G100" s="1">
        <v>11115</v>
      </c>
      <c r="H100" s="1">
        <v>7135</v>
      </c>
      <c r="I100" s="1">
        <v>23546</v>
      </c>
      <c r="J100" s="1">
        <v>3300</v>
      </c>
    </row>
    <row r="101" spans="1:10" x14ac:dyDescent="0.3">
      <c r="A101" t="s">
        <v>10</v>
      </c>
      <c r="B101" t="s">
        <v>20</v>
      </c>
      <c r="C101" t="s">
        <v>11</v>
      </c>
      <c r="D101" t="s">
        <v>35</v>
      </c>
      <c r="E101">
        <v>86</v>
      </c>
      <c r="F101">
        <v>77</v>
      </c>
      <c r="G101" s="1">
        <v>11400</v>
      </c>
      <c r="H101" s="1">
        <v>10770</v>
      </c>
      <c r="I101" s="1">
        <v>33387</v>
      </c>
      <c r="J101" s="1">
        <v>3100</v>
      </c>
    </row>
    <row r="102" spans="1:10" x14ac:dyDescent="0.3">
      <c r="A102" t="s">
        <v>10</v>
      </c>
      <c r="B102" t="s">
        <v>21</v>
      </c>
      <c r="C102" t="s">
        <v>11</v>
      </c>
      <c r="D102" t="s">
        <v>35</v>
      </c>
      <c r="E102">
        <v>86</v>
      </c>
      <c r="F102">
        <v>77</v>
      </c>
      <c r="G102" s="1">
        <v>6800</v>
      </c>
      <c r="H102" s="1">
        <v>6310</v>
      </c>
      <c r="I102" s="1">
        <v>18930</v>
      </c>
      <c r="J102" s="1">
        <v>3000</v>
      </c>
    </row>
    <row r="103" spans="1:10" x14ac:dyDescent="0.3">
      <c r="A103" t="s">
        <v>10</v>
      </c>
      <c r="B103" t="s">
        <v>22</v>
      </c>
      <c r="C103" t="s">
        <v>11</v>
      </c>
      <c r="D103" t="s">
        <v>35</v>
      </c>
      <c r="E103">
        <v>86</v>
      </c>
      <c r="F103">
        <v>77</v>
      </c>
      <c r="G103" s="1">
        <v>12700</v>
      </c>
      <c r="H103" s="1">
        <v>12530</v>
      </c>
      <c r="I103" s="1">
        <v>41349</v>
      </c>
      <c r="J103" s="1">
        <v>3300</v>
      </c>
    </row>
    <row r="104" spans="1:10" x14ac:dyDescent="0.3">
      <c r="A104" t="s">
        <v>10</v>
      </c>
      <c r="B104" t="s">
        <v>23</v>
      </c>
      <c r="C104" t="s">
        <v>11</v>
      </c>
      <c r="D104" t="s">
        <v>35</v>
      </c>
      <c r="E104">
        <v>86</v>
      </c>
      <c r="F104">
        <v>77</v>
      </c>
      <c r="G104" s="1">
        <v>6600</v>
      </c>
      <c r="H104" s="1">
        <v>5470</v>
      </c>
      <c r="I104" s="1">
        <v>10940</v>
      </c>
      <c r="J104" s="1">
        <v>2000</v>
      </c>
    </row>
    <row r="105" spans="1:10" x14ac:dyDescent="0.3">
      <c r="A105" t="s">
        <v>10</v>
      </c>
      <c r="B105" t="s">
        <v>24</v>
      </c>
      <c r="C105" t="s">
        <v>11</v>
      </c>
      <c r="D105" t="s">
        <v>35</v>
      </c>
      <c r="E105">
        <v>86</v>
      </c>
      <c r="F105">
        <v>77</v>
      </c>
      <c r="G105" s="1">
        <v>8500</v>
      </c>
      <c r="H105" s="1">
        <v>8460</v>
      </c>
      <c r="I105" s="1">
        <v>21996</v>
      </c>
      <c r="J105" s="1">
        <v>2600</v>
      </c>
    </row>
    <row r="106" spans="1:10" x14ac:dyDescent="0.3">
      <c r="A106" t="s">
        <v>10</v>
      </c>
      <c r="B106" t="s">
        <v>25</v>
      </c>
      <c r="C106" t="s">
        <v>11</v>
      </c>
      <c r="D106" t="s">
        <v>35</v>
      </c>
      <c r="E106">
        <v>86</v>
      </c>
      <c r="F106">
        <v>77</v>
      </c>
      <c r="G106" s="1">
        <v>11800</v>
      </c>
      <c r="H106" s="1">
        <v>11440</v>
      </c>
      <c r="I106" s="1">
        <v>32032</v>
      </c>
      <c r="J106" s="1">
        <v>2800</v>
      </c>
    </row>
    <row r="107" spans="1:10" x14ac:dyDescent="0.3">
      <c r="A107" t="s">
        <v>10</v>
      </c>
      <c r="B107" t="s">
        <v>16</v>
      </c>
      <c r="C107" t="s">
        <v>11</v>
      </c>
      <c r="D107" t="s">
        <v>36</v>
      </c>
      <c r="E107">
        <v>86</v>
      </c>
      <c r="F107">
        <v>84</v>
      </c>
      <c r="G107" s="1">
        <v>200</v>
      </c>
      <c r="H107" s="1">
        <v>200</v>
      </c>
      <c r="I107" s="1">
        <v>400</v>
      </c>
      <c r="J107" s="1">
        <v>2000</v>
      </c>
    </row>
    <row r="108" spans="1:10" x14ac:dyDescent="0.3">
      <c r="A108" t="s">
        <v>10</v>
      </c>
      <c r="B108" t="s">
        <v>17</v>
      </c>
      <c r="C108" t="s">
        <v>11</v>
      </c>
      <c r="D108" t="s">
        <v>36</v>
      </c>
      <c r="E108">
        <v>86</v>
      </c>
      <c r="F108">
        <v>84</v>
      </c>
      <c r="G108" s="1">
        <v>300</v>
      </c>
      <c r="H108" s="1">
        <v>300</v>
      </c>
      <c r="I108" s="1">
        <v>840</v>
      </c>
      <c r="J108" s="1">
        <v>2800</v>
      </c>
    </row>
    <row r="109" spans="1:10" x14ac:dyDescent="0.3">
      <c r="A109" t="s">
        <v>10</v>
      </c>
      <c r="B109" t="s">
        <v>18</v>
      </c>
      <c r="C109" t="s">
        <v>11</v>
      </c>
      <c r="D109" t="s">
        <v>36</v>
      </c>
      <c r="E109">
        <v>86</v>
      </c>
      <c r="F109">
        <v>84</v>
      </c>
      <c r="G109" s="1">
        <v>300</v>
      </c>
      <c r="H109" s="1">
        <v>300</v>
      </c>
      <c r="I109" s="1">
        <v>900</v>
      </c>
      <c r="J109" s="1">
        <v>3000</v>
      </c>
    </row>
    <row r="110" spans="1:10" x14ac:dyDescent="0.3">
      <c r="A110" t="s">
        <v>10</v>
      </c>
      <c r="B110" t="s">
        <v>23</v>
      </c>
      <c r="C110" t="s">
        <v>11</v>
      </c>
      <c r="D110" t="s">
        <v>36</v>
      </c>
      <c r="E110">
        <v>86</v>
      </c>
      <c r="F110">
        <v>84</v>
      </c>
      <c r="G110" s="1">
        <v>700</v>
      </c>
      <c r="H110" s="1">
        <v>700</v>
      </c>
      <c r="I110" s="1">
        <v>1400</v>
      </c>
      <c r="J110" s="1">
        <v>2000</v>
      </c>
    </row>
    <row r="111" spans="1:10" x14ac:dyDescent="0.3">
      <c r="A111" t="s">
        <v>10</v>
      </c>
      <c r="B111" t="s">
        <v>24</v>
      </c>
      <c r="C111" t="s">
        <v>11</v>
      </c>
      <c r="D111" t="s">
        <v>36</v>
      </c>
      <c r="E111">
        <v>86</v>
      </c>
      <c r="F111">
        <v>84</v>
      </c>
      <c r="G111" s="1">
        <v>1000</v>
      </c>
      <c r="H111" s="1">
        <v>990</v>
      </c>
      <c r="I111" s="1">
        <v>2475</v>
      </c>
      <c r="J111" s="1">
        <v>2500</v>
      </c>
    </row>
    <row r="112" spans="1:10" x14ac:dyDescent="0.3">
      <c r="A112" t="s">
        <v>10</v>
      </c>
      <c r="B112" t="s">
        <v>16</v>
      </c>
      <c r="C112" t="s">
        <v>11</v>
      </c>
      <c r="D112" t="s">
        <v>37</v>
      </c>
      <c r="E112">
        <v>86</v>
      </c>
      <c r="F112">
        <v>91</v>
      </c>
      <c r="G112" s="1">
        <v>500</v>
      </c>
      <c r="H112" s="1">
        <v>500</v>
      </c>
      <c r="I112" s="1">
        <v>1000</v>
      </c>
      <c r="J112" s="1">
        <v>2000</v>
      </c>
    </row>
    <row r="113" spans="1:10" x14ac:dyDescent="0.3">
      <c r="A113" t="s">
        <v>10</v>
      </c>
      <c r="B113" t="s">
        <v>20</v>
      </c>
      <c r="C113" t="s">
        <v>11</v>
      </c>
      <c r="D113" t="s">
        <v>37</v>
      </c>
      <c r="E113">
        <v>86</v>
      </c>
      <c r="F113">
        <v>91</v>
      </c>
      <c r="G113" s="1">
        <v>500</v>
      </c>
      <c r="H113" s="1">
        <v>500</v>
      </c>
      <c r="I113" s="1">
        <v>1500</v>
      </c>
      <c r="J113" s="1">
        <v>3000</v>
      </c>
    </row>
    <row r="114" spans="1:10" x14ac:dyDescent="0.3">
      <c r="A114" t="s">
        <v>10</v>
      </c>
      <c r="B114" t="s">
        <v>21</v>
      </c>
      <c r="C114" t="s">
        <v>11</v>
      </c>
      <c r="D114" t="s">
        <v>37</v>
      </c>
      <c r="E114">
        <v>86</v>
      </c>
      <c r="F114">
        <v>91</v>
      </c>
      <c r="G114" s="1">
        <v>500</v>
      </c>
      <c r="H114" s="1">
        <v>0</v>
      </c>
      <c r="I114" s="1">
        <v>0</v>
      </c>
      <c r="J114" s="1">
        <v>0</v>
      </c>
    </row>
    <row r="115" spans="1:10" x14ac:dyDescent="0.3">
      <c r="A115" t="s">
        <v>10</v>
      </c>
      <c r="B115" t="s">
        <v>22</v>
      </c>
      <c r="C115" t="s">
        <v>11</v>
      </c>
      <c r="D115" t="s">
        <v>37</v>
      </c>
      <c r="E115">
        <v>86</v>
      </c>
      <c r="F115">
        <v>91</v>
      </c>
      <c r="G115" s="1">
        <v>1000</v>
      </c>
      <c r="H115" s="1">
        <v>1000</v>
      </c>
      <c r="I115" s="1">
        <v>2500</v>
      </c>
      <c r="J115" s="1">
        <v>2500</v>
      </c>
    </row>
    <row r="116" spans="1:10" x14ac:dyDescent="0.3">
      <c r="A116" t="s">
        <v>10</v>
      </c>
      <c r="B116" t="s">
        <v>23</v>
      </c>
      <c r="C116" t="s">
        <v>11</v>
      </c>
      <c r="D116" t="s">
        <v>37</v>
      </c>
      <c r="E116">
        <v>86</v>
      </c>
      <c r="F116">
        <v>91</v>
      </c>
      <c r="G116" s="1">
        <v>1000</v>
      </c>
      <c r="H116" s="1">
        <v>1000</v>
      </c>
      <c r="I116" s="1">
        <v>1800</v>
      </c>
      <c r="J116" s="1">
        <v>1800</v>
      </c>
    </row>
    <row r="117" spans="1:10" x14ac:dyDescent="0.3">
      <c r="A117" t="s">
        <v>10</v>
      </c>
      <c r="B117" t="s">
        <v>24</v>
      </c>
      <c r="C117" t="s">
        <v>11</v>
      </c>
      <c r="D117" t="s">
        <v>37</v>
      </c>
      <c r="E117">
        <v>86</v>
      </c>
      <c r="F117">
        <v>91</v>
      </c>
      <c r="G117" s="1">
        <v>500</v>
      </c>
      <c r="H117" s="1">
        <v>490</v>
      </c>
      <c r="I117" s="1">
        <v>980</v>
      </c>
      <c r="J117" s="1">
        <v>2000</v>
      </c>
    </row>
    <row r="118" spans="1:10" x14ac:dyDescent="0.3">
      <c r="A118" t="s">
        <v>10</v>
      </c>
      <c r="B118" t="s">
        <v>25</v>
      </c>
      <c r="C118" t="s">
        <v>11</v>
      </c>
      <c r="D118" t="s">
        <v>37</v>
      </c>
      <c r="E118">
        <v>86</v>
      </c>
      <c r="F118">
        <v>91</v>
      </c>
      <c r="G118" s="1">
        <v>1000</v>
      </c>
      <c r="H118" s="1">
        <v>980</v>
      </c>
      <c r="I118" s="1">
        <v>2058</v>
      </c>
      <c r="J118" s="1">
        <v>2100</v>
      </c>
    </row>
    <row r="119" spans="1:10" x14ac:dyDescent="0.3">
      <c r="A119" t="s">
        <v>10</v>
      </c>
      <c r="B119" t="s">
        <v>15</v>
      </c>
      <c r="C119" t="s">
        <v>11</v>
      </c>
      <c r="D119" t="s">
        <v>38</v>
      </c>
      <c r="E119">
        <v>86</v>
      </c>
      <c r="F119">
        <v>98</v>
      </c>
      <c r="G119" s="1">
        <v>12000</v>
      </c>
      <c r="H119" s="1">
        <v>12000</v>
      </c>
      <c r="I119" s="1">
        <v>28800</v>
      </c>
      <c r="J119" s="1">
        <v>2400</v>
      </c>
    </row>
    <row r="120" spans="1:10" x14ac:dyDescent="0.3">
      <c r="A120" t="s">
        <v>10</v>
      </c>
      <c r="B120" t="s">
        <v>16</v>
      </c>
      <c r="C120" t="s">
        <v>11</v>
      </c>
      <c r="D120" t="s">
        <v>38</v>
      </c>
      <c r="E120">
        <v>86</v>
      </c>
      <c r="F120">
        <v>98</v>
      </c>
      <c r="G120" s="1">
        <v>12000</v>
      </c>
      <c r="H120" s="1">
        <v>11000</v>
      </c>
      <c r="I120" s="1">
        <v>16500</v>
      </c>
      <c r="J120" s="1">
        <v>1500</v>
      </c>
    </row>
    <row r="121" spans="1:10" x14ac:dyDescent="0.3">
      <c r="A121" t="s">
        <v>10</v>
      </c>
      <c r="B121" t="s">
        <v>17</v>
      </c>
      <c r="C121" t="s">
        <v>11</v>
      </c>
      <c r="D121" t="s">
        <v>38</v>
      </c>
      <c r="E121">
        <v>86</v>
      </c>
      <c r="F121">
        <v>98</v>
      </c>
      <c r="G121" s="1">
        <v>8120</v>
      </c>
      <c r="H121" s="1">
        <v>8045</v>
      </c>
      <c r="I121" s="1">
        <v>23331</v>
      </c>
      <c r="J121" s="1">
        <v>2900</v>
      </c>
    </row>
    <row r="122" spans="1:10" x14ac:dyDescent="0.3">
      <c r="A122" t="s">
        <v>10</v>
      </c>
      <c r="B122" t="s">
        <v>18</v>
      </c>
      <c r="C122" t="s">
        <v>11</v>
      </c>
      <c r="D122" t="s">
        <v>38</v>
      </c>
      <c r="E122">
        <v>86</v>
      </c>
      <c r="F122">
        <v>98</v>
      </c>
      <c r="G122" s="1">
        <v>9000</v>
      </c>
      <c r="H122" s="1">
        <v>8790</v>
      </c>
      <c r="I122" s="1">
        <v>23733</v>
      </c>
      <c r="J122" s="1">
        <v>2700</v>
      </c>
    </row>
    <row r="123" spans="1:10" x14ac:dyDescent="0.3">
      <c r="A123" t="s">
        <v>10</v>
      </c>
      <c r="B123" t="s">
        <v>19</v>
      </c>
      <c r="C123" t="s">
        <v>11</v>
      </c>
      <c r="D123" t="s">
        <v>38</v>
      </c>
      <c r="E123">
        <v>86</v>
      </c>
      <c r="F123">
        <v>98</v>
      </c>
      <c r="G123" s="1">
        <v>18915</v>
      </c>
      <c r="H123" s="1">
        <v>18475</v>
      </c>
      <c r="I123" s="1">
        <v>59120</v>
      </c>
      <c r="J123" s="1">
        <v>3200</v>
      </c>
    </row>
    <row r="124" spans="1:10" x14ac:dyDescent="0.3">
      <c r="A124" t="s">
        <v>10</v>
      </c>
      <c r="B124" t="s">
        <v>20</v>
      </c>
      <c r="C124" t="s">
        <v>11</v>
      </c>
      <c r="D124" t="s">
        <v>38</v>
      </c>
      <c r="E124">
        <v>86</v>
      </c>
      <c r="F124">
        <v>98</v>
      </c>
      <c r="G124" s="1">
        <v>20300</v>
      </c>
      <c r="H124" s="1">
        <v>19870</v>
      </c>
      <c r="I124" s="1">
        <v>63584</v>
      </c>
      <c r="J124" s="1">
        <v>3200</v>
      </c>
    </row>
    <row r="125" spans="1:10" x14ac:dyDescent="0.3">
      <c r="A125" t="s">
        <v>10</v>
      </c>
      <c r="B125" t="s">
        <v>21</v>
      </c>
      <c r="C125" t="s">
        <v>11</v>
      </c>
      <c r="D125" t="s">
        <v>38</v>
      </c>
      <c r="E125">
        <v>86</v>
      </c>
      <c r="F125">
        <v>98</v>
      </c>
      <c r="G125" s="1">
        <v>18500</v>
      </c>
      <c r="H125" s="1">
        <v>17570</v>
      </c>
      <c r="I125" s="1">
        <v>56224</v>
      </c>
      <c r="J125" s="1">
        <v>3200</v>
      </c>
    </row>
    <row r="126" spans="1:10" x14ac:dyDescent="0.3">
      <c r="A126" t="s">
        <v>10</v>
      </c>
      <c r="B126" t="s">
        <v>22</v>
      </c>
      <c r="C126" t="s">
        <v>11</v>
      </c>
      <c r="D126" t="s">
        <v>38</v>
      </c>
      <c r="E126">
        <v>86</v>
      </c>
      <c r="F126">
        <v>98</v>
      </c>
      <c r="G126" s="1">
        <v>23800</v>
      </c>
      <c r="H126" s="1">
        <v>23760</v>
      </c>
      <c r="I126" s="1">
        <v>76032</v>
      </c>
      <c r="J126" s="1">
        <v>3200</v>
      </c>
    </row>
    <row r="127" spans="1:10" x14ac:dyDescent="0.3">
      <c r="A127" t="s">
        <v>10</v>
      </c>
      <c r="B127" t="s">
        <v>23</v>
      </c>
      <c r="C127" t="s">
        <v>11</v>
      </c>
      <c r="D127" t="s">
        <v>38</v>
      </c>
      <c r="E127">
        <v>86</v>
      </c>
      <c r="F127">
        <v>98</v>
      </c>
      <c r="G127" s="1">
        <v>16650</v>
      </c>
      <c r="H127" s="1">
        <v>15430</v>
      </c>
      <c r="I127" s="1">
        <v>30860</v>
      </c>
      <c r="J127" s="1">
        <v>2000</v>
      </c>
    </row>
    <row r="128" spans="1:10" x14ac:dyDescent="0.3">
      <c r="A128" t="s">
        <v>10</v>
      </c>
      <c r="B128" t="s">
        <v>24</v>
      </c>
      <c r="C128" t="s">
        <v>11</v>
      </c>
      <c r="D128" t="s">
        <v>38</v>
      </c>
      <c r="E128">
        <v>86</v>
      </c>
      <c r="F128">
        <v>98</v>
      </c>
      <c r="G128" s="1">
        <v>20100</v>
      </c>
      <c r="H128" s="1">
        <v>20030</v>
      </c>
      <c r="I128" s="1">
        <v>54081</v>
      </c>
      <c r="J128" s="1">
        <v>2700</v>
      </c>
    </row>
    <row r="129" spans="1:10" x14ac:dyDescent="0.3">
      <c r="A129" t="s">
        <v>10</v>
      </c>
      <c r="B129" t="s">
        <v>25</v>
      </c>
      <c r="C129" t="s">
        <v>11</v>
      </c>
      <c r="D129" t="s">
        <v>38</v>
      </c>
      <c r="E129">
        <v>86</v>
      </c>
      <c r="F129">
        <v>98</v>
      </c>
      <c r="G129" s="1">
        <v>24150</v>
      </c>
      <c r="H129" s="1">
        <v>23120</v>
      </c>
      <c r="I129" s="1">
        <v>46240</v>
      </c>
      <c r="J129" s="1">
        <v>2000</v>
      </c>
    </row>
    <row r="130" spans="1:10" x14ac:dyDescent="0.3">
      <c r="A130" t="s">
        <v>10</v>
      </c>
      <c r="B130" t="s">
        <v>16</v>
      </c>
      <c r="C130" t="s">
        <v>11</v>
      </c>
      <c r="D130" t="s">
        <v>39</v>
      </c>
      <c r="E130">
        <v>86</v>
      </c>
      <c r="F130">
        <v>105</v>
      </c>
      <c r="G130" s="1">
        <v>5000</v>
      </c>
      <c r="H130" s="1">
        <v>5000</v>
      </c>
      <c r="I130" s="1">
        <v>13000</v>
      </c>
      <c r="J130" s="1">
        <v>2600</v>
      </c>
    </row>
    <row r="131" spans="1:10" x14ac:dyDescent="0.3">
      <c r="A131" t="s">
        <v>10</v>
      </c>
      <c r="B131" t="s">
        <v>17</v>
      </c>
      <c r="C131" t="s">
        <v>11</v>
      </c>
      <c r="D131" t="s">
        <v>39</v>
      </c>
      <c r="E131">
        <v>86</v>
      </c>
      <c r="F131">
        <v>105</v>
      </c>
      <c r="G131" s="1">
        <v>3500</v>
      </c>
      <c r="H131" s="1">
        <v>3500</v>
      </c>
      <c r="I131" s="1">
        <v>10500</v>
      </c>
      <c r="J131" s="1">
        <v>3000</v>
      </c>
    </row>
    <row r="132" spans="1:10" x14ac:dyDescent="0.3">
      <c r="A132" t="s">
        <v>10</v>
      </c>
      <c r="B132" t="s">
        <v>18</v>
      </c>
      <c r="C132" t="s">
        <v>11</v>
      </c>
      <c r="D132" t="s">
        <v>39</v>
      </c>
      <c r="E132">
        <v>86</v>
      </c>
      <c r="F132">
        <v>105</v>
      </c>
      <c r="G132" s="1">
        <v>4000</v>
      </c>
      <c r="H132" s="1">
        <v>4000</v>
      </c>
      <c r="I132" s="1">
        <v>12000</v>
      </c>
      <c r="J132" s="1">
        <v>3000</v>
      </c>
    </row>
    <row r="133" spans="1:10" x14ac:dyDescent="0.3">
      <c r="A133" t="s">
        <v>10</v>
      </c>
      <c r="B133" t="s">
        <v>19</v>
      </c>
      <c r="C133" t="s">
        <v>11</v>
      </c>
      <c r="D133" t="s">
        <v>39</v>
      </c>
      <c r="E133">
        <v>86</v>
      </c>
      <c r="F133">
        <v>105</v>
      </c>
      <c r="G133" s="1">
        <v>4000</v>
      </c>
      <c r="H133" s="1">
        <v>4000</v>
      </c>
      <c r="I133" s="1">
        <v>12000</v>
      </c>
      <c r="J133" s="1">
        <v>3000</v>
      </c>
    </row>
    <row r="134" spans="1:10" x14ac:dyDescent="0.3">
      <c r="A134" t="s">
        <v>10</v>
      </c>
      <c r="B134" t="s">
        <v>20</v>
      </c>
      <c r="C134" t="s">
        <v>11</v>
      </c>
      <c r="D134" t="s">
        <v>39</v>
      </c>
      <c r="E134">
        <v>86</v>
      </c>
      <c r="F134">
        <v>105</v>
      </c>
      <c r="G134" s="1">
        <v>4000</v>
      </c>
      <c r="H134" s="1">
        <v>4000</v>
      </c>
      <c r="I134" s="1">
        <v>12000</v>
      </c>
      <c r="J134" s="1">
        <v>3000</v>
      </c>
    </row>
    <row r="135" spans="1:10" x14ac:dyDescent="0.3">
      <c r="A135" t="s">
        <v>10</v>
      </c>
      <c r="B135" t="s">
        <v>21</v>
      </c>
      <c r="C135" t="s">
        <v>11</v>
      </c>
      <c r="D135" t="s">
        <v>39</v>
      </c>
      <c r="E135">
        <v>86</v>
      </c>
      <c r="F135">
        <v>105</v>
      </c>
      <c r="G135" s="1">
        <v>4000</v>
      </c>
      <c r="H135" s="1">
        <v>4000</v>
      </c>
      <c r="I135" s="1">
        <v>12000</v>
      </c>
      <c r="J135" s="1">
        <v>3000</v>
      </c>
    </row>
    <row r="136" spans="1:10" x14ac:dyDescent="0.3">
      <c r="A136" t="s">
        <v>10</v>
      </c>
      <c r="B136" t="s">
        <v>22</v>
      </c>
      <c r="C136" t="s">
        <v>11</v>
      </c>
      <c r="D136" t="s">
        <v>39</v>
      </c>
      <c r="E136">
        <v>86</v>
      </c>
      <c r="F136">
        <v>105</v>
      </c>
      <c r="G136" s="1">
        <v>4000</v>
      </c>
      <c r="H136" s="1">
        <v>4000</v>
      </c>
      <c r="I136" s="1">
        <v>10000</v>
      </c>
      <c r="J136" s="1">
        <v>2500</v>
      </c>
    </row>
    <row r="137" spans="1:10" x14ac:dyDescent="0.3">
      <c r="A137" t="s">
        <v>10</v>
      </c>
      <c r="B137" t="s">
        <v>23</v>
      </c>
      <c r="C137" t="s">
        <v>11</v>
      </c>
      <c r="D137" t="s">
        <v>39</v>
      </c>
      <c r="E137">
        <v>86</v>
      </c>
      <c r="F137">
        <v>105</v>
      </c>
      <c r="G137" s="1">
        <v>4000</v>
      </c>
      <c r="H137" s="1">
        <v>4000</v>
      </c>
      <c r="I137" s="1">
        <v>8000</v>
      </c>
      <c r="J137" s="1">
        <v>2000</v>
      </c>
    </row>
    <row r="138" spans="1:10" x14ac:dyDescent="0.3">
      <c r="A138" t="s">
        <v>10</v>
      </c>
      <c r="B138" t="s">
        <v>24</v>
      </c>
      <c r="C138" t="s">
        <v>11</v>
      </c>
      <c r="D138" t="s">
        <v>39</v>
      </c>
      <c r="E138">
        <v>86</v>
      </c>
      <c r="F138">
        <v>105</v>
      </c>
      <c r="G138" s="1">
        <v>4000</v>
      </c>
      <c r="H138" s="1">
        <v>3950</v>
      </c>
      <c r="I138" s="1">
        <v>11850</v>
      </c>
      <c r="J138" s="1">
        <v>3000</v>
      </c>
    </row>
    <row r="139" spans="1:10" x14ac:dyDescent="0.3">
      <c r="A139" t="s">
        <v>10</v>
      </c>
      <c r="B139" t="s">
        <v>25</v>
      </c>
      <c r="C139" t="s">
        <v>11</v>
      </c>
      <c r="D139" t="s">
        <v>39</v>
      </c>
      <c r="E139">
        <v>86</v>
      </c>
      <c r="F139">
        <v>105</v>
      </c>
      <c r="G139" s="1">
        <v>4000</v>
      </c>
      <c r="H139" s="1">
        <v>3950</v>
      </c>
      <c r="I139" s="1">
        <v>7900</v>
      </c>
      <c r="J139" s="1">
        <v>2000</v>
      </c>
    </row>
    <row r="140" spans="1:10" x14ac:dyDescent="0.3">
      <c r="A140" t="s">
        <v>10</v>
      </c>
      <c r="B140" t="s">
        <v>15</v>
      </c>
      <c r="C140" t="s">
        <v>11</v>
      </c>
      <c r="D140" t="s">
        <v>40</v>
      </c>
      <c r="E140">
        <v>86</v>
      </c>
      <c r="F140">
        <v>112</v>
      </c>
      <c r="G140" s="1">
        <v>3500</v>
      </c>
      <c r="H140" s="1">
        <v>3500</v>
      </c>
      <c r="I140" s="1">
        <v>9800</v>
      </c>
      <c r="J140" s="1">
        <v>2800</v>
      </c>
    </row>
    <row r="141" spans="1:10" x14ac:dyDescent="0.3">
      <c r="A141" t="s">
        <v>10</v>
      </c>
      <c r="B141" t="s">
        <v>16</v>
      </c>
      <c r="C141" t="s">
        <v>11</v>
      </c>
      <c r="D141" t="s">
        <v>40</v>
      </c>
      <c r="E141">
        <v>86</v>
      </c>
      <c r="F141">
        <v>112</v>
      </c>
      <c r="G141" s="1">
        <v>3000</v>
      </c>
      <c r="H141" s="1">
        <v>3000</v>
      </c>
      <c r="I141" s="1">
        <v>7200</v>
      </c>
      <c r="J141" s="1">
        <v>2400</v>
      </c>
    </row>
    <row r="142" spans="1:10" x14ac:dyDescent="0.3">
      <c r="A142" t="s">
        <v>10</v>
      </c>
      <c r="B142" t="s">
        <v>17</v>
      </c>
      <c r="C142" t="s">
        <v>11</v>
      </c>
      <c r="D142" t="s">
        <v>40</v>
      </c>
      <c r="E142">
        <v>86</v>
      </c>
      <c r="F142">
        <v>112</v>
      </c>
      <c r="G142" s="1">
        <v>2000</v>
      </c>
      <c r="H142" s="1">
        <v>2000</v>
      </c>
      <c r="I142" s="1">
        <v>5600</v>
      </c>
      <c r="J142" s="1">
        <v>2800</v>
      </c>
    </row>
    <row r="143" spans="1:10" x14ac:dyDescent="0.3">
      <c r="A143" t="s">
        <v>10</v>
      </c>
      <c r="B143" t="s">
        <v>18</v>
      </c>
      <c r="C143" t="s">
        <v>11</v>
      </c>
      <c r="D143" t="s">
        <v>40</v>
      </c>
      <c r="E143">
        <v>86</v>
      </c>
      <c r="F143">
        <v>112</v>
      </c>
      <c r="G143" s="1">
        <v>3500</v>
      </c>
      <c r="H143" s="1">
        <v>3500</v>
      </c>
      <c r="I143" s="1">
        <v>5250</v>
      </c>
      <c r="J143" s="1">
        <v>1500</v>
      </c>
    </row>
    <row r="144" spans="1:10" x14ac:dyDescent="0.3">
      <c r="A144" t="s">
        <v>10</v>
      </c>
      <c r="B144" t="s">
        <v>19</v>
      </c>
      <c r="C144" t="s">
        <v>11</v>
      </c>
      <c r="D144" t="s">
        <v>40</v>
      </c>
      <c r="E144">
        <v>86</v>
      </c>
      <c r="F144">
        <v>112</v>
      </c>
      <c r="G144" s="1">
        <v>5000</v>
      </c>
      <c r="H144" s="1">
        <v>5000</v>
      </c>
      <c r="I144" s="1">
        <v>17500</v>
      </c>
      <c r="J144" s="1">
        <v>3500</v>
      </c>
    </row>
    <row r="145" spans="1:10" x14ac:dyDescent="0.3">
      <c r="A145" t="s">
        <v>10</v>
      </c>
      <c r="B145" t="s">
        <v>20</v>
      </c>
      <c r="C145" t="s">
        <v>11</v>
      </c>
      <c r="D145" t="s">
        <v>40</v>
      </c>
      <c r="E145">
        <v>86</v>
      </c>
      <c r="F145">
        <v>112</v>
      </c>
      <c r="G145" s="1">
        <v>5000</v>
      </c>
      <c r="H145" s="1">
        <v>5000</v>
      </c>
      <c r="I145" s="1">
        <v>15000</v>
      </c>
      <c r="J145" s="1">
        <v>3000</v>
      </c>
    </row>
    <row r="146" spans="1:10" x14ac:dyDescent="0.3">
      <c r="A146" t="s">
        <v>10</v>
      </c>
      <c r="B146" t="s">
        <v>21</v>
      </c>
      <c r="C146" t="s">
        <v>11</v>
      </c>
      <c r="D146" t="s">
        <v>40</v>
      </c>
      <c r="E146">
        <v>86</v>
      </c>
      <c r="F146">
        <v>112</v>
      </c>
      <c r="G146" s="1">
        <v>5000</v>
      </c>
      <c r="H146" s="1">
        <v>5000</v>
      </c>
      <c r="I146" s="1">
        <v>15000</v>
      </c>
      <c r="J146" s="1">
        <v>3000</v>
      </c>
    </row>
    <row r="147" spans="1:10" x14ac:dyDescent="0.3">
      <c r="A147" t="s">
        <v>10</v>
      </c>
      <c r="B147" t="s">
        <v>22</v>
      </c>
      <c r="C147" t="s">
        <v>11</v>
      </c>
      <c r="D147" t="s">
        <v>40</v>
      </c>
      <c r="E147">
        <v>86</v>
      </c>
      <c r="F147">
        <v>112</v>
      </c>
      <c r="G147" s="1">
        <v>5000</v>
      </c>
      <c r="H147" s="1">
        <v>5000</v>
      </c>
      <c r="I147" s="1">
        <v>10000</v>
      </c>
      <c r="J147" s="1">
        <v>2000</v>
      </c>
    </row>
    <row r="148" spans="1:10" x14ac:dyDescent="0.3">
      <c r="A148" t="s">
        <v>10</v>
      </c>
      <c r="B148" t="s">
        <v>23</v>
      </c>
      <c r="C148" t="s">
        <v>11</v>
      </c>
      <c r="D148" t="s">
        <v>40</v>
      </c>
      <c r="E148">
        <v>86</v>
      </c>
      <c r="F148">
        <v>112</v>
      </c>
      <c r="G148" s="1">
        <v>5000</v>
      </c>
      <c r="H148" s="1">
        <v>5000</v>
      </c>
      <c r="I148" s="1">
        <v>9000</v>
      </c>
      <c r="J148" s="1">
        <v>1800</v>
      </c>
    </row>
    <row r="149" spans="1:10" x14ac:dyDescent="0.3">
      <c r="A149" t="s">
        <v>10</v>
      </c>
      <c r="B149" t="s">
        <v>24</v>
      </c>
      <c r="C149" t="s">
        <v>11</v>
      </c>
      <c r="D149" t="s">
        <v>40</v>
      </c>
      <c r="E149">
        <v>86</v>
      </c>
      <c r="F149">
        <v>112</v>
      </c>
      <c r="G149" s="1">
        <v>5000</v>
      </c>
      <c r="H149" s="1">
        <v>4950</v>
      </c>
      <c r="I149" s="1">
        <v>12870</v>
      </c>
      <c r="J149" s="1">
        <v>2600</v>
      </c>
    </row>
    <row r="150" spans="1:10" x14ac:dyDescent="0.3">
      <c r="A150" t="s">
        <v>10</v>
      </c>
      <c r="B150" t="s">
        <v>25</v>
      </c>
      <c r="C150" t="s">
        <v>11</v>
      </c>
      <c r="D150" t="s">
        <v>40</v>
      </c>
      <c r="E150">
        <v>86</v>
      </c>
      <c r="F150">
        <v>112</v>
      </c>
      <c r="G150" s="1">
        <v>5000</v>
      </c>
      <c r="H150" s="1">
        <v>4900</v>
      </c>
      <c r="I150" s="1">
        <v>10290</v>
      </c>
      <c r="J150" s="1">
        <v>2100</v>
      </c>
    </row>
    <row r="151" spans="1:10" x14ac:dyDescent="0.3">
      <c r="A151" t="s">
        <v>10</v>
      </c>
      <c r="B151" t="s">
        <v>15</v>
      </c>
      <c r="C151" t="s">
        <v>11</v>
      </c>
      <c r="D151" t="s">
        <v>41</v>
      </c>
      <c r="E151">
        <v>86</v>
      </c>
      <c r="F151">
        <v>119</v>
      </c>
      <c r="G151" s="1">
        <v>40000</v>
      </c>
      <c r="H151" s="1">
        <v>38000</v>
      </c>
      <c r="I151" s="1">
        <v>95000</v>
      </c>
      <c r="J151" s="1">
        <v>2500</v>
      </c>
    </row>
    <row r="152" spans="1:10" x14ac:dyDescent="0.3">
      <c r="A152" t="s">
        <v>10</v>
      </c>
      <c r="B152" t="s">
        <v>16</v>
      </c>
      <c r="C152" t="s">
        <v>11</v>
      </c>
      <c r="D152" t="s">
        <v>41</v>
      </c>
      <c r="E152">
        <v>86</v>
      </c>
      <c r="F152">
        <v>119</v>
      </c>
      <c r="G152" s="1">
        <v>40000</v>
      </c>
      <c r="H152" s="1">
        <v>37000</v>
      </c>
      <c r="I152" s="1">
        <v>74000</v>
      </c>
      <c r="J152" s="1">
        <v>2000</v>
      </c>
    </row>
    <row r="153" spans="1:10" x14ac:dyDescent="0.3">
      <c r="A153" t="s">
        <v>10</v>
      </c>
      <c r="B153" t="s">
        <v>17</v>
      </c>
      <c r="C153" t="s">
        <v>11</v>
      </c>
      <c r="D153" t="s">
        <v>41</v>
      </c>
      <c r="E153">
        <v>86</v>
      </c>
      <c r="F153">
        <v>119</v>
      </c>
      <c r="G153" s="1">
        <v>27790</v>
      </c>
      <c r="H153" s="1">
        <v>27415</v>
      </c>
      <c r="I153" s="1">
        <v>79504</v>
      </c>
      <c r="J153" s="1">
        <v>2900</v>
      </c>
    </row>
    <row r="154" spans="1:10" x14ac:dyDescent="0.3">
      <c r="A154" t="s">
        <v>10</v>
      </c>
      <c r="B154" t="s">
        <v>18</v>
      </c>
      <c r="C154" t="s">
        <v>11</v>
      </c>
      <c r="D154" t="s">
        <v>41</v>
      </c>
      <c r="E154">
        <v>86</v>
      </c>
      <c r="F154">
        <v>119</v>
      </c>
      <c r="G154" s="1">
        <v>34000</v>
      </c>
      <c r="H154" s="1">
        <v>33320</v>
      </c>
      <c r="I154" s="1">
        <v>106624</v>
      </c>
      <c r="J154" s="1">
        <v>3200</v>
      </c>
    </row>
    <row r="155" spans="1:10" x14ac:dyDescent="0.3">
      <c r="A155" t="s">
        <v>10</v>
      </c>
      <c r="B155" t="s">
        <v>19</v>
      </c>
      <c r="C155" t="s">
        <v>11</v>
      </c>
      <c r="D155" t="s">
        <v>41</v>
      </c>
      <c r="E155">
        <v>86</v>
      </c>
      <c r="F155">
        <v>119</v>
      </c>
      <c r="G155" s="1">
        <v>36305</v>
      </c>
      <c r="H155" s="1">
        <v>35575</v>
      </c>
      <c r="I155" s="1">
        <v>117398</v>
      </c>
      <c r="J155" s="1">
        <v>3300</v>
      </c>
    </row>
    <row r="156" spans="1:10" x14ac:dyDescent="0.3">
      <c r="A156" t="s">
        <v>10</v>
      </c>
      <c r="B156" t="s">
        <v>20</v>
      </c>
      <c r="C156" t="s">
        <v>11</v>
      </c>
      <c r="D156" t="s">
        <v>41</v>
      </c>
      <c r="E156">
        <v>86</v>
      </c>
      <c r="F156">
        <v>119</v>
      </c>
      <c r="G156" s="1">
        <v>38850</v>
      </c>
      <c r="H156" s="1">
        <v>38140</v>
      </c>
      <c r="I156" s="1">
        <v>118234</v>
      </c>
      <c r="J156" s="1">
        <v>3100</v>
      </c>
    </row>
    <row r="157" spans="1:10" x14ac:dyDescent="0.3">
      <c r="A157" t="s">
        <v>10</v>
      </c>
      <c r="B157" t="s">
        <v>21</v>
      </c>
      <c r="C157" t="s">
        <v>11</v>
      </c>
      <c r="D157" t="s">
        <v>41</v>
      </c>
      <c r="E157">
        <v>86</v>
      </c>
      <c r="F157">
        <v>119</v>
      </c>
      <c r="G157" s="1">
        <v>28800</v>
      </c>
      <c r="H157" s="1">
        <v>27540</v>
      </c>
      <c r="I157" s="1">
        <v>88128</v>
      </c>
      <c r="J157" s="1">
        <v>3200</v>
      </c>
    </row>
    <row r="158" spans="1:10" x14ac:dyDescent="0.3">
      <c r="A158" t="s">
        <v>10</v>
      </c>
      <c r="B158" t="s">
        <v>22</v>
      </c>
      <c r="C158" t="s">
        <v>11</v>
      </c>
      <c r="D158" t="s">
        <v>41</v>
      </c>
      <c r="E158">
        <v>86</v>
      </c>
      <c r="F158">
        <v>119</v>
      </c>
      <c r="G158" s="1">
        <v>36400</v>
      </c>
      <c r="H158" s="1">
        <v>36180</v>
      </c>
      <c r="I158" s="1">
        <v>115776</v>
      </c>
      <c r="J158" s="1">
        <v>3200</v>
      </c>
    </row>
    <row r="159" spans="1:10" x14ac:dyDescent="0.3">
      <c r="A159" t="s">
        <v>10</v>
      </c>
      <c r="B159" t="s">
        <v>23</v>
      </c>
      <c r="C159" t="s">
        <v>11</v>
      </c>
      <c r="D159" t="s">
        <v>41</v>
      </c>
      <c r="E159">
        <v>86</v>
      </c>
      <c r="F159">
        <v>119</v>
      </c>
      <c r="G159" s="1">
        <v>26400</v>
      </c>
      <c r="H159" s="1">
        <v>25020</v>
      </c>
      <c r="I159" s="1">
        <v>50040</v>
      </c>
      <c r="J159" s="1">
        <v>2000</v>
      </c>
    </row>
    <row r="160" spans="1:10" x14ac:dyDescent="0.3">
      <c r="A160" t="s">
        <v>10</v>
      </c>
      <c r="B160" t="s">
        <v>24</v>
      </c>
      <c r="C160" t="s">
        <v>11</v>
      </c>
      <c r="D160" t="s">
        <v>41</v>
      </c>
      <c r="E160">
        <v>86</v>
      </c>
      <c r="F160">
        <v>119</v>
      </c>
      <c r="G160" s="1">
        <v>41800</v>
      </c>
      <c r="H160" s="1">
        <v>41690</v>
      </c>
      <c r="I160" s="1">
        <v>95887</v>
      </c>
      <c r="J160" s="1">
        <v>2300</v>
      </c>
    </row>
    <row r="161" spans="1:10" x14ac:dyDescent="0.3">
      <c r="A161" t="s">
        <v>10</v>
      </c>
      <c r="B161" t="s">
        <v>25</v>
      </c>
      <c r="C161" t="s">
        <v>11</v>
      </c>
      <c r="D161" t="s">
        <v>41</v>
      </c>
      <c r="E161">
        <v>86</v>
      </c>
      <c r="F161">
        <v>119</v>
      </c>
      <c r="G161" s="1">
        <v>35600</v>
      </c>
      <c r="H161" s="1">
        <v>31140</v>
      </c>
      <c r="I161" s="1">
        <v>49824</v>
      </c>
      <c r="J161" s="1">
        <v>1600</v>
      </c>
    </row>
    <row r="162" spans="1:10" x14ac:dyDescent="0.3">
      <c r="A162" t="s">
        <v>10</v>
      </c>
      <c r="B162" t="s">
        <v>21</v>
      </c>
      <c r="C162" t="s">
        <v>11</v>
      </c>
      <c r="D162" t="s">
        <v>42</v>
      </c>
      <c r="E162">
        <v>86</v>
      </c>
      <c r="F162">
        <v>126</v>
      </c>
      <c r="G162" s="1">
        <v>600</v>
      </c>
      <c r="H162" s="1">
        <v>600</v>
      </c>
      <c r="I162" s="1">
        <v>1500</v>
      </c>
      <c r="J162" s="1">
        <v>2500</v>
      </c>
    </row>
    <row r="163" spans="1:10" x14ac:dyDescent="0.3">
      <c r="A163" t="s">
        <v>10</v>
      </c>
      <c r="B163" t="s">
        <v>21</v>
      </c>
      <c r="C163" t="s">
        <v>11</v>
      </c>
      <c r="D163" t="s">
        <v>43</v>
      </c>
      <c r="E163">
        <v>86</v>
      </c>
      <c r="F163">
        <v>133</v>
      </c>
      <c r="G163" s="1">
        <v>850</v>
      </c>
      <c r="H163" s="1">
        <v>850</v>
      </c>
      <c r="I163" s="1">
        <v>2550</v>
      </c>
      <c r="J163" s="1">
        <v>3000</v>
      </c>
    </row>
    <row r="164" spans="1:10" x14ac:dyDescent="0.3">
      <c r="A164" t="s">
        <v>10</v>
      </c>
      <c r="B164" t="s">
        <v>22</v>
      </c>
      <c r="C164" t="s">
        <v>11</v>
      </c>
      <c r="D164" t="s">
        <v>43</v>
      </c>
      <c r="E164">
        <v>86</v>
      </c>
      <c r="F164">
        <v>133</v>
      </c>
      <c r="G164" s="1">
        <v>1000</v>
      </c>
      <c r="H164" s="1">
        <v>1000</v>
      </c>
      <c r="I164" s="1">
        <v>2200</v>
      </c>
      <c r="J164" s="1">
        <v>2200</v>
      </c>
    </row>
    <row r="165" spans="1:10" x14ac:dyDescent="0.3">
      <c r="A165" t="s">
        <v>10</v>
      </c>
      <c r="B165" t="s">
        <v>23</v>
      </c>
      <c r="C165" t="s">
        <v>11</v>
      </c>
      <c r="D165" t="s">
        <v>43</v>
      </c>
      <c r="E165">
        <v>86</v>
      </c>
      <c r="F165">
        <v>133</v>
      </c>
      <c r="G165" s="1">
        <v>4100</v>
      </c>
      <c r="H165" s="1">
        <v>4100</v>
      </c>
      <c r="I165" s="1">
        <v>7380</v>
      </c>
      <c r="J165" s="1">
        <v>1800</v>
      </c>
    </row>
    <row r="166" spans="1:10" x14ac:dyDescent="0.3">
      <c r="A166" t="s">
        <v>10</v>
      </c>
      <c r="B166" t="s">
        <v>24</v>
      </c>
      <c r="C166" t="s">
        <v>11</v>
      </c>
      <c r="D166" t="s">
        <v>43</v>
      </c>
      <c r="E166">
        <v>86</v>
      </c>
      <c r="F166">
        <v>133</v>
      </c>
      <c r="G166" s="1">
        <v>4100</v>
      </c>
      <c r="H166" s="1">
        <v>4068</v>
      </c>
      <c r="I166" s="1">
        <v>8136</v>
      </c>
      <c r="J166" s="1">
        <v>2000</v>
      </c>
    </row>
    <row r="167" spans="1:10" x14ac:dyDescent="0.3">
      <c r="A167" t="s">
        <v>10</v>
      </c>
      <c r="B167" t="s">
        <v>25</v>
      </c>
      <c r="C167" t="s">
        <v>11</v>
      </c>
      <c r="D167" t="s">
        <v>43</v>
      </c>
      <c r="E167">
        <v>86</v>
      </c>
      <c r="F167">
        <v>133</v>
      </c>
      <c r="G167" s="1">
        <v>4100</v>
      </c>
      <c r="H167" s="1">
        <v>4015</v>
      </c>
      <c r="I167" s="1">
        <v>8432</v>
      </c>
      <c r="J167" s="1">
        <v>2100</v>
      </c>
    </row>
    <row r="168" spans="1:10" x14ac:dyDescent="0.3">
      <c r="A168" t="s">
        <v>10</v>
      </c>
      <c r="B168" t="s">
        <v>15</v>
      </c>
      <c r="C168" t="s">
        <v>11</v>
      </c>
      <c r="D168" t="s">
        <v>45</v>
      </c>
      <c r="E168">
        <v>86</v>
      </c>
      <c r="F168">
        <v>161</v>
      </c>
      <c r="G168" s="1">
        <v>20000</v>
      </c>
      <c r="H168" s="1">
        <v>20000</v>
      </c>
      <c r="I168" s="1">
        <v>64000</v>
      </c>
      <c r="J168" s="1">
        <v>3200</v>
      </c>
    </row>
    <row r="169" spans="1:10" x14ac:dyDescent="0.3">
      <c r="A169" t="s">
        <v>10</v>
      </c>
      <c r="B169" t="s">
        <v>16</v>
      </c>
      <c r="C169" t="s">
        <v>11</v>
      </c>
      <c r="D169" t="s">
        <v>45</v>
      </c>
      <c r="E169">
        <v>86</v>
      </c>
      <c r="F169">
        <v>161</v>
      </c>
      <c r="G169" s="1">
        <v>20000</v>
      </c>
      <c r="H169" s="1">
        <v>20000</v>
      </c>
      <c r="I169" s="1">
        <v>58000</v>
      </c>
      <c r="J169" s="1">
        <v>2900</v>
      </c>
    </row>
    <row r="170" spans="1:10" x14ac:dyDescent="0.3">
      <c r="A170" t="s">
        <v>10</v>
      </c>
      <c r="B170" t="s">
        <v>17</v>
      </c>
      <c r="C170" t="s">
        <v>11</v>
      </c>
      <c r="D170" t="s">
        <v>45</v>
      </c>
      <c r="E170">
        <v>86</v>
      </c>
      <c r="F170">
        <v>161</v>
      </c>
      <c r="G170" s="1">
        <v>15000</v>
      </c>
      <c r="H170" s="1">
        <v>15000</v>
      </c>
      <c r="I170" s="1">
        <v>49500</v>
      </c>
      <c r="J170" s="1">
        <v>3300</v>
      </c>
    </row>
    <row r="171" spans="1:10" x14ac:dyDescent="0.3">
      <c r="A171" t="s">
        <v>10</v>
      </c>
      <c r="B171" t="s">
        <v>18</v>
      </c>
      <c r="C171" t="s">
        <v>11</v>
      </c>
      <c r="D171" t="s">
        <v>45</v>
      </c>
      <c r="E171">
        <v>86</v>
      </c>
      <c r="F171">
        <v>161</v>
      </c>
      <c r="G171" s="1">
        <v>19000</v>
      </c>
      <c r="H171" s="1">
        <v>19000</v>
      </c>
      <c r="I171" s="1">
        <v>66500</v>
      </c>
      <c r="J171" s="1">
        <v>3500</v>
      </c>
    </row>
    <row r="172" spans="1:10" x14ac:dyDescent="0.3">
      <c r="A172" t="s">
        <v>10</v>
      </c>
      <c r="B172" t="s">
        <v>19</v>
      </c>
      <c r="C172" t="s">
        <v>11</v>
      </c>
      <c r="D172" t="s">
        <v>45</v>
      </c>
      <c r="E172">
        <v>86</v>
      </c>
      <c r="F172">
        <v>161</v>
      </c>
      <c r="G172" s="1">
        <v>20000</v>
      </c>
      <c r="H172" s="1">
        <v>19000</v>
      </c>
      <c r="I172" s="1">
        <v>66500</v>
      </c>
      <c r="J172" s="1">
        <v>3500</v>
      </c>
    </row>
    <row r="173" spans="1:10" x14ac:dyDescent="0.3">
      <c r="A173" t="s">
        <v>10</v>
      </c>
      <c r="B173" t="s">
        <v>20</v>
      </c>
      <c r="C173" t="s">
        <v>11</v>
      </c>
      <c r="D173" t="s">
        <v>45</v>
      </c>
      <c r="E173">
        <v>86</v>
      </c>
      <c r="F173">
        <v>161</v>
      </c>
      <c r="G173" s="1">
        <v>20000</v>
      </c>
      <c r="H173" s="1">
        <v>20000</v>
      </c>
      <c r="I173" s="1">
        <v>60000</v>
      </c>
      <c r="J173" s="1">
        <v>3000</v>
      </c>
    </row>
    <row r="174" spans="1:10" x14ac:dyDescent="0.3">
      <c r="A174" t="s">
        <v>10</v>
      </c>
      <c r="B174" t="s">
        <v>21</v>
      </c>
      <c r="C174" t="s">
        <v>11</v>
      </c>
      <c r="D174" t="s">
        <v>45</v>
      </c>
      <c r="E174">
        <v>86</v>
      </c>
      <c r="F174">
        <v>161</v>
      </c>
      <c r="G174" s="1">
        <v>20000</v>
      </c>
      <c r="H174" s="1">
        <v>20000</v>
      </c>
      <c r="I174" s="1">
        <v>60000</v>
      </c>
      <c r="J174" s="1">
        <v>3000</v>
      </c>
    </row>
    <row r="175" spans="1:10" x14ac:dyDescent="0.3">
      <c r="A175" t="s">
        <v>10</v>
      </c>
      <c r="B175" t="s">
        <v>22</v>
      </c>
      <c r="C175" t="s">
        <v>11</v>
      </c>
      <c r="D175" t="s">
        <v>45</v>
      </c>
      <c r="E175">
        <v>86</v>
      </c>
      <c r="F175">
        <v>161</v>
      </c>
      <c r="G175" s="1">
        <v>20000</v>
      </c>
      <c r="H175" s="1">
        <v>20000</v>
      </c>
      <c r="I175" s="1">
        <v>50000</v>
      </c>
      <c r="J175" s="1">
        <v>2500</v>
      </c>
    </row>
    <row r="176" spans="1:10" x14ac:dyDescent="0.3">
      <c r="A176" t="s">
        <v>10</v>
      </c>
      <c r="B176" t="s">
        <v>23</v>
      </c>
      <c r="C176" t="s">
        <v>11</v>
      </c>
      <c r="D176" t="s">
        <v>45</v>
      </c>
      <c r="E176">
        <v>86</v>
      </c>
      <c r="F176">
        <v>161</v>
      </c>
      <c r="G176" s="1">
        <v>20000</v>
      </c>
      <c r="H176" s="1">
        <v>20000</v>
      </c>
      <c r="I176" s="1">
        <v>40000</v>
      </c>
      <c r="J176" s="1">
        <v>2000</v>
      </c>
    </row>
    <row r="177" spans="1:10" x14ac:dyDescent="0.3">
      <c r="A177" t="s">
        <v>10</v>
      </c>
      <c r="B177" t="s">
        <v>24</v>
      </c>
      <c r="C177" t="s">
        <v>11</v>
      </c>
      <c r="D177" t="s">
        <v>45</v>
      </c>
      <c r="E177">
        <v>86</v>
      </c>
      <c r="F177">
        <v>161</v>
      </c>
      <c r="G177" s="1">
        <v>20000</v>
      </c>
      <c r="H177" s="1">
        <v>19985</v>
      </c>
      <c r="I177" s="1">
        <v>69948</v>
      </c>
      <c r="J177" s="1">
        <v>3500</v>
      </c>
    </row>
    <row r="178" spans="1:10" x14ac:dyDescent="0.3">
      <c r="A178" t="s">
        <v>10</v>
      </c>
      <c r="B178" t="s">
        <v>25</v>
      </c>
      <c r="C178" t="s">
        <v>11</v>
      </c>
      <c r="D178" t="s">
        <v>45</v>
      </c>
      <c r="E178">
        <v>86</v>
      </c>
      <c r="F178">
        <v>161</v>
      </c>
      <c r="G178" s="1">
        <v>20000</v>
      </c>
      <c r="H178" s="1">
        <v>19750</v>
      </c>
      <c r="I178" s="1">
        <v>39500</v>
      </c>
      <c r="J178" s="1">
        <v>2000</v>
      </c>
    </row>
    <row r="179" spans="1:10" x14ac:dyDescent="0.3">
      <c r="A179" t="s">
        <v>10</v>
      </c>
      <c r="B179" t="s">
        <v>15</v>
      </c>
      <c r="C179" t="s">
        <v>11</v>
      </c>
      <c r="D179" t="s">
        <v>46</v>
      </c>
      <c r="E179">
        <v>86</v>
      </c>
      <c r="F179">
        <v>175</v>
      </c>
      <c r="G179" s="1">
        <v>3500</v>
      </c>
      <c r="H179" s="1">
        <v>3500</v>
      </c>
      <c r="I179" s="1">
        <v>8750</v>
      </c>
      <c r="J179" s="1">
        <v>2500</v>
      </c>
    </row>
    <row r="180" spans="1:10" x14ac:dyDescent="0.3">
      <c r="A180" t="s">
        <v>10</v>
      </c>
      <c r="B180" t="s">
        <v>16</v>
      </c>
      <c r="C180" t="s">
        <v>11</v>
      </c>
      <c r="D180" t="s">
        <v>46</v>
      </c>
      <c r="E180">
        <v>86</v>
      </c>
      <c r="F180">
        <v>175</v>
      </c>
      <c r="G180" s="1">
        <v>4000</v>
      </c>
      <c r="H180" s="1">
        <v>4000</v>
      </c>
      <c r="I180" s="1">
        <v>9600</v>
      </c>
      <c r="J180" s="1">
        <v>2400</v>
      </c>
    </row>
    <row r="181" spans="1:10" x14ac:dyDescent="0.3">
      <c r="A181" t="s">
        <v>10</v>
      </c>
      <c r="B181" t="s">
        <v>17</v>
      </c>
      <c r="C181" t="s">
        <v>11</v>
      </c>
      <c r="D181" t="s">
        <v>46</v>
      </c>
      <c r="E181">
        <v>86</v>
      </c>
      <c r="F181">
        <v>175</v>
      </c>
      <c r="G181" s="1">
        <v>2500</v>
      </c>
      <c r="H181" s="1">
        <v>2500</v>
      </c>
      <c r="I181" s="1">
        <v>7500</v>
      </c>
      <c r="J181" s="1">
        <v>3000</v>
      </c>
    </row>
    <row r="182" spans="1:10" x14ac:dyDescent="0.3">
      <c r="A182" t="s">
        <v>10</v>
      </c>
      <c r="B182" t="s">
        <v>18</v>
      </c>
      <c r="C182" t="s">
        <v>11</v>
      </c>
      <c r="D182" t="s">
        <v>46</v>
      </c>
      <c r="E182">
        <v>86</v>
      </c>
      <c r="F182">
        <v>175</v>
      </c>
      <c r="G182" s="1">
        <v>3000</v>
      </c>
      <c r="H182" s="1">
        <v>3000</v>
      </c>
      <c r="I182" s="1">
        <v>9000</v>
      </c>
      <c r="J182" s="1">
        <v>3000</v>
      </c>
    </row>
    <row r="183" spans="1:10" x14ac:dyDescent="0.3">
      <c r="A183" t="s">
        <v>10</v>
      </c>
      <c r="B183" t="s">
        <v>19</v>
      </c>
      <c r="C183" t="s">
        <v>11</v>
      </c>
      <c r="D183" t="s">
        <v>46</v>
      </c>
      <c r="E183">
        <v>86</v>
      </c>
      <c r="F183">
        <v>175</v>
      </c>
      <c r="G183" s="1">
        <v>3000</v>
      </c>
      <c r="H183" s="1">
        <v>3000</v>
      </c>
      <c r="I183" s="1">
        <v>10500</v>
      </c>
      <c r="J183" s="1">
        <v>3500</v>
      </c>
    </row>
    <row r="184" spans="1:10" x14ac:dyDescent="0.3">
      <c r="A184" t="s">
        <v>10</v>
      </c>
      <c r="B184" t="s">
        <v>20</v>
      </c>
      <c r="C184" t="s">
        <v>11</v>
      </c>
      <c r="D184" t="s">
        <v>46</v>
      </c>
      <c r="E184">
        <v>86</v>
      </c>
      <c r="F184">
        <v>175</v>
      </c>
      <c r="G184" s="1">
        <v>3000</v>
      </c>
      <c r="H184" s="1">
        <v>3000</v>
      </c>
      <c r="I184" s="1">
        <v>9000</v>
      </c>
      <c r="J184" s="1">
        <v>3000</v>
      </c>
    </row>
    <row r="185" spans="1:10" x14ac:dyDescent="0.3">
      <c r="A185" t="s">
        <v>10</v>
      </c>
      <c r="B185" t="s">
        <v>21</v>
      </c>
      <c r="C185" t="s">
        <v>11</v>
      </c>
      <c r="D185" t="s">
        <v>46</v>
      </c>
      <c r="E185">
        <v>86</v>
      </c>
      <c r="F185">
        <v>175</v>
      </c>
      <c r="G185" s="1">
        <v>3000</v>
      </c>
      <c r="H185" s="1">
        <v>3000</v>
      </c>
      <c r="I185" s="1">
        <v>9000</v>
      </c>
      <c r="J185" s="1">
        <v>3000</v>
      </c>
    </row>
    <row r="186" spans="1:10" x14ac:dyDescent="0.3">
      <c r="A186" t="s">
        <v>10</v>
      </c>
      <c r="B186" t="s">
        <v>22</v>
      </c>
      <c r="C186" t="s">
        <v>11</v>
      </c>
      <c r="D186" t="s">
        <v>46</v>
      </c>
      <c r="E186">
        <v>86</v>
      </c>
      <c r="F186">
        <v>175</v>
      </c>
      <c r="G186" s="1">
        <v>4500</v>
      </c>
      <c r="H186" s="1">
        <v>4500</v>
      </c>
      <c r="I186" s="1">
        <v>11250</v>
      </c>
      <c r="J186" s="1">
        <v>2500</v>
      </c>
    </row>
    <row r="187" spans="1:10" x14ac:dyDescent="0.3">
      <c r="A187" t="s">
        <v>10</v>
      </c>
      <c r="B187" t="s">
        <v>23</v>
      </c>
      <c r="C187" t="s">
        <v>11</v>
      </c>
      <c r="D187" t="s">
        <v>46</v>
      </c>
      <c r="E187">
        <v>86</v>
      </c>
      <c r="F187">
        <v>175</v>
      </c>
      <c r="G187" s="1">
        <v>4000</v>
      </c>
      <c r="H187" s="1">
        <v>4000</v>
      </c>
      <c r="I187" s="1">
        <v>8000</v>
      </c>
      <c r="J187" s="1">
        <v>2000</v>
      </c>
    </row>
    <row r="188" spans="1:10" x14ac:dyDescent="0.3">
      <c r="A188" t="s">
        <v>10</v>
      </c>
      <c r="B188" t="s">
        <v>24</v>
      </c>
      <c r="C188" t="s">
        <v>11</v>
      </c>
      <c r="D188" t="s">
        <v>46</v>
      </c>
      <c r="E188">
        <v>86</v>
      </c>
      <c r="F188">
        <v>175</v>
      </c>
      <c r="G188" s="1">
        <v>4000</v>
      </c>
      <c r="H188" s="1">
        <v>3995</v>
      </c>
      <c r="I188" s="1">
        <v>9988</v>
      </c>
      <c r="J188" s="1">
        <v>2500</v>
      </c>
    </row>
    <row r="189" spans="1:10" x14ac:dyDescent="0.3">
      <c r="A189" t="s">
        <v>10</v>
      </c>
      <c r="B189" t="s">
        <v>25</v>
      </c>
      <c r="C189" t="s">
        <v>11</v>
      </c>
      <c r="D189" t="s">
        <v>46</v>
      </c>
      <c r="E189">
        <v>86</v>
      </c>
      <c r="F189">
        <v>175</v>
      </c>
      <c r="G189" s="1">
        <v>4000</v>
      </c>
      <c r="H189" s="1">
        <v>3950</v>
      </c>
      <c r="I189" s="1">
        <v>7900</v>
      </c>
      <c r="J189" s="1">
        <v>2000</v>
      </c>
    </row>
    <row r="190" spans="1:10" x14ac:dyDescent="0.3">
      <c r="A190" t="s">
        <v>10</v>
      </c>
      <c r="B190" t="s">
        <v>15</v>
      </c>
      <c r="C190" t="s">
        <v>11</v>
      </c>
      <c r="D190" t="s">
        <v>47</v>
      </c>
      <c r="E190">
        <v>86</v>
      </c>
      <c r="F190">
        <v>182</v>
      </c>
      <c r="G190" s="1">
        <v>3500</v>
      </c>
      <c r="H190" s="1">
        <v>3000</v>
      </c>
      <c r="I190" s="1">
        <v>7500</v>
      </c>
      <c r="J190" s="1">
        <v>2500</v>
      </c>
    </row>
    <row r="191" spans="1:10" x14ac:dyDescent="0.3">
      <c r="A191" t="s">
        <v>10</v>
      </c>
      <c r="B191" t="s">
        <v>16</v>
      </c>
      <c r="C191" t="s">
        <v>11</v>
      </c>
      <c r="D191" t="s">
        <v>47</v>
      </c>
      <c r="E191">
        <v>86</v>
      </c>
      <c r="F191">
        <v>182</v>
      </c>
      <c r="G191" s="1">
        <v>3500</v>
      </c>
      <c r="H191" s="1">
        <v>3000</v>
      </c>
      <c r="I191" s="1">
        <v>4200</v>
      </c>
      <c r="J191" s="1">
        <v>1400</v>
      </c>
    </row>
    <row r="192" spans="1:10" x14ac:dyDescent="0.3">
      <c r="A192" t="s">
        <v>10</v>
      </c>
      <c r="B192" t="s">
        <v>17</v>
      </c>
      <c r="C192" t="s">
        <v>11</v>
      </c>
      <c r="D192" t="s">
        <v>47</v>
      </c>
      <c r="E192">
        <v>86</v>
      </c>
      <c r="F192">
        <v>182</v>
      </c>
      <c r="G192" s="1">
        <v>3320</v>
      </c>
      <c r="H192" s="1">
        <v>3270</v>
      </c>
      <c r="I192" s="1">
        <v>9810</v>
      </c>
      <c r="J192" s="1">
        <v>3000</v>
      </c>
    </row>
    <row r="193" spans="1:10" x14ac:dyDescent="0.3">
      <c r="A193" t="s">
        <v>10</v>
      </c>
      <c r="B193" t="s">
        <v>18</v>
      </c>
      <c r="C193" t="s">
        <v>11</v>
      </c>
      <c r="D193" t="s">
        <v>47</v>
      </c>
      <c r="E193">
        <v>86</v>
      </c>
      <c r="F193">
        <v>182</v>
      </c>
      <c r="G193" s="1">
        <v>4000</v>
      </c>
      <c r="H193" s="1">
        <v>4000</v>
      </c>
      <c r="I193" s="1">
        <v>12800</v>
      </c>
      <c r="J193" s="1">
        <v>3200</v>
      </c>
    </row>
    <row r="194" spans="1:10" x14ac:dyDescent="0.3">
      <c r="A194" t="s">
        <v>10</v>
      </c>
      <c r="B194" t="s">
        <v>19</v>
      </c>
      <c r="C194" t="s">
        <v>11</v>
      </c>
      <c r="D194" t="s">
        <v>47</v>
      </c>
      <c r="E194">
        <v>86</v>
      </c>
      <c r="F194">
        <v>182</v>
      </c>
      <c r="G194" s="1">
        <v>4650</v>
      </c>
      <c r="H194" s="1">
        <v>3510</v>
      </c>
      <c r="I194" s="1">
        <v>10530</v>
      </c>
      <c r="J194" s="1">
        <v>3000</v>
      </c>
    </row>
    <row r="195" spans="1:10" x14ac:dyDescent="0.3">
      <c r="A195" t="s">
        <v>10</v>
      </c>
      <c r="B195" t="s">
        <v>20</v>
      </c>
      <c r="C195" t="s">
        <v>11</v>
      </c>
      <c r="D195" t="s">
        <v>47</v>
      </c>
      <c r="E195">
        <v>86</v>
      </c>
      <c r="F195">
        <v>182</v>
      </c>
      <c r="G195" s="1">
        <v>4800</v>
      </c>
      <c r="H195" s="1">
        <v>4490</v>
      </c>
      <c r="I195" s="1">
        <v>13919</v>
      </c>
      <c r="J195" s="1">
        <v>3100</v>
      </c>
    </row>
    <row r="196" spans="1:10" x14ac:dyDescent="0.3">
      <c r="A196" t="s">
        <v>10</v>
      </c>
      <c r="B196" t="s">
        <v>21</v>
      </c>
      <c r="C196" t="s">
        <v>11</v>
      </c>
      <c r="D196" t="s">
        <v>47</v>
      </c>
      <c r="E196">
        <v>86</v>
      </c>
      <c r="F196">
        <v>182</v>
      </c>
      <c r="G196" s="1">
        <v>4800</v>
      </c>
      <c r="H196" s="1">
        <v>4660</v>
      </c>
      <c r="I196" s="1">
        <v>12582</v>
      </c>
      <c r="J196" s="1">
        <v>2700</v>
      </c>
    </row>
    <row r="197" spans="1:10" x14ac:dyDescent="0.3">
      <c r="A197" t="s">
        <v>10</v>
      </c>
      <c r="B197" t="s">
        <v>22</v>
      </c>
      <c r="C197" t="s">
        <v>11</v>
      </c>
      <c r="D197" t="s">
        <v>47</v>
      </c>
      <c r="E197">
        <v>86</v>
      </c>
      <c r="F197">
        <v>182</v>
      </c>
      <c r="G197" s="1">
        <v>5800</v>
      </c>
      <c r="H197" s="1">
        <v>5800</v>
      </c>
      <c r="I197" s="1">
        <v>17400</v>
      </c>
      <c r="J197" s="1">
        <v>3000</v>
      </c>
    </row>
    <row r="198" spans="1:10" x14ac:dyDescent="0.3">
      <c r="A198" t="s">
        <v>10</v>
      </c>
      <c r="B198" t="s">
        <v>23</v>
      </c>
      <c r="C198" t="s">
        <v>11</v>
      </c>
      <c r="D198" t="s">
        <v>47</v>
      </c>
      <c r="E198">
        <v>86</v>
      </c>
      <c r="F198">
        <v>182</v>
      </c>
      <c r="G198" s="1">
        <v>4350</v>
      </c>
      <c r="H198" s="1">
        <v>3690</v>
      </c>
      <c r="I198" s="1">
        <v>6273</v>
      </c>
      <c r="J198" s="1">
        <v>1700</v>
      </c>
    </row>
    <row r="199" spans="1:10" x14ac:dyDescent="0.3">
      <c r="A199" t="s">
        <v>10</v>
      </c>
      <c r="B199" t="s">
        <v>24</v>
      </c>
      <c r="C199" t="s">
        <v>11</v>
      </c>
      <c r="D199" t="s">
        <v>47</v>
      </c>
      <c r="E199">
        <v>86</v>
      </c>
      <c r="F199">
        <v>182</v>
      </c>
      <c r="G199" s="1">
        <v>5900</v>
      </c>
      <c r="H199" s="1">
        <v>5900</v>
      </c>
      <c r="I199" s="1">
        <v>15340</v>
      </c>
      <c r="J199" s="1">
        <v>2600</v>
      </c>
    </row>
    <row r="200" spans="1:10" x14ac:dyDescent="0.3">
      <c r="A200" t="s">
        <v>10</v>
      </c>
      <c r="B200" t="s">
        <v>25</v>
      </c>
      <c r="C200" t="s">
        <v>11</v>
      </c>
      <c r="D200" t="s">
        <v>47</v>
      </c>
      <c r="E200">
        <v>86</v>
      </c>
      <c r="F200">
        <v>182</v>
      </c>
      <c r="G200" s="1">
        <v>5400</v>
      </c>
      <c r="H200" s="1">
        <v>5400</v>
      </c>
      <c r="I200" s="1">
        <v>9720</v>
      </c>
      <c r="J200" s="1">
        <v>1800</v>
      </c>
    </row>
    <row r="201" spans="1:10" x14ac:dyDescent="0.3">
      <c r="A201" t="s">
        <v>10</v>
      </c>
      <c r="B201" t="s">
        <v>15</v>
      </c>
      <c r="C201" t="s">
        <v>11</v>
      </c>
      <c r="D201" t="s">
        <v>48</v>
      </c>
      <c r="E201">
        <v>86</v>
      </c>
      <c r="F201">
        <v>189</v>
      </c>
      <c r="G201" s="1">
        <v>3500</v>
      </c>
      <c r="H201" s="1">
        <v>3500</v>
      </c>
      <c r="I201" s="1">
        <v>8750</v>
      </c>
      <c r="J201" s="1">
        <v>2500</v>
      </c>
    </row>
    <row r="202" spans="1:10" x14ac:dyDescent="0.3">
      <c r="A202" t="s">
        <v>10</v>
      </c>
      <c r="B202" t="s">
        <v>16</v>
      </c>
      <c r="C202" t="s">
        <v>11</v>
      </c>
      <c r="D202" t="s">
        <v>48</v>
      </c>
      <c r="E202">
        <v>86</v>
      </c>
      <c r="F202">
        <v>189</v>
      </c>
      <c r="G202" s="1">
        <v>4000</v>
      </c>
      <c r="H202" s="1">
        <v>4000</v>
      </c>
      <c r="I202" s="1">
        <v>10400</v>
      </c>
      <c r="J202" s="1">
        <v>2600</v>
      </c>
    </row>
    <row r="203" spans="1:10" x14ac:dyDescent="0.3">
      <c r="A203" t="s">
        <v>10</v>
      </c>
      <c r="B203" t="s">
        <v>17</v>
      </c>
      <c r="C203" t="s">
        <v>11</v>
      </c>
      <c r="D203" t="s">
        <v>48</v>
      </c>
      <c r="E203">
        <v>86</v>
      </c>
      <c r="F203">
        <v>189</v>
      </c>
      <c r="G203" s="1">
        <v>4000</v>
      </c>
      <c r="H203" s="1">
        <v>4000</v>
      </c>
      <c r="I203" s="1">
        <v>13200</v>
      </c>
      <c r="J203" s="1">
        <v>3300</v>
      </c>
    </row>
    <row r="204" spans="1:10" x14ac:dyDescent="0.3">
      <c r="A204" t="s">
        <v>10</v>
      </c>
      <c r="B204" t="s">
        <v>18</v>
      </c>
      <c r="C204" t="s">
        <v>11</v>
      </c>
      <c r="D204" t="s">
        <v>48</v>
      </c>
      <c r="E204">
        <v>86</v>
      </c>
      <c r="F204">
        <v>189</v>
      </c>
      <c r="G204" s="1">
        <v>4000</v>
      </c>
      <c r="H204" s="1">
        <v>4000</v>
      </c>
      <c r="I204" s="1">
        <v>14000</v>
      </c>
      <c r="J204" s="1">
        <v>3500</v>
      </c>
    </row>
    <row r="205" spans="1:10" x14ac:dyDescent="0.3">
      <c r="A205" t="s">
        <v>10</v>
      </c>
      <c r="B205" t="s">
        <v>19</v>
      </c>
      <c r="C205" t="s">
        <v>11</v>
      </c>
      <c r="D205" t="s">
        <v>48</v>
      </c>
      <c r="E205">
        <v>86</v>
      </c>
      <c r="F205">
        <v>189</v>
      </c>
      <c r="G205" s="1">
        <v>4000</v>
      </c>
      <c r="H205" s="1">
        <v>4000</v>
      </c>
      <c r="I205" s="1">
        <v>12000</v>
      </c>
      <c r="J205" s="1">
        <v>3000</v>
      </c>
    </row>
    <row r="206" spans="1:10" x14ac:dyDescent="0.3">
      <c r="A206" t="s">
        <v>10</v>
      </c>
      <c r="B206" t="s">
        <v>20</v>
      </c>
      <c r="C206" t="s">
        <v>11</v>
      </c>
      <c r="D206" t="s">
        <v>48</v>
      </c>
      <c r="E206">
        <v>86</v>
      </c>
      <c r="F206">
        <v>189</v>
      </c>
      <c r="G206" s="1">
        <v>4000</v>
      </c>
      <c r="H206" s="1">
        <v>4000</v>
      </c>
      <c r="I206" s="1">
        <v>12000</v>
      </c>
      <c r="J206" s="1">
        <v>3000</v>
      </c>
    </row>
    <row r="207" spans="1:10" x14ac:dyDescent="0.3">
      <c r="A207" t="s">
        <v>10</v>
      </c>
      <c r="B207" t="s">
        <v>21</v>
      </c>
      <c r="C207" t="s">
        <v>11</v>
      </c>
      <c r="D207" t="s">
        <v>48</v>
      </c>
      <c r="E207">
        <v>86</v>
      </c>
      <c r="F207">
        <v>189</v>
      </c>
      <c r="G207" s="1">
        <v>4000</v>
      </c>
      <c r="H207" s="1">
        <v>4000</v>
      </c>
      <c r="I207" s="1">
        <v>12000</v>
      </c>
      <c r="J207" s="1">
        <v>3000</v>
      </c>
    </row>
    <row r="208" spans="1:10" x14ac:dyDescent="0.3">
      <c r="A208" t="s">
        <v>10</v>
      </c>
      <c r="B208" t="s">
        <v>22</v>
      </c>
      <c r="C208" t="s">
        <v>11</v>
      </c>
      <c r="D208" t="s">
        <v>48</v>
      </c>
      <c r="E208">
        <v>86</v>
      </c>
      <c r="F208">
        <v>189</v>
      </c>
      <c r="G208" s="1">
        <v>4000</v>
      </c>
      <c r="H208" s="1">
        <v>4000</v>
      </c>
      <c r="I208" s="1">
        <v>10000</v>
      </c>
      <c r="J208" s="1">
        <v>2500</v>
      </c>
    </row>
    <row r="209" spans="1:10" x14ac:dyDescent="0.3">
      <c r="A209" t="s">
        <v>10</v>
      </c>
      <c r="B209" t="s">
        <v>23</v>
      </c>
      <c r="C209" t="s">
        <v>11</v>
      </c>
      <c r="D209" t="s">
        <v>48</v>
      </c>
      <c r="E209">
        <v>86</v>
      </c>
      <c r="F209">
        <v>189</v>
      </c>
      <c r="G209" s="1">
        <v>4000</v>
      </c>
      <c r="H209" s="1">
        <v>4000</v>
      </c>
      <c r="I209" s="1">
        <v>8000</v>
      </c>
      <c r="J209" s="1">
        <v>2000</v>
      </c>
    </row>
    <row r="210" spans="1:10" x14ac:dyDescent="0.3">
      <c r="A210" t="s">
        <v>10</v>
      </c>
      <c r="B210" t="s">
        <v>24</v>
      </c>
      <c r="C210" t="s">
        <v>11</v>
      </c>
      <c r="D210" t="s">
        <v>48</v>
      </c>
      <c r="E210">
        <v>86</v>
      </c>
      <c r="F210">
        <v>189</v>
      </c>
      <c r="G210" s="1">
        <v>4000</v>
      </c>
      <c r="H210" s="1">
        <v>3995</v>
      </c>
      <c r="I210" s="1">
        <v>13983</v>
      </c>
      <c r="J210" s="1">
        <v>3500</v>
      </c>
    </row>
    <row r="211" spans="1:10" x14ac:dyDescent="0.3">
      <c r="A211" t="s">
        <v>10</v>
      </c>
      <c r="B211" t="s">
        <v>25</v>
      </c>
      <c r="C211" t="s">
        <v>11</v>
      </c>
      <c r="D211" t="s">
        <v>48</v>
      </c>
      <c r="E211">
        <v>86</v>
      </c>
      <c r="F211">
        <v>189</v>
      </c>
      <c r="G211" s="1">
        <v>4000</v>
      </c>
      <c r="H211" s="1">
        <v>3850</v>
      </c>
      <c r="I211" s="1">
        <v>8085</v>
      </c>
      <c r="J211" s="1">
        <v>2100</v>
      </c>
    </row>
    <row r="212" spans="1:10" x14ac:dyDescent="0.3">
      <c r="A212" t="s">
        <v>49</v>
      </c>
      <c r="B212" t="s">
        <v>22</v>
      </c>
      <c r="C212" t="s">
        <v>11</v>
      </c>
      <c r="D212" t="s">
        <v>12</v>
      </c>
      <c r="E212">
        <v>86</v>
      </c>
      <c r="F212">
        <v>7</v>
      </c>
      <c r="G212" s="1">
        <v>850</v>
      </c>
      <c r="H212" s="1">
        <v>0</v>
      </c>
      <c r="I212" s="1">
        <v>0</v>
      </c>
      <c r="J212" s="1">
        <v>0</v>
      </c>
    </row>
    <row r="213" spans="1:10" x14ac:dyDescent="0.3">
      <c r="A213" t="s">
        <v>49</v>
      </c>
      <c r="B213" t="s">
        <v>23</v>
      </c>
      <c r="C213" t="s">
        <v>11</v>
      </c>
      <c r="D213" t="s">
        <v>12</v>
      </c>
      <c r="E213">
        <v>86</v>
      </c>
      <c r="F213">
        <v>7</v>
      </c>
      <c r="G213" s="1">
        <v>880</v>
      </c>
      <c r="H213" s="1">
        <v>0</v>
      </c>
      <c r="I213" s="1">
        <v>0</v>
      </c>
      <c r="J213" s="1">
        <v>0</v>
      </c>
    </row>
    <row r="214" spans="1:10" x14ac:dyDescent="0.3">
      <c r="A214" t="s">
        <v>49</v>
      </c>
      <c r="B214" t="s">
        <v>24</v>
      </c>
      <c r="C214" t="s">
        <v>11</v>
      </c>
      <c r="D214" t="s">
        <v>12</v>
      </c>
      <c r="E214">
        <v>86</v>
      </c>
      <c r="F214">
        <v>7</v>
      </c>
      <c r="G214" s="1">
        <v>880</v>
      </c>
      <c r="H214" s="1">
        <v>880</v>
      </c>
      <c r="I214" s="1">
        <v>880</v>
      </c>
      <c r="J214" s="1">
        <v>1000</v>
      </c>
    </row>
    <row r="215" spans="1:10" x14ac:dyDescent="0.3">
      <c r="A215" t="s">
        <v>49</v>
      </c>
      <c r="B215" t="s">
        <v>25</v>
      </c>
      <c r="C215" t="s">
        <v>11</v>
      </c>
      <c r="D215" t="s">
        <v>12</v>
      </c>
      <c r="E215">
        <v>86</v>
      </c>
      <c r="F215">
        <v>7</v>
      </c>
      <c r="G215" s="1">
        <v>880</v>
      </c>
      <c r="H215" s="1">
        <v>110</v>
      </c>
      <c r="I215" s="1">
        <v>77</v>
      </c>
      <c r="J215" s="1">
        <v>700</v>
      </c>
    </row>
    <row r="216" spans="1:10" x14ac:dyDescent="0.3">
      <c r="A216" t="s">
        <v>49</v>
      </c>
      <c r="B216" t="s">
        <v>50</v>
      </c>
      <c r="C216" t="s">
        <v>11</v>
      </c>
      <c r="D216" t="s">
        <v>12</v>
      </c>
      <c r="E216">
        <v>86</v>
      </c>
      <c r="F216">
        <v>7</v>
      </c>
      <c r="G216" s="1">
        <v>880</v>
      </c>
      <c r="H216" s="1">
        <v>180</v>
      </c>
      <c r="I216" s="1">
        <v>270</v>
      </c>
      <c r="J216" s="1">
        <v>1500</v>
      </c>
    </row>
    <row r="217" spans="1:10" x14ac:dyDescent="0.3">
      <c r="A217" t="s">
        <v>49</v>
      </c>
      <c r="B217" t="s">
        <v>18</v>
      </c>
      <c r="C217" t="s">
        <v>11</v>
      </c>
      <c r="D217" t="s">
        <v>26</v>
      </c>
      <c r="E217">
        <v>86</v>
      </c>
      <c r="F217">
        <v>14</v>
      </c>
      <c r="G217" s="1">
        <v>550</v>
      </c>
      <c r="H217" s="1">
        <v>0</v>
      </c>
      <c r="I217" s="1">
        <v>0</v>
      </c>
      <c r="J217" s="1">
        <v>0</v>
      </c>
    </row>
    <row r="218" spans="1:10" x14ac:dyDescent="0.3">
      <c r="A218" t="s">
        <v>49</v>
      </c>
      <c r="B218" t="s">
        <v>19</v>
      </c>
      <c r="C218" t="s">
        <v>11</v>
      </c>
      <c r="D218" t="s">
        <v>26</v>
      </c>
      <c r="E218">
        <v>86</v>
      </c>
      <c r="F218">
        <v>14</v>
      </c>
      <c r="G218" s="1">
        <v>600</v>
      </c>
      <c r="H218" s="1">
        <v>0</v>
      </c>
      <c r="I218" s="1">
        <v>0</v>
      </c>
      <c r="J218" s="1">
        <v>0</v>
      </c>
    </row>
    <row r="219" spans="1:10" x14ac:dyDescent="0.3">
      <c r="A219" t="s">
        <v>49</v>
      </c>
      <c r="B219" t="s">
        <v>20</v>
      </c>
      <c r="C219" t="s">
        <v>11</v>
      </c>
      <c r="D219" t="s">
        <v>26</v>
      </c>
      <c r="E219">
        <v>86</v>
      </c>
      <c r="F219">
        <v>14</v>
      </c>
      <c r="G219" s="1">
        <v>700</v>
      </c>
      <c r="H219" s="1">
        <v>200</v>
      </c>
      <c r="I219" s="1">
        <v>280</v>
      </c>
      <c r="J219" s="1">
        <v>1400</v>
      </c>
    </row>
    <row r="220" spans="1:10" x14ac:dyDescent="0.3">
      <c r="A220" t="s">
        <v>49</v>
      </c>
      <c r="B220" t="s">
        <v>21</v>
      </c>
      <c r="C220" t="s">
        <v>11</v>
      </c>
      <c r="D220" t="s">
        <v>26</v>
      </c>
      <c r="E220">
        <v>86</v>
      </c>
      <c r="F220">
        <v>14</v>
      </c>
      <c r="G220" s="1">
        <v>600</v>
      </c>
      <c r="H220" s="1">
        <v>80</v>
      </c>
      <c r="I220" s="1">
        <v>80</v>
      </c>
      <c r="J220" s="1">
        <v>1000</v>
      </c>
    </row>
    <row r="221" spans="1:10" x14ac:dyDescent="0.3">
      <c r="A221" t="s">
        <v>49</v>
      </c>
      <c r="B221" t="s">
        <v>22</v>
      </c>
      <c r="C221" t="s">
        <v>11</v>
      </c>
      <c r="D221" t="s">
        <v>26</v>
      </c>
      <c r="E221">
        <v>86</v>
      </c>
      <c r="F221">
        <v>14</v>
      </c>
      <c r="G221" s="1">
        <v>840</v>
      </c>
      <c r="H221" s="1">
        <v>0</v>
      </c>
      <c r="I221" s="1">
        <v>0</v>
      </c>
      <c r="J221" s="1">
        <v>0</v>
      </c>
    </row>
    <row r="222" spans="1:10" x14ac:dyDescent="0.3">
      <c r="A222" t="s">
        <v>49</v>
      </c>
      <c r="B222" t="s">
        <v>23</v>
      </c>
      <c r="C222" t="s">
        <v>11</v>
      </c>
      <c r="D222" t="s">
        <v>26</v>
      </c>
      <c r="E222">
        <v>86</v>
      </c>
      <c r="F222">
        <v>14</v>
      </c>
      <c r="G222" s="1">
        <v>840</v>
      </c>
      <c r="H222" s="1">
        <v>0</v>
      </c>
      <c r="I222" s="1">
        <v>0</v>
      </c>
      <c r="J222" s="1">
        <v>0</v>
      </c>
    </row>
    <row r="223" spans="1:10" x14ac:dyDescent="0.3">
      <c r="A223" t="s">
        <v>49</v>
      </c>
      <c r="B223" t="s">
        <v>24</v>
      </c>
      <c r="C223" t="s">
        <v>11</v>
      </c>
      <c r="D223" t="s">
        <v>26</v>
      </c>
      <c r="E223">
        <v>86</v>
      </c>
      <c r="F223">
        <v>14</v>
      </c>
      <c r="G223" s="1">
        <v>840</v>
      </c>
      <c r="H223" s="1">
        <v>220</v>
      </c>
      <c r="I223" s="1">
        <v>220</v>
      </c>
      <c r="J223" s="1">
        <v>1000</v>
      </c>
    </row>
    <row r="224" spans="1:10" x14ac:dyDescent="0.3">
      <c r="A224" t="s">
        <v>49</v>
      </c>
      <c r="B224" t="s">
        <v>25</v>
      </c>
      <c r="C224" t="s">
        <v>11</v>
      </c>
      <c r="D224" t="s">
        <v>26</v>
      </c>
      <c r="E224">
        <v>86</v>
      </c>
      <c r="F224">
        <v>14</v>
      </c>
      <c r="G224" s="1">
        <v>850</v>
      </c>
      <c r="H224" s="1">
        <v>80</v>
      </c>
      <c r="I224" s="1">
        <v>56</v>
      </c>
      <c r="J224" s="1">
        <v>700</v>
      </c>
    </row>
    <row r="225" spans="1:10" x14ac:dyDescent="0.3">
      <c r="A225" t="s">
        <v>49</v>
      </c>
      <c r="B225" t="s">
        <v>50</v>
      </c>
      <c r="C225" t="s">
        <v>11</v>
      </c>
      <c r="D225" t="s">
        <v>26</v>
      </c>
      <c r="E225">
        <v>86</v>
      </c>
      <c r="F225">
        <v>14</v>
      </c>
      <c r="G225" s="1">
        <v>1050</v>
      </c>
      <c r="H225" s="1">
        <v>380</v>
      </c>
      <c r="I225" s="1">
        <v>608</v>
      </c>
      <c r="J225" s="1">
        <v>1600</v>
      </c>
    </row>
    <row r="226" spans="1:10" x14ac:dyDescent="0.3">
      <c r="A226" t="s">
        <v>49</v>
      </c>
      <c r="B226" t="s">
        <v>15</v>
      </c>
      <c r="C226" t="s">
        <v>11</v>
      </c>
      <c r="D226" t="s">
        <v>29</v>
      </c>
      <c r="E226">
        <v>86</v>
      </c>
      <c r="F226">
        <v>35</v>
      </c>
      <c r="G226" s="1">
        <v>500</v>
      </c>
      <c r="H226" s="1">
        <v>0</v>
      </c>
      <c r="I226" s="1">
        <v>0</v>
      </c>
      <c r="J226" s="1">
        <v>0</v>
      </c>
    </row>
    <row r="227" spans="1:10" x14ac:dyDescent="0.3">
      <c r="A227" t="s">
        <v>49</v>
      </c>
      <c r="B227" t="s">
        <v>16</v>
      </c>
      <c r="C227" t="s">
        <v>11</v>
      </c>
      <c r="D227" t="s">
        <v>29</v>
      </c>
      <c r="E227">
        <v>86</v>
      </c>
      <c r="F227">
        <v>35</v>
      </c>
      <c r="G227" s="1">
        <v>500</v>
      </c>
      <c r="H227" s="1">
        <v>400</v>
      </c>
      <c r="I227" s="1">
        <v>400</v>
      </c>
      <c r="J227" s="1">
        <v>1000</v>
      </c>
    </row>
    <row r="228" spans="1:10" x14ac:dyDescent="0.3">
      <c r="A228" t="s">
        <v>49</v>
      </c>
      <c r="B228" t="s">
        <v>18</v>
      </c>
      <c r="C228" t="s">
        <v>11</v>
      </c>
      <c r="D228" t="s">
        <v>29</v>
      </c>
      <c r="E228">
        <v>86</v>
      </c>
      <c r="F228">
        <v>35</v>
      </c>
      <c r="G228" s="1">
        <v>500</v>
      </c>
      <c r="H228" s="1">
        <v>0</v>
      </c>
      <c r="I228" s="1">
        <v>0</v>
      </c>
      <c r="J228" s="1">
        <v>0</v>
      </c>
    </row>
    <row r="229" spans="1:10" x14ac:dyDescent="0.3">
      <c r="A229" t="s">
        <v>49</v>
      </c>
      <c r="B229" t="s">
        <v>19</v>
      </c>
      <c r="C229" t="s">
        <v>11</v>
      </c>
      <c r="D229" t="s">
        <v>29</v>
      </c>
      <c r="E229">
        <v>86</v>
      </c>
      <c r="F229">
        <v>35</v>
      </c>
      <c r="G229" s="1">
        <v>500</v>
      </c>
      <c r="H229" s="1">
        <v>0</v>
      </c>
      <c r="I229" s="1">
        <v>0</v>
      </c>
      <c r="J229" s="1">
        <v>0</v>
      </c>
    </row>
    <row r="230" spans="1:10" x14ac:dyDescent="0.3">
      <c r="A230" t="s">
        <v>49</v>
      </c>
      <c r="B230" t="s">
        <v>20</v>
      </c>
      <c r="C230" t="s">
        <v>11</v>
      </c>
      <c r="D230" t="s">
        <v>29</v>
      </c>
      <c r="E230">
        <v>86</v>
      </c>
      <c r="F230">
        <v>35</v>
      </c>
      <c r="G230" s="1">
        <v>500</v>
      </c>
      <c r="H230" s="1">
        <v>0</v>
      </c>
      <c r="I230" s="1">
        <v>0</v>
      </c>
      <c r="J230" s="1">
        <v>0</v>
      </c>
    </row>
    <row r="231" spans="1:10" x14ac:dyDescent="0.3">
      <c r="A231" t="s">
        <v>49</v>
      </c>
      <c r="B231" t="s">
        <v>21</v>
      </c>
      <c r="C231" t="s">
        <v>11</v>
      </c>
      <c r="D231" t="s">
        <v>29</v>
      </c>
      <c r="E231">
        <v>86</v>
      </c>
      <c r="F231">
        <v>35</v>
      </c>
      <c r="G231" s="1">
        <v>500</v>
      </c>
      <c r="H231" s="1">
        <v>0</v>
      </c>
      <c r="I231" s="1">
        <v>0</v>
      </c>
      <c r="J231" s="1">
        <v>0</v>
      </c>
    </row>
    <row r="232" spans="1:10" x14ac:dyDescent="0.3">
      <c r="A232" t="s">
        <v>49</v>
      </c>
      <c r="B232" t="s">
        <v>22</v>
      </c>
      <c r="C232" t="s">
        <v>11</v>
      </c>
      <c r="D232" t="s">
        <v>29</v>
      </c>
      <c r="E232">
        <v>86</v>
      </c>
      <c r="F232">
        <v>35</v>
      </c>
      <c r="G232" s="1">
        <v>700</v>
      </c>
      <c r="H232" s="1">
        <v>200</v>
      </c>
      <c r="I232" s="1">
        <v>0</v>
      </c>
      <c r="J232" s="1">
        <v>0</v>
      </c>
    </row>
    <row r="233" spans="1:10" x14ac:dyDescent="0.3">
      <c r="A233" t="s">
        <v>49</v>
      </c>
      <c r="B233" t="s">
        <v>23</v>
      </c>
      <c r="C233" t="s">
        <v>11</v>
      </c>
      <c r="D233" t="s">
        <v>29</v>
      </c>
      <c r="E233">
        <v>86</v>
      </c>
      <c r="F233">
        <v>35</v>
      </c>
      <c r="G233" s="1">
        <v>1000</v>
      </c>
      <c r="H233" s="1">
        <v>200</v>
      </c>
      <c r="I233" s="1">
        <v>400</v>
      </c>
      <c r="J233" s="1">
        <v>2000</v>
      </c>
    </row>
    <row r="234" spans="1:10" x14ac:dyDescent="0.3">
      <c r="A234" t="s">
        <v>49</v>
      </c>
      <c r="B234" t="s">
        <v>24</v>
      </c>
      <c r="C234" t="s">
        <v>11</v>
      </c>
      <c r="D234" t="s">
        <v>29</v>
      </c>
      <c r="E234">
        <v>86</v>
      </c>
      <c r="F234">
        <v>35</v>
      </c>
      <c r="G234" s="1">
        <v>1000</v>
      </c>
      <c r="H234" s="1">
        <v>200</v>
      </c>
      <c r="I234" s="1">
        <v>400</v>
      </c>
      <c r="J234" s="1">
        <v>2000</v>
      </c>
    </row>
    <row r="235" spans="1:10" x14ac:dyDescent="0.3">
      <c r="A235" t="s">
        <v>49</v>
      </c>
      <c r="B235" t="s">
        <v>25</v>
      </c>
      <c r="C235" t="s">
        <v>11</v>
      </c>
      <c r="D235" t="s">
        <v>29</v>
      </c>
      <c r="E235">
        <v>86</v>
      </c>
      <c r="F235">
        <v>35</v>
      </c>
      <c r="G235" s="1">
        <v>1000</v>
      </c>
      <c r="H235" s="1">
        <v>200</v>
      </c>
      <c r="I235" s="1">
        <v>180</v>
      </c>
      <c r="J235" s="1">
        <v>900</v>
      </c>
    </row>
    <row r="236" spans="1:10" x14ac:dyDescent="0.3">
      <c r="A236" t="s">
        <v>49</v>
      </c>
      <c r="B236" t="s">
        <v>50</v>
      </c>
      <c r="C236" t="s">
        <v>11</v>
      </c>
      <c r="D236" t="s">
        <v>29</v>
      </c>
      <c r="E236">
        <v>86</v>
      </c>
      <c r="F236">
        <v>35</v>
      </c>
      <c r="G236" s="1">
        <v>1000</v>
      </c>
      <c r="H236" s="1">
        <v>425</v>
      </c>
      <c r="I236" s="1">
        <v>425</v>
      </c>
      <c r="J236" s="1">
        <v>1000</v>
      </c>
    </row>
    <row r="237" spans="1:10" x14ac:dyDescent="0.3">
      <c r="A237" t="s">
        <v>49</v>
      </c>
      <c r="B237" t="s">
        <v>18</v>
      </c>
      <c r="C237" t="s">
        <v>11</v>
      </c>
      <c r="D237" t="s">
        <v>30</v>
      </c>
      <c r="E237">
        <v>86</v>
      </c>
      <c r="F237">
        <v>42</v>
      </c>
      <c r="G237" s="1">
        <v>650</v>
      </c>
      <c r="H237" s="1">
        <v>0</v>
      </c>
      <c r="I237" s="1">
        <v>0</v>
      </c>
      <c r="J237" s="1">
        <v>0</v>
      </c>
    </row>
    <row r="238" spans="1:10" x14ac:dyDescent="0.3">
      <c r="A238" t="s">
        <v>49</v>
      </c>
      <c r="B238" t="s">
        <v>19</v>
      </c>
      <c r="C238" t="s">
        <v>11</v>
      </c>
      <c r="D238" t="s">
        <v>30</v>
      </c>
      <c r="E238">
        <v>86</v>
      </c>
      <c r="F238">
        <v>42</v>
      </c>
      <c r="G238" s="1">
        <v>600</v>
      </c>
      <c r="H238" s="1">
        <v>0</v>
      </c>
      <c r="I238" s="1">
        <v>0</v>
      </c>
      <c r="J238" s="1">
        <v>0</v>
      </c>
    </row>
    <row r="239" spans="1:10" x14ac:dyDescent="0.3">
      <c r="A239" t="s">
        <v>49</v>
      </c>
      <c r="B239" t="s">
        <v>20</v>
      </c>
      <c r="C239" t="s">
        <v>11</v>
      </c>
      <c r="D239" t="s">
        <v>30</v>
      </c>
      <c r="E239">
        <v>86</v>
      </c>
      <c r="F239">
        <v>42</v>
      </c>
      <c r="G239" s="1">
        <v>400</v>
      </c>
      <c r="H239" s="1">
        <v>80</v>
      </c>
      <c r="I239" s="1">
        <v>120</v>
      </c>
      <c r="J239" s="1">
        <v>1500</v>
      </c>
    </row>
    <row r="240" spans="1:10" x14ac:dyDescent="0.3">
      <c r="A240" t="s">
        <v>49</v>
      </c>
      <c r="B240" t="s">
        <v>21</v>
      </c>
      <c r="C240" t="s">
        <v>11</v>
      </c>
      <c r="D240" t="s">
        <v>30</v>
      </c>
      <c r="E240">
        <v>86</v>
      </c>
      <c r="F240">
        <v>42</v>
      </c>
      <c r="G240" s="1">
        <v>400</v>
      </c>
      <c r="H240" s="1">
        <v>90</v>
      </c>
      <c r="I240" s="1">
        <v>90</v>
      </c>
      <c r="J240" s="1">
        <v>1000</v>
      </c>
    </row>
    <row r="241" spans="1:10" x14ac:dyDescent="0.3">
      <c r="A241" t="s">
        <v>49</v>
      </c>
      <c r="B241" t="s">
        <v>22</v>
      </c>
      <c r="C241" t="s">
        <v>11</v>
      </c>
      <c r="D241" t="s">
        <v>30</v>
      </c>
      <c r="E241">
        <v>86</v>
      </c>
      <c r="F241">
        <v>42</v>
      </c>
      <c r="G241" s="1">
        <v>600</v>
      </c>
      <c r="H241" s="1">
        <v>90</v>
      </c>
      <c r="I241" s="1">
        <v>90</v>
      </c>
      <c r="J241" s="1">
        <v>1000</v>
      </c>
    </row>
    <row r="242" spans="1:10" x14ac:dyDescent="0.3">
      <c r="A242" t="s">
        <v>49</v>
      </c>
      <c r="B242" t="s">
        <v>23</v>
      </c>
      <c r="C242" t="s">
        <v>11</v>
      </c>
      <c r="D242" t="s">
        <v>30</v>
      </c>
      <c r="E242">
        <v>86</v>
      </c>
      <c r="F242">
        <v>42</v>
      </c>
      <c r="G242" s="1">
        <v>600</v>
      </c>
      <c r="H242" s="1">
        <v>0</v>
      </c>
      <c r="I242" s="1">
        <v>0</v>
      </c>
      <c r="J242" s="1">
        <v>0</v>
      </c>
    </row>
    <row r="243" spans="1:10" x14ac:dyDescent="0.3">
      <c r="A243" t="s">
        <v>49</v>
      </c>
      <c r="B243" t="s">
        <v>24</v>
      </c>
      <c r="C243" t="s">
        <v>11</v>
      </c>
      <c r="D243" t="s">
        <v>30</v>
      </c>
      <c r="E243">
        <v>86</v>
      </c>
      <c r="F243">
        <v>42</v>
      </c>
      <c r="G243" s="1">
        <v>600</v>
      </c>
      <c r="H243" s="1">
        <v>250</v>
      </c>
      <c r="I243" s="1">
        <v>250</v>
      </c>
      <c r="J243" s="1">
        <v>1000</v>
      </c>
    </row>
    <row r="244" spans="1:10" x14ac:dyDescent="0.3">
      <c r="A244" t="s">
        <v>49</v>
      </c>
      <c r="B244" t="s">
        <v>25</v>
      </c>
      <c r="C244" t="s">
        <v>11</v>
      </c>
      <c r="D244" t="s">
        <v>30</v>
      </c>
      <c r="E244">
        <v>86</v>
      </c>
      <c r="F244">
        <v>42</v>
      </c>
      <c r="G244" s="1">
        <v>650</v>
      </c>
      <c r="H244" s="1">
        <v>50</v>
      </c>
      <c r="I244" s="1">
        <v>35</v>
      </c>
      <c r="J244" s="1">
        <v>700</v>
      </c>
    </row>
    <row r="245" spans="1:10" x14ac:dyDescent="0.3">
      <c r="A245" t="s">
        <v>49</v>
      </c>
      <c r="B245" t="s">
        <v>50</v>
      </c>
      <c r="C245" t="s">
        <v>11</v>
      </c>
      <c r="D245" t="s">
        <v>30</v>
      </c>
      <c r="E245">
        <v>86</v>
      </c>
      <c r="F245">
        <v>42</v>
      </c>
      <c r="G245" s="1">
        <v>650</v>
      </c>
      <c r="H245" s="1">
        <v>130</v>
      </c>
      <c r="I245" s="1">
        <v>195</v>
      </c>
      <c r="J245" s="1">
        <v>1500</v>
      </c>
    </row>
    <row r="246" spans="1:10" x14ac:dyDescent="0.3">
      <c r="A246" t="s">
        <v>49</v>
      </c>
      <c r="B246" t="s">
        <v>15</v>
      </c>
      <c r="C246" t="s">
        <v>11</v>
      </c>
      <c r="D246" t="s">
        <v>31</v>
      </c>
      <c r="E246">
        <v>86</v>
      </c>
      <c r="F246">
        <v>49</v>
      </c>
      <c r="G246" s="1">
        <v>500</v>
      </c>
      <c r="H246" s="1">
        <v>0</v>
      </c>
      <c r="I246" s="1">
        <v>0</v>
      </c>
      <c r="J246" s="1">
        <v>0</v>
      </c>
    </row>
    <row r="247" spans="1:10" x14ac:dyDescent="0.3">
      <c r="A247" t="s">
        <v>49</v>
      </c>
      <c r="B247" t="s">
        <v>16</v>
      </c>
      <c r="C247" t="s">
        <v>11</v>
      </c>
      <c r="D247" t="s">
        <v>31</v>
      </c>
      <c r="E247">
        <v>86</v>
      </c>
      <c r="F247">
        <v>49</v>
      </c>
      <c r="G247" s="1">
        <v>800</v>
      </c>
      <c r="H247" s="1">
        <v>0</v>
      </c>
      <c r="I247" s="1">
        <v>0</v>
      </c>
      <c r="J247" s="1">
        <v>0</v>
      </c>
    </row>
    <row r="248" spans="1:10" x14ac:dyDescent="0.3">
      <c r="A248" t="s">
        <v>49</v>
      </c>
      <c r="B248" t="s">
        <v>18</v>
      </c>
      <c r="C248" t="s">
        <v>11</v>
      </c>
      <c r="D248" t="s">
        <v>31</v>
      </c>
      <c r="E248">
        <v>86</v>
      </c>
      <c r="F248">
        <v>49</v>
      </c>
      <c r="G248" s="1">
        <v>500</v>
      </c>
      <c r="H248" s="1">
        <v>0</v>
      </c>
      <c r="I248" s="1">
        <v>0</v>
      </c>
      <c r="J248" s="1">
        <v>0</v>
      </c>
    </row>
    <row r="249" spans="1:10" x14ac:dyDescent="0.3">
      <c r="A249" t="s">
        <v>49</v>
      </c>
      <c r="B249" t="s">
        <v>19</v>
      </c>
      <c r="C249" t="s">
        <v>11</v>
      </c>
      <c r="D249" t="s">
        <v>31</v>
      </c>
      <c r="E249">
        <v>86</v>
      </c>
      <c r="F249">
        <v>49</v>
      </c>
      <c r="G249" s="1">
        <v>500</v>
      </c>
      <c r="H249" s="1">
        <v>0</v>
      </c>
      <c r="I249" s="1">
        <v>0</v>
      </c>
      <c r="J249" s="1">
        <v>0</v>
      </c>
    </row>
    <row r="250" spans="1:10" x14ac:dyDescent="0.3">
      <c r="A250" t="s">
        <v>49</v>
      </c>
      <c r="B250" t="s">
        <v>20</v>
      </c>
      <c r="C250" t="s">
        <v>11</v>
      </c>
      <c r="D250" t="s">
        <v>31</v>
      </c>
      <c r="E250">
        <v>86</v>
      </c>
      <c r="F250">
        <v>49</v>
      </c>
      <c r="G250" s="1">
        <v>500</v>
      </c>
      <c r="H250" s="1">
        <v>0</v>
      </c>
      <c r="I250" s="1">
        <v>0</v>
      </c>
      <c r="J250" s="1">
        <v>0</v>
      </c>
    </row>
    <row r="251" spans="1:10" x14ac:dyDescent="0.3">
      <c r="A251" t="s">
        <v>49</v>
      </c>
      <c r="B251" t="s">
        <v>21</v>
      </c>
      <c r="C251" t="s">
        <v>11</v>
      </c>
      <c r="D251" t="s">
        <v>31</v>
      </c>
      <c r="E251">
        <v>86</v>
      </c>
      <c r="F251">
        <v>49</v>
      </c>
      <c r="G251" s="1">
        <v>500</v>
      </c>
      <c r="H251" s="1">
        <v>0</v>
      </c>
      <c r="I251" s="1">
        <v>0</v>
      </c>
      <c r="J251" s="1">
        <v>0</v>
      </c>
    </row>
    <row r="252" spans="1:10" x14ac:dyDescent="0.3">
      <c r="A252" t="s">
        <v>49</v>
      </c>
      <c r="B252" t="s">
        <v>22</v>
      </c>
      <c r="C252" t="s">
        <v>11</v>
      </c>
      <c r="D252" t="s">
        <v>31</v>
      </c>
      <c r="E252">
        <v>86</v>
      </c>
      <c r="F252">
        <v>49</v>
      </c>
      <c r="G252" s="1">
        <v>500</v>
      </c>
      <c r="H252" s="1">
        <v>0</v>
      </c>
      <c r="I252" s="1">
        <v>0</v>
      </c>
      <c r="J252" s="1">
        <v>0</v>
      </c>
    </row>
    <row r="253" spans="1:10" x14ac:dyDescent="0.3">
      <c r="A253" t="s">
        <v>49</v>
      </c>
      <c r="B253" t="s">
        <v>23</v>
      </c>
      <c r="C253" t="s">
        <v>11</v>
      </c>
      <c r="D253" t="s">
        <v>31</v>
      </c>
      <c r="E253">
        <v>86</v>
      </c>
      <c r="F253">
        <v>49</v>
      </c>
      <c r="G253" s="1">
        <v>1000</v>
      </c>
      <c r="H253" s="1">
        <v>0</v>
      </c>
      <c r="I253" s="1">
        <v>0</v>
      </c>
      <c r="J253" s="1">
        <v>0</v>
      </c>
    </row>
    <row r="254" spans="1:10" x14ac:dyDescent="0.3">
      <c r="A254" t="s">
        <v>49</v>
      </c>
      <c r="B254" t="s">
        <v>24</v>
      </c>
      <c r="C254" t="s">
        <v>11</v>
      </c>
      <c r="D254" t="s">
        <v>31</v>
      </c>
      <c r="E254">
        <v>86</v>
      </c>
      <c r="F254">
        <v>49</v>
      </c>
      <c r="G254" s="1">
        <v>1000</v>
      </c>
      <c r="H254" s="1">
        <v>0</v>
      </c>
      <c r="I254" s="1">
        <v>0</v>
      </c>
      <c r="J254" s="1">
        <v>0</v>
      </c>
    </row>
    <row r="255" spans="1:10" x14ac:dyDescent="0.3">
      <c r="A255" t="s">
        <v>49</v>
      </c>
      <c r="B255" t="s">
        <v>25</v>
      </c>
      <c r="C255" t="s">
        <v>11</v>
      </c>
      <c r="D255" t="s">
        <v>31</v>
      </c>
      <c r="E255">
        <v>86</v>
      </c>
      <c r="F255">
        <v>49</v>
      </c>
      <c r="G255" s="1">
        <v>1000</v>
      </c>
      <c r="H255" s="1">
        <v>0</v>
      </c>
      <c r="I255" s="1">
        <v>0</v>
      </c>
      <c r="J255" s="1">
        <v>0</v>
      </c>
    </row>
    <row r="256" spans="1:10" x14ac:dyDescent="0.3">
      <c r="A256" t="s">
        <v>49</v>
      </c>
      <c r="B256" t="s">
        <v>50</v>
      </c>
      <c r="C256" t="s">
        <v>11</v>
      </c>
      <c r="D256" t="s">
        <v>31</v>
      </c>
      <c r="E256">
        <v>86</v>
      </c>
      <c r="F256">
        <v>49</v>
      </c>
      <c r="G256" s="1">
        <v>1000</v>
      </c>
      <c r="H256" s="1">
        <v>365</v>
      </c>
      <c r="I256" s="1">
        <v>329</v>
      </c>
      <c r="J256" s="1">
        <v>900</v>
      </c>
    </row>
    <row r="257" spans="1:10" x14ac:dyDescent="0.3">
      <c r="A257" t="s">
        <v>49</v>
      </c>
      <c r="B257" t="s">
        <v>22</v>
      </c>
      <c r="C257" t="s">
        <v>11</v>
      </c>
      <c r="D257" t="s">
        <v>34</v>
      </c>
      <c r="E257">
        <v>86</v>
      </c>
      <c r="F257">
        <v>70</v>
      </c>
      <c r="G257" s="1">
        <v>500</v>
      </c>
      <c r="H257" s="1">
        <v>0</v>
      </c>
      <c r="I257" s="1">
        <v>0</v>
      </c>
      <c r="J257" s="1">
        <v>0</v>
      </c>
    </row>
    <row r="258" spans="1:10" x14ac:dyDescent="0.3">
      <c r="A258" t="s">
        <v>49</v>
      </c>
      <c r="B258" t="s">
        <v>23</v>
      </c>
      <c r="C258" t="s">
        <v>11</v>
      </c>
      <c r="D258" t="s">
        <v>34</v>
      </c>
      <c r="E258">
        <v>86</v>
      </c>
      <c r="F258">
        <v>70</v>
      </c>
      <c r="G258" s="1">
        <v>500</v>
      </c>
      <c r="H258" s="1">
        <v>0</v>
      </c>
      <c r="I258" s="1">
        <v>0</v>
      </c>
      <c r="J258" s="1">
        <v>0</v>
      </c>
    </row>
    <row r="259" spans="1:10" x14ac:dyDescent="0.3">
      <c r="A259" t="s">
        <v>49</v>
      </c>
      <c r="B259" t="s">
        <v>24</v>
      </c>
      <c r="C259" t="s">
        <v>11</v>
      </c>
      <c r="D259" t="s">
        <v>34</v>
      </c>
      <c r="E259">
        <v>86</v>
      </c>
      <c r="F259">
        <v>70</v>
      </c>
      <c r="G259" s="1">
        <v>500</v>
      </c>
      <c r="H259" s="1">
        <v>0</v>
      </c>
      <c r="I259" s="1">
        <v>0</v>
      </c>
      <c r="J259" s="1">
        <v>0</v>
      </c>
    </row>
    <row r="260" spans="1:10" x14ac:dyDescent="0.3">
      <c r="A260" t="s">
        <v>49</v>
      </c>
      <c r="B260" t="s">
        <v>25</v>
      </c>
      <c r="C260" t="s">
        <v>11</v>
      </c>
      <c r="D260" t="s">
        <v>34</v>
      </c>
      <c r="E260">
        <v>86</v>
      </c>
      <c r="F260">
        <v>70</v>
      </c>
      <c r="G260" s="1">
        <v>500</v>
      </c>
      <c r="H260" s="1">
        <v>0</v>
      </c>
      <c r="I260" s="1">
        <v>0</v>
      </c>
      <c r="J260" s="1">
        <v>0</v>
      </c>
    </row>
    <row r="261" spans="1:10" x14ac:dyDescent="0.3">
      <c r="A261" t="s">
        <v>49</v>
      </c>
      <c r="B261" t="s">
        <v>50</v>
      </c>
      <c r="C261" t="s">
        <v>11</v>
      </c>
      <c r="D261" t="s">
        <v>34</v>
      </c>
      <c r="E261">
        <v>86</v>
      </c>
      <c r="F261">
        <v>70</v>
      </c>
      <c r="G261" s="1">
        <v>550</v>
      </c>
      <c r="H261" s="1">
        <v>200</v>
      </c>
      <c r="I261" s="1">
        <v>180</v>
      </c>
      <c r="J261" s="1">
        <v>900</v>
      </c>
    </row>
    <row r="262" spans="1:10" x14ac:dyDescent="0.3">
      <c r="A262" t="s">
        <v>49</v>
      </c>
      <c r="B262" t="s">
        <v>15</v>
      </c>
      <c r="C262" t="s">
        <v>11</v>
      </c>
      <c r="D262" t="s">
        <v>35</v>
      </c>
      <c r="E262">
        <v>86</v>
      </c>
      <c r="F262">
        <v>77</v>
      </c>
      <c r="G262" s="1">
        <v>1000</v>
      </c>
      <c r="H262" s="1">
        <v>600</v>
      </c>
      <c r="I262" s="1">
        <v>720</v>
      </c>
      <c r="J262" s="1">
        <v>1200</v>
      </c>
    </row>
    <row r="263" spans="1:10" x14ac:dyDescent="0.3">
      <c r="A263" t="s">
        <v>49</v>
      </c>
      <c r="B263" t="s">
        <v>18</v>
      </c>
      <c r="C263" t="s">
        <v>11</v>
      </c>
      <c r="D263" t="s">
        <v>35</v>
      </c>
      <c r="E263">
        <v>86</v>
      </c>
      <c r="F263">
        <v>77</v>
      </c>
      <c r="G263" s="1">
        <v>1000</v>
      </c>
      <c r="H263" s="1">
        <v>0</v>
      </c>
      <c r="I263" s="1">
        <v>0</v>
      </c>
      <c r="J263" s="1">
        <v>0</v>
      </c>
    </row>
    <row r="264" spans="1:10" x14ac:dyDescent="0.3">
      <c r="A264" t="s">
        <v>49</v>
      </c>
      <c r="B264" t="s">
        <v>19</v>
      </c>
      <c r="C264" t="s">
        <v>11</v>
      </c>
      <c r="D264" t="s">
        <v>35</v>
      </c>
      <c r="E264">
        <v>86</v>
      </c>
      <c r="F264">
        <v>77</v>
      </c>
      <c r="G264" s="1">
        <v>1600</v>
      </c>
      <c r="H264" s="1">
        <v>0</v>
      </c>
      <c r="I264" s="1">
        <v>0</v>
      </c>
      <c r="J264" s="1">
        <v>0</v>
      </c>
    </row>
    <row r="265" spans="1:10" x14ac:dyDescent="0.3">
      <c r="A265" t="s">
        <v>49</v>
      </c>
      <c r="B265" t="s">
        <v>20</v>
      </c>
      <c r="C265" t="s">
        <v>11</v>
      </c>
      <c r="D265" t="s">
        <v>35</v>
      </c>
      <c r="E265">
        <v>86</v>
      </c>
      <c r="F265">
        <v>77</v>
      </c>
      <c r="G265" s="1">
        <v>1400</v>
      </c>
      <c r="H265" s="1">
        <v>100</v>
      </c>
      <c r="I265" s="1">
        <v>150</v>
      </c>
      <c r="J265" s="1">
        <v>1500</v>
      </c>
    </row>
    <row r="266" spans="1:10" x14ac:dyDescent="0.3">
      <c r="A266" t="s">
        <v>49</v>
      </c>
      <c r="B266" t="s">
        <v>21</v>
      </c>
      <c r="C266" t="s">
        <v>11</v>
      </c>
      <c r="D266" t="s">
        <v>35</v>
      </c>
      <c r="E266">
        <v>86</v>
      </c>
      <c r="F266">
        <v>77</v>
      </c>
      <c r="G266" s="1">
        <v>1400</v>
      </c>
      <c r="H266" s="1">
        <v>310</v>
      </c>
      <c r="I266" s="1">
        <v>155</v>
      </c>
      <c r="J266" s="1">
        <v>500</v>
      </c>
    </row>
    <row r="267" spans="1:10" x14ac:dyDescent="0.3">
      <c r="A267" t="s">
        <v>49</v>
      </c>
      <c r="B267" t="s">
        <v>22</v>
      </c>
      <c r="C267" t="s">
        <v>11</v>
      </c>
      <c r="D267" t="s">
        <v>35</v>
      </c>
      <c r="E267">
        <v>86</v>
      </c>
      <c r="F267">
        <v>77</v>
      </c>
      <c r="G267" s="1">
        <v>1680</v>
      </c>
      <c r="H267" s="1">
        <v>240</v>
      </c>
      <c r="I267" s="1">
        <v>240</v>
      </c>
      <c r="J267" s="1">
        <v>1000</v>
      </c>
    </row>
    <row r="268" spans="1:10" x14ac:dyDescent="0.3">
      <c r="A268" t="s">
        <v>49</v>
      </c>
      <c r="B268" t="s">
        <v>23</v>
      </c>
      <c r="C268" t="s">
        <v>11</v>
      </c>
      <c r="D268" t="s">
        <v>35</v>
      </c>
      <c r="E268">
        <v>86</v>
      </c>
      <c r="F268">
        <v>77</v>
      </c>
      <c r="G268" s="1">
        <v>1680</v>
      </c>
      <c r="H268" s="1">
        <v>0</v>
      </c>
      <c r="I268" s="1">
        <v>0</v>
      </c>
      <c r="J268" s="1">
        <v>0</v>
      </c>
    </row>
    <row r="269" spans="1:10" x14ac:dyDescent="0.3">
      <c r="A269" t="s">
        <v>49</v>
      </c>
      <c r="B269" t="s">
        <v>24</v>
      </c>
      <c r="C269" t="s">
        <v>11</v>
      </c>
      <c r="D269" t="s">
        <v>35</v>
      </c>
      <c r="E269">
        <v>86</v>
      </c>
      <c r="F269">
        <v>77</v>
      </c>
      <c r="G269" s="1">
        <v>1680</v>
      </c>
      <c r="H269" s="1">
        <v>300</v>
      </c>
      <c r="I269" s="1">
        <v>300</v>
      </c>
      <c r="J269" s="1">
        <v>1000</v>
      </c>
    </row>
    <row r="270" spans="1:10" x14ac:dyDescent="0.3">
      <c r="A270" t="s">
        <v>49</v>
      </c>
      <c r="B270" t="s">
        <v>25</v>
      </c>
      <c r="C270" t="s">
        <v>11</v>
      </c>
      <c r="D270" t="s">
        <v>35</v>
      </c>
      <c r="E270">
        <v>86</v>
      </c>
      <c r="F270">
        <v>77</v>
      </c>
      <c r="G270" s="1">
        <v>1700</v>
      </c>
      <c r="H270" s="1">
        <v>150</v>
      </c>
      <c r="I270" s="1">
        <v>105</v>
      </c>
      <c r="J270" s="1">
        <v>700</v>
      </c>
    </row>
    <row r="271" spans="1:10" x14ac:dyDescent="0.3">
      <c r="A271" t="s">
        <v>49</v>
      </c>
      <c r="B271" t="s">
        <v>50</v>
      </c>
      <c r="C271" t="s">
        <v>11</v>
      </c>
      <c r="D271" t="s">
        <v>35</v>
      </c>
      <c r="E271">
        <v>86</v>
      </c>
      <c r="F271">
        <v>77</v>
      </c>
      <c r="G271" s="1">
        <v>1900</v>
      </c>
      <c r="H271" s="1">
        <v>540</v>
      </c>
      <c r="I271" s="1">
        <v>972</v>
      </c>
      <c r="J271" s="1">
        <v>1800</v>
      </c>
    </row>
    <row r="272" spans="1:10" x14ac:dyDescent="0.3">
      <c r="A272" t="s">
        <v>49</v>
      </c>
      <c r="B272" t="s">
        <v>16</v>
      </c>
      <c r="C272" t="s">
        <v>11</v>
      </c>
      <c r="D272" t="s">
        <v>37</v>
      </c>
      <c r="E272">
        <v>86</v>
      </c>
      <c r="F272">
        <v>91</v>
      </c>
      <c r="G272" s="1">
        <v>1000</v>
      </c>
      <c r="H272" s="1">
        <v>0</v>
      </c>
      <c r="I272" s="1">
        <v>0</v>
      </c>
      <c r="J272" s="1">
        <v>0</v>
      </c>
    </row>
    <row r="273" spans="1:10" x14ac:dyDescent="0.3">
      <c r="A273" t="s">
        <v>49</v>
      </c>
      <c r="B273" t="s">
        <v>18</v>
      </c>
      <c r="C273" t="s">
        <v>11</v>
      </c>
      <c r="D273" t="s">
        <v>37</v>
      </c>
      <c r="E273">
        <v>86</v>
      </c>
      <c r="F273">
        <v>91</v>
      </c>
      <c r="G273" s="1">
        <v>500</v>
      </c>
      <c r="H273" s="1">
        <v>0</v>
      </c>
      <c r="I273" s="1">
        <v>0</v>
      </c>
      <c r="J273" s="1">
        <v>0</v>
      </c>
    </row>
    <row r="274" spans="1:10" x14ac:dyDescent="0.3">
      <c r="A274" t="s">
        <v>49</v>
      </c>
      <c r="B274" t="s">
        <v>19</v>
      </c>
      <c r="C274" t="s">
        <v>11</v>
      </c>
      <c r="D274" t="s">
        <v>37</v>
      </c>
      <c r="E274">
        <v>86</v>
      </c>
      <c r="F274">
        <v>91</v>
      </c>
      <c r="G274" s="1">
        <v>1000</v>
      </c>
      <c r="H274" s="1">
        <v>200</v>
      </c>
      <c r="I274" s="1">
        <v>200</v>
      </c>
      <c r="J274" s="1">
        <v>1000</v>
      </c>
    </row>
    <row r="275" spans="1:10" x14ac:dyDescent="0.3">
      <c r="A275" t="s">
        <v>49</v>
      </c>
      <c r="B275" t="s">
        <v>20</v>
      </c>
      <c r="C275" t="s">
        <v>11</v>
      </c>
      <c r="D275" t="s">
        <v>37</v>
      </c>
      <c r="E275">
        <v>86</v>
      </c>
      <c r="F275">
        <v>91</v>
      </c>
      <c r="G275" s="1">
        <v>1200</v>
      </c>
      <c r="H275" s="1">
        <v>0</v>
      </c>
      <c r="I275" s="1">
        <v>0</v>
      </c>
      <c r="J275" s="1">
        <v>0</v>
      </c>
    </row>
    <row r="276" spans="1:10" x14ac:dyDescent="0.3">
      <c r="A276" t="s">
        <v>49</v>
      </c>
      <c r="B276" t="s">
        <v>21</v>
      </c>
      <c r="C276" t="s">
        <v>11</v>
      </c>
      <c r="D276" t="s">
        <v>37</v>
      </c>
      <c r="E276">
        <v>86</v>
      </c>
      <c r="F276">
        <v>91</v>
      </c>
      <c r="G276" s="1">
        <v>1200</v>
      </c>
      <c r="H276" s="1">
        <v>0</v>
      </c>
      <c r="I276" s="1">
        <v>0</v>
      </c>
      <c r="J276" s="1">
        <v>0</v>
      </c>
    </row>
    <row r="277" spans="1:10" x14ac:dyDescent="0.3">
      <c r="A277" t="s">
        <v>49</v>
      </c>
      <c r="B277" t="s">
        <v>22</v>
      </c>
      <c r="C277" t="s">
        <v>11</v>
      </c>
      <c r="D277" t="s">
        <v>37</v>
      </c>
      <c r="E277">
        <v>86</v>
      </c>
      <c r="F277">
        <v>91</v>
      </c>
      <c r="G277" s="1">
        <v>1200</v>
      </c>
      <c r="H277" s="1">
        <v>200</v>
      </c>
      <c r="I277" s="1">
        <v>400</v>
      </c>
      <c r="J277" s="1">
        <v>2000</v>
      </c>
    </row>
    <row r="278" spans="1:10" x14ac:dyDescent="0.3">
      <c r="A278" t="s">
        <v>49</v>
      </c>
      <c r="B278" t="s">
        <v>23</v>
      </c>
      <c r="C278" t="s">
        <v>11</v>
      </c>
      <c r="D278" t="s">
        <v>37</v>
      </c>
      <c r="E278">
        <v>86</v>
      </c>
      <c r="F278">
        <v>91</v>
      </c>
      <c r="G278" s="1">
        <v>1000</v>
      </c>
      <c r="H278" s="1">
        <v>0</v>
      </c>
      <c r="I278" s="1">
        <v>0</v>
      </c>
      <c r="J278" s="1">
        <v>0</v>
      </c>
    </row>
    <row r="279" spans="1:10" x14ac:dyDescent="0.3">
      <c r="A279" t="s">
        <v>49</v>
      </c>
      <c r="B279" t="s">
        <v>24</v>
      </c>
      <c r="C279" t="s">
        <v>11</v>
      </c>
      <c r="D279" t="s">
        <v>37</v>
      </c>
      <c r="E279">
        <v>86</v>
      </c>
      <c r="F279">
        <v>91</v>
      </c>
      <c r="G279" s="1">
        <v>1000</v>
      </c>
      <c r="H279" s="1">
        <v>0</v>
      </c>
      <c r="I279" s="1">
        <v>0</v>
      </c>
      <c r="J279" s="1">
        <v>0</v>
      </c>
    </row>
    <row r="280" spans="1:10" x14ac:dyDescent="0.3">
      <c r="A280" t="s">
        <v>49</v>
      </c>
      <c r="B280" t="s">
        <v>25</v>
      </c>
      <c r="C280" t="s">
        <v>11</v>
      </c>
      <c r="D280" t="s">
        <v>37</v>
      </c>
      <c r="E280">
        <v>86</v>
      </c>
      <c r="F280">
        <v>91</v>
      </c>
      <c r="G280" s="1">
        <v>1000</v>
      </c>
      <c r="H280" s="1">
        <v>0</v>
      </c>
      <c r="I280" s="1">
        <v>0</v>
      </c>
      <c r="J280" s="1">
        <v>0</v>
      </c>
    </row>
    <row r="281" spans="1:10" x14ac:dyDescent="0.3">
      <c r="A281" t="s">
        <v>49</v>
      </c>
      <c r="B281" t="s">
        <v>50</v>
      </c>
      <c r="C281" t="s">
        <v>11</v>
      </c>
      <c r="D281" t="s">
        <v>37</v>
      </c>
      <c r="E281">
        <v>86</v>
      </c>
      <c r="F281">
        <v>91</v>
      </c>
      <c r="G281" s="1">
        <v>1200</v>
      </c>
      <c r="H281" s="1">
        <v>400</v>
      </c>
      <c r="I281" s="1">
        <v>360</v>
      </c>
      <c r="J281" s="1">
        <v>900</v>
      </c>
    </row>
    <row r="282" spans="1:10" x14ac:dyDescent="0.3">
      <c r="A282" t="s">
        <v>49</v>
      </c>
      <c r="B282" t="s">
        <v>18</v>
      </c>
      <c r="C282" t="s">
        <v>11</v>
      </c>
      <c r="D282" t="s">
        <v>38</v>
      </c>
      <c r="E282">
        <v>86</v>
      </c>
      <c r="F282">
        <v>98</v>
      </c>
      <c r="G282" s="1">
        <v>1100</v>
      </c>
      <c r="H282" s="1">
        <v>0</v>
      </c>
      <c r="I282" s="1">
        <v>0</v>
      </c>
      <c r="J282" s="1">
        <v>0</v>
      </c>
    </row>
    <row r="283" spans="1:10" x14ac:dyDescent="0.3">
      <c r="A283" t="s">
        <v>49</v>
      </c>
      <c r="B283" t="s">
        <v>19</v>
      </c>
      <c r="C283" t="s">
        <v>11</v>
      </c>
      <c r="D283" t="s">
        <v>38</v>
      </c>
      <c r="E283">
        <v>86</v>
      </c>
      <c r="F283">
        <v>98</v>
      </c>
      <c r="G283" s="1">
        <v>1200</v>
      </c>
      <c r="H283" s="1">
        <v>0</v>
      </c>
      <c r="I283" s="1">
        <v>0</v>
      </c>
      <c r="J283" s="1">
        <v>0</v>
      </c>
    </row>
    <row r="284" spans="1:10" x14ac:dyDescent="0.3">
      <c r="A284" t="s">
        <v>49</v>
      </c>
      <c r="B284" t="s">
        <v>20</v>
      </c>
      <c r="C284" t="s">
        <v>11</v>
      </c>
      <c r="D284" t="s">
        <v>38</v>
      </c>
      <c r="E284">
        <v>86</v>
      </c>
      <c r="F284">
        <v>98</v>
      </c>
      <c r="G284" s="1">
        <v>1200</v>
      </c>
      <c r="H284" s="1">
        <v>230</v>
      </c>
      <c r="I284" s="1">
        <v>345</v>
      </c>
      <c r="J284" s="1">
        <v>1500</v>
      </c>
    </row>
    <row r="285" spans="1:10" x14ac:dyDescent="0.3">
      <c r="A285" t="s">
        <v>49</v>
      </c>
      <c r="B285" t="s">
        <v>21</v>
      </c>
      <c r="C285" t="s">
        <v>11</v>
      </c>
      <c r="D285" t="s">
        <v>38</v>
      </c>
      <c r="E285">
        <v>86</v>
      </c>
      <c r="F285">
        <v>98</v>
      </c>
      <c r="G285" s="1">
        <v>1200</v>
      </c>
      <c r="H285" s="1">
        <v>270</v>
      </c>
      <c r="I285" s="1">
        <v>135</v>
      </c>
      <c r="J285" s="1">
        <v>500</v>
      </c>
    </row>
    <row r="286" spans="1:10" x14ac:dyDescent="0.3">
      <c r="A286" t="s">
        <v>49</v>
      </c>
      <c r="B286" t="s">
        <v>22</v>
      </c>
      <c r="C286" t="s">
        <v>11</v>
      </c>
      <c r="D286" t="s">
        <v>38</v>
      </c>
      <c r="E286">
        <v>86</v>
      </c>
      <c r="F286">
        <v>98</v>
      </c>
      <c r="G286" s="1">
        <v>1700</v>
      </c>
      <c r="H286" s="1">
        <v>70</v>
      </c>
      <c r="I286" s="1">
        <v>70</v>
      </c>
      <c r="J286" s="1">
        <v>1000</v>
      </c>
    </row>
    <row r="287" spans="1:10" x14ac:dyDescent="0.3">
      <c r="A287" t="s">
        <v>49</v>
      </c>
      <c r="B287" t="s">
        <v>23</v>
      </c>
      <c r="C287" t="s">
        <v>11</v>
      </c>
      <c r="D287" t="s">
        <v>38</v>
      </c>
      <c r="E287">
        <v>86</v>
      </c>
      <c r="F287">
        <v>98</v>
      </c>
      <c r="G287" s="1">
        <v>1700</v>
      </c>
      <c r="H287" s="1">
        <v>0</v>
      </c>
      <c r="I287" s="1">
        <v>0</v>
      </c>
      <c r="J287" s="1">
        <v>0</v>
      </c>
    </row>
    <row r="288" spans="1:10" x14ac:dyDescent="0.3">
      <c r="A288" t="s">
        <v>49</v>
      </c>
      <c r="B288" t="s">
        <v>24</v>
      </c>
      <c r="C288" t="s">
        <v>11</v>
      </c>
      <c r="D288" t="s">
        <v>38</v>
      </c>
      <c r="E288">
        <v>86</v>
      </c>
      <c r="F288">
        <v>98</v>
      </c>
      <c r="G288" s="1">
        <v>1700</v>
      </c>
      <c r="H288" s="1">
        <v>250</v>
      </c>
      <c r="I288" s="1">
        <v>250</v>
      </c>
      <c r="J288" s="1">
        <v>1000</v>
      </c>
    </row>
    <row r="289" spans="1:10" x14ac:dyDescent="0.3">
      <c r="A289" t="s">
        <v>49</v>
      </c>
      <c r="B289" t="s">
        <v>25</v>
      </c>
      <c r="C289" t="s">
        <v>11</v>
      </c>
      <c r="D289" t="s">
        <v>38</v>
      </c>
      <c r="E289">
        <v>86</v>
      </c>
      <c r="F289">
        <v>98</v>
      </c>
      <c r="G289" s="1">
        <v>1650</v>
      </c>
      <c r="H289" s="1">
        <v>150</v>
      </c>
      <c r="I289" s="1">
        <v>105</v>
      </c>
      <c r="J289" s="1">
        <v>700</v>
      </c>
    </row>
    <row r="290" spans="1:10" x14ac:dyDescent="0.3">
      <c r="A290" t="s">
        <v>49</v>
      </c>
      <c r="B290" t="s">
        <v>50</v>
      </c>
      <c r="C290" t="s">
        <v>11</v>
      </c>
      <c r="D290" t="s">
        <v>38</v>
      </c>
      <c r="E290">
        <v>86</v>
      </c>
      <c r="F290">
        <v>98</v>
      </c>
      <c r="G290" s="1">
        <v>2850</v>
      </c>
      <c r="H290" s="1">
        <v>1530</v>
      </c>
      <c r="I290" s="1">
        <v>2601</v>
      </c>
      <c r="J290" s="1">
        <v>1700</v>
      </c>
    </row>
    <row r="291" spans="1:10" x14ac:dyDescent="0.3">
      <c r="A291" t="s">
        <v>49</v>
      </c>
      <c r="B291" t="s">
        <v>18</v>
      </c>
      <c r="C291" t="s">
        <v>11</v>
      </c>
      <c r="D291" t="s">
        <v>39</v>
      </c>
      <c r="E291">
        <v>86</v>
      </c>
      <c r="F291">
        <v>105</v>
      </c>
      <c r="G291" s="1">
        <v>200</v>
      </c>
      <c r="H291" s="1">
        <v>0</v>
      </c>
      <c r="I291" s="1">
        <v>0</v>
      </c>
      <c r="J291" s="1">
        <v>0</v>
      </c>
    </row>
    <row r="292" spans="1:10" x14ac:dyDescent="0.3">
      <c r="A292" t="s">
        <v>49</v>
      </c>
      <c r="B292" t="s">
        <v>19</v>
      </c>
      <c r="C292" t="s">
        <v>11</v>
      </c>
      <c r="D292" t="s">
        <v>39</v>
      </c>
      <c r="E292">
        <v>86</v>
      </c>
      <c r="F292">
        <v>105</v>
      </c>
      <c r="G292" s="1">
        <v>300</v>
      </c>
      <c r="H292" s="1">
        <v>0</v>
      </c>
      <c r="I292" s="1">
        <v>0</v>
      </c>
      <c r="J292" s="1">
        <v>0</v>
      </c>
    </row>
    <row r="293" spans="1:10" x14ac:dyDescent="0.3">
      <c r="A293" t="s">
        <v>49</v>
      </c>
      <c r="B293" t="s">
        <v>20</v>
      </c>
      <c r="C293" t="s">
        <v>11</v>
      </c>
      <c r="D293" t="s">
        <v>39</v>
      </c>
      <c r="E293">
        <v>86</v>
      </c>
      <c r="F293">
        <v>105</v>
      </c>
      <c r="G293" s="1">
        <v>500</v>
      </c>
      <c r="H293" s="1">
        <v>0</v>
      </c>
      <c r="I293" s="1">
        <v>0</v>
      </c>
      <c r="J293" s="1">
        <v>0</v>
      </c>
    </row>
    <row r="294" spans="1:10" x14ac:dyDescent="0.3">
      <c r="A294" t="s">
        <v>49</v>
      </c>
      <c r="B294" t="s">
        <v>21</v>
      </c>
      <c r="C294" t="s">
        <v>11</v>
      </c>
      <c r="D294" t="s">
        <v>39</v>
      </c>
      <c r="E294">
        <v>86</v>
      </c>
      <c r="F294">
        <v>105</v>
      </c>
      <c r="G294" s="1">
        <v>500</v>
      </c>
      <c r="H294" s="1">
        <v>0</v>
      </c>
      <c r="I294" s="1">
        <v>0</v>
      </c>
      <c r="J294" s="1">
        <v>0</v>
      </c>
    </row>
    <row r="295" spans="1:10" x14ac:dyDescent="0.3">
      <c r="A295" t="s">
        <v>49</v>
      </c>
      <c r="B295" t="s">
        <v>22</v>
      </c>
      <c r="C295" t="s">
        <v>11</v>
      </c>
      <c r="D295" t="s">
        <v>39</v>
      </c>
      <c r="E295">
        <v>86</v>
      </c>
      <c r="F295">
        <v>105</v>
      </c>
      <c r="G295" s="1">
        <v>500</v>
      </c>
      <c r="H295" s="1">
        <v>0</v>
      </c>
      <c r="I295" s="1">
        <v>0</v>
      </c>
      <c r="J295" s="1">
        <v>0</v>
      </c>
    </row>
    <row r="296" spans="1:10" x14ac:dyDescent="0.3">
      <c r="A296" t="s">
        <v>49</v>
      </c>
      <c r="B296" t="s">
        <v>23</v>
      </c>
      <c r="C296" t="s">
        <v>11</v>
      </c>
      <c r="D296" t="s">
        <v>39</v>
      </c>
      <c r="E296">
        <v>86</v>
      </c>
      <c r="F296">
        <v>105</v>
      </c>
      <c r="G296" s="1">
        <v>500</v>
      </c>
      <c r="H296" s="1">
        <v>0</v>
      </c>
      <c r="I296" s="1">
        <v>0</v>
      </c>
      <c r="J296" s="1">
        <v>0</v>
      </c>
    </row>
    <row r="297" spans="1:10" x14ac:dyDescent="0.3">
      <c r="A297" t="s">
        <v>49</v>
      </c>
      <c r="B297" t="s">
        <v>24</v>
      </c>
      <c r="C297" t="s">
        <v>11</v>
      </c>
      <c r="D297" t="s">
        <v>39</v>
      </c>
      <c r="E297">
        <v>86</v>
      </c>
      <c r="F297">
        <v>105</v>
      </c>
      <c r="G297" s="1">
        <v>500</v>
      </c>
      <c r="H297" s="1">
        <v>0</v>
      </c>
      <c r="I297" s="1">
        <v>0</v>
      </c>
      <c r="J297" s="1">
        <v>0</v>
      </c>
    </row>
    <row r="298" spans="1:10" x14ac:dyDescent="0.3">
      <c r="A298" t="s">
        <v>49</v>
      </c>
      <c r="B298" t="s">
        <v>25</v>
      </c>
      <c r="C298" t="s">
        <v>11</v>
      </c>
      <c r="D298" t="s">
        <v>39</v>
      </c>
      <c r="E298">
        <v>86</v>
      </c>
      <c r="F298">
        <v>105</v>
      </c>
      <c r="G298" s="1">
        <v>500</v>
      </c>
      <c r="H298" s="1">
        <v>0</v>
      </c>
      <c r="I298" s="1">
        <v>0</v>
      </c>
      <c r="J298" s="1">
        <v>0</v>
      </c>
    </row>
    <row r="299" spans="1:10" x14ac:dyDescent="0.3">
      <c r="A299" t="s">
        <v>49</v>
      </c>
      <c r="B299" t="s">
        <v>50</v>
      </c>
      <c r="C299" t="s">
        <v>11</v>
      </c>
      <c r="D299" t="s">
        <v>39</v>
      </c>
      <c r="E299">
        <v>86</v>
      </c>
      <c r="F299">
        <v>105</v>
      </c>
      <c r="G299" s="1">
        <v>500</v>
      </c>
      <c r="H299" s="1">
        <v>60</v>
      </c>
      <c r="I299" s="1">
        <v>54</v>
      </c>
      <c r="J299" s="1">
        <v>900</v>
      </c>
    </row>
    <row r="300" spans="1:10" x14ac:dyDescent="0.3">
      <c r="A300" t="s">
        <v>49</v>
      </c>
      <c r="B300" t="s">
        <v>21</v>
      </c>
      <c r="C300" t="s">
        <v>11</v>
      </c>
      <c r="D300" t="s">
        <v>40</v>
      </c>
      <c r="E300">
        <v>86</v>
      </c>
      <c r="F300">
        <v>112</v>
      </c>
      <c r="G300" s="1">
        <v>500</v>
      </c>
      <c r="H300" s="1">
        <v>0</v>
      </c>
      <c r="I300" s="1">
        <v>0</v>
      </c>
      <c r="J300" s="1">
        <v>0</v>
      </c>
    </row>
    <row r="301" spans="1:10" x14ac:dyDescent="0.3">
      <c r="A301" t="s">
        <v>49</v>
      </c>
      <c r="B301" t="s">
        <v>22</v>
      </c>
      <c r="C301" t="s">
        <v>11</v>
      </c>
      <c r="D301" t="s">
        <v>40</v>
      </c>
      <c r="E301">
        <v>86</v>
      </c>
      <c r="F301">
        <v>112</v>
      </c>
      <c r="G301" s="1">
        <v>500</v>
      </c>
      <c r="H301" s="1">
        <v>0</v>
      </c>
      <c r="I301" s="1">
        <v>0</v>
      </c>
      <c r="J301" s="1">
        <v>0</v>
      </c>
    </row>
    <row r="302" spans="1:10" x14ac:dyDescent="0.3">
      <c r="A302" t="s">
        <v>49</v>
      </c>
      <c r="B302" t="s">
        <v>23</v>
      </c>
      <c r="C302" t="s">
        <v>11</v>
      </c>
      <c r="D302" t="s">
        <v>40</v>
      </c>
      <c r="E302">
        <v>86</v>
      </c>
      <c r="F302">
        <v>112</v>
      </c>
      <c r="G302" s="1">
        <v>500</v>
      </c>
      <c r="H302" s="1">
        <v>0</v>
      </c>
      <c r="I302" s="1">
        <v>0</v>
      </c>
      <c r="J302" s="1">
        <v>0</v>
      </c>
    </row>
    <row r="303" spans="1:10" x14ac:dyDescent="0.3">
      <c r="A303" t="s">
        <v>49</v>
      </c>
      <c r="B303" t="s">
        <v>18</v>
      </c>
      <c r="C303" t="s">
        <v>11</v>
      </c>
      <c r="D303" t="s">
        <v>41</v>
      </c>
      <c r="E303">
        <v>86</v>
      </c>
      <c r="F303">
        <v>119</v>
      </c>
      <c r="G303" s="1">
        <v>2700</v>
      </c>
      <c r="H303" s="1">
        <v>0</v>
      </c>
      <c r="I303" s="1">
        <v>0</v>
      </c>
      <c r="J303" s="1">
        <v>0</v>
      </c>
    </row>
    <row r="304" spans="1:10" x14ac:dyDescent="0.3">
      <c r="A304" t="s">
        <v>49</v>
      </c>
      <c r="B304" t="s">
        <v>19</v>
      </c>
      <c r="C304" t="s">
        <v>11</v>
      </c>
      <c r="D304" t="s">
        <v>41</v>
      </c>
      <c r="E304">
        <v>86</v>
      </c>
      <c r="F304">
        <v>119</v>
      </c>
      <c r="G304" s="1">
        <v>2000</v>
      </c>
      <c r="H304" s="1">
        <v>0</v>
      </c>
      <c r="I304" s="1">
        <v>0</v>
      </c>
      <c r="J304" s="1">
        <v>0</v>
      </c>
    </row>
    <row r="305" spans="1:10" x14ac:dyDescent="0.3">
      <c r="A305" t="s">
        <v>49</v>
      </c>
      <c r="B305" t="s">
        <v>20</v>
      </c>
      <c r="C305" t="s">
        <v>11</v>
      </c>
      <c r="D305" t="s">
        <v>41</v>
      </c>
      <c r="E305">
        <v>86</v>
      </c>
      <c r="F305">
        <v>119</v>
      </c>
      <c r="G305" s="1">
        <v>1800</v>
      </c>
      <c r="H305" s="1">
        <v>360</v>
      </c>
      <c r="I305" s="1">
        <v>540</v>
      </c>
      <c r="J305" s="1">
        <v>1500</v>
      </c>
    </row>
    <row r="306" spans="1:10" x14ac:dyDescent="0.3">
      <c r="A306" t="s">
        <v>49</v>
      </c>
      <c r="B306" t="s">
        <v>21</v>
      </c>
      <c r="C306" t="s">
        <v>11</v>
      </c>
      <c r="D306" t="s">
        <v>41</v>
      </c>
      <c r="E306">
        <v>86</v>
      </c>
      <c r="F306">
        <v>119</v>
      </c>
      <c r="G306" s="1">
        <v>1700</v>
      </c>
      <c r="H306" s="1">
        <v>180</v>
      </c>
      <c r="I306" s="1">
        <v>0</v>
      </c>
      <c r="J306" s="1">
        <v>0</v>
      </c>
    </row>
    <row r="307" spans="1:10" x14ac:dyDescent="0.3">
      <c r="A307" t="s">
        <v>49</v>
      </c>
      <c r="B307" t="s">
        <v>22</v>
      </c>
      <c r="C307" t="s">
        <v>11</v>
      </c>
      <c r="D307" t="s">
        <v>41</v>
      </c>
      <c r="E307">
        <v>86</v>
      </c>
      <c r="F307">
        <v>119</v>
      </c>
      <c r="G307" s="1">
        <v>2380</v>
      </c>
      <c r="H307" s="1">
        <v>440</v>
      </c>
      <c r="I307" s="1">
        <v>440</v>
      </c>
      <c r="J307" s="1">
        <v>1000</v>
      </c>
    </row>
    <row r="308" spans="1:10" x14ac:dyDescent="0.3">
      <c r="A308" t="s">
        <v>49</v>
      </c>
      <c r="B308" t="s">
        <v>23</v>
      </c>
      <c r="C308" t="s">
        <v>11</v>
      </c>
      <c r="D308" t="s">
        <v>41</v>
      </c>
      <c r="E308">
        <v>86</v>
      </c>
      <c r="F308">
        <v>119</v>
      </c>
      <c r="G308" s="1">
        <v>2380</v>
      </c>
      <c r="H308" s="1">
        <v>0</v>
      </c>
      <c r="I308" s="1">
        <v>0</v>
      </c>
      <c r="J308" s="1">
        <v>0</v>
      </c>
    </row>
    <row r="309" spans="1:10" x14ac:dyDescent="0.3">
      <c r="A309" t="s">
        <v>49</v>
      </c>
      <c r="B309" t="s">
        <v>24</v>
      </c>
      <c r="C309" t="s">
        <v>11</v>
      </c>
      <c r="D309" t="s">
        <v>41</v>
      </c>
      <c r="E309">
        <v>86</v>
      </c>
      <c r="F309">
        <v>119</v>
      </c>
      <c r="G309" s="1">
        <v>2380</v>
      </c>
      <c r="H309" s="1">
        <v>410</v>
      </c>
      <c r="I309" s="1">
        <v>410</v>
      </c>
      <c r="J309" s="1">
        <v>1000</v>
      </c>
    </row>
    <row r="310" spans="1:10" x14ac:dyDescent="0.3">
      <c r="A310" t="s">
        <v>49</v>
      </c>
      <c r="B310" t="s">
        <v>25</v>
      </c>
      <c r="C310" t="s">
        <v>11</v>
      </c>
      <c r="D310" t="s">
        <v>41</v>
      </c>
      <c r="E310">
        <v>86</v>
      </c>
      <c r="F310">
        <v>119</v>
      </c>
      <c r="G310" s="1">
        <v>2320</v>
      </c>
      <c r="H310" s="1">
        <v>70</v>
      </c>
      <c r="I310" s="1">
        <v>49</v>
      </c>
      <c r="J310" s="1">
        <v>700</v>
      </c>
    </row>
    <row r="311" spans="1:10" x14ac:dyDescent="0.3">
      <c r="A311" t="s">
        <v>49</v>
      </c>
      <c r="B311" t="s">
        <v>50</v>
      </c>
      <c r="C311" t="s">
        <v>11</v>
      </c>
      <c r="D311" t="s">
        <v>41</v>
      </c>
      <c r="E311">
        <v>86</v>
      </c>
      <c r="F311">
        <v>119</v>
      </c>
      <c r="G311" s="1">
        <v>2811</v>
      </c>
      <c r="H311" s="1">
        <v>981</v>
      </c>
      <c r="I311" s="1">
        <v>1962</v>
      </c>
      <c r="J311" s="1">
        <v>2000</v>
      </c>
    </row>
    <row r="312" spans="1:10" x14ac:dyDescent="0.3">
      <c r="A312" t="s">
        <v>49</v>
      </c>
      <c r="B312" t="s">
        <v>15</v>
      </c>
      <c r="C312" t="s">
        <v>11</v>
      </c>
      <c r="D312" t="s">
        <v>43</v>
      </c>
      <c r="E312">
        <v>86</v>
      </c>
      <c r="F312">
        <v>133</v>
      </c>
      <c r="G312" s="1">
        <v>1500</v>
      </c>
      <c r="H312" s="1">
        <v>0</v>
      </c>
      <c r="I312" s="1">
        <v>0</v>
      </c>
      <c r="J312" s="1">
        <v>0</v>
      </c>
    </row>
    <row r="313" spans="1:10" x14ac:dyDescent="0.3">
      <c r="A313" t="s">
        <v>49</v>
      </c>
      <c r="B313" t="s">
        <v>16</v>
      </c>
      <c r="C313" t="s">
        <v>11</v>
      </c>
      <c r="D313" t="s">
        <v>43</v>
      </c>
      <c r="E313">
        <v>86</v>
      </c>
      <c r="F313">
        <v>133</v>
      </c>
      <c r="G313" s="1">
        <v>1000</v>
      </c>
      <c r="H313" s="1">
        <v>0</v>
      </c>
      <c r="I313" s="1">
        <v>0</v>
      </c>
      <c r="J313" s="1">
        <v>0</v>
      </c>
    </row>
    <row r="314" spans="1:10" x14ac:dyDescent="0.3">
      <c r="A314" t="s">
        <v>49</v>
      </c>
      <c r="B314" t="s">
        <v>18</v>
      </c>
      <c r="C314" t="s">
        <v>11</v>
      </c>
      <c r="D314" t="s">
        <v>43</v>
      </c>
      <c r="E314">
        <v>86</v>
      </c>
      <c r="F314">
        <v>133</v>
      </c>
      <c r="G314" s="1">
        <v>500</v>
      </c>
      <c r="H314" s="1">
        <v>0</v>
      </c>
      <c r="I314" s="1">
        <v>0</v>
      </c>
      <c r="J314" s="1">
        <v>0</v>
      </c>
    </row>
    <row r="315" spans="1:10" x14ac:dyDescent="0.3">
      <c r="A315" t="s">
        <v>49</v>
      </c>
      <c r="B315" t="s">
        <v>19</v>
      </c>
      <c r="C315" t="s">
        <v>11</v>
      </c>
      <c r="D315" t="s">
        <v>43</v>
      </c>
      <c r="E315">
        <v>86</v>
      </c>
      <c r="F315">
        <v>133</v>
      </c>
      <c r="G315" s="1">
        <v>500</v>
      </c>
      <c r="H315" s="1">
        <v>0</v>
      </c>
      <c r="I315" s="1">
        <v>0</v>
      </c>
      <c r="J315" s="1">
        <v>0</v>
      </c>
    </row>
    <row r="316" spans="1:10" x14ac:dyDescent="0.3">
      <c r="A316" t="s">
        <v>49</v>
      </c>
      <c r="B316" t="s">
        <v>20</v>
      </c>
      <c r="C316" t="s">
        <v>11</v>
      </c>
      <c r="D316" t="s">
        <v>43</v>
      </c>
      <c r="E316">
        <v>86</v>
      </c>
      <c r="F316">
        <v>133</v>
      </c>
      <c r="G316" s="1">
        <v>600</v>
      </c>
      <c r="H316" s="1">
        <v>0</v>
      </c>
      <c r="I316" s="1">
        <v>0</v>
      </c>
      <c r="J316" s="1">
        <v>0</v>
      </c>
    </row>
    <row r="317" spans="1:10" x14ac:dyDescent="0.3">
      <c r="A317" t="s">
        <v>49</v>
      </c>
      <c r="B317" t="s">
        <v>21</v>
      </c>
      <c r="C317" t="s">
        <v>11</v>
      </c>
      <c r="D317" t="s">
        <v>43</v>
      </c>
      <c r="E317">
        <v>86</v>
      </c>
      <c r="F317">
        <v>133</v>
      </c>
      <c r="G317" s="1">
        <v>1500</v>
      </c>
      <c r="H317" s="1">
        <v>0</v>
      </c>
      <c r="I317" s="1">
        <v>0</v>
      </c>
      <c r="J317" s="1">
        <v>0</v>
      </c>
    </row>
    <row r="318" spans="1:10" x14ac:dyDescent="0.3">
      <c r="A318" t="s">
        <v>49</v>
      </c>
      <c r="B318" t="s">
        <v>22</v>
      </c>
      <c r="C318" t="s">
        <v>11</v>
      </c>
      <c r="D318" t="s">
        <v>43</v>
      </c>
      <c r="E318">
        <v>86</v>
      </c>
      <c r="F318">
        <v>133</v>
      </c>
      <c r="G318" s="1">
        <v>1500</v>
      </c>
      <c r="H318" s="1">
        <v>300</v>
      </c>
      <c r="I318" s="1">
        <v>600</v>
      </c>
      <c r="J318" s="1">
        <v>2000</v>
      </c>
    </row>
    <row r="319" spans="1:10" x14ac:dyDescent="0.3">
      <c r="A319" t="s">
        <v>49</v>
      </c>
      <c r="B319" t="s">
        <v>23</v>
      </c>
      <c r="C319" t="s">
        <v>11</v>
      </c>
      <c r="D319" t="s">
        <v>43</v>
      </c>
      <c r="E319">
        <v>86</v>
      </c>
      <c r="F319">
        <v>133</v>
      </c>
      <c r="G319" s="1">
        <v>1500</v>
      </c>
      <c r="H319" s="1">
        <v>300</v>
      </c>
      <c r="I319" s="1">
        <v>450</v>
      </c>
      <c r="J319" s="1">
        <v>1500</v>
      </c>
    </row>
    <row r="320" spans="1:10" x14ac:dyDescent="0.3">
      <c r="A320" t="s">
        <v>49</v>
      </c>
      <c r="B320" t="s">
        <v>24</v>
      </c>
      <c r="C320" t="s">
        <v>11</v>
      </c>
      <c r="D320" t="s">
        <v>43</v>
      </c>
      <c r="E320">
        <v>86</v>
      </c>
      <c r="F320">
        <v>133</v>
      </c>
      <c r="G320" s="1">
        <v>1500</v>
      </c>
      <c r="H320" s="1">
        <v>300</v>
      </c>
      <c r="I320" s="1">
        <v>450</v>
      </c>
      <c r="J320" s="1">
        <v>1500</v>
      </c>
    </row>
    <row r="321" spans="1:10" x14ac:dyDescent="0.3">
      <c r="A321" t="s">
        <v>49</v>
      </c>
      <c r="B321" t="s">
        <v>25</v>
      </c>
      <c r="C321" t="s">
        <v>11</v>
      </c>
      <c r="D321" t="s">
        <v>43</v>
      </c>
      <c r="E321">
        <v>86</v>
      </c>
      <c r="F321">
        <v>133</v>
      </c>
      <c r="G321" s="1">
        <v>1500</v>
      </c>
      <c r="H321" s="1">
        <v>300</v>
      </c>
      <c r="I321" s="1">
        <v>270</v>
      </c>
      <c r="J321" s="1">
        <v>900</v>
      </c>
    </row>
    <row r="322" spans="1:10" x14ac:dyDescent="0.3">
      <c r="A322" t="s">
        <v>49</v>
      </c>
      <c r="B322" t="s">
        <v>50</v>
      </c>
      <c r="C322" t="s">
        <v>11</v>
      </c>
      <c r="D322" t="s">
        <v>43</v>
      </c>
      <c r="E322">
        <v>86</v>
      </c>
      <c r="F322">
        <v>133</v>
      </c>
      <c r="G322" s="1">
        <v>1500</v>
      </c>
      <c r="H322" s="1">
        <v>120</v>
      </c>
      <c r="I322" s="1">
        <v>108</v>
      </c>
      <c r="J322" s="1">
        <v>900</v>
      </c>
    </row>
    <row r="323" spans="1:10" x14ac:dyDescent="0.3">
      <c r="A323" t="s">
        <v>49</v>
      </c>
      <c r="B323" t="s">
        <v>22</v>
      </c>
      <c r="C323" t="s">
        <v>11</v>
      </c>
      <c r="D323" t="s">
        <v>44</v>
      </c>
      <c r="E323">
        <v>86</v>
      </c>
      <c r="F323">
        <v>147</v>
      </c>
      <c r="G323" s="1">
        <v>500</v>
      </c>
      <c r="H323" s="1">
        <v>200</v>
      </c>
      <c r="I323" s="1">
        <v>360</v>
      </c>
      <c r="J323" s="1">
        <v>1800</v>
      </c>
    </row>
    <row r="324" spans="1:10" x14ac:dyDescent="0.3">
      <c r="A324" t="s">
        <v>49</v>
      </c>
      <c r="B324" t="s">
        <v>23</v>
      </c>
      <c r="C324" t="s">
        <v>11</v>
      </c>
      <c r="D324" t="s">
        <v>44</v>
      </c>
      <c r="E324">
        <v>86</v>
      </c>
      <c r="F324">
        <v>147</v>
      </c>
      <c r="G324" s="1">
        <v>500</v>
      </c>
      <c r="H324" s="1">
        <v>0</v>
      </c>
      <c r="I324" s="1">
        <v>0</v>
      </c>
      <c r="J324" s="1">
        <v>0</v>
      </c>
    </row>
    <row r="325" spans="1:10" x14ac:dyDescent="0.3">
      <c r="A325" t="s">
        <v>49</v>
      </c>
      <c r="B325" t="s">
        <v>24</v>
      </c>
      <c r="C325" t="s">
        <v>11</v>
      </c>
      <c r="D325" t="s">
        <v>44</v>
      </c>
      <c r="E325">
        <v>86</v>
      </c>
      <c r="F325">
        <v>147</v>
      </c>
      <c r="G325" s="1">
        <v>500</v>
      </c>
      <c r="H325" s="1">
        <v>0</v>
      </c>
      <c r="I325" s="1">
        <v>0</v>
      </c>
      <c r="J325" s="1">
        <v>0</v>
      </c>
    </row>
    <row r="326" spans="1:10" x14ac:dyDescent="0.3">
      <c r="A326" t="s">
        <v>49</v>
      </c>
      <c r="B326" t="s">
        <v>25</v>
      </c>
      <c r="C326" t="s">
        <v>11</v>
      </c>
      <c r="D326" t="s">
        <v>44</v>
      </c>
      <c r="E326">
        <v>86</v>
      </c>
      <c r="F326">
        <v>147</v>
      </c>
      <c r="G326" s="1">
        <v>500</v>
      </c>
      <c r="H326" s="1">
        <v>500</v>
      </c>
      <c r="I326" s="1">
        <v>400</v>
      </c>
      <c r="J326" s="1">
        <v>800</v>
      </c>
    </row>
    <row r="327" spans="1:10" x14ac:dyDescent="0.3">
      <c r="A327" t="s">
        <v>49</v>
      </c>
      <c r="B327" t="s">
        <v>50</v>
      </c>
      <c r="C327" t="s">
        <v>11</v>
      </c>
      <c r="D327" t="s">
        <v>44</v>
      </c>
      <c r="E327">
        <v>86</v>
      </c>
      <c r="F327">
        <v>147</v>
      </c>
      <c r="G327" s="1">
        <v>500</v>
      </c>
      <c r="H327" s="1">
        <v>60</v>
      </c>
      <c r="I327" s="1">
        <v>54</v>
      </c>
      <c r="J327" s="1">
        <v>900</v>
      </c>
    </row>
    <row r="328" spans="1:10" x14ac:dyDescent="0.3">
      <c r="A328" t="s">
        <v>49</v>
      </c>
      <c r="B328" t="s">
        <v>15</v>
      </c>
      <c r="C328" t="s">
        <v>11</v>
      </c>
      <c r="D328" t="s">
        <v>51</v>
      </c>
      <c r="E328">
        <v>86</v>
      </c>
      <c r="F328">
        <v>154</v>
      </c>
      <c r="G328" s="1">
        <v>1000</v>
      </c>
      <c r="H328" s="1">
        <v>0</v>
      </c>
      <c r="I328" s="1">
        <v>0</v>
      </c>
      <c r="J328" s="1">
        <v>0</v>
      </c>
    </row>
    <row r="329" spans="1:10" x14ac:dyDescent="0.3">
      <c r="A329" t="s">
        <v>49</v>
      </c>
      <c r="B329" t="s">
        <v>20</v>
      </c>
      <c r="C329" t="s">
        <v>11</v>
      </c>
      <c r="D329" t="s">
        <v>51</v>
      </c>
      <c r="E329">
        <v>86</v>
      </c>
      <c r="F329">
        <v>154</v>
      </c>
      <c r="G329" s="1">
        <v>400</v>
      </c>
      <c r="H329" s="1">
        <v>0</v>
      </c>
      <c r="I329" s="1">
        <v>0</v>
      </c>
      <c r="J329" s="1">
        <v>0</v>
      </c>
    </row>
    <row r="330" spans="1:10" x14ac:dyDescent="0.3">
      <c r="A330" t="s">
        <v>49</v>
      </c>
      <c r="B330" t="s">
        <v>21</v>
      </c>
      <c r="C330" t="s">
        <v>11</v>
      </c>
      <c r="D330" t="s">
        <v>51</v>
      </c>
      <c r="E330">
        <v>86</v>
      </c>
      <c r="F330">
        <v>154</v>
      </c>
      <c r="G330" s="1">
        <v>350</v>
      </c>
      <c r="H330" s="1">
        <v>50</v>
      </c>
      <c r="I330" s="1">
        <v>25</v>
      </c>
      <c r="J330" s="1">
        <v>500</v>
      </c>
    </row>
    <row r="331" spans="1:10" x14ac:dyDescent="0.3">
      <c r="A331" t="s">
        <v>49</v>
      </c>
      <c r="B331" t="s">
        <v>22</v>
      </c>
      <c r="C331" t="s">
        <v>11</v>
      </c>
      <c r="D331" t="s">
        <v>51</v>
      </c>
      <c r="E331">
        <v>86</v>
      </c>
      <c r="F331">
        <v>154</v>
      </c>
      <c r="G331" s="1">
        <v>720</v>
      </c>
      <c r="H331" s="1">
        <v>110</v>
      </c>
      <c r="I331" s="1">
        <v>110</v>
      </c>
      <c r="J331" s="1">
        <v>1000</v>
      </c>
    </row>
    <row r="332" spans="1:10" x14ac:dyDescent="0.3">
      <c r="A332" t="s">
        <v>49</v>
      </c>
      <c r="B332" t="s">
        <v>23</v>
      </c>
      <c r="C332" t="s">
        <v>11</v>
      </c>
      <c r="D332" t="s">
        <v>51</v>
      </c>
      <c r="E332">
        <v>86</v>
      </c>
      <c r="F332">
        <v>154</v>
      </c>
      <c r="G332" s="1">
        <v>420</v>
      </c>
      <c r="H332" s="1">
        <v>0</v>
      </c>
      <c r="I332" s="1">
        <v>0</v>
      </c>
      <c r="J332" s="1">
        <v>0</v>
      </c>
    </row>
    <row r="333" spans="1:10" x14ac:dyDescent="0.3">
      <c r="A333" t="s">
        <v>49</v>
      </c>
      <c r="B333" t="s">
        <v>24</v>
      </c>
      <c r="C333" t="s">
        <v>11</v>
      </c>
      <c r="D333" t="s">
        <v>51</v>
      </c>
      <c r="E333">
        <v>86</v>
      </c>
      <c r="F333">
        <v>154</v>
      </c>
      <c r="G333" s="1">
        <v>420</v>
      </c>
      <c r="H333" s="1">
        <v>160</v>
      </c>
      <c r="I333" s="1">
        <v>160</v>
      </c>
      <c r="J333" s="1">
        <v>1000</v>
      </c>
    </row>
    <row r="334" spans="1:10" x14ac:dyDescent="0.3">
      <c r="A334" t="s">
        <v>49</v>
      </c>
      <c r="B334" t="s">
        <v>25</v>
      </c>
      <c r="C334" t="s">
        <v>11</v>
      </c>
      <c r="D334" t="s">
        <v>51</v>
      </c>
      <c r="E334">
        <v>86</v>
      </c>
      <c r="F334">
        <v>154</v>
      </c>
      <c r="G334" s="1">
        <v>410</v>
      </c>
      <c r="H334" s="1">
        <v>40</v>
      </c>
      <c r="I334" s="1">
        <v>28</v>
      </c>
      <c r="J334" s="1">
        <v>700</v>
      </c>
    </row>
    <row r="335" spans="1:10" x14ac:dyDescent="0.3">
      <c r="A335" t="s">
        <v>49</v>
      </c>
      <c r="B335" t="s">
        <v>50</v>
      </c>
      <c r="C335" t="s">
        <v>11</v>
      </c>
      <c r="D335" t="s">
        <v>51</v>
      </c>
      <c r="E335">
        <v>86</v>
      </c>
      <c r="F335">
        <v>154</v>
      </c>
      <c r="G335" s="1">
        <v>710</v>
      </c>
      <c r="H335" s="1">
        <v>390</v>
      </c>
      <c r="I335" s="1">
        <v>702</v>
      </c>
      <c r="J335" s="1">
        <v>1800</v>
      </c>
    </row>
    <row r="336" spans="1:10" x14ac:dyDescent="0.3">
      <c r="A336" t="s">
        <v>49</v>
      </c>
      <c r="B336" t="s">
        <v>15</v>
      </c>
      <c r="C336" t="s">
        <v>11</v>
      </c>
      <c r="D336" t="s">
        <v>45</v>
      </c>
      <c r="E336">
        <v>86</v>
      </c>
      <c r="F336">
        <v>161</v>
      </c>
      <c r="G336" s="1">
        <v>1000</v>
      </c>
      <c r="H336" s="1">
        <v>0</v>
      </c>
      <c r="I336" s="1">
        <v>0</v>
      </c>
      <c r="J336" s="1">
        <v>0</v>
      </c>
    </row>
    <row r="337" spans="1:10" x14ac:dyDescent="0.3">
      <c r="A337" t="s">
        <v>49</v>
      </c>
      <c r="B337" t="s">
        <v>16</v>
      </c>
      <c r="C337" t="s">
        <v>11</v>
      </c>
      <c r="D337" t="s">
        <v>45</v>
      </c>
      <c r="E337">
        <v>86</v>
      </c>
      <c r="F337">
        <v>161</v>
      </c>
      <c r="G337" s="1">
        <v>800</v>
      </c>
      <c r="H337" s="1">
        <v>0</v>
      </c>
      <c r="I337" s="1">
        <v>0</v>
      </c>
      <c r="J337" s="1">
        <v>0</v>
      </c>
    </row>
    <row r="338" spans="1:10" x14ac:dyDescent="0.3">
      <c r="A338" t="s">
        <v>49</v>
      </c>
      <c r="B338" t="s">
        <v>18</v>
      </c>
      <c r="C338" t="s">
        <v>11</v>
      </c>
      <c r="D338" t="s">
        <v>45</v>
      </c>
      <c r="E338">
        <v>86</v>
      </c>
      <c r="F338">
        <v>161</v>
      </c>
      <c r="G338" s="1">
        <v>500</v>
      </c>
      <c r="H338" s="1">
        <v>0</v>
      </c>
      <c r="I338" s="1">
        <v>0</v>
      </c>
      <c r="J338" s="1">
        <v>0</v>
      </c>
    </row>
    <row r="339" spans="1:10" x14ac:dyDescent="0.3">
      <c r="A339" t="s">
        <v>49</v>
      </c>
      <c r="B339" t="s">
        <v>19</v>
      </c>
      <c r="C339" t="s">
        <v>11</v>
      </c>
      <c r="D339" t="s">
        <v>45</v>
      </c>
      <c r="E339">
        <v>86</v>
      </c>
      <c r="F339">
        <v>161</v>
      </c>
      <c r="G339" s="1">
        <v>500</v>
      </c>
      <c r="H339" s="1">
        <v>0</v>
      </c>
      <c r="I339" s="1">
        <v>0</v>
      </c>
      <c r="J339" s="1">
        <v>0</v>
      </c>
    </row>
    <row r="340" spans="1:10" x14ac:dyDescent="0.3">
      <c r="A340" t="s">
        <v>49</v>
      </c>
      <c r="B340" t="s">
        <v>20</v>
      </c>
      <c r="C340" t="s">
        <v>11</v>
      </c>
      <c r="D340" t="s">
        <v>45</v>
      </c>
      <c r="E340">
        <v>86</v>
      </c>
      <c r="F340">
        <v>161</v>
      </c>
      <c r="G340" s="1">
        <v>500</v>
      </c>
      <c r="H340" s="1">
        <v>0</v>
      </c>
      <c r="I340" s="1">
        <v>0</v>
      </c>
      <c r="J340" s="1">
        <v>0</v>
      </c>
    </row>
    <row r="341" spans="1:10" x14ac:dyDescent="0.3">
      <c r="A341" t="s">
        <v>49</v>
      </c>
      <c r="B341" t="s">
        <v>21</v>
      </c>
      <c r="C341" t="s">
        <v>11</v>
      </c>
      <c r="D341" t="s">
        <v>45</v>
      </c>
      <c r="E341">
        <v>86</v>
      </c>
      <c r="F341">
        <v>161</v>
      </c>
      <c r="G341" s="1">
        <v>500</v>
      </c>
      <c r="H341" s="1">
        <v>0</v>
      </c>
      <c r="I341" s="1">
        <v>0</v>
      </c>
      <c r="J341" s="1">
        <v>0</v>
      </c>
    </row>
    <row r="342" spans="1:10" x14ac:dyDescent="0.3">
      <c r="A342" t="s">
        <v>49</v>
      </c>
      <c r="B342" t="s">
        <v>22</v>
      </c>
      <c r="C342" t="s">
        <v>11</v>
      </c>
      <c r="D342" t="s">
        <v>45</v>
      </c>
      <c r="E342">
        <v>86</v>
      </c>
      <c r="F342">
        <v>161</v>
      </c>
      <c r="G342" s="1">
        <v>500</v>
      </c>
      <c r="H342" s="1">
        <v>0</v>
      </c>
      <c r="I342" s="1">
        <v>0</v>
      </c>
      <c r="J342" s="1">
        <v>0</v>
      </c>
    </row>
    <row r="343" spans="1:10" x14ac:dyDescent="0.3">
      <c r="A343" t="s">
        <v>49</v>
      </c>
      <c r="B343" t="s">
        <v>23</v>
      </c>
      <c r="C343" t="s">
        <v>11</v>
      </c>
      <c r="D343" t="s">
        <v>45</v>
      </c>
      <c r="E343">
        <v>86</v>
      </c>
      <c r="F343">
        <v>161</v>
      </c>
      <c r="G343" s="1">
        <v>500</v>
      </c>
      <c r="H343" s="1">
        <v>0</v>
      </c>
      <c r="I343" s="1">
        <v>0</v>
      </c>
      <c r="J343" s="1">
        <v>0</v>
      </c>
    </row>
    <row r="344" spans="1:10" x14ac:dyDescent="0.3">
      <c r="A344" t="s">
        <v>49</v>
      </c>
      <c r="B344" t="s">
        <v>24</v>
      </c>
      <c r="C344" t="s">
        <v>11</v>
      </c>
      <c r="D344" t="s">
        <v>45</v>
      </c>
      <c r="E344">
        <v>86</v>
      </c>
      <c r="F344">
        <v>161</v>
      </c>
      <c r="G344" s="1">
        <v>500</v>
      </c>
      <c r="H344" s="1">
        <v>0</v>
      </c>
      <c r="I344" s="1">
        <v>0</v>
      </c>
      <c r="J344" s="1">
        <v>0</v>
      </c>
    </row>
    <row r="345" spans="1:10" x14ac:dyDescent="0.3">
      <c r="A345" t="s">
        <v>49</v>
      </c>
      <c r="B345" t="s">
        <v>25</v>
      </c>
      <c r="C345" t="s">
        <v>11</v>
      </c>
      <c r="D345" t="s">
        <v>45</v>
      </c>
      <c r="E345">
        <v>86</v>
      </c>
      <c r="F345">
        <v>161</v>
      </c>
      <c r="G345" s="1">
        <v>500</v>
      </c>
      <c r="H345" s="1">
        <v>0</v>
      </c>
      <c r="I345" s="1">
        <v>0</v>
      </c>
      <c r="J345" s="1">
        <v>0</v>
      </c>
    </row>
    <row r="346" spans="1:10" x14ac:dyDescent="0.3">
      <c r="A346" t="s">
        <v>49</v>
      </c>
      <c r="B346" t="s">
        <v>50</v>
      </c>
      <c r="C346" t="s">
        <v>11</v>
      </c>
      <c r="D346" t="s">
        <v>45</v>
      </c>
      <c r="E346">
        <v>86</v>
      </c>
      <c r="F346">
        <v>161</v>
      </c>
      <c r="G346" s="1">
        <v>500</v>
      </c>
      <c r="H346" s="1">
        <v>30</v>
      </c>
      <c r="I346" s="1">
        <v>30</v>
      </c>
      <c r="J346" s="1">
        <v>1000</v>
      </c>
    </row>
    <row r="347" spans="1:10" x14ac:dyDescent="0.3">
      <c r="A347" t="s">
        <v>49</v>
      </c>
      <c r="B347" t="s">
        <v>15</v>
      </c>
      <c r="C347" t="s">
        <v>11</v>
      </c>
      <c r="D347" t="s">
        <v>46</v>
      </c>
      <c r="E347">
        <v>86</v>
      </c>
      <c r="F347">
        <v>175</v>
      </c>
      <c r="G347" s="1">
        <v>500</v>
      </c>
      <c r="H347" s="1">
        <v>0</v>
      </c>
      <c r="I347" s="1">
        <v>0</v>
      </c>
      <c r="J347" s="1">
        <v>0</v>
      </c>
    </row>
    <row r="348" spans="1:10" x14ac:dyDescent="0.3">
      <c r="A348" t="s">
        <v>49</v>
      </c>
      <c r="B348" t="s">
        <v>15</v>
      </c>
      <c r="C348" t="s">
        <v>11</v>
      </c>
      <c r="D348" t="s">
        <v>48</v>
      </c>
      <c r="E348">
        <v>86</v>
      </c>
      <c r="F348">
        <v>189</v>
      </c>
      <c r="G348" s="1">
        <v>500</v>
      </c>
      <c r="H348" s="1">
        <v>0</v>
      </c>
      <c r="I348" s="1">
        <v>0</v>
      </c>
      <c r="J348" s="1">
        <v>0</v>
      </c>
    </row>
    <row r="349" spans="1:10" x14ac:dyDescent="0.3">
      <c r="A349" t="s">
        <v>49</v>
      </c>
      <c r="B349" t="s">
        <v>16</v>
      </c>
      <c r="C349" t="s">
        <v>11</v>
      </c>
      <c r="D349" t="s">
        <v>48</v>
      </c>
      <c r="E349">
        <v>86</v>
      </c>
      <c r="F349">
        <v>189</v>
      </c>
      <c r="G349" s="1">
        <v>500</v>
      </c>
      <c r="H349" s="1">
        <v>0</v>
      </c>
      <c r="I349" s="1">
        <v>0</v>
      </c>
      <c r="J349" s="1">
        <v>0</v>
      </c>
    </row>
    <row r="350" spans="1:10" x14ac:dyDescent="0.3">
      <c r="A350" t="s">
        <v>49</v>
      </c>
      <c r="B350" t="s">
        <v>22</v>
      </c>
      <c r="C350" t="s">
        <v>11</v>
      </c>
      <c r="D350" t="s">
        <v>48</v>
      </c>
      <c r="E350">
        <v>86</v>
      </c>
      <c r="F350">
        <v>189</v>
      </c>
      <c r="G350" s="1">
        <v>500</v>
      </c>
      <c r="H350" s="1">
        <v>200</v>
      </c>
      <c r="I350" s="1">
        <v>400</v>
      </c>
      <c r="J350" s="1">
        <v>2000</v>
      </c>
    </row>
    <row r="351" spans="1:10" x14ac:dyDescent="0.3">
      <c r="A351" t="s">
        <v>49</v>
      </c>
      <c r="B351" t="s">
        <v>23</v>
      </c>
      <c r="C351" t="s">
        <v>11</v>
      </c>
      <c r="D351" t="s">
        <v>48</v>
      </c>
      <c r="E351">
        <v>86</v>
      </c>
      <c r="F351">
        <v>189</v>
      </c>
      <c r="G351" s="1">
        <v>500</v>
      </c>
      <c r="H351" s="1">
        <v>0</v>
      </c>
      <c r="I351" s="1">
        <v>0</v>
      </c>
      <c r="J351" s="1">
        <v>0</v>
      </c>
    </row>
    <row r="352" spans="1:10" x14ac:dyDescent="0.3">
      <c r="A352" t="s">
        <v>49</v>
      </c>
      <c r="B352" t="s">
        <v>24</v>
      </c>
      <c r="C352" t="s">
        <v>11</v>
      </c>
      <c r="D352" t="s">
        <v>48</v>
      </c>
      <c r="E352">
        <v>86</v>
      </c>
      <c r="F352">
        <v>189</v>
      </c>
      <c r="G352" s="1">
        <v>500</v>
      </c>
      <c r="H352" s="1">
        <v>0</v>
      </c>
      <c r="I352" s="1">
        <v>0</v>
      </c>
      <c r="J352" s="1">
        <v>0</v>
      </c>
    </row>
    <row r="353" spans="1:10" x14ac:dyDescent="0.3">
      <c r="A353" t="s">
        <v>49</v>
      </c>
      <c r="B353" t="s">
        <v>25</v>
      </c>
      <c r="C353" t="s">
        <v>11</v>
      </c>
      <c r="D353" t="s">
        <v>48</v>
      </c>
      <c r="E353">
        <v>86</v>
      </c>
      <c r="F353">
        <v>189</v>
      </c>
      <c r="G353" s="1">
        <v>500</v>
      </c>
      <c r="H353" s="1">
        <v>0</v>
      </c>
      <c r="I353" s="1">
        <v>0</v>
      </c>
      <c r="J353" s="1">
        <v>0</v>
      </c>
    </row>
    <row r="354" spans="1:10" x14ac:dyDescent="0.3">
      <c r="A354" t="s">
        <v>49</v>
      </c>
      <c r="B354" t="s">
        <v>50</v>
      </c>
      <c r="C354" t="s">
        <v>11</v>
      </c>
      <c r="D354" t="s">
        <v>48</v>
      </c>
      <c r="E354">
        <v>86</v>
      </c>
      <c r="F354">
        <v>189</v>
      </c>
      <c r="G354" s="1">
        <v>500</v>
      </c>
      <c r="H354" s="1">
        <v>160</v>
      </c>
      <c r="I354" s="1">
        <v>144</v>
      </c>
      <c r="J354" s="1">
        <v>900</v>
      </c>
    </row>
    <row r="355" spans="1:10" x14ac:dyDescent="0.3">
      <c r="A355" t="s">
        <v>52</v>
      </c>
      <c r="B355" t="s">
        <v>50</v>
      </c>
      <c r="C355" t="s">
        <v>11</v>
      </c>
      <c r="D355" t="s">
        <v>33</v>
      </c>
      <c r="E355">
        <v>86</v>
      </c>
      <c r="F355">
        <v>56</v>
      </c>
      <c r="G355" s="1">
        <v>450</v>
      </c>
      <c r="H355" s="1">
        <v>450</v>
      </c>
      <c r="I355" s="1">
        <v>720</v>
      </c>
      <c r="J355" s="1">
        <v>1600</v>
      </c>
    </row>
    <row r="356" spans="1:10" x14ac:dyDescent="0.3">
      <c r="A356" t="s">
        <v>52</v>
      </c>
      <c r="B356" t="s">
        <v>50</v>
      </c>
      <c r="C356" t="s">
        <v>11</v>
      </c>
      <c r="D356" t="s">
        <v>37</v>
      </c>
      <c r="E356">
        <v>86</v>
      </c>
      <c r="F356">
        <v>91</v>
      </c>
      <c r="G356" s="1">
        <v>155</v>
      </c>
      <c r="H356" s="1">
        <v>155</v>
      </c>
      <c r="I356" s="1">
        <v>279</v>
      </c>
      <c r="J356" s="1">
        <v>1800</v>
      </c>
    </row>
    <row r="357" spans="1:10" x14ac:dyDescent="0.3">
      <c r="A357" t="s">
        <v>52</v>
      </c>
      <c r="B357" t="s">
        <v>25</v>
      </c>
      <c r="C357" t="s">
        <v>11</v>
      </c>
      <c r="D357" t="s">
        <v>41</v>
      </c>
      <c r="E357">
        <v>86</v>
      </c>
      <c r="F357">
        <v>119</v>
      </c>
      <c r="G357" s="1">
        <v>1086</v>
      </c>
      <c r="H357" s="1">
        <v>1086</v>
      </c>
      <c r="I357" s="1">
        <v>1195</v>
      </c>
      <c r="J357" s="1">
        <v>1100</v>
      </c>
    </row>
    <row r="358" spans="1:10" x14ac:dyDescent="0.3">
      <c r="A358" t="s">
        <v>52</v>
      </c>
      <c r="B358" t="s">
        <v>50</v>
      </c>
      <c r="C358" t="s">
        <v>11</v>
      </c>
      <c r="D358" t="s">
        <v>41</v>
      </c>
      <c r="E358">
        <v>86</v>
      </c>
      <c r="F358">
        <v>119</v>
      </c>
      <c r="G358" s="1">
        <v>5910</v>
      </c>
      <c r="H358" s="1">
        <v>5910</v>
      </c>
      <c r="I358" s="1">
        <v>10047</v>
      </c>
      <c r="J358" s="1">
        <v>1700</v>
      </c>
    </row>
    <row r="359" spans="1:10" x14ac:dyDescent="0.3">
      <c r="A359" t="s">
        <v>52</v>
      </c>
      <c r="B359" t="s">
        <v>19</v>
      </c>
      <c r="C359" t="s">
        <v>11</v>
      </c>
      <c r="D359" t="s">
        <v>43</v>
      </c>
      <c r="E359">
        <v>86</v>
      </c>
      <c r="F359">
        <v>133</v>
      </c>
      <c r="G359" s="1">
        <v>1000</v>
      </c>
      <c r="H359" s="1">
        <v>1000</v>
      </c>
      <c r="I359" s="1">
        <v>2000</v>
      </c>
      <c r="J359" s="1">
        <v>2000</v>
      </c>
    </row>
    <row r="360" spans="1:10" x14ac:dyDescent="0.3">
      <c r="A360" t="s">
        <v>52</v>
      </c>
      <c r="B360" t="s">
        <v>19</v>
      </c>
      <c r="C360" t="s">
        <v>11</v>
      </c>
      <c r="D360" t="s">
        <v>44</v>
      </c>
      <c r="E360">
        <v>86</v>
      </c>
      <c r="F360">
        <v>147</v>
      </c>
      <c r="G360" s="1">
        <v>300</v>
      </c>
      <c r="H360" s="1">
        <v>300</v>
      </c>
      <c r="I360" s="1">
        <v>450</v>
      </c>
      <c r="J360" s="1">
        <v>1500</v>
      </c>
    </row>
    <row r="361" spans="1:10" x14ac:dyDescent="0.3">
      <c r="A361" t="s">
        <v>53</v>
      </c>
      <c r="B361" t="s">
        <v>22</v>
      </c>
      <c r="C361" t="s">
        <v>11</v>
      </c>
      <c r="D361" t="s">
        <v>12</v>
      </c>
      <c r="E361">
        <v>86</v>
      </c>
      <c r="F361">
        <v>7</v>
      </c>
      <c r="G361" s="1">
        <v>700</v>
      </c>
      <c r="H361" s="1">
        <v>460</v>
      </c>
      <c r="I361" s="1">
        <v>460</v>
      </c>
      <c r="J361" s="1">
        <v>1000</v>
      </c>
    </row>
    <row r="362" spans="1:10" x14ac:dyDescent="0.3">
      <c r="A362" t="s">
        <v>53</v>
      </c>
      <c r="B362" t="s">
        <v>23</v>
      </c>
      <c r="C362" t="s">
        <v>11</v>
      </c>
      <c r="D362" t="s">
        <v>12</v>
      </c>
      <c r="E362">
        <v>86</v>
      </c>
      <c r="F362">
        <v>7</v>
      </c>
      <c r="G362" s="1">
        <v>600</v>
      </c>
      <c r="H362" s="1">
        <v>320</v>
      </c>
      <c r="I362" s="1">
        <v>288</v>
      </c>
      <c r="J362" s="1">
        <v>900</v>
      </c>
    </row>
    <row r="363" spans="1:10" x14ac:dyDescent="0.3">
      <c r="A363" t="s">
        <v>53</v>
      </c>
      <c r="B363" t="s">
        <v>24</v>
      </c>
      <c r="C363" t="s">
        <v>11</v>
      </c>
      <c r="D363" t="s">
        <v>12</v>
      </c>
      <c r="E363">
        <v>86</v>
      </c>
      <c r="F363">
        <v>7</v>
      </c>
      <c r="G363" s="1">
        <v>600</v>
      </c>
      <c r="H363" s="1">
        <v>600</v>
      </c>
      <c r="I363" s="1">
        <v>720</v>
      </c>
      <c r="J363" s="1">
        <v>1200</v>
      </c>
    </row>
    <row r="364" spans="1:10" x14ac:dyDescent="0.3">
      <c r="A364" t="s">
        <v>53</v>
      </c>
      <c r="B364" t="s">
        <v>25</v>
      </c>
      <c r="C364" t="s">
        <v>11</v>
      </c>
      <c r="D364" t="s">
        <v>12</v>
      </c>
      <c r="E364">
        <v>86</v>
      </c>
      <c r="F364">
        <v>7</v>
      </c>
      <c r="G364" s="1">
        <v>600</v>
      </c>
      <c r="H364" s="1">
        <v>330</v>
      </c>
      <c r="I364" s="1">
        <v>231</v>
      </c>
      <c r="J364" s="1">
        <v>700</v>
      </c>
    </row>
    <row r="365" spans="1:10" x14ac:dyDescent="0.3">
      <c r="A365" t="s">
        <v>53</v>
      </c>
      <c r="B365" t="s">
        <v>50</v>
      </c>
      <c r="C365" t="s">
        <v>11</v>
      </c>
      <c r="D365" t="s">
        <v>12</v>
      </c>
      <c r="E365">
        <v>86</v>
      </c>
      <c r="F365">
        <v>7</v>
      </c>
      <c r="G365" s="1">
        <v>160</v>
      </c>
      <c r="H365" s="1">
        <v>160</v>
      </c>
      <c r="I365" s="1">
        <v>352</v>
      </c>
      <c r="J365" s="1">
        <v>2200</v>
      </c>
    </row>
    <row r="366" spans="1:10" x14ac:dyDescent="0.3">
      <c r="A366" t="s">
        <v>53</v>
      </c>
      <c r="B366" t="s">
        <v>24</v>
      </c>
      <c r="C366" t="s">
        <v>11</v>
      </c>
      <c r="D366" t="s">
        <v>26</v>
      </c>
      <c r="E366">
        <v>86</v>
      </c>
      <c r="F366">
        <v>14</v>
      </c>
      <c r="G366" s="1">
        <v>650</v>
      </c>
      <c r="H366" s="1">
        <v>500</v>
      </c>
      <c r="I366" s="1">
        <v>600</v>
      </c>
      <c r="J366" s="1">
        <v>1200</v>
      </c>
    </row>
    <row r="367" spans="1:10" x14ac:dyDescent="0.3">
      <c r="A367" t="s">
        <v>53</v>
      </c>
      <c r="B367" t="s">
        <v>25</v>
      </c>
      <c r="C367" t="s">
        <v>11</v>
      </c>
      <c r="D367" t="s">
        <v>26</v>
      </c>
      <c r="E367">
        <v>86</v>
      </c>
      <c r="F367">
        <v>14</v>
      </c>
      <c r="G367" s="1">
        <v>670</v>
      </c>
      <c r="H367" s="1">
        <v>380</v>
      </c>
      <c r="I367" s="1">
        <v>266</v>
      </c>
      <c r="J367" s="1">
        <v>700</v>
      </c>
    </row>
    <row r="368" spans="1:10" x14ac:dyDescent="0.3">
      <c r="A368" t="s">
        <v>53</v>
      </c>
      <c r="B368" t="s">
        <v>50</v>
      </c>
      <c r="C368" t="s">
        <v>11</v>
      </c>
      <c r="D368" t="s">
        <v>26</v>
      </c>
      <c r="E368">
        <v>86</v>
      </c>
      <c r="F368">
        <v>14</v>
      </c>
      <c r="G368" s="1">
        <v>210</v>
      </c>
      <c r="H368" s="1">
        <v>210</v>
      </c>
      <c r="I368" s="1">
        <v>399</v>
      </c>
      <c r="J368" s="1">
        <v>1900</v>
      </c>
    </row>
    <row r="369" spans="1:10" x14ac:dyDescent="0.3">
      <c r="A369" t="s">
        <v>53</v>
      </c>
      <c r="B369" t="s">
        <v>24</v>
      </c>
      <c r="C369" t="s">
        <v>11</v>
      </c>
      <c r="D369" t="s">
        <v>29</v>
      </c>
      <c r="E369">
        <v>86</v>
      </c>
      <c r="F369">
        <v>35</v>
      </c>
      <c r="G369" s="1">
        <v>500</v>
      </c>
      <c r="H369" s="1">
        <v>0</v>
      </c>
      <c r="I369" s="1">
        <v>0</v>
      </c>
      <c r="J369" s="1">
        <v>0</v>
      </c>
    </row>
    <row r="370" spans="1:10" x14ac:dyDescent="0.3">
      <c r="A370" t="s">
        <v>53</v>
      </c>
      <c r="B370" t="s">
        <v>25</v>
      </c>
      <c r="C370" t="s">
        <v>11</v>
      </c>
      <c r="D370" t="s">
        <v>29</v>
      </c>
      <c r="E370">
        <v>86</v>
      </c>
      <c r="F370">
        <v>35</v>
      </c>
      <c r="G370" s="1">
        <v>500</v>
      </c>
      <c r="H370" s="1">
        <v>494</v>
      </c>
      <c r="I370" s="1">
        <v>445</v>
      </c>
      <c r="J370" s="1">
        <v>901</v>
      </c>
    </row>
    <row r="371" spans="1:10" x14ac:dyDescent="0.3">
      <c r="A371" t="s">
        <v>53</v>
      </c>
      <c r="B371" t="s">
        <v>50</v>
      </c>
      <c r="C371" t="s">
        <v>11</v>
      </c>
      <c r="D371" t="s">
        <v>29</v>
      </c>
      <c r="E371">
        <v>86</v>
      </c>
      <c r="F371">
        <v>35</v>
      </c>
      <c r="G371" s="1">
        <v>500</v>
      </c>
      <c r="H371" s="1">
        <v>150</v>
      </c>
      <c r="I371" s="1">
        <v>135</v>
      </c>
      <c r="J371" s="1">
        <v>900</v>
      </c>
    </row>
    <row r="372" spans="1:10" x14ac:dyDescent="0.3">
      <c r="A372" t="s">
        <v>53</v>
      </c>
      <c r="B372" t="s">
        <v>18</v>
      </c>
      <c r="C372" t="s">
        <v>11</v>
      </c>
      <c r="D372" t="s">
        <v>30</v>
      </c>
      <c r="E372">
        <v>86</v>
      </c>
      <c r="F372">
        <v>42</v>
      </c>
      <c r="G372" s="1">
        <v>800</v>
      </c>
      <c r="H372" s="1">
        <v>0</v>
      </c>
      <c r="I372" s="1">
        <v>0</v>
      </c>
      <c r="J372" s="1">
        <v>0</v>
      </c>
    </row>
    <row r="373" spans="1:10" x14ac:dyDescent="0.3">
      <c r="A373" t="s">
        <v>53</v>
      </c>
      <c r="B373" t="s">
        <v>19</v>
      </c>
      <c r="C373" t="s">
        <v>11</v>
      </c>
      <c r="D373" t="s">
        <v>30</v>
      </c>
      <c r="E373">
        <v>86</v>
      </c>
      <c r="F373">
        <v>42</v>
      </c>
      <c r="G373" s="1">
        <v>700</v>
      </c>
      <c r="H373" s="1">
        <v>0</v>
      </c>
      <c r="I373" s="1">
        <v>0</v>
      </c>
      <c r="J373" s="1">
        <v>0</v>
      </c>
    </row>
    <row r="374" spans="1:10" x14ac:dyDescent="0.3">
      <c r="A374" t="s">
        <v>53</v>
      </c>
      <c r="B374" t="s">
        <v>20</v>
      </c>
      <c r="C374" t="s">
        <v>11</v>
      </c>
      <c r="D374" t="s">
        <v>30</v>
      </c>
      <c r="E374">
        <v>86</v>
      </c>
      <c r="F374">
        <v>42</v>
      </c>
      <c r="G374" s="1">
        <v>700</v>
      </c>
      <c r="H374" s="1">
        <v>700</v>
      </c>
      <c r="I374" s="1">
        <v>1190</v>
      </c>
      <c r="J374" s="1">
        <v>1700</v>
      </c>
    </row>
    <row r="375" spans="1:10" x14ac:dyDescent="0.3">
      <c r="A375" t="s">
        <v>53</v>
      </c>
      <c r="B375" t="s">
        <v>21</v>
      </c>
      <c r="C375" t="s">
        <v>11</v>
      </c>
      <c r="D375" t="s">
        <v>30</v>
      </c>
      <c r="E375">
        <v>86</v>
      </c>
      <c r="F375">
        <v>42</v>
      </c>
      <c r="G375" s="1">
        <v>1450</v>
      </c>
      <c r="H375" s="1">
        <v>1450</v>
      </c>
      <c r="I375" s="1">
        <v>2610</v>
      </c>
      <c r="J375" s="1">
        <v>1800</v>
      </c>
    </row>
    <row r="376" spans="1:10" x14ac:dyDescent="0.3">
      <c r="A376" t="s">
        <v>53</v>
      </c>
      <c r="B376" t="s">
        <v>22</v>
      </c>
      <c r="C376" t="s">
        <v>11</v>
      </c>
      <c r="D376" t="s">
        <v>30</v>
      </c>
      <c r="E376">
        <v>86</v>
      </c>
      <c r="F376">
        <v>42</v>
      </c>
      <c r="G376" s="1">
        <v>1750</v>
      </c>
      <c r="H376" s="1">
        <v>1520</v>
      </c>
      <c r="I376" s="1">
        <v>2584</v>
      </c>
      <c r="J376" s="1">
        <v>1700</v>
      </c>
    </row>
    <row r="377" spans="1:10" x14ac:dyDescent="0.3">
      <c r="A377" t="s">
        <v>53</v>
      </c>
      <c r="B377" t="s">
        <v>23</v>
      </c>
      <c r="C377" t="s">
        <v>11</v>
      </c>
      <c r="D377" t="s">
        <v>30</v>
      </c>
      <c r="E377">
        <v>86</v>
      </c>
      <c r="F377">
        <v>42</v>
      </c>
      <c r="G377" s="1">
        <v>1850</v>
      </c>
      <c r="H377" s="1">
        <v>1000</v>
      </c>
      <c r="I377" s="1">
        <v>900</v>
      </c>
      <c r="J377" s="1">
        <v>900</v>
      </c>
    </row>
    <row r="378" spans="1:10" x14ac:dyDescent="0.3">
      <c r="A378" t="s">
        <v>53</v>
      </c>
      <c r="B378" t="s">
        <v>24</v>
      </c>
      <c r="C378" t="s">
        <v>11</v>
      </c>
      <c r="D378" t="s">
        <v>30</v>
      </c>
      <c r="E378">
        <v>86</v>
      </c>
      <c r="F378">
        <v>42</v>
      </c>
      <c r="G378" s="1">
        <v>1850</v>
      </c>
      <c r="H378" s="1">
        <v>1170</v>
      </c>
      <c r="I378" s="1">
        <v>1404</v>
      </c>
      <c r="J378" s="1">
        <v>1200</v>
      </c>
    </row>
    <row r="379" spans="1:10" x14ac:dyDescent="0.3">
      <c r="A379" t="s">
        <v>53</v>
      </c>
      <c r="B379" t="s">
        <v>25</v>
      </c>
      <c r="C379" t="s">
        <v>11</v>
      </c>
      <c r="D379" t="s">
        <v>30</v>
      </c>
      <c r="E379">
        <v>86</v>
      </c>
      <c r="F379">
        <v>42</v>
      </c>
      <c r="G379" s="1">
        <v>1850</v>
      </c>
      <c r="H379" s="1">
        <v>1630</v>
      </c>
      <c r="I379" s="1">
        <v>1141</v>
      </c>
      <c r="J379" s="1">
        <v>700</v>
      </c>
    </row>
    <row r="380" spans="1:10" x14ac:dyDescent="0.3">
      <c r="A380" t="s">
        <v>53</v>
      </c>
      <c r="B380" t="s">
        <v>50</v>
      </c>
      <c r="C380" t="s">
        <v>11</v>
      </c>
      <c r="D380" t="s">
        <v>30</v>
      </c>
      <c r="E380">
        <v>86</v>
      </c>
      <c r="F380">
        <v>42</v>
      </c>
      <c r="G380" s="1">
        <v>740</v>
      </c>
      <c r="H380" s="1">
        <v>740</v>
      </c>
      <c r="I380" s="1">
        <v>1480</v>
      </c>
      <c r="J380" s="1">
        <v>2000</v>
      </c>
    </row>
    <row r="381" spans="1:10" x14ac:dyDescent="0.3">
      <c r="A381" t="s">
        <v>53</v>
      </c>
      <c r="B381" t="s">
        <v>18</v>
      </c>
      <c r="C381" t="s">
        <v>11</v>
      </c>
      <c r="D381" t="s">
        <v>35</v>
      </c>
      <c r="E381">
        <v>86</v>
      </c>
      <c r="F381">
        <v>77</v>
      </c>
      <c r="G381" s="1">
        <v>1700</v>
      </c>
      <c r="H381" s="1">
        <v>0</v>
      </c>
      <c r="I381" s="1">
        <v>0</v>
      </c>
      <c r="J381" s="1">
        <v>0</v>
      </c>
    </row>
    <row r="382" spans="1:10" x14ac:dyDescent="0.3">
      <c r="A382" t="s">
        <v>53</v>
      </c>
      <c r="B382" t="s">
        <v>19</v>
      </c>
      <c r="C382" t="s">
        <v>11</v>
      </c>
      <c r="D382" t="s">
        <v>35</v>
      </c>
      <c r="E382">
        <v>86</v>
      </c>
      <c r="F382">
        <v>77</v>
      </c>
      <c r="G382" s="1">
        <v>1400</v>
      </c>
      <c r="H382" s="1">
        <v>0</v>
      </c>
      <c r="I382" s="1">
        <v>0</v>
      </c>
      <c r="J382" s="1">
        <v>0</v>
      </c>
    </row>
    <row r="383" spans="1:10" x14ac:dyDescent="0.3">
      <c r="A383" t="s">
        <v>53</v>
      </c>
      <c r="B383" t="s">
        <v>20</v>
      </c>
      <c r="C383" t="s">
        <v>11</v>
      </c>
      <c r="D383" t="s">
        <v>35</v>
      </c>
      <c r="E383">
        <v>86</v>
      </c>
      <c r="F383">
        <v>77</v>
      </c>
      <c r="G383" s="1">
        <v>500</v>
      </c>
      <c r="H383" s="1">
        <v>500</v>
      </c>
      <c r="I383" s="1">
        <v>850</v>
      </c>
      <c r="J383" s="1">
        <v>1700</v>
      </c>
    </row>
    <row r="384" spans="1:10" x14ac:dyDescent="0.3">
      <c r="A384" t="s">
        <v>53</v>
      </c>
      <c r="B384" t="s">
        <v>21</v>
      </c>
      <c r="C384" t="s">
        <v>11</v>
      </c>
      <c r="D384" t="s">
        <v>35</v>
      </c>
      <c r="E384">
        <v>86</v>
      </c>
      <c r="F384">
        <v>77</v>
      </c>
      <c r="G384" s="1">
        <v>1900</v>
      </c>
      <c r="H384" s="1">
        <v>1900</v>
      </c>
      <c r="I384" s="1">
        <v>2660</v>
      </c>
      <c r="J384" s="1">
        <v>1400</v>
      </c>
    </row>
    <row r="385" spans="1:10" x14ac:dyDescent="0.3">
      <c r="A385" t="s">
        <v>53</v>
      </c>
      <c r="B385" t="s">
        <v>22</v>
      </c>
      <c r="C385" t="s">
        <v>11</v>
      </c>
      <c r="D385" t="s">
        <v>35</v>
      </c>
      <c r="E385">
        <v>86</v>
      </c>
      <c r="F385">
        <v>77</v>
      </c>
      <c r="G385" s="1">
        <v>2280</v>
      </c>
      <c r="H385" s="1">
        <v>1820</v>
      </c>
      <c r="I385" s="1">
        <v>2730</v>
      </c>
      <c r="J385" s="1">
        <v>1500</v>
      </c>
    </row>
    <row r="386" spans="1:10" x14ac:dyDescent="0.3">
      <c r="A386" t="s">
        <v>53</v>
      </c>
      <c r="B386" t="s">
        <v>23</v>
      </c>
      <c r="C386" t="s">
        <v>11</v>
      </c>
      <c r="D386" t="s">
        <v>35</v>
      </c>
      <c r="E386">
        <v>86</v>
      </c>
      <c r="F386">
        <v>77</v>
      </c>
      <c r="G386" s="1">
        <v>2280</v>
      </c>
      <c r="H386" s="1">
        <v>1280</v>
      </c>
      <c r="I386" s="1">
        <v>1152</v>
      </c>
      <c r="J386" s="1">
        <v>900</v>
      </c>
    </row>
    <row r="387" spans="1:10" x14ac:dyDescent="0.3">
      <c r="A387" t="s">
        <v>53</v>
      </c>
      <c r="B387" t="s">
        <v>24</v>
      </c>
      <c r="C387" t="s">
        <v>11</v>
      </c>
      <c r="D387" t="s">
        <v>35</v>
      </c>
      <c r="E387">
        <v>86</v>
      </c>
      <c r="F387">
        <v>77</v>
      </c>
      <c r="G387" s="1">
        <v>2280</v>
      </c>
      <c r="H387" s="1">
        <v>1860</v>
      </c>
      <c r="I387" s="1">
        <v>2232</v>
      </c>
      <c r="J387" s="1">
        <v>1200</v>
      </c>
    </row>
    <row r="388" spans="1:10" x14ac:dyDescent="0.3">
      <c r="A388" t="s">
        <v>53</v>
      </c>
      <c r="B388" t="s">
        <v>25</v>
      </c>
      <c r="C388" t="s">
        <v>11</v>
      </c>
      <c r="D388" t="s">
        <v>35</v>
      </c>
      <c r="E388">
        <v>86</v>
      </c>
      <c r="F388">
        <v>77</v>
      </c>
      <c r="G388" s="1">
        <v>2280</v>
      </c>
      <c r="H388" s="1">
        <v>1860</v>
      </c>
      <c r="I388" s="1">
        <v>1302</v>
      </c>
      <c r="J388" s="1">
        <v>700</v>
      </c>
    </row>
    <row r="389" spans="1:10" x14ac:dyDescent="0.3">
      <c r="A389" t="s">
        <v>53</v>
      </c>
      <c r="B389" t="s">
        <v>50</v>
      </c>
      <c r="C389" t="s">
        <v>11</v>
      </c>
      <c r="D389" t="s">
        <v>35</v>
      </c>
      <c r="E389">
        <v>86</v>
      </c>
      <c r="F389">
        <v>77</v>
      </c>
      <c r="G389" s="1">
        <v>710</v>
      </c>
      <c r="H389" s="1">
        <v>710</v>
      </c>
      <c r="I389" s="1">
        <v>1420</v>
      </c>
      <c r="J389" s="1">
        <v>2000</v>
      </c>
    </row>
    <row r="390" spans="1:10" x14ac:dyDescent="0.3">
      <c r="A390" t="s">
        <v>53</v>
      </c>
      <c r="B390" t="s">
        <v>18</v>
      </c>
      <c r="C390" t="s">
        <v>11</v>
      </c>
      <c r="D390" t="s">
        <v>36</v>
      </c>
      <c r="E390">
        <v>86</v>
      </c>
      <c r="F390">
        <v>84</v>
      </c>
      <c r="G390" s="1">
        <v>500</v>
      </c>
      <c r="H390" s="1">
        <v>400</v>
      </c>
      <c r="I390" s="1">
        <v>480</v>
      </c>
      <c r="J390" s="1">
        <v>1200</v>
      </c>
    </row>
    <row r="391" spans="1:10" x14ac:dyDescent="0.3">
      <c r="A391" t="s">
        <v>53</v>
      </c>
      <c r="B391" t="s">
        <v>17</v>
      </c>
      <c r="C391" t="s">
        <v>11</v>
      </c>
      <c r="D391" t="s">
        <v>37</v>
      </c>
      <c r="E391">
        <v>86</v>
      </c>
      <c r="F391">
        <v>91</v>
      </c>
      <c r="G391" s="1">
        <v>6166</v>
      </c>
      <c r="H391" s="1">
        <v>0</v>
      </c>
      <c r="I391" s="1">
        <v>0</v>
      </c>
      <c r="J391" s="1">
        <v>0</v>
      </c>
    </row>
    <row r="392" spans="1:10" x14ac:dyDescent="0.3">
      <c r="A392" t="s">
        <v>53</v>
      </c>
      <c r="B392" t="s">
        <v>18</v>
      </c>
      <c r="C392" t="s">
        <v>11</v>
      </c>
      <c r="D392" t="s">
        <v>37</v>
      </c>
      <c r="E392">
        <v>86</v>
      </c>
      <c r="F392">
        <v>91</v>
      </c>
      <c r="G392" s="1">
        <v>6000</v>
      </c>
      <c r="H392" s="1">
        <v>4000</v>
      </c>
      <c r="I392" s="1">
        <v>6400</v>
      </c>
      <c r="J392" s="1">
        <v>1600</v>
      </c>
    </row>
    <row r="393" spans="1:10" x14ac:dyDescent="0.3">
      <c r="A393" t="s">
        <v>53</v>
      </c>
      <c r="B393" t="s">
        <v>19</v>
      </c>
      <c r="C393" t="s">
        <v>11</v>
      </c>
      <c r="D393" t="s">
        <v>37</v>
      </c>
      <c r="E393">
        <v>86</v>
      </c>
      <c r="F393">
        <v>91</v>
      </c>
      <c r="G393" s="1">
        <v>6000</v>
      </c>
      <c r="H393" s="1">
        <v>5000</v>
      </c>
      <c r="I393" s="1">
        <v>9000</v>
      </c>
      <c r="J393" s="1">
        <v>1800</v>
      </c>
    </row>
    <row r="394" spans="1:10" x14ac:dyDescent="0.3">
      <c r="A394" t="s">
        <v>53</v>
      </c>
      <c r="B394" t="s">
        <v>20</v>
      </c>
      <c r="C394" t="s">
        <v>11</v>
      </c>
      <c r="D394" t="s">
        <v>37</v>
      </c>
      <c r="E394">
        <v>86</v>
      </c>
      <c r="F394">
        <v>91</v>
      </c>
      <c r="G394" s="1">
        <v>8000</v>
      </c>
      <c r="H394" s="1">
        <v>8000</v>
      </c>
      <c r="I394" s="1">
        <v>16000</v>
      </c>
      <c r="J394" s="1">
        <v>2000</v>
      </c>
    </row>
    <row r="395" spans="1:10" x14ac:dyDescent="0.3">
      <c r="A395" t="s">
        <v>53</v>
      </c>
      <c r="B395" t="s">
        <v>21</v>
      </c>
      <c r="C395" t="s">
        <v>11</v>
      </c>
      <c r="D395" t="s">
        <v>37</v>
      </c>
      <c r="E395">
        <v>86</v>
      </c>
      <c r="F395">
        <v>91</v>
      </c>
      <c r="G395" s="1">
        <v>8000</v>
      </c>
      <c r="H395" s="1">
        <v>7200</v>
      </c>
      <c r="I395" s="1">
        <v>10800</v>
      </c>
      <c r="J395" s="1">
        <v>1500</v>
      </c>
    </row>
    <row r="396" spans="1:10" x14ac:dyDescent="0.3">
      <c r="A396" t="s">
        <v>53</v>
      </c>
      <c r="B396" t="s">
        <v>22</v>
      </c>
      <c r="C396" t="s">
        <v>11</v>
      </c>
      <c r="D396" t="s">
        <v>37</v>
      </c>
      <c r="E396">
        <v>86</v>
      </c>
      <c r="F396">
        <v>91</v>
      </c>
      <c r="G396" s="1">
        <v>10000</v>
      </c>
      <c r="H396" s="1">
        <v>10000</v>
      </c>
      <c r="I396" s="1">
        <v>18000</v>
      </c>
      <c r="J396" s="1">
        <v>1800</v>
      </c>
    </row>
    <row r="397" spans="1:10" x14ac:dyDescent="0.3">
      <c r="A397" t="s">
        <v>53</v>
      </c>
      <c r="B397" t="s">
        <v>23</v>
      </c>
      <c r="C397" t="s">
        <v>11</v>
      </c>
      <c r="D397" t="s">
        <v>37</v>
      </c>
      <c r="E397">
        <v>86</v>
      </c>
      <c r="F397">
        <v>91</v>
      </c>
      <c r="G397" s="1">
        <v>10000</v>
      </c>
      <c r="H397" s="1">
        <v>10000</v>
      </c>
      <c r="I397" s="1">
        <v>12000</v>
      </c>
      <c r="J397" s="1">
        <v>1200</v>
      </c>
    </row>
    <row r="398" spans="1:10" x14ac:dyDescent="0.3">
      <c r="A398" t="s">
        <v>53</v>
      </c>
      <c r="B398" t="s">
        <v>24</v>
      </c>
      <c r="C398" t="s">
        <v>11</v>
      </c>
      <c r="D398" t="s">
        <v>37</v>
      </c>
      <c r="E398">
        <v>86</v>
      </c>
      <c r="F398">
        <v>91</v>
      </c>
      <c r="G398" s="1">
        <v>10000</v>
      </c>
      <c r="H398" s="1">
        <v>10000</v>
      </c>
      <c r="I398" s="1">
        <v>15000</v>
      </c>
      <c r="J398" s="1">
        <v>1500</v>
      </c>
    </row>
    <row r="399" spans="1:10" x14ac:dyDescent="0.3">
      <c r="A399" t="s">
        <v>53</v>
      </c>
      <c r="B399" t="s">
        <v>25</v>
      </c>
      <c r="C399" t="s">
        <v>11</v>
      </c>
      <c r="D399" t="s">
        <v>37</v>
      </c>
      <c r="E399">
        <v>86</v>
      </c>
      <c r="F399">
        <v>91</v>
      </c>
      <c r="G399" s="1">
        <v>10000</v>
      </c>
      <c r="H399" s="1">
        <v>9850</v>
      </c>
      <c r="I399" s="1">
        <v>7880</v>
      </c>
      <c r="J399" s="1">
        <v>800</v>
      </c>
    </row>
    <row r="400" spans="1:10" x14ac:dyDescent="0.3">
      <c r="A400" t="s">
        <v>53</v>
      </c>
      <c r="B400" t="s">
        <v>50</v>
      </c>
      <c r="C400" t="s">
        <v>11</v>
      </c>
      <c r="D400" t="s">
        <v>37</v>
      </c>
      <c r="E400">
        <v>86</v>
      </c>
      <c r="F400">
        <v>91</v>
      </c>
      <c r="G400" s="1">
        <v>10300</v>
      </c>
      <c r="H400" s="1">
        <v>2900</v>
      </c>
      <c r="I400" s="1">
        <v>2610</v>
      </c>
      <c r="J400" s="1">
        <v>900</v>
      </c>
    </row>
    <row r="401" spans="1:10" x14ac:dyDescent="0.3">
      <c r="A401" t="s">
        <v>53</v>
      </c>
      <c r="B401" t="s">
        <v>18</v>
      </c>
      <c r="C401" t="s">
        <v>11</v>
      </c>
      <c r="D401" t="s">
        <v>38</v>
      </c>
      <c r="E401">
        <v>86</v>
      </c>
      <c r="F401">
        <v>98</v>
      </c>
      <c r="G401" s="1">
        <v>500</v>
      </c>
      <c r="H401" s="1">
        <v>0</v>
      </c>
      <c r="I401" s="1">
        <v>0</v>
      </c>
      <c r="J401" s="1">
        <v>0</v>
      </c>
    </row>
    <row r="402" spans="1:10" x14ac:dyDescent="0.3">
      <c r="A402" t="s">
        <v>53</v>
      </c>
      <c r="B402" t="s">
        <v>19</v>
      </c>
      <c r="C402" t="s">
        <v>11</v>
      </c>
      <c r="D402" t="s">
        <v>38</v>
      </c>
      <c r="E402">
        <v>86</v>
      </c>
      <c r="F402">
        <v>98</v>
      </c>
      <c r="G402" s="1">
        <v>500</v>
      </c>
      <c r="H402" s="1">
        <v>0</v>
      </c>
      <c r="I402" s="1">
        <v>0</v>
      </c>
      <c r="J402" s="1">
        <v>0</v>
      </c>
    </row>
    <row r="403" spans="1:10" x14ac:dyDescent="0.3">
      <c r="A403" t="s">
        <v>53</v>
      </c>
      <c r="B403" t="s">
        <v>20</v>
      </c>
      <c r="C403" t="s">
        <v>11</v>
      </c>
      <c r="D403" t="s">
        <v>38</v>
      </c>
      <c r="E403">
        <v>86</v>
      </c>
      <c r="F403">
        <v>98</v>
      </c>
      <c r="G403" s="1">
        <v>500</v>
      </c>
      <c r="H403" s="1">
        <v>500</v>
      </c>
      <c r="I403" s="1">
        <v>850</v>
      </c>
      <c r="J403" s="1">
        <v>1700</v>
      </c>
    </row>
    <row r="404" spans="1:10" x14ac:dyDescent="0.3">
      <c r="A404" t="s">
        <v>53</v>
      </c>
      <c r="B404" t="s">
        <v>21</v>
      </c>
      <c r="C404" t="s">
        <v>11</v>
      </c>
      <c r="D404" t="s">
        <v>38</v>
      </c>
      <c r="E404">
        <v>86</v>
      </c>
      <c r="F404">
        <v>98</v>
      </c>
      <c r="G404" s="1">
        <v>500</v>
      </c>
      <c r="H404" s="1">
        <v>310</v>
      </c>
      <c r="I404" s="1">
        <v>155</v>
      </c>
      <c r="J404" s="1">
        <v>500</v>
      </c>
    </row>
    <row r="405" spans="1:10" x14ac:dyDescent="0.3">
      <c r="A405" t="s">
        <v>53</v>
      </c>
      <c r="B405" t="s">
        <v>22</v>
      </c>
      <c r="C405" t="s">
        <v>11</v>
      </c>
      <c r="D405" t="s">
        <v>38</v>
      </c>
      <c r="E405">
        <v>86</v>
      </c>
      <c r="F405">
        <v>98</v>
      </c>
      <c r="G405" s="1">
        <v>720</v>
      </c>
      <c r="H405" s="1">
        <v>300</v>
      </c>
      <c r="I405" s="1">
        <v>390</v>
      </c>
      <c r="J405" s="1">
        <v>1300</v>
      </c>
    </row>
    <row r="406" spans="1:10" x14ac:dyDescent="0.3">
      <c r="A406" t="s">
        <v>53</v>
      </c>
      <c r="B406" t="s">
        <v>23</v>
      </c>
      <c r="C406" t="s">
        <v>11</v>
      </c>
      <c r="D406" t="s">
        <v>38</v>
      </c>
      <c r="E406">
        <v>86</v>
      </c>
      <c r="F406">
        <v>98</v>
      </c>
      <c r="G406" s="1">
        <v>720</v>
      </c>
      <c r="H406" s="1">
        <v>300</v>
      </c>
      <c r="I406" s="1">
        <v>270</v>
      </c>
      <c r="J406" s="1">
        <v>900</v>
      </c>
    </row>
    <row r="407" spans="1:10" x14ac:dyDescent="0.3">
      <c r="A407" t="s">
        <v>53</v>
      </c>
      <c r="B407" t="s">
        <v>24</v>
      </c>
      <c r="C407" t="s">
        <v>11</v>
      </c>
      <c r="D407" t="s">
        <v>38</v>
      </c>
      <c r="E407">
        <v>86</v>
      </c>
      <c r="F407">
        <v>98</v>
      </c>
      <c r="G407" s="1">
        <v>500</v>
      </c>
      <c r="H407" s="1">
        <v>500</v>
      </c>
      <c r="I407" s="1">
        <v>600</v>
      </c>
      <c r="J407" s="1">
        <v>1200</v>
      </c>
    </row>
    <row r="408" spans="1:10" x14ac:dyDescent="0.3">
      <c r="A408" t="s">
        <v>53</v>
      </c>
      <c r="B408" t="s">
        <v>25</v>
      </c>
      <c r="C408" t="s">
        <v>11</v>
      </c>
      <c r="D408" t="s">
        <v>38</v>
      </c>
      <c r="E408">
        <v>86</v>
      </c>
      <c r="F408">
        <v>98</v>
      </c>
      <c r="G408" s="1">
        <v>480</v>
      </c>
      <c r="H408" s="1">
        <v>340</v>
      </c>
      <c r="I408" s="1">
        <v>238</v>
      </c>
      <c r="J408" s="1">
        <v>700</v>
      </c>
    </row>
    <row r="409" spans="1:10" x14ac:dyDescent="0.3">
      <c r="A409" t="s">
        <v>53</v>
      </c>
      <c r="B409" t="s">
        <v>50</v>
      </c>
      <c r="C409" t="s">
        <v>11</v>
      </c>
      <c r="D409" t="s">
        <v>38</v>
      </c>
      <c r="E409">
        <v>86</v>
      </c>
      <c r="F409">
        <v>98</v>
      </c>
      <c r="G409" s="1">
        <v>160</v>
      </c>
      <c r="H409" s="1">
        <v>160</v>
      </c>
      <c r="I409" s="1">
        <v>352</v>
      </c>
      <c r="J409" s="1">
        <v>2200</v>
      </c>
    </row>
    <row r="410" spans="1:10" x14ac:dyDescent="0.3">
      <c r="A410" t="s">
        <v>53</v>
      </c>
      <c r="B410" t="s">
        <v>18</v>
      </c>
      <c r="C410" t="s">
        <v>11</v>
      </c>
      <c r="D410" t="s">
        <v>40</v>
      </c>
      <c r="E410">
        <v>86</v>
      </c>
      <c r="F410">
        <v>112</v>
      </c>
      <c r="G410" s="1">
        <v>2000</v>
      </c>
      <c r="H410" s="1">
        <v>1500</v>
      </c>
      <c r="I410" s="1">
        <v>2550</v>
      </c>
      <c r="J410" s="1">
        <v>1700</v>
      </c>
    </row>
    <row r="411" spans="1:10" x14ac:dyDescent="0.3">
      <c r="A411" t="s">
        <v>53</v>
      </c>
      <c r="B411" t="s">
        <v>19</v>
      </c>
      <c r="C411" t="s">
        <v>11</v>
      </c>
      <c r="D411" t="s">
        <v>40</v>
      </c>
      <c r="E411">
        <v>86</v>
      </c>
      <c r="F411">
        <v>112</v>
      </c>
      <c r="G411" s="1">
        <v>2000</v>
      </c>
      <c r="H411" s="1">
        <v>2000</v>
      </c>
      <c r="I411" s="1">
        <v>3600</v>
      </c>
      <c r="J411" s="1">
        <v>1800</v>
      </c>
    </row>
    <row r="412" spans="1:10" x14ac:dyDescent="0.3">
      <c r="A412" t="s">
        <v>53</v>
      </c>
      <c r="B412" t="s">
        <v>18</v>
      </c>
      <c r="C412" t="s">
        <v>11</v>
      </c>
      <c r="D412" t="s">
        <v>41</v>
      </c>
      <c r="E412">
        <v>86</v>
      </c>
      <c r="F412">
        <v>119</v>
      </c>
      <c r="G412" s="1">
        <v>1000</v>
      </c>
      <c r="H412" s="1">
        <v>0</v>
      </c>
      <c r="I412" s="1">
        <v>0</v>
      </c>
      <c r="J412" s="1">
        <v>0</v>
      </c>
    </row>
    <row r="413" spans="1:10" x14ac:dyDescent="0.3">
      <c r="A413" t="s">
        <v>53</v>
      </c>
      <c r="B413" t="s">
        <v>19</v>
      </c>
      <c r="C413" t="s">
        <v>11</v>
      </c>
      <c r="D413" t="s">
        <v>41</v>
      </c>
      <c r="E413">
        <v>86</v>
      </c>
      <c r="F413">
        <v>119</v>
      </c>
      <c r="G413" s="1">
        <v>800</v>
      </c>
      <c r="H413" s="1">
        <v>0</v>
      </c>
      <c r="I413" s="1">
        <v>0</v>
      </c>
      <c r="J413" s="1">
        <v>0</v>
      </c>
    </row>
    <row r="414" spans="1:10" x14ac:dyDescent="0.3">
      <c r="A414" t="s">
        <v>53</v>
      </c>
      <c r="B414" t="s">
        <v>21</v>
      </c>
      <c r="C414" t="s">
        <v>11</v>
      </c>
      <c r="D414" t="s">
        <v>41</v>
      </c>
      <c r="E414">
        <v>86</v>
      </c>
      <c r="F414">
        <v>119</v>
      </c>
      <c r="G414" s="1">
        <v>550</v>
      </c>
      <c r="H414" s="1">
        <v>550</v>
      </c>
      <c r="I414" s="1">
        <v>275</v>
      </c>
      <c r="J414" s="1">
        <v>500</v>
      </c>
    </row>
    <row r="415" spans="1:10" x14ac:dyDescent="0.3">
      <c r="A415" t="s">
        <v>53</v>
      </c>
      <c r="B415" t="s">
        <v>22</v>
      </c>
      <c r="C415" t="s">
        <v>11</v>
      </c>
      <c r="D415" t="s">
        <v>41</v>
      </c>
      <c r="E415">
        <v>86</v>
      </c>
      <c r="F415">
        <v>119</v>
      </c>
      <c r="G415" s="1">
        <v>780</v>
      </c>
      <c r="H415" s="1">
        <v>440</v>
      </c>
      <c r="I415" s="1">
        <v>528</v>
      </c>
      <c r="J415" s="1">
        <v>1200</v>
      </c>
    </row>
    <row r="416" spans="1:10" x14ac:dyDescent="0.3">
      <c r="A416" t="s">
        <v>53</v>
      </c>
      <c r="B416" t="s">
        <v>23</v>
      </c>
      <c r="C416" t="s">
        <v>11</v>
      </c>
      <c r="D416" t="s">
        <v>41</v>
      </c>
      <c r="E416">
        <v>86</v>
      </c>
      <c r="F416">
        <v>119</v>
      </c>
      <c r="G416" s="1">
        <v>840</v>
      </c>
      <c r="H416" s="1">
        <v>420</v>
      </c>
      <c r="I416" s="1">
        <v>378</v>
      </c>
      <c r="J416" s="1">
        <v>900</v>
      </c>
    </row>
    <row r="417" spans="1:10" x14ac:dyDescent="0.3">
      <c r="A417" t="s">
        <v>53</v>
      </c>
      <c r="B417" t="s">
        <v>24</v>
      </c>
      <c r="C417" t="s">
        <v>11</v>
      </c>
      <c r="D417" t="s">
        <v>41</v>
      </c>
      <c r="E417">
        <v>86</v>
      </c>
      <c r="F417">
        <v>119</v>
      </c>
      <c r="G417" s="1">
        <v>600</v>
      </c>
      <c r="H417" s="1">
        <v>400</v>
      </c>
      <c r="I417" s="1">
        <v>400</v>
      </c>
      <c r="J417" s="1">
        <v>1000</v>
      </c>
    </row>
    <row r="418" spans="1:10" x14ac:dyDescent="0.3">
      <c r="A418" t="s">
        <v>53</v>
      </c>
      <c r="B418" t="s">
        <v>25</v>
      </c>
      <c r="C418" t="s">
        <v>11</v>
      </c>
      <c r="D418" t="s">
        <v>41</v>
      </c>
      <c r="E418">
        <v>86</v>
      </c>
      <c r="F418">
        <v>119</v>
      </c>
      <c r="G418" s="1">
        <v>600</v>
      </c>
      <c r="H418" s="1">
        <v>310</v>
      </c>
      <c r="I418" s="1">
        <v>217</v>
      </c>
      <c r="J418" s="1">
        <v>700</v>
      </c>
    </row>
    <row r="419" spans="1:10" x14ac:dyDescent="0.3">
      <c r="A419" t="s">
        <v>53</v>
      </c>
      <c r="B419" t="s">
        <v>50</v>
      </c>
      <c r="C419" t="s">
        <v>11</v>
      </c>
      <c r="D419" t="s">
        <v>41</v>
      </c>
      <c r="E419">
        <v>86</v>
      </c>
      <c r="F419">
        <v>119</v>
      </c>
      <c r="G419" s="1">
        <v>150</v>
      </c>
      <c r="H419" s="1">
        <v>150</v>
      </c>
      <c r="I419" s="1">
        <v>300</v>
      </c>
      <c r="J419" s="1">
        <v>2000</v>
      </c>
    </row>
    <row r="420" spans="1:10" x14ac:dyDescent="0.3">
      <c r="A420" t="s">
        <v>53</v>
      </c>
      <c r="B420" t="s">
        <v>18</v>
      </c>
      <c r="C420" t="s">
        <v>11</v>
      </c>
      <c r="D420" t="s">
        <v>43</v>
      </c>
      <c r="E420">
        <v>86</v>
      </c>
      <c r="F420">
        <v>133</v>
      </c>
      <c r="G420" s="1">
        <v>870</v>
      </c>
      <c r="H420" s="1">
        <v>670</v>
      </c>
      <c r="I420" s="1">
        <v>1139</v>
      </c>
      <c r="J420" s="1">
        <v>1700</v>
      </c>
    </row>
    <row r="421" spans="1:10" x14ac:dyDescent="0.3">
      <c r="A421" t="s">
        <v>53</v>
      </c>
      <c r="B421" t="s">
        <v>19</v>
      </c>
      <c r="C421" t="s">
        <v>11</v>
      </c>
      <c r="D421" t="s">
        <v>43</v>
      </c>
      <c r="E421">
        <v>86</v>
      </c>
      <c r="F421">
        <v>133</v>
      </c>
      <c r="G421" s="1">
        <v>1000</v>
      </c>
      <c r="H421" s="1">
        <v>1000</v>
      </c>
      <c r="I421" s="1">
        <v>1800</v>
      </c>
      <c r="J421" s="1">
        <v>1800</v>
      </c>
    </row>
    <row r="422" spans="1:10" x14ac:dyDescent="0.3">
      <c r="A422" t="s">
        <v>53</v>
      </c>
      <c r="B422" t="s">
        <v>20</v>
      </c>
      <c r="C422" t="s">
        <v>11</v>
      </c>
      <c r="D422" t="s">
        <v>43</v>
      </c>
      <c r="E422">
        <v>86</v>
      </c>
      <c r="F422">
        <v>133</v>
      </c>
      <c r="G422" s="1">
        <v>1500</v>
      </c>
      <c r="H422" s="1">
        <v>1500</v>
      </c>
      <c r="I422" s="1">
        <v>3000</v>
      </c>
      <c r="J422" s="1">
        <v>2000</v>
      </c>
    </row>
    <row r="423" spans="1:10" x14ac:dyDescent="0.3">
      <c r="A423" t="s">
        <v>53</v>
      </c>
      <c r="B423" t="s">
        <v>21</v>
      </c>
      <c r="C423" t="s">
        <v>11</v>
      </c>
      <c r="D423" t="s">
        <v>43</v>
      </c>
      <c r="E423">
        <v>86</v>
      </c>
      <c r="F423">
        <v>133</v>
      </c>
      <c r="G423" s="1">
        <v>1500</v>
      </c>
      <c r="H423" s="1">
        <v>1350</v>
      </c>
      <c r="I423" s="1">
        <v>2025</v>
      </c>
      <c r="J423" s="1">
        <v>1500</v>
      </c>
    </row>
    <row r="424" spans="1:10" x14ac:dyDescent="0.3">
      <c r="A424" t="s">
        <v>53</v>
      </c>
      <c r="B424" t="s">
        <v>22</v>
      </c>
      <c r="C424" t="s">
        <v>11</v>
      </c>
      <c r="D424" t="s">
        <v>43</v>
      </c>
      <c r="E424">
        <v>86</v>
      </c>
      <c r="F424">
        <v>133</v>
      </c>
      <c r="G424" s="1">
        <v>2000</v>
      </c>
      <c r="H424" s="1">
        <v>2000</v>
      </c>
      <c r="I424" s="1">
        <v>3600</v>
      </c>
      <c r="J424" s="1">
        <v>1800</v>
      </c>
    </row>
    <row r="425" spans="1:10" x14ac:dyDescent="0.3">
      <c r="A425" t="s">
        <v>53</v>
      </c>
      <c r="B425" t="s">
        <v>23</v>
      </c>
      <c r="C425" t="s">
        <v>11</v>
      </c>
      <c r="D425" t="s">
        <v>43</v>
      </c>
      <c r="E425">
        <v>86</v>
      </c>
      <c r="F425">
        <v>133</v>
      </c>
      <c r="G425" s="1">
        <v>2000</v>
      </c>
      <c r="H425" s="1">
        <v>2000</v>
      </c>
      <c r="I425" s="1">
        <v>2400</v>
      </c>
      <c r="J425" s="1">
        <v>1200</v>
      </c>
    </row>
    <row r="426" spans="1:10" x14ac:dyDescent="0.3">
      <c r="A426" t="s">
        <v>53</v>
      </c>
      <c r="B426" t="s">
        <v>24</v>
      </c>
      <c r="C426" t="s">
        <v>11</v>
      </c>
      <c r="D426" t="s">
        <v>43</v>
      </c>
      <c r="E426">
        <v>86</v>
      </c>
      <c r="F426">
        <v>133</v>
      </c>
      <c r="G426" s="1">
        <v>2000</v>
      </c>
      <c r="H426" s="1">
        <v>2000</v>
      </c>
      <c r="I426" s="1">
        <v>3000</v>
      </c>
      <c r="J426" s="1">
        <v>1500</v>
      </c>
    </row>
    <row r="427" spans="1:10" x14ac:dyDescent="0.3">
      <c r="A427" t="s">
        <v>53</v>
      </c>
      <c r="B427" t="s">
        <v>25</v>
      </c>
      <c r="C427" t="s">
        <v>11</v>
      </c>
      <c r="D427" t="s">
        <v>43</v>
      </c>
      <c r="E427">
        <v>86</v>
      </c>
      <c r="F427">
        <v>133</v>
      </c>
      <c r="G427" s="1">
        <v>2000</v>
      </c>
      <c r="H427" s="1">
        <v>1965</v>
      </c>
      <c r="I427" s="1">
        <v>1572</v>
      </c>
      <c r="J427" s="1">
        <v>800</v>
      </c>
    </row>
    <row r="428" spans="1:10" x14ac:dyDescent="0.3">
      <c r="A428" t="s">
        <v>53</v>
      </c>
      <c r="B428" t="s">
        <v>50</v>
      </c>
      <c r="C428" t="s">
        <v>11</v>
      </c>
      <c r="D428" t="s">
        <v>43</v>
      </c>
      <c r="E428">
        <v>86</v>
      </c>
      <c r="F428">
        <v>133</v>
      </c>
      <c r="G428" s="1">
        <v>2000</v>
      </c>
      <c r="H428" s="1">
        <v>330</v>
      </c>
      <c r="I428" s="1">
        <v>297</v>
      </c>
      <c r="J428" s="1">
        <v>900</v>
      </c>
    </row>
    <row r="429" spans="1:10" x14ac:dyDescent="0.3">
      <c r="A429" t="s">
        <v>53</v>
      </c>
      <c r="B429" t="s">
        <v>19</v>
      </c>
      <c r="C429" t="s">
        <v>11</v>
      </c>
      <c r="D429" t="s">
        <v>44</v>
      </c>
      <c r="E429">
        <v>86</v>
      </c>
      <c r="F429">
        <v>147</v>
      </c>
      <c r="G429" s="1">
        <v>500</v>
      </c>
      <c r="H429" s="1">
        <v>500</v>
      </c>
      <c r="I429" s="1">
        <v>900</v>
      </c>
      <c r="J429" s="1">
        <v>1800</v>
      </c>
    </row>
    <row r="430" spans="1:10" x14ac:dyDescent="0.3">
      <c r="A430" t="s">
        <v>53</v>
      </c>
      <c r="B430" t="s">
        <v>20</v>
      </c>
      <c r="C430" t="s">
        <v>11</v>
      </c>
      <c r="D430" t="s">
        <v>44</v>
      </c>
      <c r="E430">
        <v>86</v>
      </c>
      <c r="F430">
        <v>147</v>
      </c>
      <c r="G430" s="1">
        <v>1000</v>
      </c>
      <c r="H430" s="1">
        <v>1000</v>
      </c>
      <c r="I430" s="1">
        <v>2000</v>
      </c>
      <c r="J430" s="1">
        <v>2000</v>
      </c>
    </row>
    <row r="431" spans="1:10" x14ac:dyDescent="0.3">
      <c r="A431" t="s">
        <v>53</v>
      </c>
      <c r="B431" t="s">
        <v>21</v>
      </c>
      <c r="C431" t="s">
        <v>11</v>
      </c>
      <c r="D431" t="s">
        <v>44</v>
      </c>
      <c r="E431">
        <v>86</v>
      </c>
      <c r="F431">
        <v>147</v>
      </c>
      <c r="G431" s="1">
        <v>1000</v>
      </c>
      <c r="H431" s="1">
        <v>900</v>
      </c>
      <c r="I431" s="1">
        <v>1350</v>
      </c>
      <c r="J431" s="1">
        <v>1500</v>
      </c>
    </row>
    <row r="432" spans="1:10" x14ac:dyDescent="0.3">
      <c r="A432" t="s">
        <v>53</v>
      </c>
      <c r="B432" t="s">
        <v>22</v>
      </c>
      <c r="C432" t="s">
        <v>11</v>
      </c>
      <c r="D432" t="s">
        <v>44</v>
      </c>
      <c r="E432">
        <v>86</v>
      </c>
      <c r="F432">
        <v>147</v>
      </c>
      <c r="G432" s="1">
        <v>2000</v>
      </c>
      <c r="H432" s="1">
        <v>2000</v>
      </c>
      <c r="I432" s="1">
        <v>3600</v>
      </c>
      <c r="J432" s="1">
        <v>1800</v>
      </c>
    </row>
    <row r="433" spans="1:10" x14ac:dyDescent="0.3">
      <c r="A433" t="s">
        <v>53</v>
      </c>
      <c r="B433" t="s">
        <v>23</v>
      </c>
      <c r="C433" t="s">
        <v>11</v>
      </c>
      <c r="D433" t="s">
        <v>44</v>
      </c>
      <c r="E433">
        <v>86</v>
      </c>
      <c r="F433">
        <v>147</v>
      </c>
      <c r="G433" s="1">
        <v>2000</v>
      </c>
      <c r="H433" s="1">
        <v>2000</v>
      </c>
      <c r="I433" s="1">
        <v>2000</v>
      </c>
      <c r="J433" s="1">
        <v>1000</v>
      </c>
    </row>
    <row r="434" spans="1:10" x14ac:dyDescent="0.3">
      <c r="A434" t="s">
        <v>53</v>
      </c>
      <c r="B434" t="s">
        <v>24</v>
      </c>
      <c r="C434" t="s">
        <v>11</v>
      </c>
      <c r="D434" t="s">
        <v>44</v>
      </c>
      <c r="E434">
        <v>86</v>
      </c>
      <c r="F434">
        <v>147</v>
      </c>
      <c r="G434" s="1">
        <v>2000</v>
      </c>
      <c r="H434" s="1">
        <v>2000</v>
      </c>
      <c r="I434" s="1">
        <v>3000</v>
      </c>
      <c r="J434" s="1">
        <v>1500</v>
      </c>
    </row>
    <row r="435" spans="1:10" x14ac:dyDescent="0.3">
      <c r="A435" t="s">
        <v>53</v>
      </c>
      <c r="B435" t="s">
        <v>25</v>
      </c>
      <c r="C435" t="s">
        <v>11</v>
      </c>
      <c r="D435" t="s">
        <v>44</v>
      </c>
      <c r="E435">
        <v>86</v>
      </c>
      <c r="F435">
        <v>147</v>
      </c>
      <c r="G435" s="1">
        <v>2000</v>
      </c>
      <c r="H435" s="1">
        <v>1950</v>
      </c>
      <c r="I435" s="1">
        <v>1755</v>
      </c>
      <c r="J435" s="1">
        <v>900</v>
      </c>
    </row>
    <row r="436" spans="1:10" x14ac:dyDescent="0.3">
      <c r="A436" t="s">
        <v>53</v>
      </c>
      <c r="B436" t="s">
        <v>50</v>
      </c>
      <c r="C436" t="s">
        <v>11</v>
      </c>
      <c r="D436" t="s">
        <v>44</v>
      </c>
      <c r="E436">
        <v>86</v>
      </c>
      <c r="F436">
        <v>147</v>
      </c>
      <c r="G436" s="1">
        <v>2000</v>
      </c>
      <c r="H436" s="1">
        <v>350</v>
      </c>
      <c r="I436" s="1">
        <v>315</v>
      </c>
      <c r="J436" s="1">
        <v>900</v>
      </c>
    </row>
    <row r="437" spans="1:10" x14ac:dyDescent="0.3">
      <c r="A437" t="s">
        <v>53</v>
      </c>
      <c r="B437" t="s">
        <v>21</v>
      </c>
      <c r="C437" t="s">
        <v>11</v>
      </c>
      <c r="D437" t="s">
        <v>51</v>
      </c>
      <c r="E437">
        <v>86</v>
      </c>
      <c r="F437">
        <v>154</v>
      </c>
      <c r="G437" s="1">
        <v>320</v>
      </c>
      <c r="H437" s="1">
        <v>320</v>
      </c>
      <c r="I437" s="1">
        <v>160</v>
      </c>
      <c r="J437" s="1">
        <v>500</v>
      </c>
    </row>
    <row r="438" spans="1:10" x14ac:dyDescent="0.3">
      <c r="A438" t="s">
        <v>53</v>
      </c>
      <c r="B438" t="s">
        <v>22</v>
      </c>
      <c r="C438" t="s">
        <v>11</v>
      </c>
      <c r="D438" t="s">
        <v>51</v>
      </c>
      <c r="E438">
        <v>86</v>
      </c>
      <c r="F438">
        <v>154</v>
      </c>
      <c r="G438" s="1">
        <v>410</v>
      </c>
      <c r="H438" s="1">
        <v>280</v>
      </c>
      <c r="I438" s="1">
        <v>392</v>
      </c>
      <c r="J438" s="1">
        <v>1400</v>
      </c>
    </row>
    <row r="439" spans="1:10" x14ac:dyDescent="0.3">
      <c r="A439" t="s">
        <v>53</v>
      </c>
      <c r="B439" t="s">
        <v>23</v>
      </c>
      <c r="C439" t="s">
        <v>11</v>
      </c>
      <c r="D439" t="s">
        <v>51</v>
      </c>
      <c r="E439">
        <v>86</v>
      </c>
      <c r="F439">
        <v>154</v>
      </c>
      <c r="G439" s="1">
        <v>410</v>
      </c>
      <c r="H439" s="1">
        <v>220</v>
      </c>
      <c r="I439" s="1">
        <v>198</v>
      </c>
      <c r="J439" s="1">
        <v>900</v>
      </c>
    </row>
    <row r="440" spans="1:10" x14ac:dyDescent="0.3">
      <c r="A440" t="s">
        <v>53</v>
      </c>
      <c r="B440" t="s">
        <v>24</v>
      </c>
      <c r="C440" t="s">
        <v>11</v>
      </c>
      <c r="D440" t="s">
        <v>51</v>
      </c>
      <c r="E440">
        <v>86</v>
      </c>
      <c r="F440">
        <v>154</v>
      </c>
      <c r="G440" s="1">
        <v>410</v>
      </c>
      <c r="H440" s="1">
        <v>410</v>
      </c>
      <c r="I440" s="1">
        <v>492</v>
      </c>
      <c r="J440" s="1">
        <v>1200</v>
      </c>
    </row>
    <row r="441" spans="1:10" x14ac:dyDescent="0.3">
      <c r="A441" t="s">
        <v>53</v>
      </c>
      <c r="B441" t="s">
        <v>25</v>
      </c>
      <c r="C441" t="s">
        <v>11</v>
      </c>
      <c r="D441" t="s">
        <v>51</v>
      </c>
      <c r="E441">
        <v>86</v>
      </c>
      <c r="F441">
        <v>154</v>
      </c>
      <c r="G441" s="1">
        <v>410</v>
      </c>
      <c r="H441" s="1">
        <v>410</v>
      </c>
      <c r="I441" s="1">
        <v>287</v>
      </c>
      <c r="J441" s="1">
        <v>700</v>
      </c>
    </row>
    <row r="442" spans="1:10" x14ac:dyDescent="0.3">
      <c r="A442" t="s">
        <v>53</v>
      </c>
      <c r="B442" t="s">
        <v>50</v>
      </c>
      <c r="C442" t="s">
        <v>11</v>
      </c>
      <c r="D442" t="s">
        <v>51</v>
      </c>
      <c r="E442">
        <v>86</v>
      </c>
      <c r="F442">
        <v>154</v>
      </c>
      <c r="G442" s="1">
        <v>120</v>
      </c>
      <c r="H442" s="1">
        <v>120</v>
      </c>
      <c r="I442" s="1">
        <v>264</v>
      </c>
      <c r="J442" s="1">
        <v>2200</v>
      </c>
    </row>
    <row r="443" spans="1:10" x14ac:dyDescent="0.3">
      <c r="A443" t="s">
        <v>54</v>
      </c>
      <c r="B443" t="s">
        <v>22</v>
      </c>
      <c r="C443" t="s">
        <v>11</v>
      </c>
      <c r="D443" t="s">
        <v>12</v>
      </c>
      <c r="E443">
        <v>86</v>
      </c>
      <c r="F443">
        <v>7</v>
      </c>
      <c r="G443" s="1">
        <v>0</v>
      </c>
      <c r="H443" s="1">
        <v>0</v>
      </c>
      <c r="I443" s="1">
        <v>0</v>
      </c>
      <c r="J443" s="1">
        <v>0</v>
      </c>
    </row>
    <row r="444" spans="1:10" x14ac:dyDescent="0.3">
      <c r="A444" t="s">
        <v>54</v>
      </c>
      <c r="B444" t="s">
        <v>23</v>
      </c>
      <c r="C444" t="s">
        <v>11</v>
      </c>
      <c r="D444" t="s">
        <v>12</v>
      </c>
      <c r="E444">
        <v>86</v>
      </c>
      <c r="F444">
        <v>7</v>
      </c>
      <c r="G444" s="1">
        <v>1550</v>
      </c>
      <c r="H444" s="1">
        <v>0</v>
      </c>
      <c r="I444" s="1">
        <v>0</v>
      </c>
      <c r="J444" s="1">
        <v>0</v>
      </c>
    </row>
    <row r="445" spans="1:10" x14ac:dyDescent="0.3">
      <c r="A445" t="s">
        <v>54</v>
      </c>
      <c r="B445" t="s">
        <v>24</v>
      </c>
      <c r="C445" t="s">
        <v>11</v>
      </c>
      <c r="D445" t="s">
        <v>12</v>
      </c>
      <c r="E445">
        <v>86</v>
      </c>
      <c r="F445">
        <v>7</v>
      </c>
      <c r="G445" s="1">
        <v>1550</v>
      </c>
      <c r="H445" s="1">
        <v>0</v>
      </c>
      <c r="I445" s="1">
        <v>0</v>
      </c>
      <c r="J445" s="1">
        <v>0</v>
      </c>
    </row>
    <row r="446" spans="1:10" x14ac:dyDescent="0.3">
      <c r="A446" t="s">
        <v>54</v>
      </c>
      <c r="B446" t="s">
        <v>25</v>
      </c>
      <c r="C446" t="s">
        <v>11</v>
      </c>
      <c r="D446" t="s">
        <v>12</v>
      </c>
      <c r="E446">
        <v>86</v>
      </c>
      <c r="F446">
        <v>7</v>
      </c>
      <c r="G446" s="1">
        <v>1550</v>
      </c>
      <c r="H446" s="1">
        <v>190</v>
      </c>
      <c r="I446" s="1">
        <v>133</v>
      </c>
      <c r="J446" s="1">
        <v>700</v>
      </c>
    </row>
    <row r="447" spans="1:10" x14ac:dyDescent="0.3">
      <c r="A447" t="s">
        <v>54</v>
      </c>
      <c r="B447" t="s">
        <v>50</v>
      </c>
      <c r="C447" t="s">
        <v>11</v>
      </c>
      <c r="D447" t="s">
        <v>12</v>
      </c>
      <c r="E447">
        <v>86</v>
      </c>
      <c r="F447">
        <v>7</v>
      </c>
      <c r="G447" s="1">
        <v>2110</v>
      </c>
      <c r="H447" s="1">
        <v>1060</v>
      </c>
      <c r="I447" s="1">
        <v>1590</v>
      </c>
      <c r="J447" s="1">
        <v>1500</v>
      </c>
    </row>
    <row r="448" spans="1:10" x14ac:dyDescent="0.3">
      <c r="A448" t="s">
        <v>54</v>
      </c>
      <c r="B448" t="s">
        <v>19</v>
      </c>
      <c r="C448" t="s">
        <v>11</v>
      </c>
      <c r="D448" t="s">
        <v>26</v>
      </c>
      <c r="E448">
        <v>86</v>
      </c>
      <c r="F448">
        <v>14</v>
      </c>
      <c r="G448" s="1">
        <v>200</v>
      </c>
      <c r="H448" s="1">
        <v>0</v>
      </c>
      <c r="I448" s="1">
        <v>0</v>
      </c>
      <c r="J448" s="1">
        <v>0</v>
      </c>
    </row>
    <row r="449" spans="1:10" x14ac:dyDescent="0.3">
      <c r="A449" t="s">
        <v>54</v>
      </c>
      <c r="B449" t="s">
        <v>20</v>
      </c>
      <c r="C449" t="s">
        <v>11</v>
      </c>
      <c r="D449" t="s">
        <v>26</v>
      </c>
      <c r="E449">
        <v>86</v>
      </c>
      <c r="F449">
        <v>14</v>
      </c>
      <c r="G449" s="1">
        <v>5500</v>
      </c>
      <c r="H449" s="1">
        <v>0</v>
      </c>
      <c r="I449" s="1">
        <v>0</v>
      </c>
      <c r="J449" s="1">
        <v>0</v>
      </c>
    </row>
    <row r="450" spans="1:10" x14ac:dyDescent="0.3">
      <c r="A450" t="s">
        <v>54</v>
      </c>
      <c r="B450" t="s">
        <v>21</v>
      </c>
      <c r="C450" t="s">
        <v>11</v>
      </c>
      <c r="D450" t="s">
        <v>26</v>
      </c>
      <c r="E450">
        <v>86</v>
      </c>
      <c r="F450">
        <v>14</v>
      </c>
      <c r="G450" s="1">
        <v>5500</v>
      </c>
      <c r="H450" s="1">
        <v>0</v>
      </c>
      <c r="I450" s="1">
        <v>0</v>
      </c>
      <c r="J450" s="1">
        <v>0</v>
      </c>
    </row>
    <row r="451" spans="1:10" x14ac:dyDescent="0.3">
      <c r="A451" t="s">
        <v>54</v>
      </c>
      <c r="B451" t="s">
        <v>22</v>
      </c>
      <c r="C451" t="s">
        <v>11</v>
      </c>
      <c r="D451" t="s">
        <v>26</v>
      </c>
      <c r="E451">
        <v>86</v>
      </c>
      <c r="F451">
        <v>14</v>
      </c>
      <c r="G451" s="1">
        <v>7700</v>
      </c>
      <c r="H451" s="1">
        <v>0</v>
      </c>
      <c r="I451" s="1">
        <v>0</v>
      </c>
      <c r="J451" s="1">
        <v>0</v>
      </c>
    </row>
    <row r="452" spans="1:10" x14ac:dyDescent="0.3">
      <c r="A452" t="s">
        <v>54</v>
      </c>
      <c r="B452" t="s">
        <v>23</v>
      </c>
      <c r="C452" t="s">
        <v>11</v>
      </c>
      <c r="D452" t="s">
        <v>26</v>
      </c>
      <c r="E452">
        <v>86</v>
      </c>
      <c r="F452">
        <v>14</v>
      </c>
      <c r="G452" s="1">
        <v>6100</v>
      </c>
      <c r="H452" s="1">
        <v>0</v>
      </c>
      <c r="I452" s="1">
        <v>0</v>
      </c>
      <c r="J452" s="1">
        <v>0</v>
      </c>
    </row>
    <row r="453" spans="1:10" x14ac:dyDescent="0.3">
      <c r="A453" t="s">
        <v>54</v>
      </c>
      <c r="B453" t="s">
        <v>24</v>
      </c>
      <c r="C453" t="s">
        <v>11</v>
      </c>
      <c r="D453" t="s">
        <v>26</v>
      </c>
      <c r="E453">
        <v>86</v>
      </c>
      <c r="F453">
        <v>14</v>
      </c>
      <c r="G453" s="1">
        <v>6100</v>
      </c>
      <c r="H453" s="1">
        <v>0</v>
      </c>
      <c r="I453" s="1">
        <v>0</v>
      </c>
      <c r="J453" s="1">
        <v>0</v>
      </c>
    </row>
    <row r="454" spans="1:10" x14ac:dyDescent="0.3">
      <c r="A454" t="s">
        <v>54</v>
      </c>
      <c r="B454" t="s">
        <v>25</v>
      </c>
      <c r="C454" t="s">
        <v>11</v>
      </c>
      <c r="D454" t="s">
        <v>26</v>
      </c>
      <c r="E454">
        <v>86</v>
      </c>
      <c r="F454">
        <v>14</v>
      </c>
      <c r="G454" s="1">
        <v>7100</v>
      </c>
      <c r="H454" s="1">
        <v>350</v>
      </c>
      <c r="I454" s="1">
        <v>245</v>
      </c>
      <c r="J454" s="1">
        <v>700</v>
      </c>
    </row>
    <row r="455" spans="1:10" x14ac:dyDescent="0.3">
      <c r="A455" t="s">
        <v>54</v>
      </c>
      <c r="B455" t="s">
        <v>50</v>
      </c>
      <c r="C455" t="s">
        <v>11</v>
      </c>
      <c r="D455" t="s">
        <v>26</v>
      </c>
      <c r="E455">
        <v>86</v>
      </c>
      <c r="F455">
        <v>14</v>
      </c>
      <c r="G455" s="1">
        <v>6620</v>
      </c>
      <c r="H455" s="1">
        <v>2060</v>
      </c>
      <c r="I455" s="1">
        <v>3708</v>
      </c>
      <c r="J455" s="1">
        <v>1800</v>
      </c>
    </row>
    <row r="456" spans="1:10" x14ac:dyDescent="0.3">
      <c r="A456" t="s">
        <v>54</v>
      </c>
      <c r="B456" t="s">
        <v>21</v>
      </c>
      <c r="C456" t="s">
        <v>11</v>
      </c>
      <c r="D456" t="s">
        <v>29</v>
      </c>
      <c r="E456">
        <v>86</v>
      </c>
      <c r="F456">
        <v>35</v>
      </c>
      <c r="G456" s="1">
        <v>600</v>
      </c>
      <c r="H456" s="1">
        <v>600</v>
      </c>
      <c r="I456" s="1">
        <v>1080</v>
      </c>
      <c r="J456" s="1">
        <v>1800</v>
      </c>
    </row>
    <row r="457" spans="1:10" x14ac:dyDescent="0.3">
      <c r="A457" t="s">
        <v>54</v>
      </c>
      <c r="B457" t="s">
        <v>22</v>
      </c>
      <c r="C457" t="s">
        <v>11</v>
      </c>
      <c r="D457" t="s">
        <v>29</v>
      </c>
      <c r="E457">
        <v>86</v>
      </c>
      <c r="F457">
        <v>35</v>
      </c>
      <c r="G457" s="1">
        <v>600</v>
      </c>
      <c r="H457" s="1">
        <v>600</v>
      </c>
      <c r="I457" s="1">
        <v>1080</v>
      </c>
      <c r="J457" s="1">
        <v>1800</v>
      </c>
    </row>
    <row r="458" spans="1:10" x14ac:dyDescent="0.3">
      <c r="A458" t="s">
        <v>54</v>
      </c>
      <c r="B458" t="s">
        <v>23</v>
      </c>
      <c r="C458" t="s">
        <v>11</v>
      </c>
      <c r="D458" t="s">
        <v>29</v>
      </c>
      <c r="E458">
        <v>86</v>
      </c>
      <c r="F458">
        <v>35</v>
      </c>
      <c r="G458" s="1">
        <v>600</v>
      </c>
      <c r="H458" s="1">
        <v>600</v>
      </c>
      <c r="I458" s="1">
        <v>1200</v>
      </c>
      <c r="J458" s="1">
        <v>2000</v>
      </c>
    </row>
    <row r="459" spans="1:10" x14ac:dyDescent="0.3">
      <c r="A459" t="s">
        <v>54</v>
      </c>
      <c r="B459" t="s">
        <v>24</v>
      </c>
      <c r="C459" t="s">
        <v>11</v>
      </c>
      <c r="D459" t="s">
        <v>29</v>
      </c>
      <c r="E459">
        <v>86</v>
      </c>
      <c r="F459">
        <v>35</v>
      </c>
      <c r="G459" s="1">
        <v>500</v>
      </c>
      <c r="H459" s="1">
        <v>500</v>
      </c>
      <c r="I459" s="1">
        <v>900</v>
      </c>
      <c r="J459" s="1">
        <v>1800</v>
      </c>
    </row>
    <row r="460" spans="1:10" x14ac:dyDescent="0.3">
      <c r="A460" t="s">
        <v>54</v>
      </c>
      <c r="B460" t="s">
        <v>25</v>
      </c>
      <c r="C460" t="s">
        <v>11</v>
      </c>
      <c r="D460" t="s">
        <v>29</v>
      </c>
      <c r="E460">
        <v>86</v>
      </c>
      <c r="F460">
        <v>35</v>
      </c>
      <c r="G460" s="1">
        <v>500</v>
      </c>
      <c r="H460" s="1">
        <v>490</v>
      </c>
      <c r="I460" s="1">
        <v>441</v>
      </c>
      <c r="J460" s="1">
        <v>900</v>
      </c>
    </row>
    <row r="461" spans="1:10" x14ac:dyDescent="0.3">
      <c r="A461" t="s">
        <v>54</v>
      </c>
      <c r="B461" t="s">
        <v>50</v>
      </c>
      <c r="C461" t="s">
        <v>11</v>
      </c>
      <c r="D461" t="s">
        <v>29</v>
      </c>
      <c r="E461">
        <v>86</v>
      </c>
      <c r="F461">
        <v>35</v>
      </c>
      <c r="G461" s="1">
        <v>500</v>
      </c>
      <c r="H461" s="1">
        <v>25</v>
      </c>
      <c r="I461" s="1">
        <v>25</v>
      </c>
      <c r="J461" s="1">
        <v>1000</v>
      </c>
    </row>
    <row r="462" spans="1:10" x14ac:dyDescent="0.3">
      <c r="A462" t="s">
        <v>54</v>
      </c>
      <c r="B462" t="s">
        <v>18</v>
      </c>
      <c r="C462" t="s">
        <v>11</v>
      </c>
      <c r="D462" t="s">
        <v>30</v>
      </c>
      <c r="E462">
        <v>86</v>
      </c>
      <c r="F462">
        <v>42</v>
      </c>
      <c r="G462" s="1">
        <v>180</v>
      </c>
      <c r="H462" s="1">
        <v>0</v>
      </c>
      <c r="I462" s="1">
        <v>0</v>
      </c>
      <c r="J462" s="1">
        <v>0</v>
      </c>
    </row>
    <row r="463" spans="1:10" x14ac:dyDescent="0.3">
      <c r="A463" t="s">
        <v>54</v>
      </c>
      <c r="B463" t="s">
        <v>19</v>
      </c>
      <c r="C463" t="s">
        <v>11</v>
      </c>
      <c r="D463" t="s">
        <v>30</v>
      </c>
      <c r="E463">
        <v>86</v>
      </c>
      <c r="F463">
        <v>42</v>
      </c>
      <c r="G463" s="1">
        <v>200</v>
      </c>
      <c r="H463" s="1">
        <v>0</v>
      </c>
      <c r="I463" s="1">
        <v>0</v>
      </c>
      <c r="J463" s="1">
        <v>0</v>
      </c>
    </row>
    <row r="464" spans="1:10" x14ac:dyDescent="0.3">
      <c r="A464" t="s">
        <v>54</v>
      </c>
      <c r="B464" t="s">
        <v>21</v>
      </c>
      <c r="C464" t="s">
        <v>11</v>
      </c>
      <c r="D464" t="s">
        <v>30</v>
      </c>
      <c r="E464">
        <v>86</v>
      </c>
      <c r="F464">
        <v>42</v>
      </c>
      <c r="G464" s="1">
        <v>500</v>
      </c>
      <c r="H464" s="1">
        <v>0</v>
      </c>
      <c r="I464" s="1">
        <v>0</v>
      </c>
      <c r="J464" s="1">
        <v>0</v>
      </c>
    </row>
    <row r="465" spans="1:10" x14ac:dyDescent="0.3">
      <c r="A465" t="s">
        <v>54</v>
      </c>
      <c r="B465" t="s">
        <v>22</v>
      </c>
      <c r="C465" t="s">
        <v>11</v>
      </c>
      <c r="D465" t="s">
        <v>30</v>
      </c>
      <c r="E465">
        <v>86</v>
      </c>
      <c r="F465">
        <v>42</v>
      </c>
      <c r="G465" s="1">
        <v>1750</v>
      </c>
      <c r="H465" s="1">
        <v>0</v>
      </c>
      <c r="I465" s="1">
        <v>0</v>
      </c>
      <c r="J465" s="1">
        <v>0</v>
      </c>
    </row>
    <row r="466" spans="1:10" x14ac:dyDescent="0.3">
      <c r="A466" t="s">
        <v>54</v>
      </c>
      <c r="B466" t="s">
        <v>23</v>
      </c>
      <c r="C466" t="s">
        <v>11</v>
      </c>
      <c r="D466" t="s">
        <v>30</v>
      </c>
      <c r="E466">
        <v>86</v>
      </c>
      <c r="F466">
        <v>42</v>
      </c>
      <c r="G466" s="1">
        <v>1500</v>
      </c>
      <c r="H466" s="1">
        <v>0</v>
      </c>
      <c r="I466" s="1">
        <v>0</v>
      </c>
      <c r="J466" s="1">
        <v>0</v>
      </c>
    </row>
    <row r="467" spans="1:10" x14ac:dyDescent="0.3">
      <c r="A467" t="s">
        <v>54</v>
      </c>
      <c r="B467" t="s">
        <v>24</v>
      </c>
      <c r="C467" t="s">
        <v>11</v>
      </c>
      <c r="D467" t="s">
        <v>30</v>
      </c>
      <c r="E467">
        <v>86</v>
      </c>
      <c r="F467">
        <v>42</v>
      </c>
      <c r="G467" s="1">
        <v>1500</v>
      </c>
      <c r="H467" s="1">
        <v>80</v>
      </c>
      <c r="I467" s="1">
        <v>80</v>
      </c>
      <c r="J467" s="1">
        <v>1000</v>
      </c>
    </row>
    <row r="468" spans="1:10" x14ac:dyDescent="0.3">
      <c r="A468" t="s">
        <v>54</v>
      </c>
      <c r="B468" t="s">
        <v>25</v>
      </c>
      <c r="C468" t="s">
        <v>11</v>
      </c>
      <c r="D468" t="s">
        <v>30</v>
      </c>
      <c r="E468">
        <v>86</v>
      </c>
      <c r="F468">
        <v>42</v>
      </c>
      <c r="G468" s="1">
        <v>1750</v>
      </c>
      <c r="H468" s="1">
        <v>170</v>
      </c>
      <c r="I468" s="1">
        <v>119</v>
      </c>
      <c r="J468" s="1">
        <v>700</v>
      </c>
    </row>
    <row r="469" spans="1:10" x14ac:dyDescent="0.3">
      <c r="A469" t="s">
        <v>54</v>
      </c>
      <c r="B469" t="s">
        <v>50</v>
      </c>
      <c r="C469" t="s">
        <v>11</v>
      </c>
      <c r="D469" t="s">
        <v>30</v>
      </c>
      <c r="E469">
        <v>86</v>
      </c>
      <c r="F469">
        <v>42</v>
      </c>
      <c r="G469" s="1">
        <v>2670</v>
      </c>
      <c r="H469" s="1">
        <v>1460</v>
      </c>
      <c r="I469" s="1">
        <v>2190</v>
      </c>
      <c r="J469" s="1">
        <v>1500</v>
      </c>
    </row>
    <row r="470" spans="1:10" x14ac:dyDescent="0.3">
      <c r="A470" t="s">
        <v>54</v>
      </c>
      <c r="B470" t="s">
        <v>21</v>
      </c>
      <c r="C470" t="s">
        <v>11</v>
      </c>
      <c r="D470" t="s">
        <v>31</v>
      </c>
      <c r="E470">
        <v>86</v>
      </c>
      <c r="F470">
        <v>49</v>
      </c>
      <c r="G470" s="1">
        <v>2500</v>
      </c>
      <c r="H470" s="1">
        <v>2500</v>
      </c>
      <c r="I470" s="1">
        <v>4500</v>
      </c>
      <c r="J470" s="1">
        <v>1800</v>
      </c>
    </row>
    <row r="471" spans="1:10" x14ac:dyDescent="0.3">
      <c r="A471" t="s">
        <v>54</v>
      </c>
      <c r="B471" t="s">
        <v>22</v>
      </c>
      <c r="C471" t="s">
        <v>11</v>
      </c>
      <c r="D471" t="s">
        <v>31</v>
      </c>
      <c r="E471">
        <v>86</v>
      </c>
      <c r="F471">
        <v>49</v>
      </c>
      <c r="G471" s="1">
        <v>2500</v>
      </c>
      <c r="H471" s="1">
        <v>2500</v>
      </c>
      <c r="I471" s="1">
        <v>4500</v>
      </c>
      <c r="J471" s="1">
        <v>1800</v>
      </c>
    </row>
    <row r="472" spans="1:10" x14ac:dyDescent="0.3">
      <c r="A472" t="s">
        <v>54</v>
      </c>
      <c r="B472" t="s">
        <v>18</v>
      </c>
      <c r="C472" t="s">
        <v>11</v>
      </c>
      <c r="D472" t="s">
        <v>35</v>
      </c>
      <c r="E472">
        <v>86</v>
      </c>
      <c r="F472">
        <v>77</v>
      </c>
      <c r="G472" s="1">
        <v>240</v>
      </c>
      <c r="H472" s="1">
        <v>0</v>
      </c>
      <c r="I472" s="1">
        <v>0</v>
      </c>
      <c r="J472" s="1">
        <v>0</v>
      </c>
    </row>
    <row r="473" spans="1:10" x14ac:dyDescent="0.3">
      <c r="A473" t="s">
        <v>54</v>
      </c>
      <c r="B473" t="s">
        <v>19</v>
      </c>
      <c r="C473" t="s">
        <v>11</v>
      </c>
      <c r="D473" t="s">
        <v>35</v>
      </c>
      <c r="E473">
        <v>86</v>
      </c>
      <c r="F473">
        <v>77</v>
      </c>
      <c r="G473" s="1">
        <v>550</v>
      </c>
      <c r="H473" s="1">
        <v>0</v>
      </c>
      <c r="I473" s="1">
        <v>0</v>
      </c>
      <c r="J473" s="1">
        <v>0</v>
      </c>
    </row>
    <row r="474" spans="1:10" x14ac:dyDescent="0.3">
      <c r="A474" t="s">
        <v>54</v>
      </c>
      <c r="B474" t="s">
        <v>20</v>
      </c>
      <c r="C474" t="s">
        <v>11</v>
      </c>
      <c r="D474" t="s">
        <v>35</v>
      </c>
      <c r="E474">
        <v>86</v>
      </c>
      <c r="F474">
        <v>77</v>
      </c>
      <c r="G474" s="1">
        <v>700</v>
      </c>
      <c r="H474" s="1">
        <v>0</v>
      </c>
      <c r="I474" s="1">
        <v>0</v>
      </c>
      <c r="J474" s="1">
        <v>0</v>
      </c>
    </row>
    <row r="475" spans="1:10" x14ac:dyDescent="0.3">
      <c r="A475" t="s">
        <v>54</v>
      </c>
      <c r="B475" t="s">
        <v>21</v>
      </c>
      <c r="C475" t="s">
        <v>11</v>
      </c>
      <c r="D475" t="s">
        <v>35</v>
      </c>
      <c r="E475">
        <v>86</v>
      </c>
      <c r="F475">
        <v>77</v>
      </c>
      <c r="G475" s="1">
        <v>700</v>
      </c>
      <c r="H475" s="1">
        <v>0</v>
      </c>
      <c r="I475" s="1">
        <v>0</v>
      </c>
      <c r="J475" s="1">
        <v>0</v>
      </c>
    </row>
    <row r="476" spans="1:10" x14ac:dyDescent="0.3">
      <c r="A476" t="s">
        <v>54</v>
      </c>
      <c r="B476" t="s">
        <v>22</v>
      </c>
      <c r="C476" t="s">
        <v>11</v>
      </c>
      <c r="D476" t="s">
        <v>35</v>
      </c>
      <c r="E476">
        <v>86</v>
      </c>
      <c r="F476">
        <v>77</v>
      </c>
      <c r="G476" s="1">
        <v>1850</v>
      </c>
      <c r="H476" s="1">
        <v>0</v>
      </c>
      <c r="I476" s="1">
        <v>0</v>
      </c>
      <c r="J476" s="1">
        <v>0</v>
      </c>
    </row>
    <row r="477" spans="1:10" x14ac:dyDescent="0.3">
      <c r="A477" t="s">
        <v>54</v>
      </c>
      <c r="B477" t="s">
        <v>23</v>
      </c>
      <c r="C477" t="s">
        <v>11</v>
      </c>
      <c r="D477" t="s">
        <v>35</v>
      </c>
      <c r="E477">
        <v>86</v>
      </c>
      <c r="F477">
        <v>77</v>
      </c>
      <c r="G477" s="1">
        <v>2250</v>
      </c>
      <c r="H477" s="1">
        <v>0</v>
      </c>
      <c r="I477" s="1">
        <v>0</v>
      </c>
      <c r="J477" s="1">
        <v>0</v>
      </c>
    </row>
    <row r="478" spans="1:10" x14ac:dyDescent="0.3">
      <c r="A478" t="s">
        <v>54</v>
      </c>
      <c r="B478" t="s">
        <v>24</v>
      </c>
      <c r="C478" t="s">
        <v>11</v>
      </c>
      <c r="D478" t="s">
        <v>35</v>
      </c>
      <c r="E478">
        <v>86</v>
      </c>
      <c r="F478">
        <v>77</v>
      </c>
      <c r="G478" s="1">
        <v>2250</v>
      </c>
      <c r="H478" s="1">
        <v>110</v>
      </c>
      <c r="I478" s="1">
        <v>110</v>
      </c>
      <c r="J478" s="1">
        <v>1000</v>
      </c>
    </row>
    <row r="479" spans="1:10" x14ac:dyDescent="0.3">
      <c r="A479" t="s">
        <v>54</v>
      </c>
      <c r="B479" t="s">
        <v>25</v>
      </c>
      <c r="C479" t="s">
        <v>11</v>
      </c>
      <c r="D479" t="s">
        <v>35</v>
      </c>
      <c r="E479">
        <v>86</v>
      </c>
      <c r="F479">
        <v>77</v>
      </c>
      <c r="G479" s="1">
        <v>2600</v>
      </c>
      <c r="H479" s="1">
        <v>250</v>
      </c>
      <c r="I479" s="1">
        <v>175</v>
      </c>
      <c r="J479" s="1">
        <v>700</v>
      </c>
    </row>
    <row r="480" spans="1:10" x14ac:dyDescent="0.3">
      <c r="A480" t="s">
        <v>54</v>
      </c>
      <c r="B480" t="s">
        <v>50</v>
      </c>
      <c r="C480" t="s">
        <v>11</v>
      </c>
      <c r="D480" t="s">
        <v>35</v>
      </c>
      <c r="E480">
        <v>86</v>
      </c>
      <c r="F480">
        <v>77</v>
      </c>
      <c r="G480" s="1">
        <v>4199</v>
      </c>
      <c r="H480" s="1">
        <v>2389</v>
      </c>
      <c r="I480" s="1">
        <v>4300</v>
      </c>
      <c r="J480" s="1">
        <v>1800</v>
      </c>
    </row>
    <row r="481" spans="1:10" x14ac:dyDescent="0.3">
      <c r="A481" t="s">
        <v>54</v>
      </c>
      <c r="B481" t="s">
        <v>21</v>
      </c>
      <c r="C481" t="s">
        <v>11</v>
      </c>
      <c r="D481" t="s">
        <v>37</v>
      </c>
      <c r="E481">
        <v>86</v>
      </c>
      <c r="F481">
        <v>91</v>
      </c>
      <c r="G481" s="1">
        <v>250</v>
      </c>
      <c r="H481" s="1">
        <v>250</v>
      </c>
      <c r="I481" s="1">
        <v>375</v>
      </c>
      <c r="J481" s="1">
        <v>1500</v>
      </c>
    </row>
    <row r="482" spans="1:10" x14ac:dyDescent="0.3">
      <c r="A482" t="s">
        <v>54</v>
      </c>
      <c r="B482" t="s">
        <v>22</v>
      </c>
      <c r="C482" t="s">
        <v>11</v>
      </c>
      <c r="D482" t="s">
        <v>37</v>
      </c>
      <c r="E482">
        <v>86</v>
      </c>
      <c r="F482">
        <v>91</v>
      </c>
      <c r="G482" s="1">
        <v>250</v>
      </c>
      <c r="H482" s="1">
        <v>250</v>
      </c>
      <c r="I482" s="1">
        <v>450</v>
      </c>
      <c r="J482" s="1">
        <v>1800</v>
      </c>
    </row>
    <row r="483" spans="1:10" x14ac:dyDescent="0.3">
      <c r="A483" t="s">
        <v>54</v>
      </c>
      <c r="B483" t="s">
        <v>23</v>
      </c>
      <c r="C483" t="s">
        <v>11</v>
      </c>
      <c r="D483" t="s">
        <v>37</v>
      </c>
      <c r="E483">
        <v>86</v>
      </c>
      <c r="F483">
        <v>91</v>
      </c>
      <c r="G483" s="1">
        <v>500</v>
      </c>
      <c r="H483" s="1">
        <v>500</v>
      </c>
      <c r="I483" s="1">
        <v>500</v>
      </c>
      <c r="J483" s="1">
        <v>1000</v>
      </c>
    </row>
    <row r="484" spans="1:10" x14ac:dyDescent="0.3">
      <c r="A484" t="s">
        <v>54</v>
      </c>
      <c r="B484" t="s">
        <v>24</v>
      </c>
      <c r="C484" t="s">
        <v>11</v>
      </c>
      <c r="D484" t="s">
        <v>37</v>
      </c>
      <c r="E484">
        <v>86</v>
      </c>
      <c r="F484">
        <v>91</v>
      </c>
      <c r="G484" s="1">
        <v>1000</v>
      </c>
      <c r="H484" s="1">
        <v>1000</v>
      </c>
      <c r="I484" s="1">
        <v>1800</v>
      </c>
      <c r="J484" s="1">
        <v>1800</v>
      </c>
    </row>
    <row r="485" spans="1:10" x14ac:dyDescent="0.3">
      <c r="A485" t="s">
        <v>54</v>
      </c>
      <c r="B485" t="s">
        <v>25</v>
      </c>
      <c r="C485" t="s">
        <v>11</v>
      </c>
      <c r="D485" t="s">
        <v>37</v>
      </c>
      <c r="E485">
        <v>86</v>
      </c>
      <c r="F485">
        <v>91</v>
      </c>
      <c r="G485" s="1">
        <v>1000</v>
      </c>
      <c r="H485" s="1">
        <v>950</v>
      </c>
      <c r="I485" s="1">
        <v>855</v>
      </c>
      <c r="J485" s="1">
        <v>900</v>
      </c>
    </row>
    <row r="486" spans="1:10" x14ac:dyDescent="0.3">
      <c r="A486" t="s">
        <v>54</v>
      </c>
      <c r="B486" t="s">
        <v>50</v>
      </c>
      <c r="C486" t="s">
        <v>11</v>
      </c>
      <c r="D486" t="s">
        <v>37</v>
      </c>
      <c r="E486">
        <v>86</v>
      </c>
      <c r="F486">
        <v>91</v>
      </c>
      <c r="G486" s="1">
        <v>1300</v>
      </c>
      <c r="H486" s="1">
        <v>350</v>
      </c>
      <c r="I486" s="1">
        <v>315</v>
      </c>
      <c r="J486" s="1">
        <v>900</v>
      </c>
    </row>
    <row r="487" spans="1:10" x14ac:dyDescent="0.3">
      <c r="A487" t="s">
        <v>54</v>
      </c>
      <c r="B487" t="s">
        <v>21</v>
      </c>
      <c r="C487" t="s">
        <v>11</v>
      </c>
      <c r="D487" t="s">
        <v>38</v>
      </c>
      <c r="E487">
        <v>86</v>
      </c>
      <c r="F487">
        <v>98</v>
      </c>
      <c r="G487" s="1">
        <v>900</v>
      </c>
      <c r="H487" s="1">
        <v>0</v>
      </c>
      <c r="I487" s="1">
        <v>0</v>
      </c>
      <c r="J487" s="1">
        <v>0</v>
      </c>
    </row>
    <row r="488" spans="1:10" x14ac:dyDescent="0.3">
      <c r="A488" t="s">
        <v>54</v>
      </c>
      <c r="B488" t="s">
        <v>22</v>
      </c>
      <c r="C488" t="s">
        <v>11</v>
      </c>
      <c r="D488" t="s">
        <v>38</v>
      </c>
      <c r="E488">
        <v>86</v>
      </c>
      <c r="F488">
        <v>98</v>
      </c>
      <c r="G488" s="1">
        <v>3260</v>
      </c>
      <c r="H488" s="1">
        <v>0</v>
      </c>
      <c r="I488" s="1">
        <v>0</v>
      </c>
      <c r="J488" s="1">
        <v>0</v>
      </c>
    </row>
    <row r="489" spans="1:10" x14ac:dyDescent="0.3">
      <c r="A489" t="s">
        <v>54</v>
      </c>
      <c r="B489" t="s">
        <v>23</v>
      </c>
      <c r="C489" t="s">
        <v>11</v>
      </c>
      <c r="D489" t="s">
        <v>38</v>
      </c>
      <c r="E489">
        <v>86</v>
      </c>
      <c r="F489">
        <v>98</v>
      </c>
      <c r="G489" s="1">
        <v>2980</v>
      </c>
      <c r="H489" s="1">
        <v>0</v>
      </c>
      <c r="I489" s="1">
        <v>0</v>
      </c>
      <c r="J489" s="1">
        <v>0</v>
      </c>
    </row>
    <row r="490" spans="1:10" x14ac:dyDescent="0.3">
      <c r="A490" t="s">
        <v>54</v>
      </c>
      <c r="B490" t="s">
        <v>24</v>
      </c>
      <c r="C490" t="s">
        <v>11</v>
      </c>
      <c r="D490" t="s">
        <v>38</v>
      </c>
      <c r="E490">
        <v>86</v>
      </c>
      <c r="F490">
        <v>98</v>
      </c>
      <c r="G490" s="1">
        <v>2980</v>
      </c>
      <c r="H490" s="1">
        <v>130</v>
      </c>
      <c r="I490" s="1">
        <v>130</v>
      </c>
      <c r="J490" s="1">
        <v>1000</v>
      </c>
    </row>
    <row r="491" spans="1:10" x14ac:dyDescent="0.3">
      <c r="A491" t="s">
        <v>54</v>
      </c>
      <c r="B491" t="s">
        <v>25</v>
      </c>
      <c r="C491" t="s">
        <v>11</v>
      </c>
      <c r="D491" t="s">
        <v>38</v>
      </c>
      <c r="E491">
        <v>86</v>
      </c>
      <c r="F491">
        <v>98</v>
      </c>
      <c r="G491" s="1">
        <v>3500</v>
      </c>
      <c r="H491" s="1">
        <v>340</v>
      </c>
      <c r="I491" s="1">
        <v>204</v>
      </c>
      <c r="J491" s="1">
        <v>600</v>
      </c>
    </row>
    <row r="492" spans="1:10" x14ac:dyDescent="0.3">
      <c r="A492" t="s">
        <v>54</v>
      </c>
      <c r="B492" t="s">
        <v>50</v>
      </c>
      <c r="C492" t="s">
        <v>11</v>
      </c>
      <c r="D492" t="s">
        <v>38</v>
      </c>
      <c r="E492">
        <v>86</v>
      </c>
      <c r="F492">
        <v>98</v>
      </c>
      <c r="G492" s="1">
        <v>4330</v>
      </c>
      <c r="H492" s="1">
        <v>1880</v>
      </c>
      <c r="I492" s="1">
        <v>3384</v>
      </c>
      <c r="J492" s="1">
        <v>1800</v>
      </c>
    </row>
    <row r="493" spans="1:10" x14ac:dyDescent="0.3">
      <c r="A493" t="s">
        <v>54</v>
      </c>
      <c r="B493" t="s">
        <v>18</v>
      </c>
      <c r="C493" t="s">
        <v>11</v>
      </c>
      <c r="D493" t="s">
        <v>41</v>
      </c>
      <c r="E493">
        <v>86</v>
      </c>
      <c r="F493">
        <v>119</v>
      </c>
      <c r="G493" s="1">
        <v>280</v>
      </c>
      <c r="H493" s="1">
        <v>0</v>
      </c>
      <c r="I493" s="1">
        <v>0</v>
      </c>
      <c r="J493" s="1">
        <v>0</v>
      </c>
    </row>
    <row r="494" spans="1:10" x14ac:dyDescent="0.3">
      <c r="A494" t="s">
        <v>54</v>
      </c>
      <c r="B494" t="s">
        <v>19</v>
      </c>
      <c r="C494" t="s">
        <v>11</v>
      </c>
      <c r="D494" t="s">
        <v>41</v>
      </c>
      <c r="E494">
        <v>86</v>
      </c>
      <c r="F494">
        <v>119</v>
      </c>
      <c r="G494" s="1">
        <v>650</v>
      </c>
      <c r="H494" s="1">
        <v>0</v>
      </c>
      <c r="I494" s="1">
        <v>0</v>
      </c>
      <c r="J494" s="1">
        <v>0</v>
      </c>
    </row>
    <row r="495" spans="1:10" x14ac:dyDescent="0.3">
      <c r="A495" t="s">
        <v>54</v>
      </c>
      <c r="B495" t="s">
        <v>20</v>
      </c>
      <c r="C495" t="s">
        <v>11</v>
      </c>
      <c r="D495" t="s">
        <v>41</v>
      </c>
      <c r="E495">
        <v>86</v>
      </c>
      <c r="F495">
        <v>119</v>
      </c>
      <c r="G495" s="1">
        <v>8200</v>
      </c>
      <c r="H495" s="1">
        <v>0</v>
      </c>
      <c r="I495" s="1">
        <v>0</v>
      </c>
      <c r="J495" s="1">
        <v>0</v>
      </c>
    </row>
    <row r="496" spans="1:10" x14ac:dyDescent="0.3">
      <c r="A496" t="s">
        <v>54</v>
      </c>
      <c r="B496" t="s">
        <v>21</v>
      </c>
      <c r="C496" t="s">
        <v>11</v>
      </c>
      <c r="D496" t="s">
        <v>41</v>
      </c>
      <c r="E496">
        <v>86</v>
      </c>
      <c r="F496">
        <v>119</v>
      </c>
      <c r="G496" s="1">
        <v>9300</v>
      </c>
      <c r="H496" s="1">
        <v>0</v>
      </c>
      <c r="I496" s="1">
        <v>0</v>
      </c>
      <c r="J496" s="1">
        <v>0</v>
      </c>
    </row>
    <row r="497" spans="1:10" x14ac:dyDescent="0.3">
      <c r="A497" t="s">
        <v>54</v>
      </c>
      <c r="B497" t="s">
        <v>22</v>
      </c>
      <c r="C497" t="s">
        <v>11</v>
      </c>
      <c r="D497" t="s">
        <v>41</v>
      </c>
      <c r="E497">
        <v>86</v>
      </c>
      <c r="F497">
        <v>119</v>
      </c>
      <c r="G497" s="1">
        <v>15150</v>
      </c>
      <c r="H497" s="1">
        <v>0</v>
      </c>
      <c r="I497" s="1">
        <v>0</v>
      </c>
      <c r="J497" s="1">
        <v>0</v>
      </c>
    </row>
    <row r="498" spans="1:10" x14ac:dyDescent="0.3">
      <c r="A498" t="s">
        <v>54</v>
      </c>
      <c r="B498" t="s">
        <v>23</v>
      </c>
      <c r="C498" t="s">
        <v>11</v>
      </c>
      <c r="D498" t="s">
        <v>41</v>
      </c>
      <c r="E498">
        <v>86</v>
      </c>
      <c r="F498">
        <v>119</v>
      </c>
      <c r="G498" s="1">
        <v>11870</v>
      </c>
      <c r="H498" s="1">
        <v>0</v>
      </c>
      <c r="I498" s="1">
        <v>0</v>
      </c>
      <c r="J498" s="1">
        <v>0</v>
      </c>
    </row>
    <row r="499" spans="1:10" x14ac:dyDescent="0.3">
      <c r="A499" t="s">
        <v>54</v>
      </c>
      <c r="B499" t="s">
        <v>24</v>
      </c>
      <c r="C499" t="s">
        <v>11</v>
      </c>
      <c r="D499" t="s">
        <v>41</v>
      </c>
      <c r="E499">
        <v>86</v>
      </c>
      <c r="F499">
        <v>119</v>
      </c>
      <c r="G499" s="1">
        <v>11870</v>
      </c>
      <c r="H499" s="1">
        <v>710</v>
      </c>
      <c r="I499" s="1">
        <v>710</v>
      </c>
      <c r="J499" s="1">
        <v>1000</v>
      </c>
    </row>
    <row r="500" spans="1:10" x14ac:dyDescent="0.3">
      <c r="A500" t="s">
        <v>54</v>
      </c>
      <c r="B500" t="s">
        <v>25</v>
      </c>
      <c r="C500" t="s">
        <v>11</v>
      </c>
      <c r="D500" t="s">
        <v>41</v>
      </c>
      <c r="E500">
        <v>86</v>
      </c>
      <c r="F500">
        <v>119</v>
      </c>
      <c r="G500" s="1">
        <v>13860</v>
      </c>
      <c r="H500" s="1">
        <v>650</v>
      </c>
      <c r="I500" s="1">
        <v>455</v>
      </c>
      <c r="J500" s="1">
        <v>700</v>
      </c>
    </row>
    <row r="501" spans="1:10" x14ac:dyDescent="0.3">
      <c r="A501" t="s">
        <v>54</v>
      </c>
      <c r="B501" t="s">
        <v>50</v>
      </c>
      <c r="C501" t="s">
        <v>11</v>
      </c>
      <c r="D501" t="s">
        <v>41</v>
      </c>
      <c r="E501">
        <v>86</v>
      </c>
      <c r="F501">
        <v>119</v>
      </c>
      <c r="G501" s="1">
        <v>13820</v>
      </c>
      <c r="H501" s="1">
        <v>4850</v>
      </c>
      <c r="I501" s="1">
        <v>7760</v>
      </c>
      <c r="J501" s="1">
        <v>1600</v>
      </c>
    </row>
    <row r="502" spans="1:10" x14ac:dyDescent="0.3">
      <c r="A502" t="s">
        <v>54</v>
      </c>
      <c r="B502" t="s">
        <v>21</v>
      </c>
      <c r="C502" t="s">
        <v>11</v>
      </c>
      <c r="D502" t="s">
        <v>43</v>
      </c>
      <c r="E502">
        <v>86</v>
      </c>
      <c r="F502">
        <v>133</v>
      </c>
      <c r="G502" s="1">
        <v>1500</v>
      </c>
      <c r="H502" s="1">
        <v>1500</v>
      </c>
      <c r="I502" s="1">
        <v>2250</v>
      </c>
      <c r="J502" s="1">
        <v>1500</v>
      </c>
    </row>
    <row r="503" spans="1:10" x14ac:dyDescent="0.3">
      <c r="A503" t="s">
        <v>54</v>
      </c>
      <c r="B503" t="s">
        <v>22</v>
      </c>
      <c r="C503" t="s">
        <v>11</v>
      </c>
      <c r="D503" t="s">
        <v>43</v>
      </c>
      <c r="E503">
        <v>86</v>
      </c>
      <c r="F503">
        <v>133</v>
      </c>
      <c r="G503" s="1">
        <v>1500</v>
      </c>
      <c r="H503" s="1">
        <v>1500</v>
      </c>
      <c r="I503" s="1">
        <v>2700</v>
      </c>
      <c r="J503" s="1">
        <v>1800</v>
      </c>
    </row>
    <row r="504" spans="1:10" x14ac:dyDescent="0.3">
      <c r="A504" t="s">
        <v>54</v>
      </c>
      <c r="B504" t="s">
        <v>23</v>
      </c>
      <c r="C504" t="s">
        <v>11</v>
      </c>
      <c r="D504" t="s">
        <v>43</v>
      </c>
      <c r="E504">
        <v>86</v>
      </c>
      <c r="F504">
        <v>133</v>
      </c>
      <c r="G504" s="1">
        <v>1500</v>
      </c>
      <c r="H504" s="1">
        <v>1500</v>
      </c>
      <c r="I504" s="1">
        <v>1800</v>
      </c>
      <c r="J504" s="1">
        <v>1200</v>
      </c>
    </row>
    <row r="505" spans="1:10" x14ac:dyDescent="0.3">
      <c r="A505" t="s">
        <v>54</v>
      </c>
      <c r="B505" t="s">
        <v>24</v>
      </c>
      <c r="C505" t="s">
        <v>11</v>
      </c>
      <c r="D505" t="s">
        <v>43</v>
      </c>
      <c r="E505">
        <v>86</v>
      </c>
      <c r="F505">
        <v>133</v>
      </c>
      <c r="G505" s="1">
        <v>1500</v>
      </c>
      <c r="H505" s="1">
        <v>1500</v>
      </c>
      <c r="I505" s="1">
        <v>2700</v>
      </c>
      <c r="J505" s="1">
        <v>1800</v>
      </c>
    </row>
    <row r="506" spans="1:10" x14ac:dyDescent="0.3">
      <c r="A506" t="s">
        <v>54</v>
      </c>
      <c r="B506" t="s">
        <v>25</v>
      </c>
      <c r="C506" t="s">
        <v>11</v>
      </c>
      <c r="D506" t="s">
        <v>43</v>
      </c>
      <c r="E506">
        <v>86</v>
      </c>
      <c r="F506">
        <v>133</v>
      </c>
      <c r="G506" s="1">
        <v>1500</v>
      </c>
      <c r="H506" s="1">
        <v>1455</v>
      </c>
      <c r="I506" s="1">
        <v>1164</v>
      </c>
      <c r="J506" s="1">
        <v>800</v>
      </c>
    </row>
    <row r="507" spans="1:10" x14ac:dyDescent="0.3">
      <c r="A507" t="s">
        <v>54</v>
      </c>
      <c r="B507" t="s">
        <v>50</v>
      </c>
      <c r="C507" t="s">
        <v>11</v>
      </c>
      <c r="D507" t="s">
        <v>43</v>
      </c>
      <c r="E507">
        <v>86</v>
      </c>
      <c r="F507">
        <v>133</v>
      </c>
      <c r="G507" s="1">
        <v>1500</v>
      </c>
      <c r="H507" s="1">
        <v>1300</v>
      </c>
      <c r="I507" s="1">
        <v>1300</v>
      </c>
      <c r="J507" s="1">
        <v>1000</v>
      </c>
    </row>
    <row r="508" spans="1:10" x14ac:dyDescent="0.3">
      <c r="A508" t="s">
        <v>54</v>
      </c>
      <c r="B508" t="s">
        <v>21</v>
      </c>
      <c r="C508" t="s">
        <v>11</v>
      </c>
      <c r="D508" t="s">
        <v>44</v>
      </c>
      <c r="E508">
        <v>86</v>
      </c>
      <c r="F508">
        <v>147</v>
      </c>
      <c r="G508" s="1">
        <v>200</v>
      </c>
      <c r="H508" s="1">
        <v>200</v>
      </c>
      <c r="I508" s="1">
        <v>300</v>
      </c>
      <c r="J508" s="1">
        <v>1500</v>
      </c>
    </row>
    <row r="509" spans="1:10" x14ac:dyDescent="0.3">
      <c r="A509" t="s">
        <v>54</v>
      </c>
      <c r="B509" t="s">
        <v>22</v>
      </c>
      <c r="C509" t="s">
        <v>11</v>
      </c>
      <c r="D509" t="s">
        <v>44</v>
      </c>
      <c r="E509">
        <v>86</v>
      </c>
      <c r="F509">
        <v>147</v>
      </c>
      <c r="G509" s="1">
        <v>200</v>
      </c>
      <c r="H509" s="1">
        <v>200</v>
      </c>
      <c r="I509" s="1">
        <v>360</v>
      </c>
      <c r="J509" s="1">
        <v>1800</v>
      </c>
    </row>
    <row r="510" spans="1:10" x14ac:dyDescent="0.3">
      <c r="A510" t="s">
        <v>54</v>
      </c>
      <c r="B510" t="s">
        <v>23</v>
      </c>
      <c r="C510" t="s">
        <v>11</v>
      </c>
      <c r="D510" t="s">
        <v>44</v>
      </c>
      <c r="E510">
        <v>86</v>
      </c>
      <c r="F510">
        <v>147</v>
      </c>
      <c r="G510" s="1">
        <v>200</v>
      </c>
      <c r="H510" s="1">
        <v>200</v>
      </c>
      <c r="I510" s="1">
        <v>240</v>
      </c>
      <c r="J510" s="1">
        <v>1200</v>
      </c>
    </row>
    <row r="511" spans="1:10" x14ac:dyDescent="0.3">
      <c r="A511" t="s">
        <v>54</v>
      </c>
      <c r="B511" t="s">
        <v>24</v>
      </c>
      <c r="C511" t="s">
        <v>11</v>
      </c>
      <c r="D511" t="s">
        <v>44</v>
      </c>
      <c r="E511">
        <v>86</v>
      </c>
      <c r="F511">
        <v>147</v>
      </c>
      <c r="G511" s="1">
        <v>200</v>
      </c>
      <c r="H511" s="1">
        <v>200</v>
      </c>
      <c r="I511" s="1">
        <v>400</v>
      </c>
      <c r="J511" s="1">
        <v>2000</v>
      </c>
    </row>
    <row r="512" spans="1:10" x14ac:dyDescent="0.3">
      <c r="A512" t="s">
        <v>54</v>
      </c>
      <c r="B512" t="s">
        <v>25</v>
      </c>
      <c r="C512" t="s">
        <v>11</v>
      </c>
      <c r="D512" t="s">
        <v>44</v>
      </c>
      <c r="E512">
        <v>86</v>
      </c>
      <c r="F512">
        <v>147</v>
      </c>
      <c r="G512" s="1">
        <v>200</v>
      </c>
      <c r="H512" s="1">
        <v>180</v>
      </c>
      <c r="I512" s="1">
        <v>162</v>
      </c>
      <c r="J512" s="1">
        <v>900</v>
      </c>
    </row>
    <row r="513" spans="1:10" x14ac:dyDescent="0.3">
      <c r="A513" t="s">
        <v>54</v>
      </c>
      <c r="B513" t="s">
        <v>50</v>
      </c>
      <c r="C513" t="s">
        <v>11</v>
      </c>
      <c r="D513" t="s">
        <v>44</v>
      </c>
      <c r="E513">
        <v>86</v>
      </c>
      <c r="F513">
        <v>147</v>
      </c>
      <c r="G513" s="1">
        <v>200</v>
      </c>
      <c r="H513" s="1">
        <v>60</v>
      </c>
      <c r="I513" s="1">
        <v>54</v>
      </c>
      <c r="J513" s="1">
        <v>900</v>
      </c>
    </row>
    <row r="514" spans="1:10" x14ac:dyDescent="0.3">
      <c r="A514" t="s">
        <v>54</v>
      </c>
      <c r="B514" t="s">
        <v>19</v>
      </c>
      <c r="C514" t="s">
        <v>11</v>
      </c>
      <c r="D514" t="s">
        <v>51</v>
      </c>
      <c r="E514">
        <v>86</v>
      </c>
      <c r="F514">
        <v>154</v>
      </c>
      <c r="G514" s="1">
        <v>300</v>
      </c>
      <c r="H514" s="1">
        <v>0</v>
      </c>
      <c r="I514" s="1">
        <v>0</v>
      </c>
      <c r="J514" s="1">
        <v>0</v>
      </c>
    </row>
    <row r="515" spans="1:10" x14ac:dyDescent="0.3">
      <c r="A515" t="s">
        <v>54</v>
      </c>
      <c r="B515" t="s">
        <v>21</v>
      </c>
      <c r="C515" t="s">
        <v>11</v>
      </c>
      <c r="D515" t="s">
        <v>51</v>
      </c>
      <c r="E515">
        <v>86</v>
      </c>
      <c r="F515">
        <v>154</v>
      </c>
      <c r="G515" s="1">
        <v>400</v>
      </c>
      <c r="H515" s="1">
        <v>0</v>
      </c>
      <c r="I515" s="1">
        <v>0</v>
      </c>
      <c r="J515" s="1">
        <v>0</v>
      </c>
    </row>
    <row r="516" spans="1:10" x14ac:dyDescent="0.3">
      <c r="A516" t="s">
        <v>54</v>
      </c>
      <c r="B516" t="s">
        <v>22</v>
      </c>
      <c r="C516" t="s">
        <v>11</v>
      </c>
      <c r="D516" t="s">
        <v>51</v>
      </c>
      <c r="E516">
        <v>86</v>
      </c>
      <c r="F516">
        <v>154</v>
      </c>
      <c r="G516" s="1">
        <v>1050</v>
      </c>
      <c r="H516" s="1">
        <v>0</v>
      </c>
      <c r="I516" s="1">
        <v>0</v>
      </c>
      <c r="J516" s="1">
        <v>0</v>
      </c>
    </row>
    <row r="517" spans="1:10" x14ac:dyDescent="0.3">
      <c r="A517" t="s">
        <v>54</v>
      </c>
      <c r="B517" t="s">
        <v>23</v>
      </c>
      <c r="C517" t="s">
        <v>11</v>
      </c>
      <c r="D517" t="s">
        <v>51</v>
      </c>
      <c r="E517">
        <v>86</v>
      </c>
      <c r="F517">
        <v>154</v>
      </c>
      <c r="G517" s="1">
        <v>550</v>
      </c>
      <c r="H517" s="1">
        <v>0</v>
      </c>
      <c r="I517" s="1">
        <v>0</v>
      </c>
      <c r="J517" s="1">
        <v>0</v>
      </c>
    </row>
    <row r="518" spans="1:10" x14ac:dyDescent="0.3">
      <c r="A518" t="s">
        <v>54</v>
      </c>
      <c r="B518" t="s">
        <v>24</v>
      </c>
      <c r="C518" t="s">
        <v>11</v>
      </c>
      <c r="D518" t="s">
        <v>51</v>
      </c>
      <c r="E518">
        <v>86</v>
      </c>
      <c r="F518">
        <v>154</v>
      </c>
      <c r="G518" s="1">
        <v>550</v>
      </c>
      <c r="H518" s="1">
        <v>0</v>
      </c>
      <c r="I518" s="1">
        <v>0</v>
      </c>
      <c r="J518" s="1">
        <v>0</v>
      </c>
    </row>
    <row r="519" spans="1:10" x14ac:dyDescent="0.3">
      <c r="A519" t="s">
        <v>54</v>
      </c>
      <c r="B519" t="s">
        <v>25</v>
      </c>
      <c r="C519" t="s">
        <v>11</v>
      </c>
      <c r="D519" t="s">
        <v>51</v>
      </c>
      <c r="E519">
        <v>86</v>
      </c>
      <c r="F519">
        <v>154</v>
      </c>
      <c r="G519" s="1">
        <v>670</v>
      </c>
      <c r="H519" s="1">
        <v>180</v>
      </c>
      <c r="I519" s="1">
        <v>126</v>
      </c>
      <c r="J519" s="1">
        <v>700</v>
      </c>
    </row>
    <row r="520" spans="1:10" x14ac:dyDescent="0.3">
      <c r="A520" t="s">
        <v>54</v>
      </c>
      <c r="B520" t="s">
        <v>50</v>
      </c>
      <c r="C520" t="s">
        <v>11</v>
      </c>
      <c r="D520" t="s">
        <v>51</v>
      </c>
      <c r="E520">
        <v>86</v>
      </c>
      <c r="F520">
        <v>154</v>
      </c>
      <c r="G520" s="1">
        <v>920</v>
      </c>
      <c r="H520" s="1">
        <v>485</v>
      </c>
      <c r="I520" s="1">
        <v>776</v>
      </c>
      <c r="J520" s="1">
        <v>1600</v>
      </c>
    </row>
    <row r="521" spans="1:10" x14ac:dyDescent="0.3">
      <c r="A521" t="s">
        <v>54</v>
      </c>
      <c r="B521" t="s">
        <v>21</v>
      </c>
      <c r="C521" t="s">
        <v>11</v>
      </c>
      <c r="D521" t="s">
        <v>48</v>
      </c>
      <c r="E521">
        <v>86</v>
      </c>
      <c r="F521">
        <v>189</v>
      </c>
      <c r="G521" s="1">
        <v>20</v>
      </c>
      <c r="H521" s="1">
        <v>0</v>
      </c>
      <c r="I521" s="1">
        <v>0</v>
      </c>
      <c r="J521" s="1">
        <v>0</v>
      </c>
    </row>
    <row r="522" spans="1:10" x14ac:dyDescent="0.3">
      <c r="A522" t="s">
        <v>54</v>
      </c>
      <c r="B522" t="s">
        <v>22</v>
      </c>
      <c r="C522" t="s">
        <v>11</v>
      </c>
      <c r="D522" t="s">
        <v>48</v>
      </c>
      <c r="E522">
        <v>86</v>
      </c>
      <c r="F522">
        <v>189</v>
      </c>
      <c r="G522" s="1">
        <v>100</v>
      </c>
      <c r="H522" s="1">
        <v>100</v>
      </c>
      <c r="I522" s="1">
        <v>180</v>
      </c>
      <c r="J522" s="1">
        <v>1800</v>
      </c>
    </row>
    <row r="523" spans="1:10" x14ac:dyDescent="0.3">
      <c r="A523" t="s">
        <v>55</v>
      </c>
      <c r="B523" t="s">
        <v>24</v>
      </c>
      <c r="C523" t="s">
        <v>11</v>
      </c>
      <c r="D523" t="s">
        <v>37</v>
      </c>
      <c r="E523">
        <v>86</v>
      </c>
      <c r="F523">
        <v>91</v>
      </c>
      <c r="G523" s="1">
        <v>1000</v>
      </c>
      <c r="H523" s="1">
        <v>500</v>
      </c>
      <c r="I523" s="1">
        <v>550</v>
      </c>
      <c r="J523" s="1">
        <v>1100</v>
      </c>
    </row>
    <row r="524" spans="1:10" x14ac:dyDescent="0.3">
      <c r="A524" t="s">
        <v>55</v>
      </c>
      <c r="B524" t="s">
        <v>25</v>
      </c>
      <c r="C524" t="s">
        <v>11</v>
      </c>
      <c r="D524" t="s">
        <v>37</v>
      </c>
      <c r="E524">
        <v>86</v>
      </c>
      <c r="F524">
        <v>91</v>
      </c>
      <c r="G524" s="1">
        <v>1000</v>
      </c>
      <c r="H524" s="1">
        <v>975</v>
      </c>
      <c r="I524" s="1">
        <v>780</v>
      </c>
      <c r="J524" s="1">
        <v>800</v>
      </c>
    </row>
    <row r="525" spans="1:10" x14ac:dyDescent="0.3">
      <c r="A525" t="s">
        <v>55</v>
      </c>
      <c r="B525" t="s">
        <v>50</v>
      </c>
      <c r="C525" t="s">
        <v>11</v>
      </c>
      <c r="D525" t="s">
        <v>37</v>
      </c>
      <c r="E525">
        <v>86</v>
      </c>
      <c r="F525">
        <v>91</v>
      </c>
      <c r="G525" s="1">
        <v>1000</v>
      </c>
      <c r="H525" s="1">
        <v>910</v>
      </c>
      <c r="I525" s="1">
        <v>910</v>
      </c>
      <c r="J525" s="1">
        <v>1000</v>
      </c>
    </row>
    <row r="526" spans="1:10" x14ac:dyDescent="0.3">
      <c r="A526" t="s">
        <v>55</v>
      </c>
      <c r="B526" t="s">
        <v>24</v>
      </c>
      <c r="C526" t="s">
        <v>11</v>
      </c>
      <c r="D526" t="s">
        <v>43</v>
      </c>
      <c r="E526">
        <v>86</v>
      </c>
      <c r="F526">
        <v>133</v>
      </c>
      <c r="G526" s="1">
        <v>500</v>
      </c>
      <c r="H526" s="1">
        <v>500</v>
      </c>
      <c r="I526" s="1">
        <v>500</v>
      </c>
      <c r="J526" s="1">
        <v>1000</v>
      </c>
    </row>
    <row r="527" spans="1:10" x14ac:dyDescent="0.3">
      <c r="A527" t="s">
        <v>55</v>
      </c>
      <c r="B527" t="s">
        <v>25</v>
      </c>
      <c r="C527" t="s">
        <v>11</v>
      </c>
      <c r="D527" t="s">
        <v>43</v>
      </c>
      <c r="E527">
        <v>86</v>
      </c>
      <c r="F527">
        <v>133</v>
      </c>
      <c r="G527" s="1">
        <v>500</v>
      </c>
      <c r="H527" s="1">
        <v>465</v>
      </c>
      <c r="I527" s="1">
        <v>419</v>
      </c>
      <c r="J527" s="1">
        <v>900</v>
      </c>
    </row>
    <row r="528" spans="1:10" x14ac:dyDescent="0.3">
      <c r="A528" t="s">
        <v>55</v>
      </c>
      <c r="B528" t="s">
        <v>50</v>
      </c>
      <c r="C528" t="s">
        <v>11</v>
      </c>
      <c r="D528" t="s">
        <v>43</v>
      </c>
      <c r="E528">
        <v>86</v>
      </c>
      <c r="F528">
        <v>133</v>
      </c>
      <c r="G528" s="1">
        <v>500</v>
      </c>
      <c r="H528" s="1">
        <v>460</v>
      </c>
      <c r="I528" s="1">
        <v>414</v>
      </c>
      <c r="J528" s="1">
        <v>900</v>
      </c>
    </row>
    <row r="529" spans="1:10" x14ac:dyDescent="0.3">
      <c r="A529" t="s">
        <v>56</v>
      </c>
      <c r="B529" t="s">
        <v>20</v>
      </c>
      <c r="C529" t="s">
        <v>11</v>
      </c>
      <c r="D529" t="s">
        <v>26</v>
      </c>
      <c r="E529">
        <v>86</v>
      </c>
      <c r="F529">
        <v>14</v>
      </c>
      <c r="G529" s="1">
        <v>4200</v>
      </c>
      <c r="H529" s="1">
        <v>4200</v>
      </c>
      <c r="I529" s="1">
        <v>7560</v>
      </c>
      <c r="J529" s="1">
        <v>1800</v>
      </c>
    </row>
    <row r="530" spans="1:10" x14ac:dyDescent="0.3">
      <c r="A530" t="s">
        <v>56</v>
      </c>
      <c r="B530" t="s">
        <v>24</v>
      </c>
      <c r="C530" t="s">
        <v>11</v>
      </c>
      <c r="D530" t="s">
        <v>26</v>
      </c>
      <c r="E530">
        <v>86</v>
      </c>
      <c r="F530">
        <v>14</v>
      </c>
      <c r="G530" s="1">
        <v>1450</v>
      </c>
      <c r="H530" s="1">
        <v>1450</v>
      </c>
      <c r="I530" s="1">
        <v>2320</v>
      </c>
      <c r="J530" s="1">
        <v>1600</v>
      </c>
    </row>
    <row r="531" spans="1:10" x14ac:dyDescent="0.3">
      <c r="A531" t="s">
        <v>56</v>
      </c>
      <c r="B531" t="s">
        <v>25</v>
      </c>
      <c r="C531" t="s">
        <v>11</v>
      </c>
      <c r="D531" t="s">
        <v>26</v>
      </c>
      <c r="E531">
        <v>86</v>
      </c>
      <c r="F531">
        <v>14</v>
      </c>
      <c r="G531" s="1">
        <v>2400</v>
      </c>
      <c r="H531" s="1">
        <v>1910</v>
      </c>
      <c r="I531" s="1">
        <v>1719</v>
      </c>
      <c r="J531" s="1">
        <v>900</v>
      </c>
    </row>
    <row r="532" spans="1:10" x14ac:dyDescent="0.3">
      <c r="A532" t="s">
        <v>56</v>
      </c>
      <c r="B532" t="s">
        <v>50</v>
      </c>
      <c r="C532" t="s">
        <v>11</v>
      </c>
      <c r="D532" t="s">
        <v>26</v>
      </c>
      <c r="E532">
        <v>86</v>
      </c>
      <c r="F532">
        <v>14</v>
      </c>
      <c r="G532" s="1">
        <v>4000</v>
      </c>
      <c r="H532" s="1">
        <v>4000</v>
      </c>
      <c r="I532" s="1">
        <v>7600</v>
      </c>
      <c r="J532" s="1">
        <v>1900</v>
      </c>
    </row>
    <row r="533" spans="1:10" x14ac:dyDescent="0.3">
      <c r="A533" t="s">
        <v>56</v>
      </c>
      <c r="B533" t="s">
        <v>21</v>
      </c>
      <c r="C533" t="s">
        <v>11</v>
      </c>
      <c r="D533" t="s">
        <v>29</v>
      </c>
      <c r="E533">
        <v>86</v>
      </c>
      <c r="F533">
        <v>35</v>
      </c>
      <c r="G533" s="1">
        <v>150</v>
      </c>
      <c r="H533" s="1">
        <v>150</v>
      </c>
      <c r="I533" s="1">
        <v>225</v>
      </c>
      <c r="J533" s="1">
        <v>1500</v>
      </c>
    </row>
    <row r="534" spans="1:10" x14ac:dyDescent="0.3">
      <c r="A534" t="s">
        <v>56</v>
      </c>
      <c r="B534" t="s">
        <v>24</v>
      </c>
      <c r="C534" t="s">
        <v>11</v>
      </c>
      <c r="D534" t="s">
        <v>30</v>
      </c>
      <c r="E534">
        <v>86</v>
      </c>
      <c r="F534">
        <v>42</v>
      </c>
      <c r="G534" s="1">
        <v>750</v>
      </c>
      <c r="H534" s="1">
        <v>750</v>
      </c>
      <c r="I534" s="1">
        <v>1200</v>
      </c>
      <c r="J534" s="1">
        <v>1600</v>
      </c>
    </row>
    <row r="535" spans="1:10" x14ac:dyDescent="0.3">
      <c r="A535" t="s">
        <v>56</v>
      </c>
      <c r="B535" t="s">
        <v>25</v>
      </c>
      <c r="C535" t="s">
        <v>11</v>
      </c>
      <c r="D535" t="s">
        <v>30</v>
      </c>
      <c r="E535">
        <v>86</v>
      </c>
      <c r="F535">
        <v>42</v>
      </c>
      <c r="G535" s="1">
        <v>1120</v>
      </c>
      <c r="H535" s="1">
        <v>940</v>
      </c>
      <c r="I535" s="1">
        <v>846</v>
      </c>
      <c r="J535" s="1">
        <v>900</v>
      </c>
    </row>
    <row r="536" spans="1:10" x14ac:dyDescent="0.3">
      <c r="A536" t="s">
        <v>56</v>
      </c>
      <c r="B536" t="s">
        <v>50</v>
      </c>
      <c r="C536" t="s">
        <v>11</v>
      </c>
      <c r="D536" t="s">
        <v>30</v>
      </c>
      <c r="E536">
        <v>86</v>
      </c>
      <c r="F536">
        <v>42</v>
      </c>
      <c r="G536" s="1">
        <v>250</v>
      </c>
      <c r="H536" s="1">
        <v>250</v>
      </c>
      <c r="I536" s="1">
        <v>425</v>
      </c>
      <c r="J536" s="1">
        <v>1700</v>
      </c>
    </row>
    <row r="537" spans="1:10" x14ac:dyDescent="0.3">
      <c r="A537" t="s">
        <v>56</v>
      </c>
      <c r="B537" t="s">
        <v>21</v>
      </c>
      <c r="C537" t="s">
        <v>11</v>
      </c>
      <c r="D537" t="s">
        <v>31</v>
      </c>
      <c r="E537">
        <v>86</v>
      </c>
      <c r="F537">
        <v>49</v>
      </c>
      <c r="G537" s="1">
        <v>500</v>
      </c>
      <c r="H537" s="1">
        <v>500</v>
      </c>
      <c r="I537" s="1">
        <v>750</v>
      </c>
      <c r="J537" s="1">
        <v>1500</v>
      </c>
    </row>
    <row r="538" spans="1:10" x14ac:dyDescent="0.3">
      <c r="A538" t="s">
        <v>56</v>
      </c>
      <c r="B538" t="s">
        <v>20</v>
      </c>
      <c r="C538" t="s">
        <v>11</v>
      </c>
      <c r="D538" t="s">
        <v>33</v>
      </c>
      <c r="E538">
        <v>86</v>
      </c>
      <c r="F538">
        <v>56</v>
      </c>
      <c r="G538" s="1">
        <v>1100</v>
      </c>
      <c r="H538" s="1">
        <v>1100</v>
      </c>
      <c r="I538" s="1">
        <v>2200</v>
      </c>
      <c r="J538" s="1">
        <v>2000</v>
      </c>
    </row>
    <row r="539" spans="1:10" x14ac:dyDescent="0.3">
      <c r="A539" t="s">
        <v>56</v>
      </c>
      <c r="B539" t="s">
        <v>20</v>
      </c>
      <c r="C539" t="s">
        <v>11</v>
      </c>
      <c r="D539" t="s">
        <v>35</v>
      </c>
      <c r="E539">
        <v>86</v>
      </c>
      <c r="F539">
        <v>77</v>
      </c>
      <c r="G539" s="1">
        <v>1040</v>
      </c>
      <c r="H539" s="1">
        <v>1040</v>
      </c>
      <c r="I539" s="1">
        <v>1976</v>
      </c>
      <c r="J539" s="1">
        <v>1900</v>
      </c>
    </row>
    <row r="540" spans="1:10" x14ac:dyDescent="0.3">
      <c r="A540" t="s">
        <v>56</v>
      </c>
      <c r="B540" t="s">
        <v>22</v>
      </c>
      <c r="C540" t="s">
        <v>11</v>
      </c>
      <c r="D540" t="s">
        <v>35</v>
      </c>
      <c r="E540">
        <v>86</v>
      </c>
      <c r="F540">
        <v>77</v>
      </c>
      <c r="G540" s="1">
        <v>1600</v>
      </c>
      <c r="H540" s="1">
        <v>1390</v>
      </c>
      <c r="I540" s="1">
        <v>2224</v>
      </c>
      <c r="J540" s="1">
        <v>1600</v>
      </c>
    </row>
    <row r="541" spans="1:10" x14ac:dyDescent="0.3">
      <c r="A541" t="s">
        <v>56</v>
      </c>
      <c r="B541" t="s">
        <v>23</v>
      </c>
      <c r="C541" t="s">
        <v>11</v>
      </c>
      <c r="D541" t="s">
        <v>35</v>
      </c>
      <c r="E541">
        <v>86</v>
      </c>
      <c r="F541">
        <v>77</v>
      </c>
      <c r="G541" s="1">
        <v>1300</v>
      </c>
      <c r="H541" s="1">
        <v>700</v>
      </c>
      <c r="I541" s="1">
        <v>490</v>
      </c>
      <c r="J541" s="1">
        <v>700</v>
      </c>
    </row>
    <row r="542" spans="1:10" x14ac:dyDescent="0.3">
      <c r="A542" t="s">
        <v>56</v>
      </c>
      <c r="B542" t="s">
        <v>24</v>
      </c>
      <c r="C542" t="s">
        <v>11</v>
      </c>
      <c r="D542" t="s">
        <v>35</v>
      </c>
      <c r="E542">
        <v>86</v>
      </c>
      <c r="F542">
        <v>77</v>
      </c>
      <c r="G542" s="1">
        <v>1500</v>
      </c>
      <c r="H542" s="1">
        <v>1500</v>
      </c>
      <c r="I542" s="1">
        <v>2400</v>
      </c>
      <c r="J542" s="1">
        <v>1600</v>
      </c>
    </row>
    <row r="543" spans="1:10" x14ac:dyDescent="0.3">
      <c r="A543" t="s">
        <v>56</v>
      </c>
      <c r="B543" t="s">
        <v>25</v>
      </c>
      <c r="C543" t="s">
        <v>11</v>
      </c>
      <c r="D543" t="s">
        <v>35</v>
      </c>
      <c r="E543">
        <v>86</v>
      </c>
      <c r="F543">
        <v>77</v>
      </c>
      <c r="G543" s="1">
        <v>2150</v>
      </c>
      <c r="H543" s="1">
        <v>1780</v>
      </c>
      <c r="I543" s="1">
        <v>1602</v>
      </c>
      <c r="J543" s="1">
        <v>900</v>
      </c>
    </row>
    <row r="544" spans="1:10" x14ac:dyDescent="0.3">
      <c r="A544" t="s">
        <v>56</v>
      </c>
      <c r="B544" t="s">
        <v>50</v>
      </c>
      <c r="C544" t="s">
        <v>11</v>
      </c>
      <c r="D544" t="s">
        <v>35</v>
      </c>
      <c r="E544">
        <v>86</v>
      </c>
      <c r="F544">
        <v>77</v>
      </c>
      <c r="G544" s="1">
        <v>750</v>
      </c>
      <c r="H544" s="1">
        <v>750</v>
      </c>
      <c r="I544" s="1">
        <v>1313</v>
      </c>
      <c r="J544" s="1">
        <v>1750</v>
      </c>
    </row>
    <row r="545" spans="1:10" x14ac:dyDescent="0.3">
      <c r="A545" t="s">
        <v>56</v>
      </c>
      <c r="B545" t="s">
        <v>19</v>
      </c>
      <c r="C545" t="s">
        <v>11</v>
      </c>
      <c r="D545" t="s">
        <v>36</v>
      </c>
      <c r="E545">
        <v>86</v>
      </c>
      <c r="F545">
        <v>84</v>
      </c>
      <c r="G545" s="1">
        <v>1000</v>
      </c>
      <c r="H545" s="1">
        <v>1000</v>
      </c>
      <c r="I545" s="1">
        <v>1500</v>
      </c>
      <c r="J545" s="1">
        <v>1500</v>
      </c>
    </row>
    <row r="546" spans="1:10" x14ac:dyDescent="0.3">
      <c r="A546" t="s">
        <v>56</v>
      </c>
      <c r="B546" t="s">
        <v>20</v>
      </c>
      <c r="C546" t="s">
        <v>11</v>
      </c>
      <c r="D546" t="s">
        <v>36</v>
      </c>
      <c r="E546">
        <v>86</v>
      </c>
      <c r="F546">
        <v>84</v>
      </c>
      <c r="G546" s="1">
        <v>400</v>
      </c>
      <c r="H546" s="1">
        <v>400</v>
      </c>
      <c r="I546" s="1">
        <v>760</v>
      </c>
      <c r="J546" s="1">
        <v>1900</v>
      </c>
    </row>
    <row r="547" spans="1:10" x14ac:dyDescent="0.3">
      <c r="A547" t="s">
        <v>56</v>
      </c>
      <c r="B547" t="s">
        <v>21</v>
      </c>
      <c r="C547" t="s">
        <v>11</v>
      </c>
      <c r="D547" t="s">
        <v>36</v>
      </c>
      <c r="E547">
        <v>86</v>
      </c>
      <c r="F547">
        <v>84</v>
      </c>
      <c r="G547" s="1">
        <v>500</v>
      </c>
      <c r="H547" s="1">
        <v>500</v>
      </c>
      <c r="I547" s="1">
        <v>750</v>
      </c>
      <c r="J547" s="1">
        <v>1500</v>
      </c>
    </row>
    <row r="548" spans="1:10" x14ac:dyDescent="0.3">
      <c r="A548" t="s">
        <v>56</v>
      </c>
      <c r="B548" t="s">
        <v>22</v>
      </c>
      <c r="C548" t="s">
        <v>11</v>
      </c>
      <c r="D548" t="s">
        <v>36</v>
      </c>
      <c r="E548">
        <v>86</v>
      </c>
      <c r="F548">
        <v>84</v>
      </c>
      <c r="G548" s="1">
        <v>500</v>
      </c>
      <c r="H548" s="1">
        <v>500</v>
      </c>
      <c r="I548" s="1">
        <v>900</v>
      </c>
      <c r="J548" s="1">
        <v>1800</v>
      </c>
    </row>
    <row r="549" spans="1:10" x14ac:dyDescent="0.3">
      <c r="A549" t="s">
        <v>56</v>
      </c>
      <c r="B549" t="s">
        <v>23</v>
      </c>
      <c r="C549" t="s">
        <v>11</v>
      </c>
      <c r="D549" t="s">
        <v>36</v>
      </c>
      <c r="E549">
        <v>86</v>
      </c>
      <c r="F549">
        <v>84</v>
      </c>
      <c r="G549" s="1">
        <v>1000</v>
      </c>
      <c r="H549" s="1">
        <v>1000</v>
      </c>
      <c r="I549" s="1">
        <v>1500</v>
      </c>
      <c r="J549" s="1">
        <v>1500</v>
      </c>
    </row>
    <row r="550" spans="1:10" x14ac:dyDescent="0.3">
      <c r="A550" t="s">
        <v>56</v>
      </c>
      <c r="B550" t="s">
        <v>19</v>
      </c>
      <c r="C550" t="s">
        <v>11</v>
      </c>
      <c r="D550" t="s">
        <v>37</v>
      </c>
      <c r="E550">
        <v>86</v>
      </c>
      <c r="F550">
        <v>91</v>
      </c>
      <c r="G550" s="1">
        <v>2000</v>
      </c>
      <c r="H550" s="1">
        <v>2000</v>
      </c>
      <c r="I550" s="1">
        <v>3600</v>
      </c>
      <c r="J550" s="1">
        <v>1800</v>
      </c>
    </row>
    <row r="551" spans="1:10" x14ac:dyDescent="0.3">
      <c r="A551" t="s">
        <v>56</v>
      </c>
      <c r="B551" t="s">
        <v>20</v>
      </c>
      <c r="C551" t="s">
        <v>11</v>
      </c>
      <c r="D551" t="s">
        <v>37</v>
      </c>
      <c r="E551">
        <v>86</v>
      </c>
      <c r="F551">
        <v>91</v>
      </c>
      <c r="G551" s="1">
        <v>1500</v>
      </c>
      <c r="H551" s="1">
        <v>1500</v>
      </c>
      <c r="I551" s="1">
        <v>3000</v>
      </c>
      <c r="J551" s="1">
        <v>2000</v>
      </c>
    </row>
    <row r="552" spans="1:10" x14ac:dyDescent="0.3">
      <c r="A552" t="s">
        <v>56</v>
      </c>
      <c r="B552" t="s">
        <v>21</v>
      </c>
      <c r="C552" t="s">
        <v>11</v>
      </c>
      <c r="D552" t="s">
        <v>37</v>
      </c>
      <c r="E552">
        <v>86</v>
      </c>
      <c r="F552">
        <v>91</v>
      </c>
      <c r="G552" s="1">
        <v>2500</v>
      </c>
      <c r="H552" s="1">
        <v>2250</v>
      </c>
      <c r="I552" s="1">
        <v>4050</v>
      </c>
      <c r="J552" s="1">
        <v>1800</v>
      </c>
    </row>
    <row r="553" spans="1:10" x14ac:dyDescent="0.3">
      <c r="A553" t="s">
        <v>56</v>
      </c>
      <c r="B553" t="s">
        <v>22</v>
      </c>
      <c r="C553" t="s">
        <v>11</v>
      </c>
      <c r="D553" t="s">
        <v>37</v>
      </c>
      <c r="E553">
        <v>86</v>
      </c>
      <c r="F553">
        <v>91</v>
      </c>
      <c r="G553" s="1">
        <v>2500</v>
      </c>
      <c r="H553" s="1">
        <v>2500</v>
      </c>
      <c r="I553" s="1">
        <v>5000</v>
      </c>
      <c r="J553" s="1">
        <v>2000</v>
      </c>
    </row>
    <row r="554" spans="1:10" x14ac:dyDescent="0.3">
      <c r="A554" t="s">
        <v>56</v>
      </c>
      <c r="B554" t="s">
        <v>23</v>
      </c>
      <c r="C554" t="s">
        <v>11</v>
      </c>
      <c r="D554" t="s">
        <v>37</v>
      </c>
      <c r="E554">
        <v>86</v>
      </c>
      <c r="F554">
        <v>91</v>
      </c>
      <c r="G554" s="1">
        <v>4000</v>
      </c>
      <c r="H554" s="1">
        <v>4000</v>
      </c>
      <c r="I554" s="1">
        <v>6000</v>
      </c>
      <c r="J554" s="1">
        <v>1500</v>
      </c>
    </row>
    <row r="555" spans="1:10" x14ac:dyDescent="0.3">
      <c r="A555" t="s">
        <v>56</v>
      </c>
      <c r="B555" t="s">
        <v>24</v>
      </c>
      <c r="C555" t="s">
        <v>11</v>
      </c>
      <c r="D555" t="s">
        <v>37</v>
      </c>
      <c r="E555">
        <v>86</v>
      </c>
      <c r="F555">
        <v>91</v>
      </c>
      <c r="G555" s="1">
        <v>5000</v>
      </c>
      <c r="H555" s="1">
        <v>5000</v>
      </c>
      <c r="I555" s="1">
        <v>10000</v>
      </c>
      <c r="J555" s="1">
        <v>2000</v>
      </c>
    </row>
    <row r="556" spans="1:10" x14ac:dyDescent="0.3">
      <c r="A556" t="s">
        <v>56</v>
      </c>
      <c r="B556" t="s">
        <v>25</v>
      </c>
      <c r="C556" t="s">
        <v>11</v>
      </c>
      <c r="D556" t="s">
        <v>37</v>
      </c>
      <c r="E556">
        <v>86</v>
      </c>
      <c r="F556">
        <v>91</v>
      </c>
      <c r="G556" s="1">
        <v>5000</v>
      </c>
      <c r="H556" s="1">
        <v>4920</v>
      </c>
      <c r="I556" s="1">
        <v>4920</v>
      </c>
      <c r="J556" s="1">
        <v>1000</v>
      </c>
    </row>
    <row r="557" spans="1:10" x14ac:dyDescent="0.3">
      <c r="A557" t="s">
        <v>56</v>
      </c>
      <c r="B557" t="s">
        <v>50</v>
      </c>
      <c r="C557" t="s">
        <v>11</v>
      </c>
      <c r="D557" t="s">
        <v>37</v>
      </c>
      <c r="E557">
        <v>86</v>
      </c>
      <c r="F557">
        <v>91</v>
      </c>
      <c r="G557" s="1">
        <v>5500</v>
      </c>
      <c r="H557" s="1">
        <v>5000</v>
      </c>
      <c r="I557" s="1">
        <v>5000</v>
      </c>
      <c r="J557" s="1">
        <v>1000</v>
      </c>
    </row>
    <row r="558" spans="1:10" x14ac:dyDescent="0.3">
      <c r="A558" t="s">
        <v>56</v>
      </c>
      <c r="B558" t="s">
        <v>20</v>
      </c>
      <c r="C558" t="s">
        <v>11</v>
      </c>
      <c r="D558" t="s">
        <v>38</v>
      </c>
      <c r="E558">
        <v>86</v>
      </c>
      <c r="F558">
        <v>98</v>
      </c>
      <c r="G558" s="1">
        <v>800</v>
      </c>
      <c r="H558" s="1">
        <v>800</v>
      </c>
      <c r="I558" s="1">
        <v>1440</v>
      </c>
      <c r="J558" s="1">
        <v>1800</v>
      </c>
    </row>
    <row r="559" spans="1:10" x14ac:dyDescent="0.3">
      <c r="A559" t="s">
        <v>56</v>
      </c>
      <c r="B559" t="s">
        <v>22</v>
      </c>
      <c r="C559" t="s">
        <v>11</v>
      </c>
      <c r="D559" t="s">
        <v>38</v>
      </c>
      <c r="E559">
        <v>86</v>
      </c>
      <c r="F559">
        <v>98</v>
      </c>
      <c r="G559" s="1">
        <v>750</v>
      </c>
      <c r="H559" s="1">
        <v>580</v>
      </c>
      <c r="I559" s="1">
        <v>812</v>
      </c>
      <c r="J559" s="1">
        <v>1400</v>
      </c>
    </row>
    <row r="560" spans="1:10" x14ac:dyDescent="0.3">
      <c r="A560" t="s">
        <v>56</v>
      </c>
      <c r="B560" t="s">
        <v>23</v>
      </c>
      <c r="C560" t="s">
        <v>11</v>
      </c>
      <c r="D560" t="s">
        <v>38</v>
      </c>
      <c r="E560">
        <v>86</v>
      </c>
      <c r="F560">
        <v>98</v>
      </c>
      <c r="G560" s="1">
        <v>700</v>
      </c>
      <c r="H560" s="1">
        <v>360</v>
      </c>
      <c r="I560" s="1">
        <v>216</v>
      </c>
      <c r="J560" s="1">
        <v>600</v>
      </c>
    </row>
    <row r="561" spans="1:10" x14ac:dyDescent="0.3">
      <c r="A561" t="s">
        <v>56</v>
      </c>
      <c r="B561" t="s">
        <v>24</v>
      </c>
      <c r="C561" t="s">
        <v>11</v>
      </c>
      <c r="D561" t="s">
        <v>38</v>
      </c>
      <c r="E561">
        <v>86</v>
      </c>
      <c r="F561">
        <v>98</v>
      </c>
      <c r="G561" s="1">
        <v>700</v>
      </c>
      <c r="H561" s="1">
        <v>700</v>
      </c>
      <c r="I561" s="1">
        <v>1120</v>
      </c>
      <c r="J561" s="1">
        <v>1600</v>
      </c>
    </row>
    <row r="562" spans="1:10" x14ac:dyDescent="0.3">
      <c r="A562" t="s">
        <v>56</v>
      </c>
      <c r="B562" t="s">
        <v>25</v>
      </c>
      <c r="C562" t="s">
        <v>11</v>
      </c>
      <c r="D562" t="s">
        <v>38</v>
      </c>
      <c r="E562">
        <v>86</v>
      </c>
      <c r="F562">
        <v>98</v>
      </c>
      <c r="G562" s="1">
        <v>1140</v>
      </c>
      <c r="H562" s="1">
        <v>870</v>
      </c>
      <c r="I562" s="1">
        <v>783</v>
      </c>
      <c r="J562" s="1">
        <v>900</v>
      </c>
    </row>
    <row r="563" spans="1:10" x14ac:dyDescent="0.3">
      <c r="A563" t="s">
        <v>56</v>
      </c>
      <c r="B563" t="s">
        <v>50</v>
      </c>
      <c r="C563" t="s">
        <v>11</v>
      </c>
      <c r="D563" t="s">
        <v>38</v>
      </c>
      <c r="E563">
        <v>86</v>
      </c>
      <c r="F563">
        <v>98</v>
      </c>
      <c r="G563" s="1">
        <v>380</v>
      </c>
      <c r="H563" s="1">
        <v>380</v>
      </c>
      <c r="I563" s="1">
        <v>665</v>
      </c>
      <c r="J563" s="1">
        <v>1750</v>
      </c>
    </row>
    <row r="564" spans="1:10" x14ac:dyDescent="0.3">
      <c r="A564" t="s">
        <v>56</v>
      </c>
      <c r="B564" t="s">
        <v>20</v>
      </c>
      <c r="C564" t="s">
        <v>11</v>
      </c>
      <c r="D564" t="s">
        <v>41</v>
      </c>
      <c r="E564">
        <v>86</v>
      </c>
      <c r="F564">
        <v>119</v>
      </c>
      <c r="G564" s="1">
        <v>6840</v>
      </c>
      <c r="H564" s="1">
        <v>6840</v>
      </c>
      <c r="I564" s="1">
        <v>12312</v>
      </c>
      <c r="J564" s="1">
        <v>1800</v>
      </c>
    </row>
    <row r="565" spans="1:10" x14ac:dyDescent="0.3">
      <c r="A565" t="s">
        <v>56</v>
      </c>
      <c r="B565" t="s">
        <v>22</v>
      </c>
      <c r="C565" t="s">
        <v>11</v>
      </c>
      <c r="D565" t="s">
        <v>41</v>
      </c>
      <c r="E565">
        <v>86</v>
      </c>
      <c r="F565">
        <v>119</v>
      </c>
      <c r="G565" s="1">
        <v>5500</v>
      </c>
      <c r="H565" s="1">
        <v>5220</v>
      </c>
      <c r="I565" s="1">
        <v>7830</v>
      </c>
      <c r="J565" s="1">
        <v>1500</v>
      </c>
    </row>
    <row r="566" spans="1:10" x14ac:dyDescent="0.3">
      <c r="A566" t="s">
        <v>56</v>
      </c>
      <c r="B566" t="s">
        <v>23</v>
      </c>
      <c r="C566" t="s">
        <v>11</v>
      </c>
      <c r="D566" t="s">
        <v>41</v>
      </c>
      <c r="E566">
        <v>86</v>
      </c>
      <c r="F566">
        <v>119</v>
      </c>
      <c r="G566" s="1">
        <v>4800</v>
      </c>
      <c r="H566" s="1">
        <v>2590</v>
      </c>
      <c r="I566" s="1">
        <v>1554</v>
      </c>
      <c r="J566" s="1">
        <v>600</v>
      </c>
    </row>
    <row r="567" spans="1:10" x14ac:dyDescent="0.3">
      <c r="A567" t="s">
        <v>56</v>
      </c>
      <c r="B567" t="s">
        <v>24</v>
      </c>
      <c r="C567" t="s">
        <v>11</v>
      </c>
      <c r="D567" t="s">
        <v>41</v>
      </c>
      <c r="E567">
        <v>86</v>
      </c>
      <c r="F567">
        <v>119</v>
      </c>
      <c r="G567" s="1">
        <v>4800</v>
      </c>
      <c r="H567" s="1">
        <v>4800</v>
      </c>
      <c r="I567" s="1">
        <v>7680</v>
      </c>
      <c r="J567" s="1">
        <v>1600</v>
      </c>
    </row>
    <row r="568" spans="1:10" x14ac:dyDescent="0.3">
      <c r="A568" t="s">
        <v>56</v>
      </c>
      <c r="B568" t="s">
        <v>25</v>
      </c>
      <c r="C568" t="s">
        <v>11</v>
      </c>
      <c r="D568" t="s">
        <v>41</v>
      </c>
      <c r="E568">
        <v>86</v>
      </c>
      <c r="F568">
        <v>119</v>
      </c>
      <c r="G568" s="1">
        <v>6420</v>
      </c>
      <c r="H568" s="1">
        <v>5280</v>
      </c>
      <c r="I568" s="1">
        <v>4752</v>
      </c>
      <c r="J568" s="1">
        <v>900</v>
      </c>
    </row>
    <row r="569" spans="1:10" x14ac:dyDescent="0.3">
      <c r="A569" t="s">
        <v>56</v>
      </c>
      <c r="B569" t="s">
        <v>50</v>
      </c>
      <c r="C569" t="s">
        <v>11</v>
      </c>
      <c r="D569" t="s">
        <v>41</v>
      </c>
      <c r="E569">
        <v>86</v>
      </c>
      <c r="F569">
        <v>119</v>
      </c>
      <c r="G569" s="1">
        <v>2850</v>
      </c>
      <c r="H569" s="1">
        <v>2850</v>
      </c>
      <c r="I569" s="1">
        <v>5643</v>
      </c>
      <c r="J569" s="1">
        <v>1980</v>
      </c>
    </row>
    <row r="570" spans="1:10" x14ac:dyDescent="0.3">
      <c r="A570" t="s">
        <v>56</v>
      </c>
      <c r="B570" t="s">
        <v>19</v>
      </c>
      <c r="C570" t="s">
        <v>11</v>
      </c>
      <c r="D570" t="s">
        <v>43</v>
      </c>
      <c r="E570">
        <v>86</v>
      </c>
      <c r="F570">
        <v>133</v>
      </c>
      <c r="G570" s="1">
        <v>3000</v>
      </c>
      <c r="H570" s="1">
        <v>3000</v>
      </c>
      <c r="I570" s="1">
        <v>5400</v>
      </c>
      <c r="J570" s="1">
        <v>1800</v>
      </c>
    </row>
    <row r="571" spans="1:10" x14ac:dyDescent="0.3">
      <c r="A571" t="s">
        <v>56</v>
      </c>
      <c r="B571" t="s">
        <v>20</v>
      </c>
      <c r="C571" t="s">
        <v>11</v>
      </c>
      <c r="D571" t="s">
        <v>43</v>
      </c>
      <c r="E571">
        <v>86</v>
      </c>
      <c r="F571">
        <v>133</v>
      </c>
      <c r="G571" s="1">
        <v>5800</v>
      </c>
      <c r="H571" s="1">
        <v>5800</v>
      </c>
      <c r="I571" s="1">
        <v>10440</v>
      </c>
      <c r="J571" s="1">
        <v>1800</v>
      </c>
    </row>
    <row r="572" spans="1:10" x14ac:dyDescent="0.3">
      <c r="A572" t="s">
        <v>56</v>
      </c>
      <c r="B572" t="s">
        <v>21</v>
      </c>
      <c r="C572" t="s">
        <v>11</v>
      </c>
      <c r="D572" t="s">
        <v>43</v>
      </c>
      <c r="E572">
        <v>86</v>
      </c>
      <c r="F572">
        <v>133</v>
      </c>
      <c r="G572" s="1">
        <v>4000</v>
      </c>
      <c r="H572" s="1">
        <v>3800</v>
      </c>
      <c r="I572" s="1">
        <v>6840</v>
      </c>
      <c r="J572" s="1">
        <v>1800</v>
      </c>
    </row>
    <row r="573" spans="1:10" x14ac:dyDescent="0.3">
      <c r="A573" t="s">
        <v>56</v>
      </c>
      <c r="B573" t="s">
        <v>22</v>
      </c>
      <c r="C573" t="s">
        <v>11</v>
      </c>
      <c r="D573" t="s">
        <v>43</v>
      </c>
      <c r="E573">
        <v>86</v>
      </c>
      <c r="F573">
        <v>133</v>
      </c>
      <c r="G573" s="1">
        <v>4000</v>
      </c>
      <c r="H573" s="1">
        <v>4000</v>
      </c>
      <c r="I573" s="1">
        <v>8000</v>
      </c>
      <c r="J573" s="1">
        <v>2000</v>
      </c>
    </row>
    <row r="574" spans="1:10" x14ac:dyDescent="0.3">
      <c r="A574" t="s">
        <v>56</v>
      </c>
      <c r="B574" t="s">
        <v>23</v>
      </c>
      <c r="C574" t="s">
        <v>11</v>
      </c>
      <c r="D574" t="s">
        <v>43</v>
      </c>
      <c r="E574">
        <v>86</v>
      </c>
      <c r="F574">
        <v>133</v>
      </c>
      <c r="G574" s="1">
        <v>4000</v>
      </c>
      <c r="H574" s="1">
        <v>4000</v>
      </c>
      <c r="I574" s="1">
        <v>6000</v>
      </c>
      <c r="J574" s="1">
        <v>1500</v>
      </c>
    </row>
    <row r="575" spans="1:10" x14ac:dyDescent="0.3">
      <c r="A575" t="s">
        <v>56</v>
      </c>
      <c r="B575" t="s">
        <v>24</v>
      </c>
      <c r="C575" t="s">
        <v>11</v>
      </c>
      <c r="D575" t="s">
        <v>43</v>
      </c>
      <c r="E575">
        <v>86</v>
      </c>
      <c r="F575">
        <v>133</v>
      </c>
      <c r="G575" s="1">
        <v>4000</v>
      </c>
      <c r="H575" s="1">
        <v>4000</v>
      </c>
      <c r="I575" s="1">
        <v>8000</v>
      </c>
      <c r="J575" s="1">
        <v>2000</v>
      </c>
    </row>
    <row r="576" spans="1:10" x14ac:dyDescent="0.3">
      <c r="A576" t="s">
        <v>56</v>
      </c>
      <c r="B576" t="s">
        <v>25</v>
      </c>
      <c r="C576" t="s">
        <v>11</v>
      </c>
      <c r="D576" t="s">
        <v>43</v>
      </c>
      <c r="E576">
        <v>86</v>
      </c>
      <c r="F576">
        <v>133</v>
      </c>
      <c r="G576" s="1">
        <v>4000</v>
      </c>
      <c r="H576" s="1">
        <v>3940</v>
      </c>
      <c r="I576" s="1">
        <v>3940</v>
      </c>
      <c r="J576" s="1">
        <v>1000</v>
      </c>
    </row>
    <row r="577" spans="1:10" x14ac:dyDescent="0.3">
      <c r="A577" t="s">
        <v>56</v>
      </c>
      <c r="B577" t="s">
        <v>50</v>
      </c>
      <c r="C577" t="s">
        <v>11</v>
      </c>
      <c r="D577" t="s">
        <v>43</v>
      </c>
      <c r="E577">
        <v>86</v>
      </c>
      <c r="F577">
        <v>133</v>
      </c>
      <c r="G577" s="1">
        <v>4500</v>
      </c>
      <c r="H577" s="1">
        <v>4500</v>
      </c>
      <c r="I577" s="1">
        <v>4500</v>
      </c>
      <c r="J577" s="1">
        <v>1000</v>
      </c>
    </row>
    <row r="578" spans="1:10" x14ac:dyDescent="0.3">
      <c r="A578" t="s">
        <v>56</v>
      </c>
      <c r="B578" t="s">
        <v>24</v>
      </c>
      <c r="C578" t="s">
        <v>11</v>
      </c>
      <c r="D578" t="s">
        <v>44</v>
      </c>
      <c r="E578">
        <v>86</v>
      </c>
      <c r="F578">
        <v>147</v>
      </c>
      <c r="G578" s="1">
        <v>1000</v>
      </c>
      <c r="H578" s="1">
        <v>1000</v>
      </c>
      <c r="I578" s="1">
        <v>2000</v>
      </c>
      <c r="J578" s="1">
        <v>2000</v>
      </c>
    </row>
    <row r="579" spans="1:10" x14ac:dyDescent="0.3">
      <c r="A579" t="s">
        <v>56</v>
      </c>
      <c r="B579" t="s">
        <v>25</v>
      </c>
      <c r="C579" t="s">
        <v>11</v>
      </c>
      <c r="D579" t="s">
        <v>44</v>
      </c>
      <c r="E579">
        <v>86</v>
      </c>
      <c r="F579">
        <v>147</v>
      </c>
      <c r="G579" s="1">
        <v>1000</v>
      </c>
      <c r="H579" s="1">
        <v>955</v>
      </c>
      <c r="I579" s="1">
        <v>764</v>
      </c>
      <c r="J579" s="1">
        <v>800</v>
      </c>
    </row>
    <row r="580" spans="1:10" x14ac:dyDescent="0.3">
      <c r="A580" t="s">
        <v>56</v>
      </c>
      <c r="B580" t="s">
        <v>50</v>
      </c>
      <c r="C580" t="s">
        <v>11</v>
      </c>
      <c r="D580" t="s">
        <v>44</v>
      </c>
      <c r="E580">
        <v>86</v>
      </c>
      <c r="F580">
        <v>147</v>
      </c>
      <c r="G580" s="1">
        <v>1000</v>
      </c>
      <c r="H580" s="1">
        <v>1000</v>
      </c>
      <c r="I580" s="1">
        <v>1000</v>
      </c>
      <c r="J580" s="1">
        <v>1000</v>
      </c>
    </row>
    <row r="581" spans="1:10" x14ac:dyDescent="0.3">
      <c r="A581" t="s">
        <v>57</v>
      </c>
      <c r="B581" t="s">
        <v>16</v>
      </c>
      <c r="C581" t="s">
        <v>11</v>
      </c>
      <c r="D581" t="s">
        <v>12</v>
      </c>
      <c r="E581">
        <v>86</v>
      </c>
      <c r="F581">
        <v>7</v>
      </c>
      <c r="G581" s="1">
        <v>350</v>
      </c>
      <c r="H581" s="1">
        <v>350</v>
      </c>
      <c r="I581" s="1">
        <v>700</v>
      </c>
      <c r="J581" s="1">
        <v>2000</v>
      </c>
    </row>
    <row r="582" spans="1:10" x14ac:dyDescent="0.3">
      <c r="A582" t="s">
        <v>57</v>
      </c>
      <c r="B582" t="s">
        <v>17</v>
      </c>
      <c r="C582" t="s">
        <v>11</v>
      </c>
      <c r="D582" t="s">
        <v>12</v>
      </c>
      <c r="E582">
        <v>86</v>
      </c>
      <c r="F582">
        <v>7</v>
      </c>
      <c r="G582" s="1">
        <v>2000</v>
      </c>
      <c r="H582" s="1">
        <v>2000</v>
      </c>
      <c r="I582" s="1">
        <v>3000</v>
      </c>
      <c r="J582" s="1">
        <v>1500</v>
      </c>
    </row>
    <row r="583" spans="1:10" x14ac:dyDescent="0.3">
      <c r="A583" t="s">
        <v>57</v>
      </c>
      <c r="B583" t="s">
        <v>18</v>
      </c>
      <c r="C583" t="s">
        <v>11</v>
      </c>
      <c r="D583" t="s">
        <v>12</v>
      </c>
      <c r="E583">
        <v>86</v>
      </c>
      <c r="F583">
        <v>7</v>
      </c>
      <c r="G583" s="1">
        <v>4000</v>
      </c>
      <c r="H583" s="1">
        <v>4000</v>
      </c>
      <c r="I583" s="1">
        <v>7200</v>
      </c>
      <c r="J583" s="1">
        <v>1800</v>
      </c>
    </row>
    <row r="584" spans="1:10" x14ac:dyDescent="0.3">
      <c r="A584" t="s">
        <v>57</v>
      </c>
      <c r="B584" t="s">
        <v>19</v>
      </c>
      <c r="C584" t="s">
        <v>11</v>
      </c>
      <c r="D584" t="s">
        <v>12</v>
      </c>
      <c r="E584">
        <v>86</v>
      </c>
      <c r="F584">
        <v>7</v>
      </c>
      <c r="G584" s="1">
        <v>4151</v>
      </c>
      <c r="H584" s="1">
        <v>4151</v>
      </c>
      <c r="I584" s="1">
        <v>7057</v>
      </c>
      <c r="J584" s="1">
        <v>1700</v>
      </c>
    </row>
    <row r="585" spans="1:10" x14ac:dyDescent="0.3">
      <c r="A585" t="s">
        <v>57</v>
      </c>
      <c r="B585" t="s">
        <v>20</v>
      </c>
      <c r="C585" t="s">
        <v>11</v>
      </c>
      <c r="D585" t="s">
        <v>12</v>
      </c>
      <c r="E585">
        <v>86</v>
      </c>
      <c r="F585">
        <v>7</v>
      </c>
      <c r="G585" s="1">
        <v>3030</v>
      </c>
      <c r="H585" s="1">
        <v>3030</v>
      </c>
      <c r="I585" s="1">
        <v>6060</v>
      </c>
      <c r="J585" s="1">
        <v>2000</v>
      </c>
    </row>
    <row r="586" spans="1:10" x14ac:dyDescent="0.3">
      <c r="A586" t="s">
        <v>57</v>
      </c>
      <c r="B586" t="s">
        <v>22</v>
      </c>
      <c r="C586" t="s">
        <v>11</v>
      </c>
      <c r="D586" t="s">
        <v>12</v>
      </c>
      <c r="E586">
        <v>86</v>
      </c>
      <c r="F586">
        <v>7</v>
      </c>
      <c r="G586" s="1">
        <v>550</v>
      </c>
      <c r="H586" s="1">
        <v>550</v>
      </c>
      <c r="I586" s="1">
        <v>748</v>
      </c>
      <c r="J586" s="1">
        <v>1360</v>
      </c>
    </row>
    <row r="587" spans="1:10" x14ac:dyDescent="0.3">
      <c r="A587" t="s">
        <v>57</v>
      </c>
      <c r="B587" t="s">
        <v>23</v>
      </c>
      <c r="C587" t="s">
        <v>11</v>
      </c>
      <c r="D587" t="s">
        <v>12</v>
      </c>
      <c r="E587">
        <v>86</v>
      </c>
      <c r="F587">
        <v>7</v>
      </c>
      <c r="G587" s="1">
        <v>3300</v>
      </c>
      <c r="H587" s="1">
        <v>3300</v>
      </c>
      <c r="I587" s="1">
        <v>3630</v>
      </c>
      <c r="J587" s="1">
        <v>1100</v>
      </c>
    </row>
    <row r="588" spans="1:10" x14ac:dyDescent="0.3">
      <c r="A588" t="s">
        <v>57</v>
      </c>
      <c r="B588" t="s">
        <v>24</v>
      </c>
      <c r="C588" t="s">
        <v>11</v>
      </c>
      <c r="D588" t="s">
        <v>12</v>
      </c>
      <c r="E588">
        <v>86</v>
      </c>
      <c r="F588">
        <v>7</v>
      </c>
      <c r="G588" s="1">
        <v>250</v>
      </c>
      <c r="H588" s="1">
        <v>250</v>
      </c>
      <c r="I588" s="1">
        <v>400</v>
      </c>
      <c r="J588" s="1">
        <v>1600</v>
      </c>
    </row>
    <row r="589" spans="1:10" x14ac:dyDescent="0.3">
      <c r="A589" t="s">
        <v>57</v>
      </c>
      <c r="B589" t="s">
        <v>25</v>
      </c>
      <c r="C589" t="s">
        <v>11</v>
      </c>
      <c r="D589" t="s">
        <v>12</v>
      </c>
      <c r="E589">
        <v>86</v>
      </c>
      <c r="F589">
        <v>7</v>
      </c>
      <c r="G589" s="1">
        <v>850</v>
      </c>
      <c r="H589" s="1">
        <v>850</v>
      </c>
      <c r="I589" s="1">
        <v>1190</v>
      </c>
      <c r="J589" s="1">
        <v>1400</v>
      </c>
    </row>
    <row r="590" spans="1:10" x14ac:dyDescent="0.3">
      <c r="A590" t="s">
        <v>57</v>
      </c>
      <c r="B590" t="s">
        <v>15</v>
      </c>
      <c r="C590" t="s">
        <v>11</v>
      </c>
      <c r="D590" t="s">
        <v>26</v>
      </c>
      <c r="E590">
        <v>86</v>
      </c>
      <c r="F590">
        <v>14</v>
      </c>
      <c r="G590" s="1">
        <v>1000</v>
      </c>
      <c r="H590" s="1">
        <v>900</v>
      </c>
      <c r="I590" s="1">
        <v>1440</v>
      </c>
      <c r="J590" s="1">
        <v>1600</v>
      </c>
    </row>
    <row r="591" spans="1:10" x14ac:dyDescent="0.3">
      <c r="A591" t="s">
        <v>57</v>
      </c>
      <c r="B591" t="s">
        <v>16</v>
      </c>
      <c r="C591" t="s">
        <v>11</v>
      </c>
      <c r="D591" t="s">
        <v>26</v>
      </c>
      <c r="E591">
        <v>86</v>
      </c>
      <c r="F591">
        <v>14</v>
      </c>
      <c r="G591" s="1">
        <v>1200</v>
      </c>
      <c r="H591" s="1">
        <v>1200</v>
      </c>
      <c r="I591" s="1">
        <v>2400</v>
      </c>
      <c r="J591" s="1">
        <v>2000</v>
      </c>
    </row>
    <row r="592" spans="1:10" x14ac:dyDescent="0.3">
      <c r="A592" t="s">
        <v>57</v>
      </c>
      <c r="B592" t="s">
        <v>17</v>
      </c>
      <c r="C592" t="s">
        <v>11</v>
      </c>
      <c r="D592" t="s">
        <v>26</v>
      </c>
      <c r="E592">
        <v>86</v>
      </c>
      <c r="F592">
        <v>14</v>
      </c>
      <c r="G592" s="1">
        <v>1500</v>
      </c>
      <c r="H592" s="1">
        <v>1500</v>
      </c>
      <c r="I592" s="1">
        <v>2250</v>
      </c>
      <c r="J592" s="1">
        <v>1500</v>
      </c>
    </row>
    <row r="593" spans="1:10" x14ac:dyDescent="0.3">
      <c r="A593" t="s">
        <v>57</v>
      </c>
      <c r="B593" t="s">
        <v>18</v>
      </c>
      <c r="C593" t="s">
        <v>11</v>
      </c>
      <c r="D593" t="s">
        <v>26</v>
      </c>
      <c r="E593">
        <v>86</v>
      </c>
      <c r="F593">
        <v>14</v>
      </c>
      <c r="G593" s="1">
        <v>1200</v>
      </c>
      <c r="H593" s="1">
        <v>1200</v>
      </c>
      <c r="I593" s="1">
        <v>1680</v>
      </c>
      <c r="J593" s="1">
        <v>1400</v>
      </c>
    </row>
    <row r="594" spans="1:10" x14ac:dyDescent="0.3">
      <c r="A594" t="s">
        <v>57</v>
      </c>
      <c r="B594" t="s">
        <v>19</v>
      </c>
      <c r="C594" t="s">
        <v>11</v>
      </c>
      <c r="D594" t="s">
        <v>26</v>
      </c>
      <c r="E594">
        <v>86</v>
      </c>
      <c r="F594">
        <v>14</v>
      </c>
      <c r="G594" s="1">
        <v>1553</v>
      </c>
      <c r="H594" s="1">
        <v>1553</v>
      </c>
      <c r="I594" s="1">
        <v>3417</v>
      </c>
      <c r="J594" s="1">
        <v>2200</v>
      </c>
    </row>
    <row r="595" spans="1:10" x14ac:dyDescent="0.3">
      <c r="A595" t="s">
        <v>57</v>
      </c>
      <c r="B595" t="s">
        <v>20</v>
      </c>
      <c r="C595" t="s">
        <v>11</v>
      </c>
      <c r="D595" t="s">
        <v>26</v>
      </c>
      <c r="E595">
        <v>86</v>
      </c>
      <c r="F595">
        <v>14</v>
      </c>
      <c r="G595" s="1">
        <v>3138</v>
      </c>
      <c r="H595" s="1">
        <v>3138</v>
      </c>
      <c r="I595" s="1">
        <v>6904</v>
      </c>
      <c r="J595" s="1">
        <v>2200</v>
      </c>
    </row>
    <row r="596" spans="1:10" x14ac:dyDescent="0.3">
      <c r="A596" t="s">
        <v>57</v>
      </c>
      <c r="B596" t="s">
        <v>21</v>
      </c>
      <c r="C596" t="s">
        <v>11</v>
      </c>
      <c r="D596" t="s">
        <v>26</v>
      </c>
      <c r="E596">
        <v>86</v>
      </c>
      <c r="F596">
        <v>14</v>
      </c>
      <c r="G596" s="1">
        <v>420</v>
      </c>
      <c r="H596" s="1">
        <v>420</v>
      </c>
      <c r="I596" s="1">
        <v>588</v>
      </c>
      <c r="J596" s="1">
        <v>1400</v>
      </c>
    </row>
    <row r="597" spans="1:10" x14ac:dyDescent="0.3">
      <c r="A597" t="s">
        <v>57</v>
      </c>
      <c r="B597" t="s">
        <v>23</v>
      </c>
      <c r="C597" t="s">
        <v>11</v>
      </c>
      <c r="D597" t="s">
        <v>26</v>
      </c>
      <c r="E597">
        <v>86</v>
      </c>
      <c r="F597">
        <v>14</v>
      </c>
      <c r="G597" s="1">
        <v>600</v>
      </c>
      <c r="H597" s="1">
        <v>600</v>
      </c>
      <c r="I597" s="1">
        <v>420</v>
      </c>
      <c r="J597" s="1">
        <v>700</v>
      </c>
    </row>
    <row r="598" spans="1:10" x14ac:dyDescent="0.3">
      <c r="A598" t="s">
        <v>57</v>
      </c>
      <c r="B598" t="s">
        <v>24</v>
      </c>
      <c r="C598" t="s">
        <v>11</v>
      </c>
      <c r="D598" t="s">
        <v>26</v>
      </c>
      <c r="E598">
        <v>86</v>
      </c>
      <c r="F598">
        <v>14</v>
      </c>
      <c r="G598" s="1">
        <v>400</v>
      </c>
      <c r="H598" s="1">
        <v>400</v>
      </c>
      <c r="I598" s="1">
        <v>600</v>
      </c>
      <c r="J598" s="1">
        <v>1500</v>
      </c>
    </row>
    <row r="599" spans="1:10" x14ac:dyDescent="0.3">
      <c r="A599" t="s">
        <v>57</v>
      </c>
      <c r="B599" t="s">
        <v>25</v>
      </c>
      <c r="C599" t="s">
        <v>11</v>
      </c>
      <c r="D599" t="s">
        <v>26</v>
      </c>
      <c r="E599">
        <v>86</v>
      </c>
      <c r="F599">
        <v>14</v>
      </c>
      <c r="G599" s="1">
        <v>220</v>
      </c>
      <c r="H599" s="1">
        <v>220</v>
      </c>
      <c r="I599" s="1">
        <v>220</v>
      </c>
      <c r="J599" s="1">
        <v>1000</v>
      </c>
    </row>
    <row r="600" spans="1:10" x14ac:dyDescent="0.3">
      <c r="A600" t="s">
        <v>57</v>
      </c>
      <c r="B600" t="s">
        <v>15</v>
      </c>
      <c r="C600" t="s">
        <v>11</v>
      </c>
      <c r="D600" t="s">
        <v>30</v>
      </c>
      <c r="E600">
        <v>86</v>
      </c>
      <c r="F600">
        <v>42</v>
      </c>
      <c r="G600" s="1">
        <v>1000</v>
      </c>
      <c r="H600" s="1">
        <v>900</v>
      </c>
      <c r="I600" s="1">
        <v>1440</v>
      </c>
      <c r="J600" s="1">
        <v>1600</v>
      </c>
    </row>
    <row r="601" spans="1:10" x14ac:dyDescent="0.3">
      <c r="A601" t="s">
        <v>57</v>
      </c>
      <c r="B601" t="s">
        <v>16</v>
      </c>
      <c r="C601" t="s">
        <v>11</v>
      </c>
      <c r="D601" t="s">
        <v>30</v>
      </c>
      <c r="E601">
        <v>86</v>
      </c>
      <c r="F601">
        <v>42</v>
      </c>
      <c r="G601" s="1">
        <v>750</v>
      </c>
      <c r="H601" s="1">
        <v>750</v>
      </c>
      <c r="I601" s="1">
        <v>1170</v>
      </c>
      <c r="J601" s="1">
        <v>1560</v>
      </c>
    </row>
    <row r="602" spans="1:10" x14ac:dyDescent="0.3">
      <c r="A602" t="s">
        <v>57</v>
      </c>
      <c r="B602" t="s">
        <v>17</v>
      </c>
      <c r="C602" t="s">
        <v>11</v>
      </c>
      <c r="D602" t="s">
        <v>30</v>
      </c>
      <c r="E602">
        <v>86</v>
      </c>
      <c r="F602">
        <v>42</v>
      </c>
      <c r="G602" s="1">
        <v>12000</v>
      </c>
      <c r="H602" s="1">
        <v>12000</v>
      </c>
      <c r="I602" s="1">
        <v>15600</v>
      </c>
      <c r="J602" s="1">
        <v>1300</v>
      </c>
    </row>
    <row r="603" spans="1:10" x14ac:dyDescent="0.3">
      <c r="A603" t="s">
        <v>57</v>
      </c>
      <c r="B603" t="s">
        <v>18</v>
      </c>
      <c r="C603" t="s">
        <v>11</v>
      </c>
      <c r="D603" t="s">
        <v>30</v>
      </c>
      <c r="E603">
        <v>86</v>
      </c>
      <c r="F603">
        <v>42</v>
      </c>
      <c r="G603" s="1">
        <v>4800</v>
      </c>
      <c r="H603" s="1">
        <v>4800</v>
      </c>
      <c r="I603" s="1">
        <v>10560</v>
      </c>
      <c r="J603" s="1">
        <v>2200</v>
      </c>
    </row>
    <row r="604" spans="1:10" x14ac:dyDescent="0.3">
      <c r="A604" t="s">
        <v>57</v>
      </c>
      <c r="B604" t="s">
        <v>19</v>
      </c>
      <c r="C604" t="s">
        <v>11</v>
      </c>
      <c r="D604" t="s">
        <v>30</v>
      </c>
      <c r="E604">
        <v>86</v>
      </c>
      <c r="F604">
        <v>42</v>
      </c>
      <c r="G604" s="1">
        <v>34500</v>
      </c>
      <c r="H604" s="1">
        <v>34500</v>
      </c>
      <c r="I604" s="1">
        <v>79350</v>
      </c>
      <c r="J604" s="1">
        <v>2300</v>
      </c>
    </row>
    <row r="605" spans="1:10" x14ac:dyDescent="0.3">
      <c r="A605" t="s">
        <v>57</v>
      </c>
      <c r="B605" t="s">
        <v>20</v>
      </c>
      <c r="C605" t="s">
        <v>11</v>
      </c>
      <c r="D605" t="s">
        <v>30</v>
      </c>
      <c r="E605">
        <v>86</v>
      </c>
      <c r="F605">
        <v>42</v>
      </c>
      <c r="G605" s="1">
        <v>28497</v>
      </c>
      <c r="H605" s="1">
        <v>28497</v>
      </c>
      <c r="I605" s="1">
        <v>68393</v>
      </c>
      <c r="J605" s="1">
        <v>2400</v>
      </c>
    </row>
    <row r="606" spans="1:10" x14ac:dyDescent="0.3">
      <c r="A606" t="s">
        <v>57</v>
      </c>
      <c r="B606" t="s">
        <v>21</v>
      </c>
      <c r="C606" t="s">
        <v>11</v>
      </c>
      <c r="D606" t="s">
        <v>30</v>
      </c>
      <c r="E606">
        <v>86</v>
      </c>
      <c r="F606">
        <v>42</v>
      </c>
      <c r="G606" s="1">
        <v>13300</v>
      </c>
      <c r="H606" s="1">
        <v>13300</v>
      </c>
      <c r="I606" s="1">
        <v>18620</v>
      </c>
      <c r="J606" s="1">
        <v>1400</v>
      </c>
    </row>
    <row r="607" spans="1:10" x14ac:dyDescent="0.3">
      <c r="A607" t="s">
        <v>57</v>
      </c>
      <c r="B607" t="s">
        <v>22</v>
      </c>
      <c r="C607" t="s">
        <v>11</v>
      </c>
      <c r="D607" t="s">
        <v>30</v>
      </c>
      <c r="E607">
        <v>86</v>
      </c>
      <c r="F607">
        <v>42</v>
      </c>
      <c r="G607" s="1">
        <v>6150</v>
      </c>
      <c r="H607" s="1">
        <v>6150</v>
      </c>
      <c r="I607" s="1">
        <v>10455</v>
      </c>
      <c r="J607" s="1">
        <v>1700</v>
      </c>
    </row>
    <row r="608" spans="1:10" x14ac:dyDescent="0.3">
      <c r="A608" t="s">
        <v>57</v>
      </c>
      <c r="B608" t="s">
        <v>23</v>
      </c>
      <c r="C608" t="s">
        <v>11</v>
      </c>
      <c r="D608" t="s">
        <v>30</v>
      </c>
      <c r="E608">
        <v>86</v>
      </c>
      <c r="F608">
        <v>42</v>
      </c>
      <c r="G608" s="1">
        <v>22500</v>
      </c>
      <c r="H608" s="1">
        <v>22500</v>
      </c>
      <c r="I608" s="1">
        <v>27000</v>
      </c>
      <c r="J608" s="1">
        <v>1200</v>
      </c>
    </row>
    <row r="609" spans="1:10" x14ac:dyDescent="0.3">
      <c r="A609" t="s">
        <v>57</v>
      </c>
      <c r="B609" t="s">
        <v>24</v>
      </c>
      <c r="C609" t="s">
        <v>11</v>
      </c>
      <c r="D609" t="s">
        <v>30</v>
      </c>
      <c r="E609">
        <v>86</v>
      </c>
      <c r="F609">
        <v>42</v>
      </c>
      <c r="G609" s="1">
        <v>3250</v>
      </c>
      <c r="H609" s="1">
        <v>3250</v>
      </c>
      <c r="I609" s="1">
        <v>4875</v>
      </c>
      <c r="J609" s="1">
        <v>1500</v>
      </c>
    </row>
    <row r="610" spans="1:10" x14ac:dyDescent="0.3">
      <c r="A610" t="s">
        <v>57</v>
      </c>
      <c r="B610" t="s">
        <v>25</v>
      </c>
      <c r="C610" t="s">
        <v>11</v>
      </c>
      <c r="D610" t="s">
        <v>30</v>
      </c>
      <c r="E610">
        <v>86</v>
      </c>
      <c r="F610">
        <v>42</v>
      </c>
      <c r="G610" s="1">
        <v>10600</v>
      </c>
      <c r="H610" s="1">
        <v>10600</v>
      </c>
      <c r="I610" s="1">
        <v>20140</v>
      </c>
      <c r="J610" s="1">
        <v>1900</v>
      </c>
    </row>
    <row r="611" spans="1:10" x14ac:dyDescent="0.3">
      <c r="A611" t="s">
        <v>57</v>
      </c>
      <c r="B611" t="s">
        <v>23</v>
      </c>
      <c r="C611" t="s">
        <v>11</v>
      </c>
      <c r="D611" t="s">
        <v>31</v>
      </c>
      <c r="E611">
        <v>86</v>
      </c>
      <c r="F611">
        <v>49</v>
      </c>
      <c r="G611" s="1">
        <v>200</v>
      </c>
      <c r="H611" s="1">
        <v>200</v>
      </c>
      <c r="I611" s="1">
        <v>240</v>
      </c>
      <c r="J611" s="1">
        <v>1200</v>
      </c>
    </row>
    <row r="612" spans="1:10" x14ac:dyDescent="0.3">
      <c r="A612" t="s">
        <v>57</v>
      </c>
      <c r="B612" t="s">
        <v>24</v>
      </c>
      <c r="C612" t="s">
        <v>11</v>
      </c>
      <c r="D612" t="s">
        <v>31</v>
      </c>
      <c r="E612">
        <v>86</v>
      </c>
      <c r="F612">
        <v>49</v>
      </c>
      <c r="G612" s="1">
        <v>200</v>
      </c>
      <c r="H612" s="1">
        <v>200</v>
      </c>
      <c r="I612" s="1">
        <v>500</v>
      </c>
      <c r="J612" s="1">
        <v>2500</v>
      </c>
    </row>
    <row r="613" spans="1:10" x14ac:dyDescent="0.3">
      <c r="A613" t="s">
        <v>57</v>
      </c>
      <c r="B613" t="s">
        <v>25</v>
      </c>
      <c r="C613" t="s">
        <v>11</v>
      </c>
      <c r="D613" t="s">
        <v>31</v>
      </c>
      <c r="E613">
        <v>86</v>
      </c>
      <c r="F613">
        <v>49</v>
      </c>
      <c r="G613" s="1">
        <v>300</v>
      </c>
      <c r="H613" s="1">
        <v>290</v>
      </c>
      <c r="I613" s="1">
        <v>725</v>
      </c>
      <c r="J613" s="1">
        <v>2500</v>
      </c>
    </row>
    <row r="614" spans="1:10" x14ac:dyDescent="0.3">
      <c r="A614" t="s">
        <v>57</v>
      </c>
      <c r="B614" t="s">
        <v>20</v>
      </c>
      <c r="C614" t="s">
        <v>11</v>
      </c>
      <c r="D614" t="s">
        <v>32</v>
      </c>
      <c r="E614">
        <v>86</v>
      </c>
      <c r="F614">
        <v>63</v>
      </c>
      <c r="G614" s="1">
        <v>200</v>
      </c>
      <c r="H614" s="1">
        <v>200</v>
      </c>
      <c r="I614" s="1">
        <v>360</v>
      </c>
      <c r="J614" s="1">
        <v>1800</v>
      </c>
    </row>
    <row r="615" spans="1:10" x14ac:dyDescent="0.3">
      <c r="A615" t="s">
        <v>57</v>
      </c>
      <c r="B615" t="s">
        <v>21</v>
      </c>
      <c r="C615" t="s">
        <v>11</v>
      </c>
      <c r="D615" t="s">
        <v>32</v>
      </c>
      <c r="E615">
        <v>86</v>
      </c>
      <c r="F615">
        <v>63</v>
      </c>
      <c r="G615" s="1">
        <v>200</v>
      </c>
      <c r="H615" s="1">
        <v>200</v>
      </c>
      <c r="I615" s="1">
        <v>300</v>
      </c>
      <c r="J615" s="1">
        <v>1500</v>
      </c>
    </row>
    <row r="616" spans="1:10" x14ac:dyDescent="0.3">
      <c r="A616" t="s">
        <v>57</v>
      </c>
      <c r="B616" t="s">
        <v>22</v>
      </c>
      <c r="C616" t="s">
        <v>11</v>
      </c>
      <c r="D616" t="s">
        <v>32</v>
      </c>
      <c r="E616">
        <v>86</v>
      </c>
      <c r="F616">
        <v>63</v>
      </c>
      <c r="G616" s="1">
        <v>200</v>
      </c>
      <c r="H616" s="1">
        <v>200</v>
      </c>
      <c r="I616" s="1">
        <v>240</v>
      </c>
      <c r="J616" s="1">
        <v>1200</v>
      </c>
    </row>
    <row r="617" spans="1:10" x14ac:dyDescent="0.3">
      <c r="A617" t="s">
        <v>57</v>
      </c>
      <c r="B617" t="s">
        <v>23</v>
      </c>
      <c r="C617" t="s">
        <v>11</v>
      </c>
      <c r="D617" t="s">
        <v>32</v>
      </c>
      <c r="E617">
        <v>86</v>
      </c>
      <c r="F617">
        <v>63</v>
      </c>
      <c r="G617" s="1">
        <v>250</v>
      </c>
      <c r="H617" s="1">
        <v>250</v>
      </c>
      <c r="I617" s="1">
        <v>375</v>
      </c>
      <c r="J617" s="1">
        <v>1500</v>
      </c>
    </row>
    <row r="618" spans="1:10" x14ac:dyDescent="0.3">
      <c r="A618" t="s">
        <v>57</v>
      </c>
      <c r="B618" t="s">
        <v>24</v>
      </c>
      <c r="C618" t="s">
        <v>11</v>
      </c>
      <c r="D618" t="s">
        <v>32</v>
      </c>
      <c r="E618">
        <v>86</v>
      </c>
      <c r="F618">
        <v>63</v>
      </c>
      <c r="G618" s="1">
        <v>250</v>
      </c>
      <c r="H618" s="1">
        <v>250</v>
      </c>
      <c r="I618" s="1">
        <v>625</v>
      </c>
      <c r="J618" s="1">
        <v>2500</v>
      </c>
    </row>
    <row r="619" spans="1:10" x14ac:dyDescent="0.3">
      <c r="A619" t="s">
        <v>57</v>
      </c>
      <c r="B619" t="s">
        <v>25</v>
      </c>
      <c r="C619" t="s">
        <v>11</v>
      </c>
      <c r="D619" t="s">
        <v>32</v>
      </c>
      <c r="E619">
        <v>86</v>
      </c>
      <c r="F619">
        <v>63</v>
      </c>
      <c r="G619" s="1">
        <v>1500</v>
      </c>
      <c r="H619" s="1">
        <v>1425</v>
      </c>
      <c r="I619" s="1">
        <v>3605</v>
      </c>
      <c r="J619" s="1">
        <v>2530</v>
      </c>
    </row>
    <row r="620" spans="1:10" x14ac:dyDescent="0.3">
      <c r="A620" t="s">
        <v>57</v>
      </c>
      <c r="B620" t="s">
        <v>15</v>
      </c>
      <c r="C620" t="s">
        <v>11</v>
      </c>
      <c r="D620" t="s">
        <v>33</v>
      </c>
      <c r="E620">
        <v>86</v>
      </c>
      <c r="F620">
        <v>56</v>
      </c>
      <c r="G620" s="1">
        <v>4200</v>
      </c>
      <c r="H620" s="1">
        <v>3750</v>
      </c>
      <c r="I620" s="1">
        <v>6000</v>
      </c>
      <c r="J620" s="1">
        <v>1600</v>
      </c>
    </row>
    <row r="621" spans="1:10" x14ac:dyDescent="0.3">
      <c r="A621" t="s">
        <v>57</v>
      </c>
      <c r="B621" t="s">
        <v>16</v>
      </c>
      <c r="C621" t="s">
        <v>11</v>
      </c>
      <c r="D621" t="s">
        <v>33</v>
      </c>
      <c r="E621">
        <v>86</v>
      </c>
      <c r="F621">
        <v>56</v>
      </c>
      <c r="G621" s="1">
        <v>300</v>
      </c>
      <c r="H621" s="1">
        <v>300</v>
      </c>
      <c r="I621" s="1">
        <v>510</v>
      </c>
      <c r="J621" s="1">
        <v>1700</v>
      </c>
    </row>
    <row r="622" spans="1:10" x14ac:dyDescent="0.3">
      <c r="A622" t="s">
        <v>57</v>
      </c>
      <c r="B622" t="s">
        <v>17</v>
      </c>
      <c r="C622" t="s">
        <v>11</v>
      </c>
      <c r="D622" t="s">
        <v>33</v>
      </c>
      <c r="E622">
        <v>86</v>
      </c>
      <c r="F622">
        <v>56</v>
      </c>
      <c r="G622" s="1">
        <v>300</v>
      </c>
      <c r="H622" s="1">
        <v>300</v>
      </c>
      <c r="I622" s="1">
        <v>480</v>
      </c>
      <c r="J622" s="1">
        <v>1600</v>
      </c>
    </row>
    <row r="623" spans="1:10" x14ac:dyDescent="0.3">
      <c r="A623" t="s">
        <v>57</v>
      </c>
      <c r="B623" t="s">
        <v>18</v>
      </c>
      <c r="C623" t="s">
        <v>11</v>
      </c>
      <c r="D623" t="s">
        <v>33</v>
      </c>
      <c r="E623">
        <v>86</v>
      </c>
      <c r="F623">
        <v>56</v>
      </c>
      <c r="G623" s="1">
        <v>300</v>
      </c>
      <c r="H623" s="1">
        <v>300</v>
      </c>
      <c r="I623" s="1">
        <v>420</v>
      </c>
      <c r="J623" s="1">
        <v>1400</v>
      </c>
    </row>
    <row r="624" spans="1:10" x14ac:dyDescent="0.3">
      <c r="A624" t="s">
        <v>57</v>
      </c>
      <c r="B624" t="s">
        <v>23</v>
      </c>
      <c r="C624" t="s">
        <v>11</v>
      </c>
      <c r="D624" t="s">
        <v>33</v>
      </c>
      <c r="E624">
        <v>86</v>
      </c>
      <c r="F624">
        <v>56</v>
      </c>
      <c r="G624" s="1">
        <v>1500</v>
      </c>
      <c r="H624" s="1">
        <v>1500</v>
      </c>
      <c r="I624" s="1">
        <v>1050</v>
      </c>
      <c r="J624" s="1">
        <v>700</v>
      </c>
    </row>
    <row r="625" spans="1:10" x14ac:dyDescent="0.3">
      <c r="A625" t="s">
        <v>57</v>
      </c>
      <c r="B625" t="s">
        <v>23</v>
      </c>
      <c r="C625" t="s">
        <v>11</v>
      </c>
      <c r="D625" t="s">
        <v>34</v>
      </c>
      <c r="E625">
        <v>86</v>
      </c>
      <c r="F625">
        <v>70</v>
      </c>
      <c r="G625" s="1">
        <v>500</v>
      </c>
      <c r="H625" s="1">
        <v>500</v>
      </c>
      <c r="I625" s="1">
        <v>750</v>
      </c>
      <c r="J625" s="1">
        <v>1500</v>
      </c>
    </row>
    <row r="626" spans="1:10" x14ac:dyDescent="0.3">
      <c r="A626" t="s">
        <v>57</v>
      </c>
      <c r="B626" t="s">
        <v>24</v>
      </c>
      <c r="C626" t="s">
        <v>11</v>
      </c>
      <c r="D626" t="s">
        <v>34</v>
      </c>
      <c r="E626">
        <v>86</v>
      </c>
      <c r="F626">
        <v>70</v>
      </c>
      <c r="G626" s="1">
        <v>400</v>
      </c>
      <c r="H626" s="1">
        <v>400</v>
      </c>
      <c r="I626" s="1">
        <v>1000</v>
      </c>
      <c r="J626" s="1">
        <v>2500</v>
      </c>
    </row>
    <row r="627" spans="1:10" x14ac:dyDescent="0.3">
      <c r="A627" t="s">
        <v>57</v>
      </c>
      <c r="B627" t="s">
        <v>25</v>
      </c>
      <c r="C627" t="s">
        <v>11</v>
      </c>
      <c r="D627" t="s">
        <v>34</v>
      </c>
      <c r="E627">
        <v>86</v>
      </c>
      <c r="F627">
        <v>70</v>
      </c>
      <c r="G627" s="1">
        <v>700</v>
      </c>
      <c r="H627" s="1">
        <v>660</v>
      </c>
      <c r="I627" s="1">
        <v>1663</v>
      </c>
      <c r="J627" s="1">
        <v>2520</v>
      </c>
    </row>
    <row r="628" spans="1:10" x14ac:dyDescent="0.3">
      <c r="A628" t="s">
        <v>57</v>
      </c>
      <c r="B628" t="s">
        <v>15</v>
      </c>
      <c r="C628" t="s">
        <v>11</v>
      </c>
      <c r="D628" t="s">
        <v>35</v>
      </c>
      <c r="E628">
        <v>86</v>
      </c>
      <c r="F628">
        <v>77</v>
      </c>
      <c r="G628" s="1">
        <v>2100</v>
      </c>
      <c r="H628" s="1">
        <v>1890</v>
      </c>
      <c r="I628" s="1">
        <v>3120</v>
      </c>
      <c r="J628" s="1">
        <v>1651</v>
      </c>
    </row>
    <row r="629" spans="1:10" x14ac:dyDescent="0.3">
      <c r="A629" t="s">
        <v>57</v>
      </c>
      <c r="B629" t="s">
        <v>16</v>
      </c>
      <c r="C629" t="s">
        <v>11</v>
      </c>
      <c r="D629" t="s">
        <v>35</v>
      </c>
      <c r="E629">
        <v>86</v>
      </c>
      <c r="F629">
        <v>77</v>
      </c>
      <c r="G629" s="1">
        <v>1000</v>
      </c>
      <c r="H629" s="1">
        <v>1000</v>
      </c>
      <c r="I629" s="1">
        <v>2000</v>
      </c>
      <c r="J629" s="1">
        <v>2000</v>
      </c>
    </row>
    <row r="630" spans="1:10" x14ac:dyDescent="0.3">
      <c r="A630" t="s">
        <v>57</v>
      </c>
      <c r="B630" t="s">
        <v>17</v>
      </c>
      <c r="C630" t="s">
        <v>11</v>
      </c>
      <c r="D630" t="s">
        <v>35</v>
      </c>
      <c r="E630">
        <v>86</v>
      </c>
      <c r="F630">
        <v>77</v>
      </c>
      <c r="G630" s="1">
        <v>16000</v>
      </c>
      <c r="H630" s="1">
        <v>16000</v>
      </c>
      <c r="I630" s="1">
        <v>30400</v>
      </c>
      <c r="J630" s="1">
        <v>1900</v>
      </c>
    </row>
    <row r="631" spans="1:10" x14ac:dyDescent="0.3">
      <c r="A631" t="s">
        <v>57</v>
      </c>
      <c r="B631" t="s">
        <v>18</v>
      </c>
      <c r="C631" t="s">
        <v>11</v>
      </c>
      <c r="D631" t="s">
        <v>35</v>
      </c>
      <c r="E631">
        <v>86</v>
      </c>
      <c r="F631">
        <v>77</v>
      </c>
      <c r="G631" s="1">
        <v>6500</v>
      </c>
      <c r="H631" s="1">
        <v>6500</v>
      </c>
      <c r="I631" s="1">
        <v>14300</v>
      </c>
      <c r="J631" s="1">
        <v>2200</v>
      </c>
    </row>
    <row r="632" spans="1:10" x14ac:dyDescent="0.3">
      <c r="A632" t="s">
        <v>57</v>
      </c>
      <c r="B632" t="s">
        <v>19</v>
      </c>
      <c r="C632" t="s">
        <v>11</v>
      </c>
      <c r="D632" t="s">
        <v>35</v>
      </c>
      <c r="E632">
        <v>86</v>
      </c>
      <c r="F632">
        <v>77</v>
      </c>
      <c r="G632" s="1">
        <v>33500</v>
      </c>
      <c r="H632" s="1">
        <v>33430</v>
      </c>
      <c r="I632" s="1">
        <v>83575</v>
      </c>
      <c r="J632" s="1">
        <v>2500</v>
      </c>
    </row>
    <row r="633" spans="1:10" x14ac:dyDescent="0.3">
      <c r="A633" t="s">
        <v>57</v>
      </c>
      <c r="B633" t="s">
        <v>20</v>
      </c>
      <c r="C633" t="s">
        <v>11</v>
      </c>
      <c r="D633" t="s">
        <v>35</v>
      </c>
      <c r="E633">
        <v>86</v>
      </c>
      <c r="F633">
        <v>77</v>
      </c>
      <c r="G633" s="1">
        <v>6142</v>
      </c>
      <c r="H633" s="1">
        <v>6142</v>
      </c>
      <c r="I633" s="1">
        <v>14127</v>
      </c>
      <c r="J633" s="1">
        <v>2300</v>
      </c>
    </row>
    <row r="634" spans="1:10" x14ac:dyDescent="0.3">
      <c r="A634" t="s">
        <v>57</v>
      </c>
      <c r="B634" t="s">
        <v>21</v>
      </c>
      <c r="C634" t="s">
        <v>11</v>
      </c>
      <c r="D634" t="s">
        <v>35</v>
      </c>
      <c r="E634">
        <v>86</v>
      </c>
      <c r="F634">
        <v>77</v>
      </c>
      <c r="G634" s="1">
        <v>9100</v>
      </c>
      <c r="H634" s="1">
        <v>9100</v>
      </c>
      <c r="I634" s="1">
        <v>13650</v>
      </c>
      <c r="J634" s="1">
        <v>1500</v>
      </c>
    </row>
    <row r="635" spans="1:10" x14ac:dyDescent="0.3">
      <c r="A635" t="s">
        <v>57</v>
      </c>
      <c r="B635" t="s">
        <v>22</v>
      </c>
      <c r="C635" t="s">
        <v>11</v>
      </c>
      <c r="D635" t="s">
        <v>35</v>
      </c>
      <c r="E635">
        <v>86</v>
      </c>
      <c r="F635">
        <v>77</v>
      </c>
      <c r="G635" s="1">
        <v>8400</v>
      </c>
      <c r="H635" s="1">
        <v>8400</v>
      </c>
      <c r="I635" s="1">
        <v>14994</v>
      </c>
      <c r="J635" s="1">
        <v>1785</v>
      </c>
    </row>
    <row r="636" spans="1:10" x14ac:dyDescent="0.3">
      <c r="A636" t="s">
        <v>57</v>
      </c>
      <c r="B636" t="s">
        <v>23</v>
      </c>
      <c r="C636" t="s">
        <v>11</v>
      </c>
      <c r="D636" t="s">
        <v>35</v>
      </c>
      <c r="E636">
        <v>86</v>
      </c>
      <c r="F636">
        <v>77</v>
      </c>
      <c r="G636" s="1">
        <v>10700</v>
      </c>
      <c r="H636" s="1">
        <v>10700</v>
      </c>
      <c r="I636" s="1">
        <v>12840</v>
      </c>
      <c r="J636" s="1">
        <v>1200</v>
      </c>
    </row>
    <row r="637" spans="1:10" x14ac:dyDescent="0.3">
      <c r="A637" t="s">
        <v>57</v>
      </c>
      <c r="B637" t="s">
        <v>24</v>
      </c>
      <c r="C637" t="s">
        <v>11</v>
      </c>
      <c r="D637" t="s">
        <v>35</v>
      </c>
      <c r="E637">
        <v>86</v>
      </c>
      <c r="F637">
        <v>77</v>
      </c>
      <c r="G637" s="1">
        <v>2180</v>
      </c>
      <c r="H637" s="1">
        <v>2180</v>
      </c>
      <c r="I637" s="1">
        <v>3270</v>
      </c>
      <c r="J637" s="1">
        <v>1500</v>
      </c>
    </row>
    <row r="638" spans="1:10" x14ac:dyDescent="0.3">
      <c r="A638" t="s">
        <v>57</v>
      </c>
      <c r="B638" t="s">
        <v>25</v>
      </c>
      <c r="C638" t="s">
        <v>11</v>
      </c>
      <c r="D638" t="s">
        <v>35</v>
      </c>
      <c r="E638">
        <v>86</v>
      </c>
      <c r="F638">
        <v>77</v>
      </c>
      <c r="G638" s="1">
        <v>5540</v>
      </c>
      <c r="H638" s="1">
        <v>5540</v>
      </c>
      <c r="I638" s="1">
        <v>9972</v>
      </c>
      <c r="J638" s="1">
        <v>1800</v>
      </c>
    </row>
    <row r="639" spans="1:10" x14ac:dyDescent="0.3">
      <c r="A639" t="s">
        <v>57</v>
      </c>
      <c r="B639" t="s">
        <v>20</v>
      </c>
      <c r="C639" t="s">
        <v>11</v>
      </c>
      <c r="D639" t="s">
        <v>36</v>
      </c>
      <c r="E639">
        <v>86</v>
      </c>
      <c r="F639">
        <v>84</v>
      </c>
      <c r="G639" s="1">
        <v>100</v>
      </c>
      <c r="H639" s="1">
        <v>100</v>
      </c>
      <c r="I639" s="1">
        <v>170</v>
      </c>
      <c r="J639" s="1">
        <v>1700</v>
      </c>
    </row>
    <row r="640" spans="1:10" x14ac:dyDescent="0.3">
      <c r="A640" t="s">
        <v>57</v>
      </c>
      <c r="B640" t="s">
        <v>21</v>
      </c>
      <c r="C640" t="s">
        <v>11</v>
      </c>
      <c r="D640" t="s">
        <v>36</v>
      </c>
      <c r="E640">
        <v>86</v>
      </c>
      <c r="F640">
        <v>84</v>
      </c>
      <c r="G640" s="1">
        <v>200</v>
      </c>
      <c r="H640" s="1">
        <v>200</v>
      </c>
      <c r="I640" s="1">
        <v>500</v>
      </c>
      <c r="J640" s="1">
        <v>2500</v>
      </c>
    </row>
    <row r="641" spans="1:10" x14ac:dyDescent="0.3">
      <c r="A641" t="s">
        <v>57</v>
      </c>
      <c r="B641" t="s">
        <v>22</v>
      </c>
      <c r="C641" t="s">
        <v>11</v>
      </c>
      <c r="D641" t="s">
        <v>36</v>
      </c>
      <c r="E641">
        <v>86</v>
      </c>
      <c r="F641">
        <v>84</v>
      </c>
      <c r="G641" s="1">
        <v>200</v>
      </c>
      <c r="H641" s="1">
        <v>200</v>
      </c>
      <c r="I641" s="1">
        <v>240</v>
      </c>
      <c r="J641" s="1">
        <v>1200</v>
      </c>
    </row>
    <row r="642" spans="1:10" x14ac:dyDescent="0.3">
      <c r="A642" t="s">
        <v>57</v>
      </c>
      <c r="B642" t="s">
        <v>23</v>
      </c>
      <c r="C642" t="s">
        <v>11</v>
      </c>
      <c r="D642" t="s">
        <v>36</v>
      </c>
      <c r="E642">
        <v>86</v>
      </c>
      <c r="F642">
        <v>84</v>
      </c>
      <c r="G642" s="1">
        <v>550</v>
      </c>
      <c r="H642" s="1">
        <v>550</v>
      </c>
      <c r="I642" s="1">
        <v>825</v>
      </c>
      <c r="J642" s="1">
        <v>1500</v>
      </c>
    </row>
    <row r="643" spans="1:10" x14ac:dyDescent="0.3">
      <c r="A643" t="s">
        <v>57</v>
      </c>
      <c r="B643" t="s">
        <v>24</v>
      </c>
      <c r="C643" t="s">
        <v>11</v>
      </c>
      <c r="D643" t="s">
        <v>36</v>
      </c>
      <c r="E643">
        <v>86</v>
      </c>
      <c r="F643">
        <v>84</v>
      </c>
      <c r="G643" s="1">
        <v>550</v>
      </c>
      <c r="H643" s="1">
        <v>550</v>
      </c>
      <c r="I643" s="1">
        <v>1375</v>
      </c>
      <c r="J643" s="1">
        <v>2500</v>
      </c>
    </row>
    <row r="644" spans="1:10" x14ac:dyDescent="0.3">
      <c r="A644" t="s">
        <v>57</v>
      </c>
      <c r="B644" t="s">
        <v>25</v>
      </c>
      <c r="C644" t="s">
        <v>11</v>
      </c>
      <c r="D644" t="s">
        <v>36</v>
      </c>
      <c r="E644">
        <v>86</v>
      </c>
      <c r="F644">
        <v>84</v>
      </c>
      <c r="G644" s="1">
        <v>550</v>
      </c>
      <c r="H644" s="1">
        <v>535</v>
      </c>
      <c r="I644" s="1">
        <v>1284</v>
      </c>
      <c r="J644" s="1">
        <v>2400</v>
      </c>
    </row>
    <row r="645" spans="1:10" x14ac:dyDescent="0.3">
      <c r="A645" t="s">
        <v>57</v>
      </c>
      <c r="B645" t="s">
        <v>23</v>
      </c>
      <c r="C645" t="s">
        <v>11</v>
      </c>
      <c r="D645" t="s">
        <v>37</v>
      </c>
      <c r="E645">
        <v>86</v>
      </c>
      <c r="F645">
        <v>91</v>
      </c>
      <c r="G645" s="1">
        <v>650</v>
      </c>
      <c r="H645" s="1">
        <v>650</v>
      </c>
      <c r="I645" s="1">
        <v>975</v>
      </c>
      <c r="J645" s="1">
        <v>1500</v>
      </c>
    </row>
    <row r="646" spans="1:10" x14ac:dyDescent="0.3">
      <c r="A646" t="s">
        <v>57</v>
      </c>
      <c r="B646" t="s">
        <v>24</v>
      </c>
      <c r="C646" t="s">
        <v>11</v>
      </c>
      <c r="D646" t="s">
        <v>37</v>
      </c>
      <c r="E646">
        <v>86</v>
      </c>
      <c r="F646">
        <v>91</v>
      </c>
      <c r="G646" s="1">
        <v>650</v>
      </c>
      <c r="H646" s="1">
        <v>650</v>
      </c>
      <c r="I646" s="1">
        <v>1625</v>
      </c>
      <c r="J646" s="1">
        <v>2500</v>
      </c>
    </row>
    <row r="647" spans="1:10" x14ac:dyDescent="0.3">
      <c r="A647" t="s">
        <v>57</v>
      </c>
      <c r="B647" t="s">
        <v>25</v>
      </c>
      <c r="C647" t="s">
        <v>11</v>
      </c>
      <c r="D647" t="s">
        <v>37</v>
      </c>
      <c r="E647">
        <v>86</v>
      </c>
      <c r="F647">
        <v>91</v>
      </c>
      <c r="G647" s="1">
        <v>650</v>
      </c>
      <c r="H647" s="1">
        <v>600</v>
      </c>
      <c r="I647" s="1">
        <v>1500</v>
      </c>
      <c r="J647" s="1">
        <v>2500</v>
      </c>
    </row>
    <row r="648" spans="1:10" x14ac:dyDescent="0.3">
      <c r="A648" t="s">
        <v>57</v>
      </c>
      <c r="B648" t="s">
        <v>15</v>
      </c>
      <c r="C648" t="s">
        <v>11</v>
      </c>
      <c r="D648" t="s">
        <v>38</v>
      </c>
      <c r="E648">
        <v>86</v>
      </c>
      <c r="F648">
        <v>98</v>
      </c>
      <c r="G648" s="1">
        <v>1000</v>
      </c>
      <c r="H648" s="1">
        <v>900</v>
      </c>
      <c r="I648" s="1">
        <v>1530</v>
      </c>
      <c r="J648" s="1">
        <v>1700</v>
      </c>
    </row>
    <row r="649" spans="1:10" x14ac:dyDescent="0.3">
      <c r="A649" t="s">
        <v>57</v>
      </c>
      <c r="B649" t="s">
        <v>16</v>
      </c>
      <c r="C649" t="s">
        <v>11</v>
      </c>
      <c r="D649" t="s">
        <v>38</v>
      </c>
      <c r="E649">
        <v>86</v>
      </c>
      <c r="F649">
        <v>98</v>
      </c>
      <c r="G649" s="1">
        <v>400</v>
      </c>
      <c r="H649" s="1">
        <v>400</v>
      </c>
      <c r="I649" s="1">
        <v>680</v>
      </c>
      <c r="J649" s="1">
        <v>1700</v>
      </c>
    </row>
    <row r="650" spans="1:10" x14ac:dyDescent="0.3">
      <c r="A650" t="s">
        <v>57</v>
      </c>
      <c r="B650" t="s">
        <v>17</v>
      </c>
      <c r="C650" t="s">
        <v>11</v>
      </c>
      <c r="D650" t="s">
        <v>38</v>
      </c>
      <c r="E650">
        <v>86</v>
      </c>
      <c r="F650">
        <v>98</v>
      </c>
      <c r="G650" s="1">
        <v>4000</v>
      </c>
      <c r="H650" s="1">
        <v>4000</v>
      </c>
      <c r="I650" s="1">
        <v>6000</v>
      </c>
      <c r="J650" s="1">
        <v>1500</v>
      </c>
    </row>
    <row r="651" spans="1:10" x14ac:dyDescent="0.3">
      <c r="A651" t="s">
        <v>57</v>
      </c>
      <c r="B651" t="s">
        <v>18</v>
      </c>
      <c r="C651" t="s">
        <v>11</v>
      </c>
      <c r="D651" t="s">
        <v>38</v>
      </c>
      <c r="E651">
        <v>86</v>
      </c>
      <c r="F651">
        <v>98</v>
      </c>
      <c r="G651" s="1">
        <v>2500</v>
      </c>
      <c r="H651" s="1">
        <v>2500</v>
      </c>
      <c r="I651" s="1">
        <v>3750</v>
      </c>
      <c r="J651" s="1">
        <v>1500</v>
      </c>
    </row>
    <row r="652" spans="1:10" x14ac:dyDescent="0.3">
      <c r="A652" t="s">
        <v>57</v>
      </c>
      <c r="B652" t="s">
        <v>19</v>
      </c>
      <c r="C652" t="s">
        <v>11</v>
      </c>
      <c r="D652" t="s">
        <v>38</v>
      </c>
      <c r="E652">
        <v>86</v>
      </c>
      <c r="F652">
        <v>98</v>
      </c>
      <c r="G652" s="1">
        <v>500</v>
      </c>
      <c r="H652" s="1">
        <v>500</v>
      </c>
      <c r="I652" s="1">
        <v>800</v>
      </c>
      <c r="J652" s="1">
        <v>1600</v>
      </c>
    </row>
    <row r="653" spans="1:10" x14ac:dyDescent="0.3">
      <c r="A653" t="s">
        <v>57</v>
      </c>
      <c r="B653" t="s">
        <v>20</v>
      </c>
      <c r="C653" t="s">
        <v>11</v>
      </c>
      <c r="D653" t="s">
        <v>38</v>
      </c>
      <c r="E653">
        <v>86</v>
      </c>
      <c r="F653">
        <v>98</v>
      </c>
      <c r="G653" s="1">
        <v>2453</v>
      </c>
      <c r="H653" s="1">
        <v>2453</v>
      </c>
      <c r="I653" s="1">
        <v>4415</v>
      </c>
      <c r="J653" s="1">
        <v>1800</v>
      </c>
    </row>
    <row r="654" spans="1:10" x14ac:dyDescent="0.3">
      <c r="A654" t="s">
        <v>57</v>
      </c>
      <c r="B654" t="s">
        <v>21</v>
      </c>
      <c r="C654" t="s">
        <v>11</v>
      </c>
      <c r="D654" t="s">
        <v>38</v>
      </c>
      <c r="E654">
        <v>86</v>
      </c>
      <c r="F654">
        <v>98</v>
      </c>
      <c r="G654" s="1">
        <v>390</v>
      </c>
      <c r="H654" s="1">
        <v>390</v>
      </c>
      <c r="I654" s="1">
        <v>468</v>
      </c>
      <c r="J654" s="1">
        <v>1200</v>
      </c>
    </row>
    <row r="655" spans="1:10" x14ac:dyDescent="0.3">
      <c r="A655" t="s">
        <v>57</v>
      </c>
      <c r="B655" t="s">
        <v>22</v>
      </c>
      <c r="C655" t="s">
        <v>11</v>
      </c>
      <c r="D655" t="s">
        <v>38</v>
      </c>
      <c r="E655">
        <v>86</v>
      </c>
      <c r="F655">
        <v>98</v>
      </c>
      <c r="G655" s="1">
        <v>950</v>
      </c>
      <c r="H655" s="1">
        <v>950</v>
      </c>
      <c r="I655" s="1">
        <v>1292</v>
      </c>
      <c r="J655" s="1">
        <v>1360</v>
      </c>
    </row>
    <row r="656" spans="1:10" x14ac:dyDescent="0.3">
      <c r="A656" t="s">
        <v>57</v>
      </c>
      <c r="B656" t="s">
        <v>23</v>
      </c>
      <c r="C656" t="s">
        <v>11</v>
      </c>
      <c r="D656" t="s">
        <v>38</v>
      </c>
      <c r="E656">
        <v>86</v>
      </c>
      <c r="F656">
        <v>98</v>
      </c>
      <c r="G656" s="1">
        <v>3000</v>
      </c>
      <c r="H656" s="1">
        <v>3000</v>
      </c>
      <c r="I656" s="1">
        <v>2100</v>
      </c>
      <c r="J656" s="1">
        <v>700</v>
      </c>
    </row>
    <row r="657" spans="1:10" x14ac:dyDescent="0.3">
      <c r="A657" t="s">
        <v>57</v>
      </c>
      <c r="B657" t="s">
        <v>24</v>
      </c>
      <c r="C657" t="s">
        <v>11</v>
      </c>
      <c r="D657" t="s">
        <v>38</v>
      </c>
      <c r="E657">
        <v>86</v>
      </c>
      <c r="F657">
        <v>98</v>
      </c>
      <c r="G657" s="1">
        <v>420</v>
      </c>
      <c r="H657" s="1">
        <v>420</v>
      </c>
      <c r="I657" s="1">
        <v>672</v>
      </c>
      <c r="J657" s="1">
        <v>1600</v>
      </c>
    </row>
    <row r="658" spans="1:10" x14ac:dyDescent="0.3">
      <c r="A658" t="s">
        <v>57</v>
      </c>
      <c r="B658" t="s">
        <v>25</v>
      </c>
      <c r="C658" t="s">
        <v>11</v>
      </c>
      <c r="D658" t="s">
        <v>38</v>
      </c>
      <c r="E658">
        <v>86</v>
      </c>
      <c r="F658">
        <v>98</v>
      </c>
      <c r="G658" s="1">
        <v>450</v>
      </c>
      <c r="H658" s="1">
        <v>450</v>
      </c>
      <c r="I658" s="1">
        <v>450</v>
      </c>
      <c r="J658" s="1">
        <v>1000</v>
      </c>
    </row>
    <row r="659" spans="1:10" x14ac:dyDescent="0.3">
      <c r="A659" t="s">
        <v>57</v>
      </c>
      <c r="B659" t="s">
        <v>19</v>
      </c>
      <c r="C659" t="s">
        <v>11</v>
      </c>
      <c r="D659" t="s">
        <v>40</v>
      </c>
      <c r="E659">
        <v>86</v>
      </c>
      <c r="F659">
        <v>112</v>
      </c>
      <c r="G659" s="1">
        <v>1000</v>
      </c>
      <c r="H659" s="1">
        <v>1000</v>
      </c>
      <c r="I659" s="1">
        <v>840</v>
      </c>
      <c r="J659" s="1">
        <v>840</v>
      </c>
    </row>
    <row r="660" spans="1:10" x14ac:dyDescent="0.3">
      <c r="A660" t="s">
        <v>57</v>
      </c>
      <c r="B660" t="s">
        <v>20</v>
      </c>
      <c r="C660" t="s">
        <v>11</v>
      </c>
      <c r="D660" t="s">
        <v>40</v>
      </c>
      <c r="E660">
        <v>86</v>
      </c>
      <c r="F660">
        <v>112</v>
      </c>
      <c r="G660" s="1">
        <v>500</v>
      </c>
      <c r="H660" s="1">
        <v>500</v>
      </c>
      <c r="I660" s="1">
        <v>900</v>
      </c>
      <c r="J660" s="1">
        <v>1800</v>
      </c>
    </row>
    <row r="661" spans="1:10" x14ac:dyDescent="0.3">
      <c r="A661" t="s">
        <v>57</v>
      </c>
      <c r="B661" t="s">
        <v>21</v>
      </c>
      <c r="C661" t="s">
        <v>11</v>
      </c>
      <c r="D661" t="s">
        <v>40</v>
      </c>
      <c r="E661">
        <v>86</v>
      </c>
      <c r="F661">
        <v>112</v>
      </c>
      <c r="G661" s="1">
        <v>600</v>
      </c>
      <c r="H661" s="1">
        <v>600</v>
      </c>
      <c r="I661" s="1">
        <v>900</v>
      </c>
      <c r="J661" s="1">
        <v>1500</v>
      </c>
    </row>
    <row r="662" spans="1:10" x14ac:dyDescent="0.3">
      <c r="A662" t="s">
        <v>57</v>
      </c>
      <c r="B662" t="s">
        <v>22</v>
      </c>
      <c r="C662" t="s">
        <v>11</v>
      </c>
      <c r="D662" t="s">
        <v>40</v>
      </c>
      <c r="E662">
        <v>86</v>
      </c>
      <c r="F662">
        <v>112</v>
      </c>
      <c r="G662" s="1">
        <v>500</v>
      </c>
      <c r="H662" s="1">
        <v>500</v>
      </c>
      <c r="I662" s="1">
        <v>750</v>
      </c>
      <c r="J662" s="1">
        <v>1500</v>
      </c>
    </row>
    <row r="663" spans="1:10" x14ac:dyDescent="0.3">
      <c r="A663" t="s">
        <v>57</v>
      </c>
      <c r="B663" t="s">
        <v>15</v>
      </c>
      <c r="C663" t="s">
        <v>11</v>
      </c>
      <c r="D663" t="s">
        <v>41</v>
      </c>
      <c r="E663">
        <v>86</v>
      </c>
      <c r="F663">
        <v>119</v>
      </c>
      <c r="G663" s="1">
        <v>2700</v>
      </c>
      <c r="H663" s="1">
        <v>2400</v>
      </c>
      <c r="I663" s="1">
        <v>4080</v>
      </c>
      <c r="J663" s="1">
        <v>1700</v>
      </c>
    </row>
    <row r="664" spans="1:10" x14ac:dyDescent="0.3">
      <c r="A664" t="s">
        <v>57</v>
      </c>
      <c r="B664" t="s">
        <v>16</v>
      </c>
      <c r="C664" t="s">
        <v>11</v>
      </c>
      <c r="D664" t="s">
        <v>41</v>
      </c>
      <c r="E664">
        <v>86</v>
      </c>
      <c r="F664">
        <v>119</v>
      </c>
      <c r="G664" s="1">
        <v>1500</v>
      </c>
      <c r="H664" s="1">
        <v>1500</v>
      </c>
      <c r="I664" s="1">
        <v>2400</v>
      </c>
      <c r="J664" s="1">
        <v>1600</v>
      </c>
    </row>
    <row r="665" spans="1:10" x14ac:dyDescent="0.3">
      <c r="A665" t="s">
        <v>57</v>
      </c>
      <c r="B665" t="s">
        <v>17</v>
      </c>
      <c r="C665" t="s">
        <v>11</v>
      </c>
      <c r="D665" t="s">
        <v>41</v>
      </c>
      <c r="E665">
        <v>86</v>
      </c>
      <c r="F665">
        <v>119</v>
      </c>
      <c r="G665" s="1">
        <v>8000</v>
      </c>
      <c r="H665" s="1">
        <v>8000</v>
      </c>
      <c r="I665" s="1">
        <v>11200</v>
      </c>
      <c r="J665" s="1">
        <v>1400</v>
      </c>
    </row>
    <row r="666" spans="1:10" x14ac:dyDescent="0.3">
      <c r="A666" t="s">
        <v>57</v>
      </c>
      <c r="B666" t="s">
        <v>18</v>
      </c>
      <c r="C666" t="s">
        <v>11</v>
      </c>
      <c r="D666" t="s">
        <v>41</v>
      </c>
      <c r="E666">
        <v>86</v>
      </c>
      <c r="F666">
        <v>119</v>
      </c>
      <c r="G666" s="1">
        <v>5100</v>
      </c>
      <c r="H666" s="1">
        <v>5100</v>
      </c>
      <c r="I666" s="1">
        <v>8160</v>
      </c>
      <c r="J666" s="1">
        <v>1600</v>
      </c>
    </row>
    <row r="667" spans="1:10" x14ac:dyDescent="0.3">
      <c r="A667" t="s">
        <v>57</v>
      </c>
      <c r="B667" t="s">
        <v>19</v>
      </c>
      <c r="C667" t="s">
        <v>11</v>
      </c>
      <c r="D667" t="s">
        <v>41</v>
      </c>
      <c r="E667">
        <v>86</v>
      </c>
      <c r="F667">
        <v>119</v>
      </c>
      <c r="G667" s="1">
        <v>3266</v>
      </c>
      <c r="H667" s="1">
        <v>3266</v>
      </c>
      <c r="I667" s="1">
        <v>6859</v>
      </c>
      <c r="J667" s="1">
        <v>2100</v>
      </c>
    </row>
    <row r="668" spans="1:10" x14ac:dyDescent="0.3">
      <c r="A668" t="s">
        <v>57</v>
      </c>
      <c r="B668" t="s">
        <v>20</v>
      </c>
      <c r="C668" t="s">
        <v>11</v>
      </c>
      <c r="D668" t="s">
        <v>41</v>
      </c>
      <c r="E668">
        <v>86</v>
      </c>
      <c r="F668">
        <v>119</v>
      </c>
      <c r="G668" s="1">
        <v>5329</v>
      </c>
      <c r="H668" s="1">
        <v>5329</v>
      </c>
      <c r="I668" s="1">
        <v>10125</v>
      </c>
      <c r="J668" s="1">
        <v>1900</v>
      </c>
    </row>
    <row r="669" spans="1:10" x14ac:dyDescent="0.3">
      <c r="A669" t="s">
        <v>57</v>
      </c>
      <c r="B669" t="s">
        <v>21</v>
      </c>
      <c r="C669" t="s">
        <v>11</v>
      </c>
      <c r="D669" t="s">
        <v>41</v>
      </c>
      <c r="E669">
        <v>86</v>
      </c>
      <c r="F669">
        <v>119</v>
      </c>
      <c r="G669" s="1">
        <v>3250</v>
      </c>
      <c r="H669" s="1">
        <v>3250</v>
      </c>
      <c r="I669" s="1">
        <v>3575</v>
      </c>
      <c r="J669" s="1">
        <v>1100</v>
      </c>
    </row>
    <row r="670" spans="1:10" x14ac:dyDescent="0.3">
      <c r="A670" t="s">
        <v>57</v>
      </c>
      <c r="B670" t="s">
        <v>22</v>
      </c>
      <c r="C670" t="s">
        <v>11</v>
      </c>
      <c r="D670" t="s">
        <v>41</v>
      </c>
      <c r="E670">
        <v>86</v>
      </c>
      <c r="F670">
        <v>119</v>
      </c>
      <c r="G670" s="1">
        <v>350</v>
      </c>
      <c r="H670" s="1">
        <v>350</v>
      </c>
      <c r="I670" s="1">
        <v>387</v>
      </c>
      <c r="J670" s="1">
        <v>1106</v>
      </c>
    </row>
    <row r="671" spans="1:10" x14ac:dyDescent="0.3">
      <c r="A671" t="s">
        <v>57</v>
      </c>
      <c r="B671" t="s">
        <v>23</v>
      </c>
      <c r="C671" t="s">
        <v>11</v>
      </c>
      <c r="D671" t="s">
        <v>41</v>
      </c>
      <c r="E671">
        <v>86</v>
      </c>
      <c r="F671">
        <v>119</v>
      </c>
      <c r="G671" s="1">
        <v>1800</v>
      </c>
      <c r="H671" s="1">
        <v>1800</v>
      </c>
      <c r="I671" s="1">
        <v>1260</v>
      </c>
      <c r="J671" s="1">
        <v>700</v>
      </c>
    </row>
    <row r="672" spans="1:10" x14ac:dyDescent="0.3">
      <c r="A672" t="s">
        <v>57</v>
      </c>
      <c r="B672" t="s">
        <v>24</v>
      </c>
      <c r="C672" t="s">
        <v>11</v>
      </c>
      <c r="D672" t="s">
        <v>41</v>
      </c>
      <c r="E672">
        <v>86</v>
      </c>
      <c r="F672">
        <v>119</v>
      </c>
      <c r="G672" s="1">
        <v>1150</v>
      </c>
      <c r="H672" s="1">
        <v>1150</v>
      </c>
      <c r="I672" s="1">
        <v>1725</v>
      </c>
      <c r="J672" s="1">
        <v>1500</v>
      </c>
    </row>
    <row r="673" spans="1:10" x14ac:dyDescent="0.3">
      <c r="A673" t="s">
        <v>57</v>
      </c>
      <c r="B673" t="s">
        <v>25</v>
      </c>
      <c r="C673" t="s">
        <v>11</v>
      </c>
      <c r="D673" t="s">
        <v>41</v>
      </c>
      <c r="E673">
        <v>86</v>
      </c>
      <c r="F673">
        <v>119</v>
      </c>
      <c r="G673" s="1">
        <v>480</v>
      </c>
      <c r="H673" s="1">
        <v>480</v>
      </c>
      <c r="I673" s="1">
        <v>480</v>
      </c>
      <c r="J673" s="1">
        <v>1000</v>
      </c>
    </row>
    <row r="674" spans="1:10" x14ac:dyDescent="0.3">
      <c r="A674" t="s">
        <v>57</v>
      </c>
      <c r="B674" t="s">
        <v>20</v>
      </c>
      <c r="C674" t="s">
        <v>11</v>
      </c>
      <c r="D674" t="s">
        <v>43</v>
      </c>
      <c r="E674">
        <v>86</v>
      </c>
      <c r="F674">
        <v>133</v>
      </c>
      <c r="G674" s="1">
        <v>100</v>
      </c>
      <c r="H674" s="1">
        <v>100</v>
      </c>
      <c r="I674" s="1">
        <v>180</v>
      </c>
      <c r="J674" s="1">
        <v>1800</v>
      </c>
    </row>
    <row r="675" spans="1:10" x14ac:dyDescent="0.3">
      <c r="A675" t="s">
        <v>57</v>
      </c>
      <c r="B675" t="s">
        <v>21</v>
      </c>
      <c r="C675" t="s">
        <v>11</v>
      </c>
      <c r="D675" t="s">
        <v>43</v>
      </c>
      <c r="E675">
        <v>86</v>
      </c>
      <c r="F675">
        <v>133</v>
      </c>
      <c r="G675" s="1">
        <v>300</v>
      </c>
      <c r="H675" s="1">
        <v>300</v>
      </c>
      <c r="I675" s="1">
        <v>750</v>
      </c>
      <c r="J675" s="1">
        <v>2500</v>
      </c>
    </row>
    <row r="676" spans="1:10" x14ac:dyDescent="0.3">
      <c r="A676" t="s">
        <v>57</v>
      </c>
      <c r="B676" t="s">
        <v>22</v>
      </c>
      <c r="C676" t="s">
        <v>11</v>
      </c>
      <c r="D676" t="s">
        <v>43</v>
      </c>
      <c r="E676">
        <v>86</v>
      </c>
      <c r="F676">
        <v>133</v>
      </c>
      <c r="G676" s="1">
        <v>300</v>
      </c>
      <c r="H676" s="1">
        <v>300</v>
      </c>
      <c r="I676" s="1">
        <v>450</v>
      </c>
      <c r="J676" s="1">
        <v>1500</v>
      </c>
    </row>
    <row r="677" spans="1:10" x14ac:dyDescent="0.3">
      <c r="A677" t="s">
        <v>57</v>
      </c>
      <c r="B677" t="s">
        <v>23</v>
      </c>
      <c r="C677" t="s">
        <v>11</v>
      </c>
      <c r="D677" t="s">
        <v>43</v>
      </c>
      <c r="E677">
        <v>86</v>
      </c>
      <c r="F677">
        <v>133</v>
      </c>
      <c r="G677" s="1">
        <v>500</v>
      </c>
      <c r="H677" s="1">
        <v>500</v>
      </c>
      <c r="I677" s="1">
        <v>750</v>
      </c>
      <c r="J677" s="1">
        <v>1500</v>
      </c>
    </row>
    <row r="678" spans="1:10" x14ac:dyDescent="0.3">
      <c r="A678" t="s">
        <v>57</v>
      </c>
      <c r="B678" t="s">
        <v>24</v>
      </c>
      <c r="C678" t="s">
        <v>11</v>
      </c>
      <c r="D678" t="s">
        <v>43</v>
      </c>
      <c r="E678">
        <v>86</v>
      </c>
      <c r="F678">
        <v>133</v>
      </c>
      <c r="G678" s="1">
        <v>500</v>
      </c>
      <c r="H678" s="1">
        <v>500</v>
      </c>
      <c r="I678" s="1">
        <v>1250</v>
      </c>
      <c r="J678" s="1">
        <v>2500</v>
      </c>
    </row>
    <row r="679" spans="1:10" x14ac:dyDescent="0.3">
      <c r="A679" t="s">
        <v>57</v>
      </c>
      <c r="B679" t="s">
        <v>25</v>
      </c>
      <c r="C679" t="s">
        <v>11</v>
      </c>
      <c r="D679" t="s">
        <v>43</v>
      </c>
      <c r="E679">
        <v>86</v>
      </c>
      <c r="F679">
        <v>133</v>
      </c>
      <c r="G679" s="1">
        <v>800</v>
      </c>
      <c r="H679" s="1">
        <v>785</v>
      </c>
      <c r="I679" s="1">
        <v>1963</v>
      </c>
      <c r="J679" s="1">
        <v>2500</v>
      </c>
    </row>
    <row r="680" spans="1:10" x14ac:dyDescent="0.3">
      <c r="A680" t="s">
        <v>57</v>
      </c>
      <c r="B680" t="s">
        <v>23</v>
      </c>
      <c r="C680" t="s">
        <v>11</v>
      </c>
      <c r="D680" t="s">
        <v>58</v>
      </c>
      <c r="E680">
        <v>86</v>
      </c>
      <c r="F680">
        <v>140</v>
      </c>
      <c r="G680" s="1">
        <v>320</v>
      </c>
      <c r="H680" s="1">
        <v>320</v>
      </c>
      <c r="I680" s="1">
        <v>480</v>
      </c>
      <c r="J680" s="1">
        <v>1500</v>
      </c>
    </row>
    <row r="681" spans="1:10" x14ac:dyDescent="0.3">
      <c r="A681" t="s">
        <v>57</v>
      </c>
      <c r="B681" t="s">
        <v>24</v>
      </c>
      <c r="C681" t="s">
        <v>11</v>
      </c>
      <c r="D681" t="s">
        <v>58</v>
      </c>
      <c r="E681">
        <v>86</v>
      </c>
      <c r="F681">
        <v>140</v>
      </c>
      <c r="G681" s="1">
        <v>300</v>
      </c>
      <c r="H681" s="1">
        <v>300</v>
      </c>
      <c r="I681" s="1">
        <v>750</v>
      </c>
      <c r="J681" s="1">
        <v>2500</v>
      </c>
    </row>
    <row r="682" spans="1:10" x14ac:dyDescent="0.3">
      <c r="A682" t="s">
        <v>57</v>
      </c>
      <c r="B682" t="s">
        <v>25</v>
      </c>
      <c r="C682" t="s">
        <v>11</v>
      </c>
      <c r="D682" t="s">
        <v>58</v>
      </c>
      <c r="E682">
        <v>86</v>
      </c>
      <c r="F682">
        <v>140</v>
      </c>
      <c r="G682" s="1">
        <v>300</v>
      </c>
      <c r="H682" s="1">
        <v>280</v>
      </c>
      <c r="I682" s="1">
        <v>700</v>
      </c>
      <c r="J682" s="1">
        <v>2500</v>
      </c>
    </row>
    <row r="683" spans="1:10" x14ac:dyDescent="0.3">
      <c r="A683" t="s">
        <v>57</v>
      </c>
      <c r="B683" t="s">
        <v>16</v>
      </c>
      <c r="C683" t="s">
        <v>11</v>
      </c>
      <c r="D683" t="s">
        <v>51</v>
      </c>
      <c r="E683">
        <v>86</v>
      </c>
      <c r="F683">
        <v>154</v>
      </c>
      <c r="G683" s="1">
        <v>200</v>
      </c>
      <c r="H683" s="1">
        <v>200</v>
      </c>
      <c r="I683" s="1">
        <v>440</v>
      </c>
      <c r="J683" s="1">
        <v>2200</v>
      </c>
    </row>
    <row r="684" spans="1:10" x14ac:dyDescent="0.3">
      <c r="A684" t="s">
        <v>57</v>
      </c>
      <c r="B684" t="s">
        <v>17</v>
      </c>
      <c r="C684" t="s">
        <v>11</v>
      </c>
      <c r="D684" t="s">
        <v>51</v>
      </c>
      <c r="E684">
        <v>86</v>
      </c>
      <c r="F684">
        <v>154</v>
      </c>
      <c r="G684" s="1">
        <v>2000</v>
      </c>
      <c r="H684" s="1">
        <v>2000</v>
      </c>
      <c r="I684" s="1">
        <v>2600</v>
      </c>
      <c r="J684" s="1">
        <v>1300</v>
      </c>
    </row>
    <row r="685" spans="1:10" x14ac:dyDescent="0.3">
      <c r="A685" t="s">
        <v>57</v>
      </c>
      <c r="B685" t="s">
        <v>18</v>
      </c>
      <c r="C685" t="s">
        <v>11</v>
      </c>
      <c r="D685" t="s">
        <v>51</v>
      </c>
      <c r="E685">
        <v>86</v>
      </c>
      <c r="F685">
        <v>154</v>
      </c>
      <c r="G685" s="1">
        <v>1000</v>
      </c>
      <c r="H685" s="1">
        <v>1000</v>
      </c>
      <c r="I685" s="1">
        <v>1400</v>
      </c>
      <c r="J685" s="1">
        <v>1400</v>
      </c>
    </row>
    <row r="686" spans="1:10" x14ac:dyDescent="0.3">
      <c r="A686" t="s">
        <v>57</v>
      </c>
      <c r="B686" t="s">
        <v>19</v>
      </c>
      <c r="C686" t="s">
        <v>11</v>
      </c>
      <c r="D686" t="s">
        <v>51</v>
      </c>
      <c r="E686">
        <v>86</v>
      </c>
      <c r="F686">
        <v>154</v>
      </c>
      <c r="G686" s="1">
        <v>19200</v>
      </c>
      <c r="H686" s="1">
        <v>19200</v>
      </c>
      <c r="I686" s="1">
        <v>40320</v>
      </c>
      <c r="J686" s="1">
        <v>2100</v>
      </c>
    </row>
    <row r="687" spans="1:10" x14ac:dyDescent="0.3">
      <c r="A687" t="s">
        <v>57</v>
      </c>
      <c r="B687" t="s">
        <v>20</v>
      </c>
      <c r="C687" t="s">
        <v>11</v>
      </c>
      <c r="D687" t="s">
        <v>51</v>
      </c>
      <c r="E687">
        <v>86</v>
      </c>
      <c r="F687">
        <v>154</v>
      </c>
      <c r="G687" s="1">
        <v>18965</v>
      </c>
      <c r="H687" s="1">
        <v>18965</v>
      </c>
      <c r="I687" s="1">
        <v>39827</v>
      </c>
      <c r="J687" s="1">
        <v>2100</v>
      </c>
    </row>
    <row r="688" spans="1:10" x14ac:dyDescent="0.3">
      <c r="A688" t="s">
        <v>57</v>
      </c>
      <c r="B688" t="s">
        <v>21</v>
      </c>
      <c r="C688" t="s">
        <v>11</v>
      </c>
      <c r="D688" t="s">
        <v>51</v>
      </c>
      <c r="E688">
        <v>86</v>
      </c>
      <c r="F688">
        <v>154</v>
      </c>
      <c r="G688" s="1">
        <v>10780</v>
      </c>
      <c r="H688" s="1">
        <v>10780</v>
      </c>
      <c r="I688" s="1">
        <v>15092</v>
      </c>
      <c r="J688" s="1">
        <v>1400</v>
      </c>
    </row>
    <row r="689" spans="1:10" x14ac:dyDescent="0.3">
      <c r="A689" t="s">
        <v>57</v>
      </c>
      <c r="B689" t="s">
        <v>22</v>
      </c>
      <c r="C689" t="s">
        <v>11</v>
      </c>
      <c r="D689" t="s">
        <v>51</v>
      </c>
      <c r="E689">
        <v>86</v>
      </c>
      <c r="F689">
        <v>154</v>
      </c>
      <c r="G689" s="1">
        <v>9100</v>
      </c>
      <c r="H689" s="1">
        <v>9100</v>
      </c>
      <c r="I689" s="1">
        <v>15470</v>
      </c>
      <c r="J689" s="1">
        <v>1700</v>
      </c>
    </row>
    <row r="690" spans="1:10" x14ac:dyDescent="0.3">
      <c r="A690" t="s">
        <v>57</v>
      </c>
      <c r="B690" t="s">
        <v>23</v>
      </c>
      <c r="C690" t="s">
        <v>11</v>
      </c>
      <c r="D690" t="s">
        <v>51</v>
      </c>
      <c r="E690">
        <v>86</v>
      </c>
      <c r="F690">
        <v>154</v>
      </c>
      <c r="G690" s="1">
        <v>15000</v>
      </c>
      <c r="H690" s="1">
        <v>15000</v>
      </c>
      <c r="I690" s="1">
        <v>18000</v>
      </c>
      <c r="J690" s="1">
        <v>1200</v>
      </c>
    </row>
    <row r="691" spans="1:10" x14ac:dyDescent="0.3">
      <c r="A691" t="s">
        <v>57</v>
      </c>
      <c r="B691" t="s">
        <v>24</v>
      </c>
      <c r="C691" t="s">
        <v>11</v>
      </c>
      <c r="D691" t="s">
        <v>51</v>
      </c>
      <c r="E691">
        <v>86</v>
      </c>
      <c r="F691">
        <v>154</v>
      </c>
      <c r="G691" s="1">
        <v>1860</v>
      </c>
      <c r="H691" s="1">
        <v>1860</v>
      </c>
      <c r="I691" s="1">
        <v>2790</v>
      </c>
      <c r="J691" s="1">
        <v>1500</v>
      </c>
    </row>
    <row r="692" spans="1:10" x14ac:dyDescent="0.3">
      <c r="A692" t="s">
        <v>57</v>
      </c>
      <c r="B692" t="s">
        <v>25</v>
      </c>
      <c r="C692" t="s">
        <v>11</v>
      </c>
      <c r="D692" t="s">
        <v>51</v>
      </c>
      <c r="E692">
        <v>86</v>
      </c>
      <c r="F692">
        <v>154</v>
      </c>
      <c r="G692" s="1">
        <v>14580</v>
      </c>
      <c r="H692" s="1">
        <v>14580</v>
      </c>
      <c r="I692" s="1">
        <v>29160</v>
      </c>
      <c r="J692" s="1">
        <v>2000</v>
      </c>
    </row>
    <row r="693" spans="1:10" x14ac:dyDescent="0.3">
      <c r="A693" t="s">
        <v>59</v>
      </c>
      <c r="B693" t="s">
        <v>21</v>
      </c>
      <c r="C693" t="s">
        <v>11</v>
      </c>
      <c r="D693" t="s">
        <v>37</v>
      </c>
      <c r="E693">
        <v>86</v>
      </c>
      <c r="F693">
        <v>91</v>
      </c>
      <c r="G693" s="1">
        <v>70</v>
      </c>
      <c r="H693" s="1">
        <v>0</v>
      </c>
      <c r="I693" s="1">
        <v>0</v>
      </c>
      <c r="J693" s="1">
        <v>0</v>
      </c>
    </row>
    <row r="694" spans="1:10" x14ac:dyDescent="0.3">
      <c r="A694" t="s">
        <v>61</v>
      </c>
      <c r="B694" t="s">
        <v>15</v>
      </c>
      <c r="C694" t="s">
        <v>11</v>
      </c>
      <c r="D694" t="s">
        <v>12</v>
      </c>
      <c r="E694">
        <v>86</v>
      </c>
      <c r="F694">
        <v>7</v>
      </c>
      <c r="G694" s="1">
        <v>15000</v>
      </c>
      <c r="H694" s="1">
        <v>7000</v>
      </c>
      <c r="I694" s="1">
        <v>38500</v>
      </c>
      <c r="J694" s="1">
        <v>5500</v>
      </c>
    </row>
    <row r="695" spans="1:10" x14ac:dyDescent="0.3">
      <c r="A695" t="s">
        <v>61</v>
      </c>
      <c r="B695" t="s">
        <v>16</v>
      </c>
      <c r="C695" t="s">
        <v>11</v>
      </c>
      <c r="D695" t="s">
        <v>12</v>
      </c>
      <c r="E695">
        <v>86</v>
      </c>
      <c r="F695">
        <v>7</v>
      </c>
      <c r="G695" s="1">
        <v>18360</v>
      </c>
      <c r="H695" s="1">
        <v>16670</v>
      </c>
      <c r="I695" s="1">
        <v>113356</v>
      </c>
      <c r="J695" s="1">
        <v>6800</v>
      </c>
    </row>
    <row r="696" spans="1:10" x14ac:dyDescent="0.3">
      <c r="A696" t="s">
        <v>61</v>
      </c>
      <c r="B696" t="s">
        <v>17</v>
      </c>
      <c r="C696" t="s">
        <v>11</v>
      </c>
      <c r="D696" t="s">
        <v>12</v>
      </c>
      <c r="E696">
        <v>86</v>
      </c>
      <c r="F696">
        <v>7</v>
      </c>
      <c r="G696" s="1">
        <v>18000</v>
      </c>
      <c r="H696" s="1">
        <v>16600</v>
      </c>
      <c r="I696" s="1">
        <v>114540</v>
      </c>
      <c r="J696" s="1">
        <v>6900</v>
      </c>
    </row>
    <row r="697" spans="1:10" x14ac:dyDescent="0.3">
      <c r="A697" t="s">
        <v>61</v>
      </c>
      <c r="B697" t="s">
        <v>18</v>
      </c>
      <c r="C697" t="s">
        <v>11</v>
      </c>
      <c r="D697" t="s">
        <v>12</v>
      </c>
      <c r="E697">
        <v>86</v>
      </c>
      <c r="F697">
        <v>7</v>
      </c>
      <c r="G697" s="1">
        <v>21000</v>
      </c>
      <c r="H697" s="1">
        <v>15380</v>
      </c>
      <c r="I697" s="1">
        <v>76900</v>
      </c>
      <c r="J697" s="1">
        <v>5000</v>
      </c>
    </row>
    <row r="698" spans="1:10" x14ac:dyDescent="0.3">
      <c r="A698" t="s">
        <v>61</v>
      </c>
      <c r="B698" t="s">
        <v>19</v>
      </c>
      <c r="C698" t="s">
        <v>11</v>
      </c>
      <c r="D698" t="s">
        <v>12</v>
      </c>
      <c r="E698">
        <v>86</v>
      </c>
      <c r="F698">
        <v>7</v>
      </c>
      <c r="G698" s="1">
        <v>22000</v>
      </c>
      <c r="H698" s="1">
        <v>19840</v>
      </c>
      <c r="I698" s="1">
        <v>123008</v>
      </c>
      <c r="J698" s="1">
        <v>6200</v>
      </c>
    </row>
    <row r="699" spans="1:10" x14ac:dyDescent="0.3">
      <c r="A699" t="s">
        <v>61</v>
      </c>
      <c r="B699" t="s">
        <v>20</v>
      </c>
      <c r="C699" t="s">
        <v>11</v>
      </c>
      <c r="D699" t="s">
        <v>12</v>
      </c>
      <c r="E699">
        <v>86</v>
      </c>
      <c r="F699">
        <v>7</v>
      </c>
      <c r="G699" s="1">
        <v>22000</v>
      </c>
      <c r="H699" s="1">
        <v>20115</v>
      </c>
      <c r="I699" s="1">
        <v>146236</v>
      </c>
      <c r="J699" s="1">
        <v>7270</v>
      </c>
    </row>
    <row r="700" spans="1:10" x14ac:dyDescent="0.3">
      <c r="A700" t="s">
        <v>61</v>
      </c>
      <c r="B700" t="s">
        <v>21</v>
      </c>
      <c r="C700" t="s">
        <v>11</v>
      </c>
      <c r="D700" t="s">
        <v>12</v>
      </c>
      <c r="E700">
        <v>86</v>
      </c>
      <c r="F700">
        <v>7</v>
      </c>
      <c r="G700" s="1">
        <v>19000</v>
      </c>
      <c r="H700" s="1">
        <v>17270</v>
      </c>
      <c r="I700" s="1">
        <v>124344</v>
      </c>
      <c r="J700" s="1">
        <v>7200</v>
      </c>
    </row>
    <row r="701" spans="1:10" x14ac:dyDescent="0.3">
      <c r="A701" t="s">
        <v>61</v>
      </c>
      <c r="B701" t="s">
        <v>22</v>
      </c>
      <c r="C701" t="s">
        <v>11</v>
      </c>
      <c r="D701" t="s">
        <v>12</v>
      </c>
      <c r="E701">
        <v>86</v>
      </c>
      <c r="F701">
        <v>7</v>
      </c>
      <c r="G701" s="1">
        <v>21000</v>
      </c>
      <c r="H701" s="1">
        <v>19910</v>
      </c>
      <c r="I701" s="1">
        <v>135388</v>
      </c>
      <c r="J701" s="1">
        <v>6800</v>
      </c>
    </row>
    <row r="702" spans="1:10" x14ac:dyDescent="0.3">
      <c r="A702" t="s">
        <v>61</v>
      </c>
      <c r="B702" t="s">
        <v>23</v>
      </c>
      <c r="C702" t="s">
        <v>11</v>
      </c>
      <c r="D702" t="s">
        <v>12</v>
      </c>
      <c r="E702">
        <v>86</v>
      </c>
      <c r="F702">
        <v>7</v>
      </c>
      <c r="G702" s="1">
        <v>21000</v>
      </c>
      <c r="H702" s="1">
        <v>19131</v>
      </c>
      <c r="I702" s="1">
        <v>86090</v>
      </c>
      <c r="J702" s="1">
        <v>4500</v>
      </c>
    </row>
    <row r="703" spans="1:10" x14ac:dyDescent="0.3">
      <c r="A703" t="s">
        <v>61</v>
      </c>
      <c r="B703" t="s">
        <v>24</v>
      </c>
      <c r="C703" t="s">
        <v>11</v>
      </c>
      <c r="D703" t="s">
        <v>12</v>
      </c>
      <c r="E703">
        <v>86</v>
      </c>
      <c r="F703">
        <v>7</v>
      </c>
      <c r="G703" s="1">
        <v>22000</v>
      </c>
      <c r="H703" s="1">
        <v>15490</v>
      </c>
      <c r="I703" s="1">
        <v>48019</v>
      </c>
      <c r="J703" s="1">
        <v>3100</v>
      </c>
    </row>
    <row r="704" spans="1:10" x14ac:dyDescent="0.3">
      <c r="A704" t="s">
        <v>61</v>
      </c>
      <c r="B704" t="s">
        <v>25</v>
      </c>
      <c r="C704" t="s">
        <v>11</v>
      </c>
      <c r="D704" t="s">
        <v>12</v>
      </c>
      <c r="E704">
        <v>86</v>
      </c>
      <c r="F704">
        <v>7</v>
      </c>
      <c r="G704" s="1">
        <v>11600</v>
      </c>
      <c r="H704" s="1">
        <v>9630</v>
      </c>
      <c r="I704" s="1">
        <v>57780</v>
      </c>
      <c r="J704" s="1">
        <v>6000</v>
      </c>
    </row>
    <row r="705" spans="1:10" x14ac:dyDescent="0.3">
      <c r="A705" t="s">
        <v>61</v>
      </c>
      <c r="B705" t="s">
        <v>15</v>
      </c>
      <c r="C705" t="s">
        <v>11</v>
      </c>
      <c r="D705" t="s">
        <v>26</v>
      </c>
      <c r="E705">
        <v>86</v>
      </c>
      <c r="F705">
        <v>14</v>
      </c>
      <c r="G705" s="1">
        <v>50000</v>
      </c>
      <c r="H705" s="1">
        <v>44000</v>
      </c>
      <c r="I705" s="1">
        <v>281600</v>
      </c>
      <c r="J705" s="1">
        <v>6400</v>
      </c>
    </row>
    <row r="706" spans="1:10" x14ac:dyDescent="0.3">
      <c r="A706" t="s">
        <v>61</v>
      </c>
      <c r="B706" t="s">
        <v>16</v>
      </c>
      <c r="C706" t="s">
        <v>11</v>
      </c>
      <c r="D706" t="s">
        <v>26</v>
      </c>
      <c r="E706">
        <v>86</v>
      </c>
      <c r="F706">
        <v>14</v>
      </c>
      <c r="G706" s="1">
        <v>57840</v>
      </c>
      <c r="H706" s="1">
        <v>51050</v>
      </c>
      <c r="I706" s="1">
        <v>387980</v>
      </c>
      <c r="J706" s="1">
        <v>7600</v>
      </c>
    </row>
    <row r="707" spans="1:10" x14ac:dyDescent="0.3">
      <c r="A707" t="s">
        <v>61</v>
      </c>
      <c r="B707" t="s">
        <v>17</v>
      </c>
      <c r="C707" t="s">
        <v>11</v>
      </c>
      <c r="D707" t="s">
        <v>26</v>
      </c>
      <c r="E707">
        <v>86</v>
      </c>
      <c r="F707">
        <v>14</v>
      </c>
      <c r="G707" s="1">
        <v>95000</v>
      </c>
      <c r="H707" s="1">
        <v>89600</v>
      </c>
      <c r="I707" s="1">
        <v>618240</v>
      </c>
      <c r="J707" s="1">
        <v>6900</v>
      </c>
    </row>
    <row r="708" spans="1:10" x14ac:dyDescent="0.3">
      <c r="A708" t="s">
        <v>61</v>
      </c>
      <c r="B708" t="s">
        <v>18</v>
      </c>
      <c r="C708" t="s">
        <v>11</v>
      </c>
      <c r="D708" t="s">
        <v>26</v>
      </c>
      <c r="E708">
        <v>86</v>
      </c>
      <c r="F708">
        <v>14</v>
      </c>
      <c r="G708" s="1">
        <v>76910</v>
      </c>
      <c r="H708" s="1">
        <v>73290</v>
      </c>
      <c r="I708" s="1">
        <v>439740</v>
      </c>
      <c r="J708" s="1">
        <v>6000</v>
      </c>
    </row>
    <row r="709" spans="1:10" x14ac:dyDescent="0.3">
      <c r="A709" t="s">
        <v>61</v>
      </c>
      <c r="B709" t="s">
        <v>19</v>
      </c>
      <c r="C709" t="s">
        <v>11</v>
      </c>
      <c r="D709" t="s">
        <v>26</v>
      </c>
      <c r="E709">
        <v>86</v>
      </c>
      <c r="F709">
        <v>14</v>
      </c>
      <c r="G709" s="1">
        <v>80000</v>
      </c>
      <c r="H709" s="1">
        <v>76450</v>
      </c>
      <c r="I709" s="1">
        <v>496925</v>
      </c>
      <c r="J709" s="1">
        <v>6500</v>
      </c>
    </row>
    <row r="710" spans="1:10" x14ac:dyDescent="0.3">
      <c r="A710" t="s">
        <v>61</v>
      </c>
      <c r="B710" t="s">
        <v>20</v>
      </c>
      <c r="C710" t="s">
        <v>11</v>
      </c>
      <c r="D710" t="s">
        <v>26</v>
      </c>
      <c r="E710">
        <v>86</v>
      </c>
      <c r="F710">
        <v>14</v>
      </c>
      <c r="G710" s="1">
        <v>84200</v>
      </c>
      <c r="H710" s="1">
        <v>77520</v>
      </c>
      <c r="I710" s="1">
        <v>621710</v>
      </c>
      <c r="J710" s="1">
        <v>8020</v>
      </c>
    </row>
    <row r="711" spans="1:10" x14ac:dyDescent="0.3">
      <c r="A711" t="s">
        <v>61</v>
      </c>
      <c r="B711" t="s">
        <v>21</v>
      </c>
      <c r="C711" t="s">
        <v>11</v>
      </c>
      <c r="D711" t="s">
        <v>26</v>
      </c>
      <c r="E711">
        <v>86</v>
      </c>
      <c r="F711">
        <v>14</v>
      </c>
      <c r="G711" s="1">
        <v>70500</v>
      </c>
      <c r="H711" s="1">
        <v>64455</v>
      </c>
      <c r="I711" s="1">
        <v>515640</v>
      </c>
      <c r="J711" s="1">
        <v>8000</v>
      </c>
    </row>
    <row r="712" spans="1:10" x14ac:dyDescent="0.3">
      <c r="A712" t="s">
        <v>61</v>
      </c>
      <c r="B712" t="s">
        <v>22</v>
      </c>
      <c r="C712" t="s">
        <v>11</v>
      </c>
      <c r="D712" t="s">
        <v>26</v>
      </c>
      <c r="E712">
        <v>86</v>
      </c>
      <c r="F712">
        <v>14</v>
      </c>
      <c r="G712" s="1">
        <v>81000</v>
      </c>
      <c r="H712" s="1">
        <v>79370</v>
      </c>
      <c r="I712" s="1">
        <v>595275</v>
      </c>
      <c r="J712" s="1">
        <v>7500</v>
      </c>
    </row>
    <row r="713" spans="1:10" x14ac:dyDescent="0.3">
      <c r="A713" t="s">
        <v>61</v>
      </c>
      <c r="B713" t="s">
        <v>23</v>
      </c>
      <c r="C713" t="s">
        <v>11</v>
      </c>
      <c r="D713" t="s">
        <v>26</v>
      </c>
      <c r="E713">
        <v>86</v>
      </c>
      <c r="F713">
        <v>14</v>
      </c>
      <c r="G713" s="1">
        <v>81000</v>
      </c>
      <c r="H713" s="1">
        <v>73791</v>
      </c>
      <c r="I713" s="1">
        <v>442746</v>
      </c>
      <c r="J713" s="1">
        <v>6000</v>
      </c>
    </row>
    <row r="714" spans="1:10" x14ac:dyDescent="0.3">
      <c r="A714" t="s">
        <v>61</v>
      </c>
      <c r="B714" t="s">
        <v>24</v>
      </c>
      <c r="C714" t="s">
        <v>11</v>
      </c>
      <c r="D714" t="s">
        <v>26</v>
      </c>
      <c r="E714">
        <v>86</v>
      </c>
      <c r="F714">
        <v>14</v>
      </c>
      <c r="G714" s="1">
        <v>83500</v>
      </c>
      <c r="H714" s="1">
        <v>50120</v>
      </c>
      <c r="I714" s="1">
        <v>115276</v>
      </c>
      <c r="J714" s="1">
        <v>2300</v>
      </c>
    </row>
    <row r="715" spans="1:10" x14ac:dyDescent="0.3">
      <c r="A715" t="s">
        <v>61</v>
      </c>
      <c r="B715" t="s">
        <v>25</v>
      </c>
      <c r="C715" t="s">
        <v>11</v>
      </c>
      <c r="D715" t="s">
        <v>26</v>
      </c>
      <c r="E715">
        <v>86</v>
      </c>
      <c r="F715">
        <v>14</v>
      </c>
      <c r="G715" s="1">
        <v>78250</v>
      </c>
      <c r="H715" s="1">
        <v>52110</v>
      </c>
      <c r="I715" s="1">
        <v>114642</v>
      </c>
      <c r="J715" s="1">
        <v>2200</v>
      </c>
    </row>
    <row r="716" spans="1:10" x14ac:dyDescent="0.3">
      <c r="A716" t="s">
        <v>61</v>
      </c>
      <c r="B716" t="s">
        <v>24</v>
      </c>
      <c r="C716" t="s">
        <v>11</v>
      </c>
      <c r="D716" t="s">
        <v>27</v>
      </c>
      <c r="E716">
        <v>86</v>
      </c>
      <c r="F716">
        <v>21</v>
      </c>
      <c r="G716" s="1">
        <v>500</v>
      </c>
      <c r="H716" s="1">
        <v>480</v>
      </c>
      <c r="I716" s="1">
        <v>1200</v>
      </c>
      <c r="J716" s="1">
        <v>2500</v>
      </c>
    </row>
    <row r="717" spans="1:10" x14ac:dyDescent="0.3">
      <c r="A717" t="s">
        <v>61</v>
      </c>
      <c r="B717" t="s">
        <v>25</v>
      </c>
      <c r="C717" t="s">
        <v>11</v>
      </c>
      <c r="D717" t="s">
        <v>27</v>
      </c>
      <c r="E717">
        <v>86</v>
      </c>
      <c r="F717">
        <v>21</v>
      </c>
      <c r="G717" s="1">
        <v>300</v>
      </c>
      <c r="H717" s="1">
        <v>195</v>
      </c>
      <c r="I717" s="1">
        <v>975</v>
      </c>
      <c r="J717" s="1">
        <v>5000</v>
      </c>
    </row>
    <row r="718" spans="1:10" x14ac:dyDescent="0.3">
      <c r="A718" t="s">
        <v>61</v>
      </c>
      <c r="B718" t="s">
        <v>15</v>
      </c>
      <c r="C718" t="s">
        <v>11</v>
      </c>
      <c r="D718" t="s">
        <v>28</v>
      </c>
      <c r="E718">
        <v>86</v>
      </c>
      <c r="F718">
        <v>28</v>
      </c>
      <c r="G718" s="1">
        <v>2000</v>
      </c>
      <c r="H718" s="1">
        <v>1900</v>
      </c>
      <c r="I718" s="1">
        <v>10450</v>
      </c>
      <c r="J718" s="1">
        <v>5500</v>
      </c>
    </row>
    <row r="719" spans="1:10" x14ac:dyDescent="0.3">
      <c r="A719" t="s">
        <v>61</v>
      </c>
      <c r="B719" t="s">
        <v>16</v>
      </c>
      <c r="C719" t="s">
        <v>11</v>
      </c>
      <c r="D719" t="s">
        <v>28</v>
      </c>
      <c r="E719">
        <v>86</v>
      </c>
      <c r="F719">
        <v>28</v>
      </c>
      <c r="G719" s="1">
        <v>2415</v>
      </c>
      <c r="H719" s="1">
        <v>2220</v>
      </c>
      <c r="I719" s="1">
        <v>13986</v>
      </c>
      <c r="J719" s="1">
        <v>6300</v>
      </c>
    </row>
    <row r="720" spans="1:10" x14ac:dyDescent="0.3">
      <c r="A720" t="s">
        <v>61</v>
      </c>
      <c r="B720" t="s">
        <v>17</v>
      </c>
      <c r="C720" t="s">
        <v>11</v>
      </c>
      <c r="D720" t="s">
        <v>28</v>
      </c>
      <c r="E720">
        <v>86</v>
      </c>
      <c r="F720">
        <v>28</v>
      </c>
      <c r="G720" s="1">
        <v>2300</v>
      </c>
      <c r="H720" s="1">
        <v>1900</v>
      </c>
      <c r="I720" s="1">
        <v>12160</v>
      </c>
      <c r="J720" s="1">
        <v>6400</v>
      </c>
    </row>
    <row r="721" spans="1:10" x14ac:dyDescent="0.3">
      <c r="A721" t="s">
        <v>61</v>
      </c>
      <c r="B721" t="s">
        <v>18</v>
      </c>
      <c r="C721" t="s">
        <v>11</v>
      </c>
      <c r="D721" t="s">
        <v>28</v>
      </c>
      <c r="E721">
        <v>86</v>
      </c>
      <c r="F721">
        <v>28</v>
      </c>
      <c r="G721" s="1">
        <v>2500</v>
      </c>
      <c r="H721" s="1">
        <v>1930</v>
      </c>
      <c r="I721" s="1">
        <v>9650</v>
      </c>
      <c r="J721" s="1">
        <v>5000</v>
      </c>
    </row>
    <row r="722" spans="1:10" x14ac:dyDescent="0.3">
      <c r="A722" t="s">
        <v>61</v>
      </c>
      <c r="B722" t="s">
        <v>19</v>
      </c>
      <c r="C722" t="s">
        <v>11</v>
      </c>
      <c r="D722" t="s">
        <v>28</v>
      </c>
      <c r="E722">
        <v>86</v>
      </c>
      <c r="F722">
        <v>28</v>
      </c>
      <c r="G722" s="1">
        <v>2500</v>
      </c>
      <c r="H722" s="1">
        <v>2270</v>
      </c>
      <c r="I722" s="1">
        <v>15209</v>
      </c>
      <c r="J722" s="1">
        <v>6700</v>
      </c>
    </row>
    <row r="723" spans="1:10" x14ac:dyDescent="0.3">
      <c r="A723" t="s">
        <v>61</v>
      </c>
      <c r="B723" t="s">
        <v>20</v>
      </c>
      <c r="C723" t="s">
        <v>11</v>
      </c>
      <c r="D723" t="s">
        <v>28</v>
      </c>
      <c r="E723">
        <v>86</v>
      </c>
      <c r="F723">
        <v>28</v>
      </c>
      <c r="G723" s="1">
        <v>5500</v>
      </c>
      <c r="H723" s="1">
        <v>5040</v>
      </c>
      <c r="I723" s="1">
        <v>36641</v>
      </c>
      <c r="J723" s="1">
        <v>7270</v>
      </c>
    </row>
    <row r="724" spans="1:10" x14ac:dyDescent="0.3">
      <c r="A724" t="s">
        <v>61</v>
      </c>
      <c r="B724" t="s">
        <v>21</v>
      </c>
      <c r="C724" t="s">
        <v>11</v>
      </c>
      <c r="D724" t="s">
        <v>28</v>
      </c>
      <c r="E724">
        <v>86</v>
      </c>
      <c r="F724">
        <v>28</v>
      </c>
      <c r="G724" s="1">
        <v>5500</v>
      </c>
      <c r="H724" s="1">
        <v>5075</v>
      </c>
      <c r="I724" s="1">
        <v>36540</v>
      </c>
      <c r="J724" s="1">
        <v>7200</v>
      </c>
    </row>
    <row r="725" spans="1:10" x14ac:dyDescent="0.3">
      <c r="A725" t="s">
        <v>61</v>
      </c>
      <c r="B725" t="s">
        <v>22</v>
      </c>
      <c r="C725" t="s">
        <v>11</v>
      </c>
      <c r="D725" t="s">
        <v>28</v>
      </c>
      <c r="E725">
        <v>86</v>
      </c>
      <c r="F725">
        <v>28</v>
      </c>
      <c r="G725" s="1">
        <v>5500</v>
      </c>
      <c r="H725" s="1">
        <v>5120</v>
      </c>
      <c r="I725" s="1">
        <v>35328</v>
      </c>
      <c r="J725" s="1">
        <v>6900</v>
      </c>
    </row>
    <row r="726" spans="1:10" x14ac:dyDescent="0.3">
      <c r="A726" t="s">
        <v>61</v>
      </c>
      <c r="B726" t="s">
        <v>23</v>
      </c>
      <c r="C726" t="s">
        <v>11</v>
      </c>
      <c r="D726" t="s">
        <v>28</v>
      </c>
      <c r="E726">
        <v>86</v>
      </c>
      <c r="F726">
        <v>28</v>
      </c>
      <c r="G726" s="1">
        <v>5500</v>
      </c>
      <c r="H726" s="1">
        <v>5011</v>
      </c>
      <c r="I726" s="1">
        <v>27558</v>
      </c>
      <c r="J726" s="1">
        <v>5500</v>
      </c>
    </row>
    <row r="727" spans="1:10" x14ac:dyDescent="0.3">
      <c r="A727" t="s">
        <v>61</v>
      </c>
      <c r="B727" t="s">
        <v>24</v>
      </c>
      <c r="C727" t="s">
        <v>11</v>
      </c>
      <c r="D727" t="s">
        <v>28</v>
      </c>
      <c r="E727">
        <v>86</v>
      </c>
      <c r="F727">
        <v>28</v>
      </c>
      <c r="G727" s="1">
        <v>6300</v>
      </c>
      <c r="H727" s="1">
        <v>4620</v>
      </c>
      <c r="I727" s="1">
        <v>13398</v>
      </c>
      <c r="J727" s="1">
        <v>2900</v>
      </c>
    </row>
    <row r="728" spans="1:10" x14ac:dyDescent="0.3">
      <c r="A728" t="s">
        <v>61</v>
      </c>
      <c r="B728" t="s">
        <v>25</v>
      </c>
      <c r="C728" t="s">
        <v>11</v>
      </c>
      <c r="D728" t="s">
        <v>28</v>
      </c>
      <c r="E728">
        <v>86</v>
      </c>
      <c r="F728">
        <v>28</v>
      </c>
      <c r="G728" s="1">
        <v>3870</v>
      </c>
      <c r="H728" s="1">
        <v>3740</v>
      </c>
      <c r="I728" s="1">
        <v>17204</v>
      </c>
      <c r="J728" s="1">
        <v>4600</v>
      </c>
    </row>
    <row r="729" spans="1:10" x14ac:dyDescent="0.3">
      <c r="A729" t="s">
        <v>61</v>
      </c>
      <c r="B729" t="s">
        <v>15</v>
      </c>
      <c r="C729" t="s">
        <v>11</v>
      </c>
      <c r="D729" t="s">
        <v>29</v>
      </c>
      <c r="E729">
        <v>86</v>
      </c>
      <c r="F729">
        <v>35</v>
      </c>
      <c r="G729" s="1">
        <v>2800</v>
      </c>
      <c r="H729" s="1">
        <v>2000</v>
      </c>
      <c r="I729" s="1">
        <v>14800</v>
      </c>
      <c r="J729" s="1">
        <v>7400</v>
      </c>
    </row>
    <row r="730" spans="1:10" x14ac:dyDescent="0.3">
      <c r="A730" t="s">
        <v>61</v>
      </c>
      <c r="B730" t="s">
        <v>16</v>
      </c>
      <c r="C730" t="s">
        <v>11</v>
      </c>
      <c r="D730" t="s">
        <v>29</v>
      </c>
      <c r="E730">
        <v>86</v>
      </c>
      <c r="F730">
        <v>35</v>
      </c>
      <c r="G730" s="1">
        <v>2500</v>
      </c>
      <c r="H730" s="1">
        <v>2175</v>
      </c>
      <c r="I730" s="1">
        <v>14790</v>
      </c>
      <c r="J730" s="1">
        <v>6800</v>
      </c>
    </row>
    <row r="731" spans="1:10" x14ac:dyDescent="0.3">
      <c r="A731" t="s">
        <v>61</v>
      </c>
      <c r="B731" t="s">
        <v>17</v>
      </c>
      <c r="C731" t="s">
        <v>11</v>
      </c>
      <c r="D731" t="s">
        <v>29</v>
      </c>
      <c r="E731">
        <v>86</v>
      </c>
      <c r="F731">
        <v>35</v>
      </c>
      <c r="G731" s="1">
        <v>3500</v>
      </c>
      <c r="H731" s="1">
        <v>3300</v>
      </c>
      <c r="I731" s="1">
        <v>28050</v>
      </c>
      <c r="J731" s="1">
        <v>8500</v>
      </c>
    </row>
    <row r="732" spans="1:10" x14ac:dyDescent="0.3">
      <c r="A732" t="s">
        <v>61</v>
      </c>
      <c r="B732" t="s">
        <v>18</v>
      </c>
      <c r="C732" t="s">
        <v>11</v>
      </c>
      <c r="D732" t="s">
        <v>29</v>
      </c>
      <c r="E732">
        <v>86</v>
      </c>
      <c r="F732">
        <v>35</v>
      </c>
      <c r="G732" s="1">
        <v>4000</v>
      </c>
      <c r="H732" s="1">
        <v>2890</v>
      </c>
      <c r="I732" s="1">
        <v>20230</v>
      </c>
      <c r="J732" s="1">
        <v>7000</v>
      </c>
    </row>
    <row r="733" spans="1:10" x14ac:dyDescent="0.3">
      <c r="A733" t="s">
        <v>61</v>
      </c>
      <c r="B733" t="s">
        <v>19</v>
      </c>
      <c r="C733" t="s">
        <v>11</v>
      </c>
      <c r="D733" t="s">
        <v>29</v>
      </c>
      <c r="E733">
        <v>86</v>
      </c>
      <c r="F733">
        <v>35</v>
      </c>
      <c r="G733" s="1">
        <v>3500</v>
      </c>
      <c r="H733" s="1">
        <v>3500</v>
      </c>
      <c r="I733" s="1">
        <v>24500</v>
      </c>
      <c r="J733" s="1">
        <v>7000</v>
      </c>
    </row>
    <row r="734" spans="1:10" x14ac:dyDescent="0.3">
      <c r="A734" t="s">
        <v>61</v>
      </c>
      <c r="B734" t="s">
        <v>20</v>
      </c>
      <c r="C734" t="s">
        <v>11</v>
      </c>
      <c r="D734" t="s">
        <v>29</v>
      </c>
      <c r="E734">
        <v>86</v>
      </c>
      <c r="F734">
        <v>35</v>
      </c>
      <c r="G734" s="1">
        <v>4000</v>
      </c>
      <c r="H734" s="1">
        <v>3800</v>
      </c>
      <c r="I734" s="1">
        <v>26714</v>
      </c>
      <c r="J734" s="1">
        <v>7030</v>
      </c>
    </row>
    <row r="735" spans="1:10" x14ac:dyDescent="0.3">
      <c r="A735" t="s">
        <v>61</v>
      </c>
      <c r="B735" t="s">
        <v>21</v>
      </c>
      <c r="C735" t="s">
        <v>11</v>
      </c>
      <c r="D735" t="s">
        <v>29</v>
      </c>
      <c r="E735">
        <v>86</v>
      </c>
      <c r="F735">
        <v>35</v>
      </c>
      <c r="G735" s="1">
        <v>4000</v>
      </c>
      <c r="H735" s="1">
        <v>3600</v>
      </c>
      <c r="I735" s="1">
        <v>25200</v>
      </c>
      <c r="J735" s="1">
        <v>7000</v>
      </c>
    </row>
    <row r="736" spans="1:10" x14ac:dyDescent="0.3">
      <c r="A736" t="s">
        <v>61</v>
      </c>
      <c r="B736" t="s">
        <v>22</v>
      </c>
      <c r="C736" t="s">
        <v>11</v>
      </c>
      <c r="D736" t="s">
        <v>29</v>
      </c>
      <c r="E736">
        <v>86</v>
      </c>
      <c r="F736">
        <v>35</v>
      </c>
      <c r="G736" s="1">
        <v>4000</v>
      </c>
      <c r="H736" s="1">
        <v>4000</v>
      </c>
      <c r="I736" s="1">
        <v>26000</v>
      </c>
      <c r="J736" s="1">
        <v>6500</v>
      </c>
    </row>
    <row r="737" spans="1:10" x14ac:dyDescent="0.3">
      <c r="A737" t="s">
        <v>61</v>
      </c>
      <c r="B737" t="s">
        <v>23</v>
      </c>
      <c r="C737" t="s">
        <v>11</v>
      </c>
      <c r="D737" t="s">
        <v>29</v>
      </c>
      <c r="E737">
        <v>86</v>
      </c>
      <c r="F737">
        <v>35</v>
      </c>
      <c r="G737" s="1">
        <v>5000</v>
      </c>
      <c r="H737" s="1">
        <v>4000</v>
      </c>
      <c r="I737" s="1">
        <v>22000</v>
      </c>
      <c r="J737" s="1">
        <v>5500</v>
      </c>
    </row>
    <row r="738" spans="1:10" x14ac:dyDescent="0.3">
      <c r="A738" t="s">
        <v>61</v>
      </c>
      <c r="B738" t="s">
        <v>24</v>
      </c>
      <c r="C738" t="s">
        <v>11</v>
      </c>
      <c r="D738" t="s">
        <v>29</v>
      </c>
      <c r="E738">
        <v>86</v>
      </c>
      <c r="F738">
        <v>35</v>
      </c>
      <c r="G738" s="1">
        <v>5000</v>
      </c>
      <c r="H738" s="1">
        <v>3000</v>
      </c>
      <c r="I738" s="1">
        <v>13500</v>
      </c>
      <c r="J738" s="1">
        <v>4500</v>
      </c>
    </row>
    <row r="739" spans="1:10" x14ac:dyDescent="0.3">
      <c r="A739" t="s">
        <v>61</v>
      </c>
      <c r="B739" t="s">
        <v>25</v>
      </c>
      <c r="C739" t="s">
        <v>11</v>
      </c>
      <c r="D739" t="s">
        <v>29</v>
      </c>
      <c r="E739">
        <v>86</v>
      </c>
      <c r="F739">
        <v>35</v>
      </c>
      <c r="G739" s="1">
        <v>2400</v>
      </c>
      <c r="H739" s="1">
        <v>1560</v>
      </c>
      <c r="I739" s="1">
        <v>8736</v>
      </c>
      <c r="J739" s="1">
        <v>5600</v>
      </c>
    </row>
    <row r="740" spans="1:10" x14ac:dyDescent="0.3">
      <c r="A740" t="s">
        <v>61</v>
      </c>
      <c r="B740" t="s">
        <v>15</v>
      </c>
      <c r="C740" t="s">
        <v>11</v>
      </c>
      <c r="D740" t="s">
        <v>30</v>
      </c>
      <c r="E740">
        <v>86</v>
      </c>
      <c r="F740">
        <v>42</v>
      </c>
      <c r="G740" s="1">
        <v>40000</v>
      </c>
      <c r="H740" s="1">
        <v>24000</v>
      </c>
      <c r="I740" s="1">
        <v>156000</v>
      </c>
      <c r="J740" s="1">
        <v>6500</v>
      </c>
    </row>
    <row r="741" spans="1:10" x14ac:dyDescent="0.3">
      <c r="A741" t="s">
        <v>61</v>
      </c>
      <c r="B741" t="s">
        <v>16</v>
      </c>
      <c r="C741" t="s">
        <v>11</v>
      </c>
      <c r="D741" t="s">
        <v>30</v>
      </c>
      <c r="E741">
        <v>86</v>
      </c>
      <c r="F741">
        <v>42</v>
      </c>
      <c r="G741" s="1">
        <v>73500</v>
      </c>
      <c r="H741" s="1">
        <v>66480</v>
      </c>
      <c r="I741" s="1">
        <v>485304</v>
      </c>
      <c r="J741" s="1">
        <v>7300</v>
      </c>
    </row>
    <row r="742" spans="1:10" x14ac:dyDescent="0.3">
      <c r="A742" t="s">
        <v>61</v>
      </c>
      <c r="B742" t="s">
        <v>17</v>
      </c>
      <c r="C742" t="s">
        <v>11</v>
      </c>
      <c r="D742" t="s">
        <v>30</v>
      </c>
      <c r="E742">
        <v>86</v>
      </c>
      <c r="F742">
        <v>42</v>
      </c>
      <c r="G742" s="1">
        <v>31800</v>
      </c>
      <c r="H742" s="1">
        <v>26000</v>
      </c>
      <c r="I742" s="1">
        <v>179400</v>
      </c>
      <c r="J742" s="1">
        <v>6900</v>
      </c>
    </row>
    <row r="743" spans="1:10" x14ac:dyDescent="0.3">
      <c r="A743" t="s">
        <v>61</v>
      </c>
      <c r="B743" t="s">
        <v>18</v>
      </c>
      <c r="C743" t="s">
        <v>11</v>
      </c>
      <c r="D743" t="s">
        <v>30</v>
      </c>
      <c r="E743">
        <v>86</v>
      </c>
      <c r="F743">
        <v>42</v>
      </c>
      <c r="G743" s="1">
        <v>38000</v>
      </c>
      <c r="H743" s="1">
        <v>31420</v>
      </c>
      <c r="I743" s="1">
        <v>157100</v>
      </c>
      <c r="J743" s="1">
        <v>5000</v>
      </c>
    </row>
    <row r="744" spans="1:10" x14ac:dyDescent="0.3">
      <c r="A744" t="s">
        <v>61</v>
      </c>
      <c r="B744" t="s">
        <v>19</v>
      </c>
      <c r="C744" t="s">
        <v>11</v>
      </c>
      <c r="D744" t="s">
        <v>30</v>
      </c>
      <c r="E744">
        <v>86</v>
      </c>
      <c r="F744">
        <v>42</v>
      </c>
      <c r="G744" s="1">
        <v>50000</v>
      </c>
      <c r="H744" s="1">
        <v>32920</v>
      </c>
      <c r="I744" s="1">
        <v>213980</v>
      </c>
      <c r="J744" s="1">
        <v>6500</v>
      </c>
    </row>
    <row r="745" spans="1:10" x14ac:dyDescent="0.3">
      <c r="A745" t="s">
        <v>61</v>
      </c>
      <c r="B745" t="s">
        <v>20</v>
      </c>
      <c r="C745" t="s">
        <v>11</v>
      </c>
      <c r="D745" t="s">
        <v>30</v>
      </c>
      <c r="E745">
        <v>86</v>
      </c>
      <c r="F745">
        <v>42</v>
      </c>
      <c r="G745" s="1">
        <v>50360</v>
      </c>
      <c r="H745" s="1">
        <v>45470</v>
      </c>
      <c r="I745" s="1">
        <v>347846</v>
      </c>
      <c r="J745" s="1">
        <v>7650</v>
      </c>
    </row>
    <row r="746" spans="1:10" x14ac:dyDescent="0.3">
      <c r="A746" t="s">
        <v>61</v>
      </c>
      <c r="B746" t="s">
        <v>21</v>
      </c>
      <c r="C746" t="s">
        <v>11</v>
      </c>
      <c r="D746" t="s">
        <v>30</v>
      </c>
      <c r="E746">
        <v>86</v>
      </c>
      <c r="F746">
        <v>42</v>
      </c>
      <c r="G746" s="1">
        <v>44000</v>
      </c>
      <c r="H746" s="1">
        <v>39540</v>
      </c>
      <c r="I746" s="1">
        <v>300504</v>
      </c>
      <c r="J746" s="1">
        <v>7600</v>
      </c>
    </row>
    <row r="747" spans="1:10" x14ac:dyDescent="0.3">
      <c r="A747" t="s">
        <v>61</v>
      </c>
      <c r="B747" t="s">
        <v>22</v>
      </c>
      <c r="C747" t="s">
        <v>11</v>
      </c>
      <c r="D747" t="s">
        <v>30</v>
      </c>
      <c r="E747">
        <v>86</v>
      </c>
      <c r="F747">
        <v>42</v>
      </c>
      <c r="G747" s="1">
        <v>49000</v>
      </c>
      <c r="H747" s="1">
        <v>46420</v>
      </c>
      <c r="I747" s="1">
        <v>348150</v>
      </c>
      <c r="J747" s="1">
        <v>7500</v>
      </c>
    </row>
    <row r="748" spans="1:10" x14ac:dyDescent="0.3">
      <c r="A748" t="s">
        <v>61</v>
      </c>
      <c r="B748" t="s">
        <v>23</v>
      </c>
      <c r="C748" t="s">
        <v>11</v>
      </c>
      <c r="D748" t="s">
        <v>30</v>
      </c>
      <c r="E748">
        <v>86</v>
      </c>
      <c r="F748">
        <v>42</v>
      </c>
      <c r="G748" s="1">
        <v>49000</v>
      </c>
      <c r="H748" s="1">
        <v>44639</v>
      </c>
      <c r="I748" s="1">
        <v>281226</v>
      </c>
      <c r="J748" s="1">
        <v>6300</v>
      </c>
    </row>
    <row r="749" spans="1:10" x14ac:dyDescent="0.3">
      <c r="A749" t="s">
        <v>61</v>
      </c>
      <c r="B749" t="s">
        <v>24</v>
      </c>
      <c r="C749" t="s">
        <v>11</v>
      </c>
      <c r="D749" t="s">
        <v>30</v>
      </c>
      <c r="E749">
        <v>86</v>
      </c>
      <c r="F749">
        <v>42</v>
      </c>
      <c r="G749" s="1">
        <v>51000</v>
      </c>
      <c r="H749" s="1">
        <v>29100</v>
      </c>
      <c r="I749" s="1">
        <v>87300</v>
      </c>
      <c r="J749" s="1">
        <v>3000</v>
      </c>
    </row>
    <row r="750" spans="1:10" x14ac:dyDescent="0.3">
      <c r="A750" t="s">
        <v>61</v>
      </c>
      <c r="B750" t="s">
        <v>25</v>
      </c>
      <c r="C750" t="s">
        <v>11</v>
      </c>
      <c r="D750" t="s">
        <v>30</v>
      </c>
      <c r="E750">
        <v>86</v>
      </c>
      <c r="F750">
        <v>42</v>
      </c>
      <c r="G750" s="1">
        <v>13400</v>
      </c>
      <c r="H750" s="1">
        <v>9110</v>
      </c>
      <c r="I750" s="1">
        <v>61948</v>
      </c>
      <c r="J750" s="1">
        <v>6800</v>
      </c>
    </row>
    <row r="751" spans="1:10" x14ac:dyDescent="0.3">
      <c r="A751" t="s">
        <v>61</v>
      </c>
      <c r="B751" t="s">
        <v>15</v>
      </c>
      <c r="C751" t="s">
        <v>11</v>
      </c>
      <c r="D751" t="s">
        <v>31</v>
      </c>
      <c r="E751">
        <v>86</v>
      </c>
      <c r="F751">
        <v>49</v>
      </c>
      <c r="G751" s="1">
        <v>1800</v>
      </c>
      <c r="H751" s="1">
        <v>1000</v>
      </c>
      <c r="I751" s="1">
        <v>7800</v>
      </c>
      <c r="J751" s="1">
        <v>7800</v>
      </c>
    </row>
    <row r="752" spans="1:10" x14ac:dyDescent="0.3">
      <c r="A752" t="s">
        <v>61</v>
      </c>
      <c r="B752" t="s">
        <v>16</v>
      </c>
      <c r="C752" t="s">
        <v>11</v>
      </c>
      <c r="D752" t="s">
        <v>31</v>
      </c>
      <c r="E752">
        <v>86</v>
      </c>
      <c r="F752">
        <v>49</v>
      </c>
      <c r="G752" s="1">
        <v>1500</v>
      </c>
      <c r="H752" s="1">
        <v>1305</v>
      </c>
      <c r="I752" s="1">
        <v>9527</v>
      </c>
      <c r="J752" s="1">
        <v>7300</v>
      </c>
    </row>
    <row r="753" spans="1:10" x14ac:dyDescent="0.3">
      <c r="A753" t="s">
        <v>61</v>
      </c>
      <c r="B753" t="s">
        <v>17</v>
      </c>
      <c r="C753" t="s">
        <v>11</v>
      </c>
      <c r="D753" t="s">
        <v>31</v>
      </c>
      <c r="E753">
        <v>86</v>
      </c>
      <c r="F753">
        <v>49</v>
      </c>
      <c r="G753" s="1">
        <v>3500</v>
      </c>
      <c r="H753" s="1">
        <v>3100</v>
      </c>
      <c r="I753" s="1">
        <v>24800</v>
      </c>
      <c r="J753" s="1">
        <v>8000</v>
      </c>
    </row>
    <row r="754" spans="1:10" x14ac:dyDescent="0.3">
      <c r="A754" t="s">
        <v>61</v>
      </c>
      <c r="B754" t="s">
        <v>18</v>
      </c>
      <c r="C754" t="s">
        <v>11</v>
      </c>
      <c r="D754" t="s">
        <v>31</v>
      </c>
      <c r="E754">
        <v>86</v>
      </c>
      <c r="F754">
        <v>49</v>
      </c>
      <c r="G754" s="1">
        <v>4000</v>
      </c>
      <c r="H754" s="1">
        <v>2890</v>
      </c>
      <c r="I754" s="1">
        <v>21675</v>
      </c>
      <c r="J754" s="1">
        <v>7500</v>
      </c>
    </row>
    <row r="755" spans="1:10" x14ac:dyDescent="0.3">
      <c r="A755" t="s">
        <v>61</v>
      </c>
      <c r="B755" t="s">
        <v>19</v>
      </c>
      <c r="C755" t="s">
        <v>11</v>
      </c>
      <c r="D755" t="s">
        <v>31</v>
      </c>
      <c r="E755">
        <v>86</v>
      </c>
      <c r="F755">
        <v>49</v>
      </c>
      <c r="G755" s="1">
        <v>3500</v>
      </c>
      <c r="H755" s="1">
        <v>3100</v>
      </c>
      <c r="I755" s="1">
        <v>21700</v>
      </c>
      <c r="J755" s="1">
        <v>7000</v>
      </c>
    </row>
    <row r="756" spans="1:10" x14ac:dyDescent="0.3">
      <c r="A756" t="s">
        <v>61</v>
      </c>
      <c r="B756" t="s">
        <v>20</v>
      </c>
      <c r="C756" t="s">
        <v>11</v>
      </c>
      <c r="D756" t="s">
        <v>31</v>
      </c>
      <c r="E756">
        <v>86</v>
      </c>
      <c r="F756">
        <v>49</v>
      </c>
      <c r="G756" s="1">
        <v>4000</v>
      </c>
      <c r="H756" s="1">
        <v>3800</v>
      </c>
      <c r="I756" s="1">
        <v>26714</v>
      </c>
      <c r="J756" s="1">
        <v>7030</v>
      </c>
    </row>
    <row r="757" spans="1:10" x14ac:dyDescent="0.3">
      <c r="A757" t="s">
        <v>61</v>
      </c>
      <c r="B757" t="s">
        <v>21</v>
      </c>
      <c r="C757" t="s">
        <v>11</v>
      </c>
      <c r="D757" t="s">
        <v>31</v>
      </c>
      <c r="E757">
        <v>86</v>
      </c>
      <c r="F757">
        <v>49</v>
      </c>
      <c r="G757" s="1">
        <v>4000</v>
      </c>
      <c r="H757" s="1">
        <v>3600</v>
      </c>
      <c r="I757" s="1">
        <v>27000</v>
      </c>
      <c r="J757" s="1">
        <v>7500</v>
      </c>
    </row>
    <row r="758" spans="1:10" x14ac:dyDescent="0.3">
      <c r="A758" t="s">
        <v>61</v>
      </c>
      <c r="B758" t="s">
        <v>22</v>
      </c>
      <c r="C758" t="s">
        <v>11</v>
      </c>
      <c r="D758" t="s">
        <v>31</v>
      </c>
      <c r="E758">
        <v>86</v>
      </c>
      <c r="F758">
        <v>49</v>
      </c>
      <c r="G758" s="1">
        <v>4000</v>
      </c>
      <c r="H758" s="1">
        <v>4000</v>
      </c>
      <c r="I758" s="1">
        <v>30000</v>
      </c>
      <c r="J758" s="1">
        <v>7500</v>
      </c>
    </row>
    <row r="759" spans="1:10" x14ac:dyDescent="0.3">
      <c r="A759" t="s">
        <v>61</v>
      </c>
      <c r="B759" t="s">
        <v>23</v>
      </c>
      <c r="C759" t="s">
        <v>11</v>
      </c>
      <c r="D759" t="s">
        <v>31</v>
      </c>
      <c r="E759">
        <v>86</v>
      </c>
      <c r="F759">
        <v>49</v>
      </c>
      <c r="G759" s="1">
        <v>5000</v>
      </c>
      <c r="H759" s="1">
        <v>4000</v>
      </c>
      <c r="I759" s="1">
        <v>22000</v>
      </c>
      <c r="J759" s="1">
        <v>5500</v>
      </c>
    </row>
    <row r="760" spans="1:10" x14ac:dyDescent="0.3">
      <c r="A760" t="s">
        <v>61</v>
      </c>
      <c r="B760" t="s">
        <v>24</v>
      </c>
      <c r="C760" t="s">
        <v>11</v>
      </c>
      <c r="D760" t="s">
        <v>31</v>
      </c>
      <c r="E760">
        <v>86</v>
      </c>
      <c r="F760">
        <v>49</v>
      </c>
      <c r="G760" s="1">
        <v>5000</v>
      </c>
      <c r="H760" s="1">
        <v>3300</v>
      </c>
      <c r="I760" s="1">
        <v>14850</v>
      </c>
      <c r="J760" s="1">
        <v>4500</v>
      </c>
    </row>
    <row r="761" spans="1:10" x14ac:dyDescent="0.3">
      <c r="A761" t="s">
        <v>61</v>
      </c>
      <c r="B761" t="s">
        <v>25</v>
      </c>
      <c r="C761" t="s">
        <v>11</v>
      </c>
      <c r="D761" t="s">
        <v>31</v>
      </c>
      <c r="E761">
        <v>86</v>
      </c>
      <c r="F761">
        <v>49</v>
      </c>
      <c r="G761" s="1">
        <v>3000</v>
      </c>
      <c r="H761" s="1">
        <v>2015</v>
      </c>
      <c r="I761" s="1">
        <v>11687</v>
      </c>
      <c r="J761" s="1">
        <v>5800</v>
      </c>
    </row>
    <row r="762" spans="1:10" x14ac:dyDescent="0.3">
      <c r="A762" t="s">
        <v>61</v>
      </c>
      <c r="B762" t="s">
        <v>15</v>
      </c>
      <c r="C762" t="s">
        <v>11</v>
      </c>
      <c r="D762" t="s">
        <v>32</v>
      </c>
      <c r="E762">
        <v>86</v>
      </c>
      <c r="F762">
        <v>63</v>
      </c>
      <c r="G762" s="1">
        <v>5000</v>
      </c>
      <c r="H762" s="1">
        <v>4000</v>
      </c>
      <c r="I762" s="1">
        <v>22000</v>
      </c>
      <c r="J762" s="1">
        <v>5500</v>
      </c>
    </row>
    <row r="763" spans="1:10" x14ac:dyDescent="0.3">
      <c r="A763" t="s">
        <v>61</v>
      </c>
      <c r="B763" t="s">
        <v>16</v>
      </c>
      <c r="C763" t="s">
        <v>11</v>
      </c>
      <c r="D763" t="s">
        <v>32</v>
      </c>
      <c r="E763">
        <v>86</v>
      </c>
      <c r="F763">
        <v>63</v>
      </c>
      <c r="G763" s="1">
        <v>4500</v>
      </c>
      <c r="H763" s="1">
        <v>2715</v>
      </c>
      <c r="I763" s="1">
        <v>17105</v>
      </c>
      <c r="J763" s="1">
        <v>6300</v>
      </c>
    </row>
    <row r="764" spans="1:10" x14ac:dyDescent="0.3">
      <c r="A764" t="s">
        <v>61</v>
      </c>
      <c r="B764" t="s">
        <v>17</v>
      </c>
      <c r="C764" t="s">
        <v>11</v>
      </c>
      <c r="D764" t="s">
        <v>32</v>
      </c>
      <c r="E764">
        <v>86</v>
      </c>
      <c r="F764">
        <v>63</v>
      </c>
      <c r="G764" s="1">
        <v>5000</v>
      </c>
      <c r="H764" s="1">
        <v>4400</v>
      </c>
      <c r="I764" s="1">
        <v>30800</v>
      </c>
      <c r="J764" s="1">
        <v>7000</v>
      </c>
    </row>
    <row r="765" spans="1:10" x14ac:dyDescent="0.3">
      <c r="A765" t="s">
        <v>61</v>
      </c>
      <c r="B765" t="s">
        <v>18</v>
      </c>
      <c r="C765" t="s">
        <v>11</v>
      </c>
      <c r="D765" t="s">
        <v>32</v>
      </c>
      <c r="E765">
        <v>86</v>
      </c>
      <c r="F765">
        <v>63</v>
      </c>
      <c r="G765" s="1">
        <v>6000</v>
      </c>
      <c r="H765" s="1">
        <v>4300</v>
      </c>
      <c r="I765" s="1">
        <v>23650</v>
      </c>
      <c r="J765" s="1">
        <v>5500</v>
      </c>
    </row>
    <row r="766" spans="1:10" x14ac:dyDescent="0.3">
      <c r="A766" t="s">
        <v>61</v>
      </c>
      <c r="B766" t="s">
        <v>19</v>
      </c>
      <c r="C766" t="s">
        <v>11</v>
      </c>
      <c r="D766" t="s">
        <v>32</v>
      </c>
      <c r="E766">
        <v>86</v>
      </c>
      <c r="F766">
        <v>63</v>
      </c>
      <c r="G766" s="1">
        <v>5000</v>
      </c>
      <c r="H766" s="1">
        <v>5000</v>
      </c>
      <c r="I766" s="1">
        <v>33500</v>
      </c>
      <c r="J766" s="1">
        <v>6700</v>
      </c>
    </row>
    <row r="767" spans="1:10" x14ac:dyDescent="0.3">
      <c r="A767" t="s">
        <v>61</v>
      </c>
      <c r="B767" t="s">
        <v>20</v>
      </c>
      <c r="C767" t="s">
        <v>11</v>
      </c>
      <c r="D767" t="s">
        <v>32</v>
      </c>
      <c r="E767">
        <v>86</v>
      </c>
      <c r="F767">
        <v>63</v>
      </c>
      <c r="G767" s="1">
        <v>6000</v>
      </c>
      <c r="H767" s="1">
        <v>5700</v>
      </c>
      <c r="I767" s="1">
        <v>40071</v>
      </c>
      <c r="J767" s="1">
        <v>7030</v>
      </c>
    </row>
    <row r="768" spans="1:10" x14ac:dyDescent="0.3">
      <c r="A768" t="s">
        <v>61</v>
      </c>
      <c r="B768" t="s">
        <v>21</v>
      </c>
      <c r="C768" t="s">
        <v>11</v>
      </c>
      <c r="D768" t="s">
        <v>32</v>
      </c>
      <c r="E768">
        <v>86</v>
      </c>
      <c r="F768">
        <v>63</v>
      </c>
      <c r="G768" s="1">
        <v>6000</v>
      </c>
      <c r="H768" s="1">
        <v>5400</v>
      </c>
      <c r="I768" s="1">
        <v>37800</v>
      </c>
      <c r="J768" s="1">
        <v>7000</v>
      </c>
    </row>
    <row r="769" spans="1:10" x14ac:dyDescent="0.3">
      <c r="A769" t="s">
        <v>61</v>
      </c>
      <c r="B769" t="s">
        <v>22</v>
      </c>
      <c r="C769" t="s">
        <v>11</v>
      </c>
      <c r="D769" t="s">
        <v>32</v>
      </c>
      <c r="E769">
        <v>86</v>
      </c>
      <c r="F769">
        <v>63</v>
      </c>
      <c r="G769" s="1">
        <v>5500</v>
      </c>
      <c r="H769" s="1">
        <v>4950</v>
      </c>
      <c r="I769" s="1">
        <v>37125</v>
      </c>
      <c r="J769" s="1">
        <v>7500</v>
      </c>
    </row>
    <row r="770" spans="1:10" x14ac:dyDescent="0.3">
      <c r="A770" t="s">
        <v>61</v>
      </c>
      <c r="B770" t="s">
        <v>23</v>
      </c>
      <c r="C770" t="s">
        <v>11</v>
      </c>
      <c r="D770" t="s">
        <v>32</v>
      </c>
      <c r="E770">
        <v>86</v>
      </c>
      <c r="F770">
        <v>63</v>
      </c>
      <c r="G770" s="1">
        <v>6000</v>
      </c>
      <c r="H770" s="1">
        <v>4800</v>
      </c>
      <c r="I770" s="1">
        <v>26400</v>
      </c>
      <c r="J770" s="1">
        <v>5500</v>
      </c>
    </row>
    <row r="771" spans="1:10" x14ac:dyDescent="0.3">
      <c r="A771" t="s">
        <v>61</v>
      </c>
      <c r="B771" t="s">
        <v>24</v>
      </c>
      <c r="C771" t="s">
        <v>11</v>
      </c>
      <c r="D771" t="s">
        <v>32</v>
      </c>
      <c r="E771">
        <v>86</v>
      </c>
      <c r="F771">
        <v>63</v>
      </c>
      <c r="G771" s="1">
        <v>6000</v>
      </c>
      <c r="H771" s="1">
        <v>4195</v>
      </c>
      <c r="I771" s="1">
        <v>18878</v>
      </c>
      <c r="J771" s="1">
        <v>4500</v>
      </c>
    </row>
    <row r="772" spans="1:10" x14ac:dyDescent="0.3">
      <c r="A772" t="s">
        <v>61</v>
      </c>
      <c r="B772" t="s">
        <v>25</v>
      </c>
      <c r="C772" t="s">
        <v>11</v>
      </c>
      <c r="D772" t="s">
        <v>32</v>
      </c>
      <c r="E772">
        <v>86</v>
      </c>
      <c r="F772">
        <v>63</v>
      </c>
      <c r="G772" s="1">
        <v>3600</v>
      </c>
      <c r="H772" s="1">
        <v>2350</v>
      </c>
      <c r="I772" s="1">
        <v>13160</v>
      </c>
      <c r="J772" s="1">
        <v>5600</v>
      </c>
    </row>
    <row r="773" spans="1:10" x14ac:dyDescent="0.3">
      <c r="A773" t="s">
        <v>61</v>
      </c>
      <c r="B773" t="s">
        <v>15</v>
      </c>
      <c r="C773" t="s">
        <v>11</v>
      </c>
      <c r="D773" t="s">
        <v>33</v>
      </c>
      <c r="E773">
        <v>86</v>
      </c>
      <c r="F773">
        <v>56</v>
      </c>
      <c r="G773" s="1">
        <v>6000</v>
      </c>
      <c r="H773" s="1">
        <v>5200</v>
      </c>
      <c r="I773" s="1">
        <v>33800</v>
      </c>
      <c r="J773" s="1">
        <v>6500</v>
      </c>
    </row>
    <row r="774" spans="1:10" x14ac:dyDescent="0.3">
      <c r="A774" t="s">
        <v>61</v>
      </c>
      <c r="B774" t="s">
        <v>16</v>
      </c>
      <c r="C774" t="s">
        <v>11</v>
      </c>
      <c r="D774" t="s">
        <v>33</v>
      </c>
      <c r="E774">
        <v>86</v>
      </c>
      <c r="F774">
        <v>56</v>
      </c>
      <c r="G774" s="1">
        <v>6480</v>
      </c>
      <c r="H774" s="1">
        <v>5830</v>
      </c>
      <c r="I774" s="1">
        <v>36146</v>
      </c>
      <c r="J774" s="1">
        <v>6200</v>
      </c>
    </row>
    <row r="775" spans="1:10" x14ac:dyDescent="0.3">
      <c r="A775" t="s">
        <v>61</v>
      </c>
      <c r="B775" t="s">
        <v>17</v>
      </c>
      <c r="C775" t="s">
        <v>11</v>
      </c>
      <c r="D775" t="s">
        <v>33</v>
      </c>
      <c r="E775">
        <v>86</v>
      </c>
      <c r="F775">
        <v>56</v>
      </c>
      <c r="G775" s="1">
        <v>5600</v>
      </c>
      <c r="H775" s="1">
        <v>4250</v>
      </c>
      <c r="I775" s="1">
        <v>27200</v>
      </c>
      <c r="J775" s="1">
        <v>6400</v>
      </c>
    </row>
    <row r="776" spans="1:10" x14ac:dyDescent="0.3">
      <c r="A776" t="s">
        <v>61</v>
      </c>
      <c r="B776" t="s">
        <v>18</v>
      </c>
      <c r="C776" t="s">
        <v>11</v>
      </c>
      <c r="D776" t="s">
        <v>33</v>
      </c>
      <c r="E776">
        <v>86</v>
      </c>
      <c r="F776">
        <v>56</v>
      </c>
      <c r="G776" s="1">
        <v>6500</v>
      </c>
      <c r="H776" s="1">
        <v>5490</v>
      </c>
      <c r="I776" s="1">
        <v>30195</v>
      </c>
      <c r="J776" s="1">
        <v>5500</v>
      </c>
    </row>
    <row r="777" spans="1:10" x14ac:dyDescent="0.3">
      <c r="A777" t="s">
        <v>61</v>
      </c>
      <c r="B777" t="s">
        <v>19</v>
      </c>
      <c r="C777" t="s">
        <v>11</v>
      </c>
      <c r="D777" t="s">
        <v>33</v>
      </c>
      <c r="E777">
        <v>86</v>
      </c>
      <c r="F777">
        <v>56</v>
      </c>
      <c r="G777" s="1">
        <v>9000</v>
      </c>
      <c r="H777" s="1">
        <v>8760</v>
      </c>
      <c r="I777" s="1">
        <v>56940</v>
      </c>
      <c r="J777" s="1">
        <v>6500</v>
      </c>
    </row>
    <row r="778" spans="1:10" x14ac:dyDescent="0.3">
      <c r="A778" t="s">
        <v>61</v>
      </c>
      <c r="B778" t="s">
        <v>20</v>
      </c>
      <c r="C778" t="s">
        <v>11</v>
      </c>
      <c r="D778" t="s">
        <v>33</v>
      </c>
      <c r="E778">
        <v>86</v>
      </c>
      <c r="F778">
        <v>56</v>
      </c>
      <c r="G778" s="1">
        <v>12800</v>
      </c>
      <c r="H778" s="1">
        <v>12470</v>
      </c>
      <c r="I778" s="1">
        <v>76441</v>
      </c>
      <c r="J778" s="1">
        <v>6130</v>
      </c>
    </row>
    <row r="779" spans="1:10" x14ac:dyDescent="0.3">
      <c r="A779" t="s">
        <v>61</v>
      </c>
      <c r="B779" t="s">
        <v>21</v>
      </c>
      <c r="C779" t="s">
        <v>11</v>
      </c>
      <c r="D779" t="s">
        <v>33</v>
      </c>
      <c r="E779">
        <v>86</v>
      </c>
      <c r="F779">
        <v>56</v>
      </c>
      <c r="G779" s="1">
        <v>10500</v>
      </c>
      <c r="H779" s="1">
        <v>10175</v>
      </c>
      <c r="I779" s="1">
        <v>62068</v>
      </c>
      <c r="J779" s="1">
        <v>6100</v>
      </c>
    </row>
    <row r="780" spans="1:10" x14ac:dyDescent="0.3">
      <c r="A780" t="s">
        <v>61</v>
      </c>
      <c r="B780" t="s">
        <v>22</v>
      </c>
      <c r="C780" t="s">
        <v>11</v>
      </c>
      <c r="D780" t="s">
        <v>33</v>
      </c>
      <c r="E780">
        <v>86</v>
      </c>
      <c r="F780">
        <v>56</v>
      </c>
      <c r="G780" s="1">
        <v>11400</v>
      </c>
      <c r="H780" s="1">
        <v>10090</v>
      </c>
      <c r="I780" s="1">
        <v>72648</v>
      </c>
      <c r="J780" s="1">
        <v>7200</v>
      </c>
    </row>
    <row r="781" spans="1:10" x14ac:dyDescent="0.3">
      <c r="A781" t="s">
        <v>61</v>
      </c>
      <c r="B781" t="s">
        <v>23</v>
      </c>
      <c r="C781" t="s">
        <v>11</v>
      </c>
      <c r="D781" t="s">
        <v>33</v>
      </c>
      <c r="E781">
        <v>86</v>
      </c>
      <c r="F781">
        <v>56</v>
      </c>
      <c r="G781" s="1">
        <v>11400</v>
      </c>
      <c r="H781" s="1">
        <v>10385</v>
      </c>
      <c r="I781" s="1">
        <v>70621</v>
      </c>
      <c r="J781" s="1">
        <v>6800</v>
      </c>
    </row>
    <row r="782" spans="1:10" x14ac:dyDescent="0.3">
      <c r="A782" t="s">
        <v>61</v>
      </c>
      <c r="B782" t="s">
        <v>24</v>
      </c>
      <c r="C782" t="s">
        <v>11</v>
      </c>
      <c r="D782" t="s">
        <v>33</v>
      </c>
      <c r="E782">
        <v>86</v>
      </c>
      <c r="F782">
        <v>56</v>
      </c>
      <c r="G782" s="1">
        <v>13500</v>
      </c>
      <c r="H782" s="1">
        <v>8690</v>
      </c>
      <c r="I782" s="1">
        <v>23463</v>
      </c>
      <c r="J782" s="1">
        <v>2700</v>
      </c>
    </row>
    <row r="783" spans="1:10" x14ac:dyDescent="0.3">
      <c r="A783" t="s">
        <v>61</v>
      </c>
      <c r="B783" t="s">
        <v>25</v>
      </c>
      <c r="C783" t="s">
        <v>11</v>
      </c>
      <c r="D783" t="s">
        <v>33</v>
      </c>
      <c r="E783">
        <v>86</v>
      </c>
      <c r="F783">
        <v>56</v>
      </c>
      <c r="G783" s="1">
        <v>8810</v>
      </c>
      <c r="H783" s="1">
        <v>6240</v>
      </c>
      <c r="I783" s="1">
        <v>16848</v>
      </c>
      <c r="J783" s="1">
        <v>2700</v>
      </c>
    </row>
    <row r="784" spans="1:10" x14ac:dyDescent="0.3">
      <c r="A784" t="s">
        <v>61</v>
      </c>
      <c r="B784" t="s">
        <v>15</v>
      </c>
      <c r="C784" t="s">
        <v>11</v>
      </c>
      <c r="D784" t="s">
        <v>34</v>
      </c>
      <c r="E784">
        <v>86</v>
      </c>
      <c r="F784">
        <v>70</v>
      </c>
      <c r="G784" s="1">
        <v>2000</v>
      </c>
      <c r="H784" s="1">
        <v>1200</v>
      </c>
      <c r="I784" s="1">
        <v>8400</v>
      </c>
      <c r="J784" s="1">
        <v>7000</v>
      </c>
    </row>
    <row r="785" spans="1:10" x14ac:dyDescent="0.3">
      <c r="A785" t="s">
        <v>61</v>
      </c>
      <c r="B785" t="s">
        <v>16</v>
      </c>
      <c r="C785" t="s">
        <v>11</v>
      </c>
      <c r="D785" t="s">
        <v>34</v>
      </c>
      <c r="E785">
        <v>86</v>
      </c>
      <c r="F785">
        <v>70</v>
      </c>
      <c r="G785" s="1">
        <v>1500</v>
      </c>
      <c r="H785" s="1">
        <v>1305</v>
      </c>
      <c r="I785" s="1">
        <v>6917</v>
      </c>
      <c r="J785" s="1">
        <v>5300</v>
      </c>
    </row>
    <row r="786" spans="1:10" x14ac:dyDescent="0.3">
      <c r="A786" t="s">
        <v>61</v>
      </c>
      <c r="B786" t="s">
        <v>17</v>
      </c>
      <c r="C786" t="s">
        <v>11</v>
      </c>
      <c r="D786" t="s">
        <v>34</v>
      </c>
      <c r="E786">
        <v>86</v>
      </c>
      <c r="F786">
        <v>70</v>
      </c>
      <c r="G786" s="1">
        <v>2000</v>
      </c>
      <c r="H786" s="1">
        <v>1600</v>
      </c>
      <c r="I786" s="1">
        <v>11200</v>
      </c>
      <c r="J786" s="1">
        <v>7000</v>
      </c>
    </row>
    <row r="787" spans="1:10" x14ac:dyDescent="0.3">
      <c r="A787" t="s">
        <v>61</v>
      </c>
      <c r="B787" t="s">
        <v>18</v>
      </c>
      <c r="C787" t="s">
        <v>11</v>
      </c>
      <c r="D787" t="s">
        <v>34</v>
      </c>
      <c r="E787">
        <v>86</v>
      </c>
      <c r="F787">
        <v>70</v>
      </c>
      <c r="G787" s="1">
        <v>3000</v>
      </c>
      <c r="H787" s="1">
        <v>2160</v>
      </c>
      <c r="I787" s="1">
        <v>11880</v>
      </c>
      <c r="J787" s="1">
        <v>5500</v>
      </c>
    </row>
    <row r="788" spans="1:10" x14ac:dyDescent="0.3">
      <c r="A788" t="s">
        <v>61</v>
      </c>
      <c r="B788" t="s">
        <v>19</v>
      </c>
      <c r="C788" t="s">
        <v>11</v>
      </c>
      <c r="D788" t="s">
        <v>34</v>
      </c>
      <c r="E788">
        <v>86</v>
      </c>
      <c r="F788">
        <v>70</v>
      </c>
      <c r="G788" s="1">
        <v>2000</v>
      </c>
      <c r="H788" s="1">
        <v>2000</v>
      </c>
      <c r="I788" s="1">
        <v>11000</v>
      </c>
      <c r="J788" s="1">
        <v>5500</v>
      </c>
    </row>
    <row r="789" spans="1:10" x14ac:dyDescent="0.3">
      <c r="A789" t="s">
        <v>61</v>
      </c>
      <c r="B789" t="s">
        <v>20</v>
      </c>
      <c r="C789" t="s">
        <v>11</v>
      </c>
      <c r="D789" t="s">
        <v>34</v>
      </c>
      <c r="E789">
        <v>86</v>
      </c>
      <c r="F789">
        <v>70</v>
      </c>
      <c r="G789" s="1">
        <v>5000</v>
      </c>
      <c r="H789" s="1">
        <v>4750</v>
      </c>
      <c r="I789" s="1">
        <v>33393</v>
      </c>
      <c r="J789" s="1">
        <v>7030</v>
      </c>
    </row>
    <row r="790" spans="1:10" x14ac:dyDescent="0.3">
      <c r="A790" t="s">
        <v>61</v>
      </c>
      <c r="B790" t="s">
        <v>21</v>
      </c>
      <c r="C790" t="s">
        <v>11</v>
      </c>
      <c r="D790" t="s">
        <v>34</v>
      </c>
      <c r="E790">
        <v>86</v>
      </c>
      <c r="F790">
        <v>70</v>
      </c>
      <c r="G790" s="1">
        <v>5000</v>
      </c>
      <c r="H790" s="1">
        <v>4500</v>
      </c>
      <c r="I790" s="1">
        <v>33750</v>
      </c>
      <c r="J790" s="1">
        <v>7500</v>
      </c>
    </row>
    <row r="791" spans="1:10" x14ac:dyDescent="0.3">
      <c r="A791" t="s">
        <v>61</v>
      </c>
      <c r="B791" t="s">
        <v>22</v>
      </c>
      <c r="C791" t="s">
        <v>11</v>
      </c>
      <c r="D791" t="s">
        <v>34</v>
      </c>
      <c r="E791">
        <v>86</v>
      </c>
      <c r="F791">
        <v>70</v>
      </c>
      <c r="G791" s="1">
        <v>5000</v>
      </c>
      <c r="H791" s="1">
        <v>5000</v>
      </c>
      <c r="I791" s="1">
        <v>37500</v>
      </c>
      <c r="J791" s="1">
        <v>7500</v>
      </c>
    </row>
    <row r="792" spans="1:10" x14ac:dyDescent="0.3">
      <c r="A792" t="s">
        <v>61</v>
      </c>
      <c r="B792" t="s">
        <v>23</v>
      </c>
      <c r="C792" t="s">
        <v>11</v>
      </c>
      <c r="D792" t="s">
        <v>34</v>
      </c>
      <c r="E792">
        <v>86</v>
      </c>
      <c r="F792">
        <v>70</v>
      </c>
      <c r="G792" s="1">
        <v>5000</v>
      </c>
      <c r="H792" s="1">
        <v>4000</v>
      </c>
      <c r="I792" s="1">
        <v>22000</v>
      </c>
      <c r="J792" s="1">
        <v>5500</v>
      </c>
    </row>
    <row r="793" spans="1:10" x14ac:dyDescent="0.3">
      <c r="A793" t="s">
        <v>61</v>
      </c>
      <c r="B793" t="s">
        <v>24</v>
      </c>
      <c r="C793" t="s">
        <v>11</v>
      </c>
      <c r="D793" t="s">
        <v>34</v>
      </c>
      <c r="E793">
        <v>86</v>
      </c>
      <c r="F793">
        <v>70</v>
      </c>
      <c r="G793" s="1">
        <v>5000</v>
      </c>
      <c r="H793" s="1">
        <v>3300</v>
      </c>
      <c r="I793" s="1">
        <v>13200</v>
      </c>
      <c r="J793" s="1">
        <v>4000</v>
      </c>
    </row>
    <row r="794" spans="1:10" x14ac:dyDescent="0.3">
      <c r="A794" t="s">
        <v>61</v>
      </c>
      <c r="B794" t="s">
        <v>25</v>
      </c>
      <c r="C794" t="s">
        <v>11</v>
      </c>
      <c r="D794" t="s">
        <v>34</v>
      </c>
      <c r="E794">
        <v>86</v>
      </c>
      <c r="F794">
        <v>70</v>
      </c>
      <c r="G794" s="1">
        <v>3000</v>
      </c>
      <c r="H794" s="1">
        <v>1950</v>
      </c>
      <c r="I794" s="1">
        <v>10920</v>
      </c>
      <c r="J794" s="1">
        <v>5600</v>
      </c>
    </row>
    <row r="795" spans="1:10" x14ac:dyDescent="0.3">
      <c r="A795" t="s">
        <v>61</v>
      </c>
      <c r="B795" t="s">
        <v>15</v>
      </c>
      <c r="C795" t="s">
        <v>11</v>
      </c>
      <c r="D795" t="s">
        <v>35</v>
      </c>
      <c r="E795">
        <v>86</v>
      </c>
      <c r="F795">
        <v>77</v>
      </c>
      <c r="G795" s="1">
        <v>60000</v>
      </c>
      <c r="H795" s="1">
        <v>28000</v>
      </c>
      <c r="I795" s="1">
        <v>182000</v>
      </c>
      <c r="J795" s="1">
        <v>6500</v>
      </c>
    </row>
    <row r="796" spans="1:10" x14ac:dyDescent="0.3">
      <c r="A796" t="s">
        <v>61</v>
      </c>
      <c r="B796" t="s">
        <v>16</v>
      </c>
      <c r="C796" t="s">
        <v>11</v>
      </c>
      <c r="D796" t="s">
        <v>35</v>
      </c>
      <c r="E796">
        <v>86</v>
      </c>
      <c r="F796">
        <v>77</v>
      </c>
      <c r="G796" s="1">
        <v>108000</v>
      </c>
      <c r="H796" s="1">
        <v>97600</v>
      </c>
      <c r="I796" s="1">
        <v>692960</v>
      </c>
      <c r="J796" s="1">
        <v>7100</v>
      </c>
    </row>
    <row r="797" spans="1:10" x14ac:dyDescent="0.3">
      <c r="A797" t="s">
        <v>61</v>
      </c>
      <c r="B797" t="s">
        <v>17</v>
      </c>
      <c r="C797" t="s">
        <v>11</v>
      </c>
      <c r="D797" t="s">
        <v>35</v>
      </c>
      <c r="E797">
        <v>86</v>
      </c>
      <c r="F797">
        <v>77</v>
      </c>
      <c r="G797" s="1">
        <v>82000</v>
      </c>
      <c r="H797" s="1">
        <v>75200</v>
      </c>
      <c r="I797" s="1">
        <v>511360</v>
      </c>
      <c r="J797" s="1">
        <v>6800</v>
      </c>
    </row>
    <row r="798" spans="1:10" x14ac:dyDescent="0.3">
      <c r="A798" t="s">
        <v>61</v>
      </c>
      <c r="B798" t="s">
        <v>18</v>
      </c>
      <c r="C798" t="s">
        <v>11</v>
      </c>
      <c r="D798" t="s">
        <v>35</v>
      </c>
      <c r="E798">
        <v>86</v>
      </c>
      <c r="F798">
        <v>77</v>
      </c>
      <c r="G798" s="1">
        <v>93000</v>
      </c>
      <c r="H798" s="1">
        <v>79210</v>
      </c>
      <c r="I798" s="1">
        <v>435655</v>
      </c>
      <c r="J798" s="1">
        <v>5500</v>
      </c>
    </row>
    <row r="799" spans="1:10" x14ac:dyDescent="0.3">
      <c r="A799" t="s">
        <v>61</v>
      </c>
      <c r="B799" t="s">
        <v>19</v>
      </c>
      <c r="C799" t="s">
        <v>11</v>
      </c>
      <c r="D799" t="s">
        <v>35</v>
      </c>
      <c r="E799">
        <v>86</v>
      </c>
      <c r="F799">
        <v>77</v>
      </c>
      <c r="G799" s="1">
        <v>100000</v>
      </c>
      <c r="H799" s="1">
        <v>71490</v>
      </c>
      <c r="I799" s="1">
        <v>464685</v>
      </c>
      <c r="J799" s="1">
        <v>6500</v>
      </c>
    </row>
    <row r="800" spans="1:10" x14ac:dyDescent="0.3">
      <c r="A800" t="s">
        <v>61</v>
      </c>
      <c r="B800" t="s">
        <v>20</v>
      </c>
      <c r="C800" t="s">
        <v>11</v>
      </c>
      <c r="D800" t="s">
        <v>35</v>
      </c>
      <c r="E800">
        <v>86</v>
      </c>
      <c r="F800">
        <v>77</v>
      </c>
      <c r="G800" s="1">
        <v>101100</v>
      </c>
      <c r="H800" s="1">
        <v>93780</v>
      </c>
      <c r="I800" s="1">
        <v>725857</v>
      </c>
      <c r="J800" s="1">
        <v>7740</v>
      </c>
    </row>
    <row r="801" spans="1:10" x14ac:dyDescent="0.3">
      <c r="A801" t="s">
        <v>61</v>
      </c>
      <c r="B801" t="s">
        <v>21</v>
      </c>
      <c r="C801" t="s">
        <v>11</v>
      </c>
      <c r="D801" t="s">
        <v>35</v>
      </c>
      <c r="E801">
        <v>86</v>
      </c>
      <c r="F801">
        <v>77</v>
      </c>
      <c r="G801" s="1">
        <v>94000</v>
      </c>
      <c r="H801" s="1">
        <v>86750</v>
      </c>
      <c r="I801" s="1">
        <v>667975</v>
      </c>
      <c r="J801" s="1">
        <v>7700</v>
      </c>
    </row>
    <row r="802" spans="1:10" x14ac:dyDescent="0.3">
      <c r="A802" t="s">
        <v>61</v>
      </c>
      <c r="B802" t="s">
        <v>22</v>
      </c>
      <c r="C802" t="s">
        <v>11</v>
      </c>
      <c r="D802" t="s">
        <v>35</v>
      </c>
      <c r="E802">
        <v>86</v>
      </c>
      <c r="F802">
        <v>77</v>
      </c>
      <c r="G802" s="1">
        <v>101000</v>
      </c>
      <c r="H802" s="1">
        <v>91420</v>
      </c>
      <c r="I802" s="1">
        <v>694792</v>
      </c>
      <c r="J802" s="1">
        <v>7600</v>
      </c>
    </row>
    <row r="803" spans="1:10" x14ac:dyDescent="0.3">
      <c r="A803" t="s">
        <v>61</v>
      </c>
      <c r="B803" t="s">
        <v>23</v>
      </c>
      <c r="C803" t="s">
        <v>11</v>
      </c>
      <c r="D803" t="s">
        <v>35</v>
      </c>
      <c r="E803">
        <v>86</v>
      </c>
      <c r="F803">
        <v>77</v>
      </c>
      <c r="G803" s="1">
        <v>101000</v>
      </c>
      <c r="H803" s="1">
        <v>92011</v>
      </c>
      <c r="I803" s="1">
        <v>644077</v>
      </c>
      <c r="J803" s="1">
        <v>7000</v>
      </c>
    </row>
    <row r="804" spans="1:10" x14ac:dyDescent="0.3">
      <c r="A804" t="s">
        <v>61</v>
      </c>
      <c r="B804" t="s">
        <v>24</v>
      </c>
      <c r="C804" t="s">
        <v>11</v>
      </c>
      <c r="D804" t="s">
        <v>35</v>
      </c>
      <c r="E804">
        <v>86</v>
      </c>
      <c r="F804">
        <v>77</v>
      </c>
      <c r="G804" s="1">
        <v>100700</v>
      </c>
      <c r="H804" s="1">
        <v>64700</v>
      </c>
      <c r="I804" s="1">
        <v>200570</v>
      </c>
      <c r="J804" s="1">
        <v>3100</v>
      </c>
    </row>
    <row r="805" spans="1:10" x14ac:dyDescent="0.3">
      <c r="A805" t="s">
        <v>61</v>
      </c>
      <c r="B805" t="s">
        <v>25</v>
      </c>
      <c r="C805" t="s">
        <v>11</v>
      </c>
      <c r="D805" t="s">
        <v>35</v>
      </c>
      <c r="E805">
        <v>86</v>
      </c>
      <c r="F805">
        <v>77</v>
      </c>
      <c r="G805" s="1">
        <v>34250</v>
      </c>
      <c r="H805" s="1">
        <v>27390</v>
      </c>
      <c r="I805" s="1">
        <v>178035</v>
      </c>
      <c r="J805" s="1">
        <v>6500</v>
      </c>
    </row>
    <row r="806" spans="1:10" x14ac:dyDescent="0.3">
      <c r="A806" t="s">
        <v>61</v>
      </c>
      <c r="B806" t="s">
        <v>15</v>
      </c>
      <c r="C806" t="s">
        <v>11</v>
      </c>
      <c r="D806" t="s">
        <v>36</v>
      </c>
      <c r="E806">
        <v>86</v>
      </c>
      <c r="F806">
        <v>84</v>
      </c>
      <c r="G806" s="1">
        <v>5000</v>
      </c>
      <c r="H806" s="1">
        <v>4000</v>
      </c>
      <c r="I806" s="1">
        <v>22000</v>
      </c>
      <c r="J806" s="1">
        <v>5500</v>
      </c>
    </row>
    <row r="807" spans="1:10" x14ac:dyDescent="0.3">
      <c r="A807" t="s">
        <v>61</v>
      </c>
      <c r="B807" t="s">
        <v>16</v>
      </c>
      <c r="C807" t="s">
        <v>11</v>
      </c>
      <c r="D807" t="s">
        <v>36</v>
      </c>
      <c r="E807">
        <v>86</v>
      </c>
      <c r="F807">
        <v>84</v>
      </c>
      <c r="G807" s="1">
        <v>4500</v>
      </c>
      <c r="H807" s="1">
        <v>2715</v>
      </c>
      <c r="I807" s="1">
        <v>17105</v>
      </c>
      <c r="J807" s="1">
        <v>6300</v>
      </c>
    </row>
    <row r="808" spans="1:10" x14ac:dyDescent="0.3">
      <c r="A808" t="s">
        <v>61</v>
      </c>
      <c r="B808" t="s">
        <v>17</v>
      </c>
      <c r="C808" t="s">
        <v>11</v>
      </c>
      <c r="D808" t="s">
        <v>36</v>
      </c>
      <c r="E808">
        <v>86</v>
      </c>
      <c r="F808">
        <v>84</v>
      </c>
      <c r="G808" s="1">
        <v>5000</v>
      </c>
      <c r="H808" s="1">
        <v>4400</v>
      </c>
      <c r="I808" s="1">
        <v>35200</v>
      </c>
      <c r="J808" s="1">
        <v>8000</v>
      </c>
    </row>
    <row r="809" spans="1:10" x14ac:dyDescent="0.3">
      <c r="A809" t="s">
        <v>61</v>
      </c>
      <c r="B809" t="s">
        <v>18</v>
      </c>
      <c r="C809" t="s">
        <v>11</v>
      </c>
      <c r="D809" t="s">
        <v>36</v>
      </c>
      <c r="E809">
        <v>86</v>
      </c>
      <c r="F809">
        <v>84</v>
      </c>
      <c r="G809" s="1">
        <v>8000</v>
      </c>
      <c r="H809" s="1">
        <v>6890</v>
      </c>
      <c r="I809" s="1">
        <v>41340</v>
      </c>
      <c r="J809" s="1">
        <v>6000</v>
      </c>
    </row>
    <row r="810" spans="1:10" x14ac:dyDescent="0.3">
      <c r="A810" t="s">
        <v>61</v>
      </c>
      <c r="B810" t="s">
        <v>19</v>
      </c>
      <c r="C810" t="s">
        <v>11</v>
      </c>
      <c r="D810" t="s">
        <v>36</v>
      </c>
      <c r="E810">
        <v>86</v>
      </c>
      <c r="F810">
        <v>84</v>
      </c>
      <c r="G810" s="1">
        <v>7000</v>
      </c>
      <c r="H810" s="1">
        <v>7000</v>
      </c>
      <c r="I810" s="1">
        <v>45500</v>
      </c>
      <c r="J810" s="1">
        <v>6500</v>
      </c>
    </row>
    <row r="811" spans="1:10" x14ac:dyDescent="0.3">
      <c r="A811" t="s">
        <v>61</v>
      </c>
      <c r="B811" t="s">
        <v>20</v>
      </c>
      <c r="C811" t="s">
        <v>11</v>
      </c>
      <c r="D811" t="s">
        <v>36</v>
      </c>
      <c r="E811">
        <v>86</v>
      </c>
      <c r="F811">
        <v>84</v>
      </c>
      <c r="G811" s="1">
        <v>8000</v>
      </c>
      <c r="H811" s="1">
        <v>7600</v>
      </c>
      <c r="I811" s="1">
        <v>53428</v>
      </c>
      <c r="J811" s="1">
        <v>7030</v>
      </c>
    </row>
    <row r="812" spans="1:10" x14ac:dyDescent="0.3">
      <c r="A812" t="s">
        <v>61</v>
      </c>
      <c r="B812" t="s">
        <v>21</v>
      </c>
      <c r="C812" t="s">
        <v>11</v>
      </c>
      <c r="D812" t="s">
        <v>36</v>
      </c>
      <c r="E812">
        <v>86</v>
      </c>
      <c r="F812">
        <v>84</v>
      </c>
      <c r="G812" s="1">
        <v>8000</v>
      </c>
      <c r="H812" s="1">
        <v>7200</v>
      </c>
      <c r="I812" s="1">
        <v>54000</v>
      </c>
      <c r="J812" s="1">
        <v>7500</v>
      </c>
    </row>
    <row r="813" spans="1:10" x14ac:dyDescent="0.3">
      <c r="A813" t="s">
        <v>61</v>
      </c>
      <c r="B813" t="s">
        <v>22</v>
      </c>
      <c r="C813" t="s">
        <v>11</v>
      </c>
      <c r="D813" t="s">
        <v>36</v>
      </c>
      <c r="E813">
        <v>86</v>
      </c>
      <c r="F813">
        <v>84</v>
      </c>
      <c r="G813" s="1">
        <v>8000</v>
      </c>
      <c r="H813" s="1">
        <v>7200</v>
      </c>
      <c r="I813" s="1">
        <v>54000</v>
      </c>
      <c r="J813" s="1">
        <v>7500</v>
      </c>
    </row>
    <row r="814" spans="1:10" x14ac:dyDescent="0.3">
      <c r="A814" t="s">
        <v>61</v>
      </c>
      <c r="B814" t="s">
        <v>23</v>
      </c>
      <c r="C814" t="s">
        <v>11</v>
      </c>
      <c r="D814" t="s">
        <v>36</v>
      </c>
      <c r="E814">
        <v>86</v>
      </c>
      <c r="F814">
        <v>84</v>
      </c>
      <c r="G814" s="1">
        <v>15000</v>
      </c>
      <c r="H814" s="1">
        <v>13400</v>
      </c>
      <c r="I814" s="1">
        <v>73700</v>
      </c>
      <c r="J814" s="1">
        <v>5500</v>
      </c>
    </row>
    <row r="815" spans="1:10" x14ac:dyDescent="0.3">
      <c r="A815" t="s">
        <v>61</v>
      </c>
      <c r="B815" t="s">
        <v>24</v>
      </c>
      <c r="C815" t="s">
        <v>11</v>
      </c>
      <c r="D815" t="s">
        <v>36</v>
      </c>
      <c r="E815">
        <v>86</v>
      </c>
      <c r="F815">
        <v>84</v>
      </c>
      <c r="G815" s="1">
        <v>14000</v>
      </c>
      <c r="H815" s="1">
        <v>9300</v>
      </c>
      <c r="I815" s="1">
        <v>41850</v>
      </c>
      <c r="J815" s="1">
        <v>4500</v>
      </c>
    </row>
    <row r="816" spans="1:10" x14ac:dyDescent="0.3">
      <c r="A816" t="s">
        <v>61</v>
      </c>
      <c r="B816" t="s">
        <v>25</v>
      </c>
      <c r="C816" t="s">
        <v>11</v>
      </c>
      <c r="D816" t="s">
        <v>36</v>
      </c>
      <c r="E816">
        <v>86</v>
      </c>
      <c r="F816">
        <v>84</v>
      </c>
      <c r="G816" s="1">
        <v>9000</v>
      </c>
      <c r="H816" s="1">
        <v>6150</v>
      </c>
      <c r="I816" s="1">
        <v>34440</v>
      </c>
      <c r="J816" s="1">
        <v>5600</v>
      </c>
    </row>
    <row r="817" spans="1:10" x14ac:dyDescent="0.3">
      <c r="A817" t="s">
        <v>61</v>
      </c>
      <c r="B817" t="s">
        <v>15</v>
      </c>
      <c r="C817" t="s">
        <v>11</v>
      </c>
      <c r="D817" t="s">
        <v>37</v>
      </c>
      <c r="E817">
        <v>86</v>
      </c>
      <c r="F817">
        <v>91</v>
      </c>
      <c r="G817" s="1">
        <v>40700</v>
      </c>
      <c r="H817" s="1">
        <v>37500</v>
      </c>
      <c r="I817" s="1">
        <v>262500</v>
      </c>
      <c r="J817" s="1">
        <v>7000</v>
      </c>
    </row>
    <row r="818" spans="1:10" x14ac:dyDescent="0.3">
      <c r="A818" t="s">
        <v>61</v>
      </c>
      <c r="B818" t="s">
        <v>16</v>
      </c>
      <c r="C818" t="s">
        <v>11</v>
      </c>
      <c r="D818" t="s">
        <v>37</v>
      </c>
      <c r="E818">
        <v>86</v>
      </c>
      <c r="F818">
        <v>91</v>
      </c>
      <c r="G818" s="1">
        <v>59000</v>
      </c>
      <c r="H818" s="1">
        <v>52500</v>
      </c>
      <c r="I818" s="1">
        <v>383250</v>
      </c>
      <c r="J818" s="1">
        <v>7300</v>
      </c>
    </row>
    <row r="819" spans="1:10" x14ac:dyDescent="0.3">
      <c r="A819" t="s">
        <v>61</v>
      </c>
      <c r="B819" t="s">
        <v>17</v>
      </c>
      <c r="C819" t="s">
        <v>11</v>
      </c>
      <c r="D819" t="s">
        <v>37</v>
      </c>
      <c r="E819">
        <v>86</v>
      </c>
      <c r="F819">
        <v>91</v>
      </c>
      <c r="G819" s="1">
        <v>50000</v>
      </c>
      <c r="H819" s="1">
        <v>46500</v>
      </c>
      <c r="I819" s="1">
        <v>395250</v>
      </c>
      <c r="J819" s="1">
        <v>8500</v>
      </c>
    </row>
    <row r="820" spans="1:10" x14ac:dyDescent="0.3">
      <c r="A820" t="s">
        <v>61</v>
      </c>
      <c r="B820" t="s">
        <v>18</v>
      </c>
      <c r="C820" t="s">
        <v>11</v>
      </c>
      <c r="D820" t="s">
        <v>37</v>
      </c>
      <c r="E820">
        <v>86</v>
      </c>
      <c r="F820">
        <v>91</v>
      </c>
      <c r="G820" s="1">
        <v>70000</v>
      </c>
      <c r="H820" s="1">
        <v>65000</v>
      </c>
      <c r="I820" s="1">
        <v>455000</v>
      </c>
      <c r="J820" s="1">
        <v>7000</v>
      </c>
    </row>
    <row r="821" spans="1:10" x14ac:dyDescent="0.3">
      <c r="A821" t="s">
        <v>61</v>
      </c>
      <c r="B821" t="s">
        <v>19</v>
      </c>
      <c r="C821" t="s">
        <v>11</v>
      </c>
      <c r="D821" t="s">
        <v>37</v>
      </c>
      <c r="E821">
        <v>86</v>
      </c>
      <c r="F821">
        <v>91</v>
      </c>
      <c r="G821" s="1">
        <v>55000</v>
      </c>
      <c r="H821" s="1">
        <v>51500</v>
      </c>
      <c r="I821" s="1">
        <v>386250</v>
      </c>
      <c r="J821" s="1">
        <v>7500</v>
      </c>
    </row>
    <row r="822" spans="1:10" x14ac:dyDescent="0.3">
      <c r="A822" t="s">
        <v>61</v>
      </c>
      <c r="B822" t="s">
        <v>20</v>
      </c>
      <c r="C822" t="s">
        <v>11</v>
      </c>
      <c r="D822" t="s">
        <v>37</v>
      </c>
      <c r="E822">
        <v>86</v>
      </c>
      <c r="F822">
        <v>91</v>
      </c>
      <c r="G822" s="1">
        <v>60000</v>
      </c>
      <c r="H822" s="1">
        <v>57000</v>
      </c>
      <c r="I822" s="1">
        <v>427500</v>
      </c>
      <c r="J822" s="1">
        <v>7500</v>
      </c>
    </row>
    <row r="823" spans="1:10" x14ac:dyDescent="0.3">
      <c r="A823" t="s">
        <v>61</v>
      </c>
      <c r="B823" t="s">
        <v>21</v>
      </c>
      <c r="C823" t="s">
        <v>11</v>
      </c>
      <c r="D823" t="s">
        <v>37</v>
      </c>
      <c r="E823">
        <v>86</v>
      </c>
      <c r="F823">
        <v>91</v>
      </c>
      <c r="G823" s="1">
        <v>60000</v>
      </c>
      <c r="H823" s="1">
        <v>54000</v>
      </c>
      <c r="I823" s="1">
        <v>405000</v>
      </c>
      <c r="J823" s="1">
        <v>7500</v>
      </c>
    </row>
    <row r="824" spans="1:10" x14ac:dyDescent="0.3">
      <c r="A824" t="s">
        <v>61</v>
      </c>
      <c r="B824" t="s">
        <v>22</v>
      </c>
      <c r="C824" t="s">
        <v>11</v>
      </c>
      <c r="D824" t="s">
        <v>37</v>
      </c>
      <c r="E824">
        <v>86</v>
      </c>
      <c r="F824">
        <v>91</v>
      </c>
      <c r="G824" s="1">
        <v>55000</v>
      </c>
      <c r="H824" s="1">
        <v>49500</v>
      </c>
      <c r="I824" s="1">
        <v>371250</v>
      </c>
      <c r="J824" s="1">
        <v>7500</v>
      </c>
    </row>
    <row r="825" spans="1:10" x14ac:dyDescent="0.3">
      <c r="A825" t="s">
        <v>61</v>
      </c>
      <c r="B825" t="s">
        <v>23</v>
      </c>
      <c r="C825" t="s">
        <v>11</v>
      </c>
      <c r="D825" t="s">
        <v>37</v>
      </c>
      <c r="E825">
        <v>86</v>
      </c>
      <c r="F825">
        <v>91</v>
      </c>
      <c r="G825" s="1">
        <v>55000</v>
      </c>
      <c r="H825" s="1">
        <v>44000</v>
      </c>
      <c r="I825" s="1">
        <v>264000</v>
      </c>
      <c r="J825" s="1">
        <v>6000</v>
      </c>
    </row>
    <row r="826" spans="1:10" x14ac:dyDescent="0.3">
      <c r="A826" t="s">
        <v>61</v>
      </c>
      <c r="B826" t="s">
        <v>24</v>
      </c>
      <c r="C826" t="s">
        <v>11</v>
      </c>
      <c r="D826" t="s">
        <v>37</v>
      </c>
      <c r="E826">
        <v>86</v>
      </c>
      <c r="F826">
        <v>91</v>
      </c>
      <c r="G826" s="1">
        <v>54500</v>
      </c>
      <c r="H826" s="1">
        <v>14000</v>
      </c>
      <c r="I826" s="1">
        <v>63000</v>
      </c>
      <c r="J826" s="1">
        <v>4500</v>
      </c>
    </row>
    <row r="827" spans="1:10" x14ac:dyDescent="0.3">
      <c r="A827" t="s">
        <v>61</v>
      </c>
      <c r="B827" t="s">
        <v>25</v>
      </c>
      <c r="C827" t="s">
        <v>11</v>
      </c>
      <c r="D827" t="s">
        <v>37</v>
      </c>
      <c r="E827">
        <v>86</v>
      </c>
      <c r="F827">
        <v>91</v>
      </c>
      <c r="G827" s="1">
        <v>33000</v>
      </c>
      <c r="H827" s="1">
        <v>21600</v>
      </c>
      <c r="I827" s="1">
        <v>123120</v>
      </c>
      <c r="J827" s="1">
        <v>5700</v>
      </c>
    </row>
    <row r="828" spans="1:10" x14ac:dyDescent="0.3">
      <c r="A828" t="s">
        <v>61</v>
      </c>
      <c r="B828" t="s">
        <v>15</v>
      </c>
      <c r="C828" t="s">
        <v>11</v>
      </c>
      <c r="D828" t="s">
        <v>38</v>
      </c>
      <c r="E828">
        <v>86</v>
      </c>
      <c r="F828">
        <v>98</v>
      </c>
      <c r="G828" s="1">
        <v>44000</v>
      </c>
      <c r="H828" s="1">
        <v>42000</v>
      </c>
      <c r="I828" s="1">
        <v>273000</v>
      </c>
      <c r="J828" s="1">
        <v>6500</v>
      </c>
    </row>
    <row r="829" spans="1:10" x14ac:dyDescent="0.3">
      <c r="A829" t="s">
        <v>61</v>
      </c>
      <c r="B829" t="s">
        <v>16</v>
      </c>
      <c r="C829" t="s">
        <v>11</v>
      </c>
      <c r="D829" t="s">
        <v>38</v>
      </c>
      <c r="E829">
        <v>86</v>
      </c>
      <c r="F829">
        <v>98</v>
      </c>
      <c r="G829" s="1">
        <v>52500</v>
      </c>
      <c r="H829" s="1">
        <v>46830</v>
      </c>
      <c r="I829" s="1">
        <v>318444</v>
      </c>
      <c r="J829" s="1">
        <v>6800</v>
      </c>
    </row>
    <row r="830" spans="1:10" x14ac:dyDescent="0.3">
      <c r="A830" t="s">
        <v>61</v>
      </c>
      <c r="B830" t="s">
        <v>17</v>
      </c>
      <c r="C830" t="s">
        <v>11</v>
      </c>
      <c r="D830" t="s">
        <v>38</v>
      </c>
      <c r="E830">
        <v>86</v>
      </c>
      <c r="F830">
        <v>98</v>
      </c>
      <c r="G830" s="1">
        <v>55000</v>
      </c>
      <c r="H830" s="1">
        <v>50900</v>
      </c>
      <c r="I830" s="1">
        <v>341030</v>
      </c>
      <c r="J830" s="1">
        <v>6700</v>
      </c>
    </row>
    <row r="831" spans="1:10" x14ac:dyDescent="0.3">
      <c r="A831" t="s">
        <v>61</v>
      </c>
      <c r="B831" t="s">
        <v>18</v>
      </c>
      <c r="C831" t="s">
        <v>11</v>
      </c>
      <c r="D831" t="s">
        <v>38</v>
      </c>
      <c r="E831">
        <v>86</v>
      </c>
      <c r="F831">
        <v>98</v>
      </c>
      <c r="G831" s="1">
        <v>62000</v>
      </c>
      <c r="H831" s="1">
        <v>54680</v>
      </c>
      <c r="I831" s="1">
        <v>300740</v>
      </c>
      <c r="J831" s="1">
        <v>5500</v>
      </c>
    </row>
    <row r="832" spans="1:10" x14ac:dyDescent="0.3">
      <c r="A832" t="s">
        <v>61</v>
      </c>
      <c r="B832" t="s">
        <v>19</v>
      </c>
      <c r="C832" t="s">
        <v>11</v>
      </c>
      <c r="D832" t="s">
        <v>38</v>
      </c>
      <c r="E832">
        <v>86</v>
      </c>
      <c r="F832">
        <v>98</v>
      </c>
      <c r="G832" s="1">
        <v>63000</v>
      </c>
      <c r="H832" s="1">
        <v>58860</v>
      </c>
      <c r="I832" s="1">
        <v>400248</v>
      </c>
      <c r="J832" s="1">
        <v>6800</v>
      </c>
    </row>
    <row r="833" spans="1:10" x14ac:dyDescent="0.3">
      <c r="A833" t="s">
        <v>61</v>
      </c>
      <c r="B833" t="s">
        <v>20</v>
      </c>
      <c r="C833" t="s">
        <v>11</v>
      </c>
      <c r="D833" t="s">
        <v>38</v>
      </c>
      <c r="E833">
        <v>86</v>
      </c>
      <c r="F833">
        <v>98</v>
      </c>
      <c r="G833" s="1">
        <v>75000</v>
      </c>
      <c r="H833" s="1">
        <v>71580</v>
      </c>
      <c r="I833" s="1">
        <v>533987</v>
      </c>
      <c r="J833" s="1">
        <v>7460</v>
      </c>
    </row>
    <row r="834" spans="1:10" x14ac:dyDescent="0.3">
      <c r="A834" t="s">
        <v>61</v>
      </c>
      <c r="B834" t="s">
        <v>21</v>
      </c>
      <c r="C834" t="s">
        <v>11</v>
      </c>
      <c r="D834" t="s">
        <v>38</v>
      </c>
      <c r="E834">
        <v>86</v>
      </c>
      <c r="F834">
        <v>98</v>
      </c>
      <c r="G834" s="1">
        <v>64000</v>
      </c>
      <c r="H834" s="1">
        <v>60885</v>
      </c>
      <c r="I834" s="1">
        <v>450549</v>
      </c>
      <c r="J834" s="1">
        <v>7400</v>
      </c>
    </row>
    <row r="835" spans="1:10" x14ac:dyDescent="0.3">
      <c r="A835" t="s">
        <v>61</v>
      </c>
      <c r="B835" t="s">
        <v>22</v>
      </c>
      <c r="C835" t="s">
        <v>11</v>
      </c>
      <c r="D835" t="s">
        <v>38</v>
      </c>
      <c r="E835">
        <v>86</v>
      </c>
      <c r="F835">
        <v>98</v>
      </c>
      <c r="G835" s="1">
        <v>68000</v>
      </c>
      <c r="H835" s="1">
        <v>60470</v>
      </c>
      <c r="I835" s="1">
        <v>441431</v>
      </c>
      <c r="J835" s="1">
        <v>7300</v>
      </c>
    </row>
    <row r="836" spans="1:10" x14ac:dyDescent="0.3">
      <c r="A836" t="s">
        <v>61</v>
      </c>
      <c r="B836" t="s">
        <v>23</v>
      </c>
      <c r="C836" t="s">
        <v>11</v>
      </c>
      <c r="D836" t="s">
        <v>38</v>
      </c>
      <c r="E836">
        <v>86</v>
      </c>
      <c r="F836">
        <v>98</v>
      </c>
      <c r="G836" s="1">
        <v>68000</v>
      </c>
      <c r="H836" s="1">
        <v>61948</v>
      </c>
      <c r="I836" s="1">
        <v>396467</v>
      </c>
      <c r="J836" s="1">
        <v>6400</v>
      </c>
    </row>
    <row r="837" spans="1:10" x14ac:dyDescent="0.3">
      <c r="A837" t="s">
        <v>61</v>
      </c>
      <c r="B837" t="s">
        <v>24</v>
      </c>
      <c r="C837" t="s">
        <v>11</v>
      </c>
      <c r="D837" t="s">
        <v>38</v>
      </c>
      <c r="E837">
        <v>86</v>
      </c>
      <c r="F837">
        <v>98</v>
      </c>
      <c r="G837" s="1">
        <v>70200</v>
      </c>
      <c r="H837" s="1">
        <v>49110</v>
      </c>
      <c r="I837" s="1">
        <v>137508</v>
      </c>
      <c r="J837" s="1">
        <v>2800</v>
      </c>
    </row>
    <row r="838" spans="1:10" x14ac:dyDescent="0.3">
      <c r="A838" t="s">
        <v>61</v>
      </c>
      <c r="B838" t="s">
        <v>25</v>
      </c>
      <c r="C838" t="s">
        <v>11</v>
      </c>
      <c r="D838" t="s">
        <v>38</v>
      </c>
      <c r="E838">
        <v>86</v>
      </c>
      <c r="F838">
        <v>98</v>
      </c>
      <c r="G838" s="1">
        <v>31980</v>
      </c>
      <c r="H838" s="1">
        <v>26170</v>
      </c>
      <c r="I838" s="1">
        <v>128233</v>
      </c>
      <c r="J838" s="1">
        <v>4900</v>
      </c>
    </row>
    <row r="839" spans="1:10" x14ac:dyDescent="0.3">
      <c r="A839" t="s">
        <v>61</v>
      </c>
      <c r="B839" t="s">
        <v>15</v>
      </c>
      <c r="C839" t="s">
        <v>11</v>
      </c>
      <c r="D839" t="s">
        <v>39</v>
      </c>
      <c r="E839">
        <v>86</v>
      </c>
      <c r="F839">
        <v>105</v>
      </c>
      <c r="G839" s="1">
        <v>1500</v>
      </c>
      <c r="H839" s="1">
        <v>1000</v>
      </c>
      <c r="I839" s="1">
        <v>5500</v>
      </c>
      <c r="J839" s="1">
        <v>5500</v>
      </c>
    </row>
    <row r="840" spans="1:10" x14ac:dyDescent="0.3">
      <c r="A840" t="s">
        <v>61</v>
      </c>
      <c r="B840" t="s">
        <v>16</v>
      </c>
      <c r="C840" t="s">
        <v>11</v>
      </c>
      <c r="D840" t="s">
        <v>39</v>
      </c>
      <c r="E840">
        <v>86</v>
      </c>
      <c r="F840">
        <v>105</v>
      </c>
      <c r="G840" s="1">
        <v>1000</v>
      </c>
      <c r="H840" s="1">
        <v>870</v>
      </c>
      <c r="I840" s="1">
        <v>5481</v>
      </c>
      <c r="J840" s="1">
        <v>6300</v>
      </c>
    </row>
    <row r="841" spans="1:10" x14ac:dyDescent="0.3">
      <c r="A841" t="s">
        <v>61</v>
      </c>
      <c r="B841" t="s">
        <v>17</v>
      </c>
      <c r="C841" t="s">
        <v>11</v>
      </c>
      <c r="D841" t="s">
        <v>39</v>
      </c>
      <c r="E841">
        <v>86</v>
      </c>
      <c r="F841">
        <v>105</v>
      </c>
      <c r="G841" s="1">
        <v>3000</v>
      </c>
      <c r="H841" s="1">
        <v>2600</v>
      </c>
      <c r="I841" s="1">
        <v>19500</v>
      </c>
      <c r="J841" s="1">
        <v>7500</v>
      </c>
    </row>
    <row r="842" spans="1:10" x14ac:dyDescent="0.3">
      <c r="A842" t="s">
        <v>61</v>
      </c>
      <c r="B842" t="s">
        <v>18</v>
      </c>
      <c r="C842" t="s">
        <v>11</v>
      </c>
      <c r="D842" t="s">
        <v>39</v>
      </c>
      <c r="E842">
        <v>86</v>
      </c>
      <c r="F842">
        <v>105</v>
      </c>
      <c r="G842" s="1">
        <v>3000</v>
      </c>
      <c r="H842" s="1">
        <v>2170</v>
      </c>
      <c r="I842" s="1">
        <v>14105</v>
      </c>
      <c r="J842" s="1">
        <v>6500</v>
      </c>
    </row>
    <row r="843" spans="1:10" x14ac:dyDescent="0.3">
      <c r="A843" t="s">
        <v>61</v>
      </c>
      <c r="B843" t="s">
        <v>19</v>
      </c>
      <c r="C843" t="s">
        <v>11</v>
      </c>
      <c r="D843" t="s">
        <v>39</v>
      </c>
      <c r="E843">
        <v>86</v>
      </c>
      <c r="F843">
        <v>105</v>
      </c>
      <c r="G843" s="1">
        <v>2500</v>
      </c>
      <c r="H843" s="1">
        <v>2500</v>
      </c>
      <c r="I843" s="1">
        <v>16250</v>
      </c>
      <c r="J843" s="1">
        <v>6500</v>
      </c>
    </row>
    <row r="844" spans="1:10" x14ac:dyDescent="0.3">
      <c r="A844" t="s">
        <v>61</v>
      </c>
      <c r="B844" t="s">
        <v>20</v>
      </c>
      <c r="C844" t="s">
        <v>11</v>
      </c>
      <c r="D844" t="s">
        <v>39</v>
      </c>
      <c r="E844">
        <v>86</v>
      </c>
      <c r="F844">
        <v>105</v>
      </c>
      <c r="G844" s="1">
        <v>3000</v>
      </c>
      <c r="H844" s="1">
        <v>2850</v>
      </c>
      <c r="I844" s="1">
        <v>20036</v>
      </c>
      <c r="J844" s="1">
        <v>7030</v>
      </c>
    </row>
    <row r="845" spans="1:10" x14ac:dyDescent="0.3">
      <c r="A845" t="s">
        <v>61</v>
      </c>
      <c r="B845" t="s">
        <v>21</v>
      </c>
      <c r="C845" t="s">
        <v>11</v>
      </c>
      <c r="D845" t="s">
        <v>39</v>
      </c>
      <c r="E845">
        <v>86</v>
      </c>
      <c r="F845">
        <v>105</v>
      </c>
      <c r="G845" s="1">
        <v>3000</v>
      </c>
      <c r="H845" s="1">
        <v>2700</v>
      </c>
      <c r="I845" s="1">
        <v>20250</v>
      </c>
      <c r="J845" s="1">
        <v>7500</v>
      </c>
    </row>
    <row r="846" spans="1:10" x14ac:dyDescent="0.3">
      <c r="A846" t="s">
        <v>61</v>
      </c>
      <c r="B846" t="s">
        <v>22</v>
      </c>
      <c r="C846" t="s">
        <v>11</v>
      </c>
      <c r="D846" t="s">
        <v>39</v>
      </c>
      <c r="E846">
        <v>86</v>
      </c>
      <c r="F846">
        <v>105</v>
      </c>
      <c r="G846" s="1">
        <v>3000</v>
      </c>
      <c r="H846" s="1">
        <v>2700</v>
      </c>
      <c r="I846" s="1">
        <v>20250</v>
      </c>
      <c r="J846" s="1">
        <v>7500</v>
      </c>
    </row>
    <row r="847" spans="1:10" x14ac:dyDescent="0.3">
      <c r="A847" t="s">
        <v>61</v>
      </c>
      <c r="B847" t="s">
        <v>23</v>
      </c>
      <c r="C847" t="s">
        <v>11</v>
      </c>
      <c r="D847" t="s">
        <v>39</v>
      </c>
      <c r="E847">
        <v>86</v>
      </c>
      <c r="F847">
        <v>105</v>
      </c>
      <c r="G847" s="1">
        <v>12000</v>
      </c>
      <c r="H847" s="1">
        <v>11200</v>
      </c>
      <c r="I847" s="1">
        <v>61600</v>
      </c>
      <c r="J847" s="1">
        <v>5500</v>
      </c>
    </row>
    <row r="848" spans="1:10" x14ac:dyDescent="0.3">
      <c r="A848" t="s">
        <v>61</v>
      </c>
      <c r="B848" t="s">
        <v>24</v>
      </c>
      <c r="C848" t="s">
        <v>11</v>
      </c>
      <c r="D848" t="s">
        <v>39</v>
      </c>
      <c r="E848">
        <v>86</v>
      </c>
      <c r="F848">
        <v>105</v>
      </c>
      <c r="G848" s="1">
        <v>11000</v>
      </c>
      <c r="H848" s="1">
        <v>6900</v>
      </c>
      <c r="I848" s="1">
        <v>31050</v>
      </c>
      <c r="J848" s="1">
        <v>4500</v>
      </c>
    </row>
    <row r="849" spans="1:10" x14ac:dyDescent="0.3">
      <c r="A849" t="s">
        <v>61</v>
      </c>
      <c r="B849" t="s">
        <v>25</v>
      </c>
      <c r="C849" t="s">
        <v>11</v>
      </c>
      <c r="D849" t="s">
        <v>39</v>
      </c>
      <c r="E849">
        <v>86</v>
      </c>
      <c r="F849">
        <v>105</v>
      </c>
      <c r="G849" s="1">
        <v>7200</v>
      </c>
      <c r="H849" s="1">
        <v>4860</v>
      </c>
      <c r="I849" s="1">
        <v>26730</v>
      </c>
      <c r="J849" s="1">
        <v>5500</v>
      </c>
    </row>
    <row r="850" spans="1:10" x14ac:dyDescent="0.3">
      <c r="A850" t="s">
        <v>61</v>
      </c>
      <c r="B850" t="s">
        <v>15</v>
      </c>
      <c r="C850" t="s">
        <v>11</v>
      </c>
      <c r="D850" t="s">
        <v>40</v>
      </c>
      <c r="E850">
        <v>86</v>
      </c>
      <c r="F850">
        <v>112</v>
      </c>
      <c r="G850" s="1">
        <v>10000</v>
      </c>
      <c r="H850" s="1">
        <v>8000</v>
      </c>
      <c r="I850" s="1">
        <v>60000</v>
      </c>
      <c r="J850" s="1">
        <v>7500</v>
      </c>
    </row>
    <row r="851" spans="1:10" x14ac:dyDescent="0.3">
      <c r="A851" t="s">
        <v>61</v>
      </c>
      <c r="B851" t="s">
        <v>16</v>
      </c>
      <c r="C851" t="s">
        <v>11</v>
      </c>
      <c r="D851" t="s">
        <v>40</v>
      </c>
      <c r="E851">
        <v>86</v>
      </c>
      <c r="F851">
        <v>112</v>
      </c>
      <c r="G851" s="1">
        <v>8000</v>
      </c>
      <c r="H851" s="1">
        <v>6960</v>
      </c>
      <c r="I851" s="1">
        <v>50808</v>
      </c>
      <c r="J851" s="1">
        <v>7300</v>
      </c>
    </row>
    <row r="852" spans="1:10" x14ac:dyDescent="0.3">
      <c r="A852" t="s">
        <v>61</v>
      </c>
      <c r="B852" t="s">
        <v>17</v>
      </c>
      <c r="C852" t="s">
        <v>11</v>
      </c>
      <c r="D852" t="s">
        <v>40</v>
      </c>
      <c r="E852">
        <v>86</v>
      </c>
      <c r="F852">
        <v>112</v>
      </c>
      <c r="G852" s="1">
        <v>10000</v>
      </c>
      <c r="H852" s="1">
        <v>9300</v>
      </c>
      <c r="I852" s="1">
        <v>79050</v>
      </c>
      <c r="J852" s="1">
        <v>8500</v>
      </c>
    </row>
    <row r="853" spans="1:10" x14ac:dyDescent="0.3">
      <c r="A853" t="s">
        <v>61</v>
      </c>
      <c r="B853" t="s">
        <v>18</v>
      </c>
      <c r="C853" t="s">
        <v>11</v>
      </c>
      <c r="D853" t="s">
        <v>40</v>
      </c>
      <c r="E853">
        <v>86</v>
      </c>
      <c r="F853">
        <v>112</v>
      </c>
      <c r="G853" s="1">
        <v>15000</v>
      </c>
      <c r="H853" s="1">
        <v>10800</v>
      </c>
      <c r="I853" s="1">
        <v>43200</v>
      </c>
      <c r="J853" s="1">
        <v>4000</v>
      </c>
    </row>
    <row r="854" spans="1:10" x14ac:dyDescent="0.3">
      <c r="A854" t="s">
        <v>61</v>
      </c>
      <c r="B854" t="s">
        <v>19</v>
      </c>
      <c r="C854" t="s">
        <v>11</v>
      </c>
      <c r="D854" t="s">
        <v>40</v>
      </c>
      <c r="E854">
        <v>86</v>
      </c>
      <c r="F854">
        <v>112</v>
      </c>
      <c r="G854" s="1">
        <v>10000</v>
      </c>
      <c r="H854" s="1">
        <v>10000</v>
      </c>
      <c r="I854" s="1">
        <v>70000</v>
      </c>
      <c r="J854" s="1">
        <v>7000</v>
      </c>
    </row>
    <row r="855" spans="1:10" x14ac:dyDescent="0.3">
      <c r="A855" t="s">
        <v>61</v>
      </c>
      <c r="B855" t="s">
        <v>20</v>
      </c>
      <c r="C855" t="s">
        <v>11</v>
      </c>
      <c r="D855" t="s">
        <v>40</v>
      </c>
      <c r="E855">
        <v>86</v>
      </c>
      <c r="F855">
        <v>112</v>
      </c>
      <c r="G855" s="1">
        <v>15000</v>
      </c>
      <c r="H855" s="1">
        <v>14250</v>
      </c>
      <c r="I855" s="1">
        <v>100178</v>
      </c>
      <c r="J855" s="1">
        <v>7030</v>
      </c>
    </row>
    <row r="856" spans="1:10" x14ac:dyDescent="0.3">
      <c r="A856" t="s">
        <v>61</v>
      </c>
      <c r="B856" t="s">
        <v>21</v>
      </c>
      <c r="C856" t="s">
        <v>11</v>
      </c>
      <c r="D856" t="s">
        <v>40</v>
      </c>
      <c r="E856">
        <v>86</v>
      </c>
      <c r="F856">
        <v>112</v>
      </c>
      <c r="G856" s="1">
        <v>15000</v>
      </c>
      <c r="H856" s="1">
        <v>13500</v>
      </c>
      <c r="I856" s="1">
        <v>101250</v>
      </c>
      <c r="J856" s="1">
        <v>7500</v>
      </c>
    </row>
    <row r="857" spans="1:10" x14ac:dyDescent="0.3">
      <c r="A857" t="s">
        <v>61</v>
      </c>
      <c r="B857" t="s">
        <v>22</v>
      </c>
      <c r="C857" t="s">
        <v>11</v>
      </c>
      <c r="D857" t="s">
        <v>40</v>
      </c>
      <c r="E857">
        <v>86</v>
      </c>
      <c r="F857">
        <v>112</v>
      </c>
      <c r="G857" s="1">
        <v>15000</v>
      </c>
      <c r="H857" s="1">
        <v>13500</v>
      </c>
      <c r="I857" s="1">
        <v>101250</v>
      </c>
      <c r="J857" s="1">
        <v>7500</v>
      </c>
    </row>
    <row r="858" spans="1:10" x14ac:dyDescent="0.3">
      <c r="A858" t="s">
        <v>61</v>
      </c>
      <c r="B858" t="s">
        <v>23</v>
      </c>
      <c r="C858" t="s">
        <v>11</v>
      </c>
      <c r="D858" t="s">
        <v>40</v>
      </c>
      <c r="E858">
        <v>86</v>
      </c>
      <c r="F858">
        <v>112</v>
      </c>
      <c r="G858" s="1">
        <v>15000</v>
      </c>
      <c r="H858" s="1">
        <v>12000</v>
      </c>
      <c r="I858" s="1">
        <v>66000</v>
      </c>
      <c r="J858" s="1">
        <v>5500</v>
      </c>
    </row>
    <row r="859" spans="1:10" x14ac:dyDescent="0.3">
      <c r="A859" t="s">
        <v>61</v>
      </c>
      <c r="B859" t="s">
        <v>24</v>
      </c>
      <c r="C859" t="s">
        <v>11</v>
      </c>
      <c r="D859" t="s">
        <v>40</v>
      </c>
      <c r="E859">
        <v>86</v>
      </c>
      <c r="F859">
        <v>112</v>
      </c>
      <c r="G859" s="1">
        <v>15000</v>
      </c>
      <c r="H859" s="1">
        <v>10500</v>
      </c>
      <c r="I859" s="1">
        <v>47250</v>
      </c>
      <c r="J859" s="1">
        <v>4500</v>
      </c>
    </row>
    <row r="860" spans="1:10" x14ac:dyDescent="0.3">
      <c r="A860" t="s">
        <v>61</v>
      </c>
      <c r="B860" t="s">
        <v>25</v>
      </c>
      <c r="C860" t="s">
        <v>11</v>
      </c>
      <c r="D860" t="s">
        <v>40</v>
      </c>
      <c r="E860">
        <v>86</v>
      </c>
      <c r="F860">
        <v>112</v>
      </c>
      <c r="G860" s="1">
        <v>9000</v>
      </c>
      <c r="H860" s="1">
        <v>6170</v>
      </c>
      <c r="I860" s="1">
        <v>35786</v>
      </c>
      <c r="J860" s="1">
        <v>5800</v>
      </c>
    </row>
    <row r="861" spans="1:10" x14ac:dyDescent="0.3">
      <c r="A861" t="s">
        <v>61</v>
      </c>
      <c r="B861" t="s">
        <v>15</v>
      </c>
      <c r="C861" t="s">
        <v>11</v>
      </c>
      <c r="D861" t="s">
        <v>41</v>
      </c>
      <c r="E861">
        <v>86</v>
      </c>
      <c r="F861">
        <v>119</v>
      </c>
      <c r="G861" s="1">
        <v>140000</v>
      </c>
      <c r="H861" s="1">
        <v>115000</v>
      </c>
      <c r="I861" s="1">
        <v>667000</v>
      </c>
      <c r="J861" s="1">
        <v>5800</v>
      </c>
    </row>
    <row r="862" spans="1:10" x14ac:dyDescent="0.3">
      <c r="A862" t="s">
        <v>61</v>
      </c>
      <c r="B862" t="s">
        <v>16</v>
      </c>
      <c r="C862" t="s">
        <v>11</v>
      </c>
      <c r="D862" t="s">
        <v>41</v>
      </c>
      <c r="E862">
        <v>86</v>
      </c>
      <c r="F862">
        <v>119</v>
      </c>
      <c r="G862" s="1">
        <v>200000</v>
      </c>
      <c r="H862" s="1">
        <v>178360</v>
      </c>
      <c r="I862" s="1">
        <v>1302028</v>
      </c>
      <c r="J862" s="1">
        <v>7300</v>
      </c>
    </row>
    <row r="863" spans="1:10" x14ac:dyDescent="0.3">
      <c r="A863" t="s">
        <v>61</v>
      </c>
      <c r="B863" t="s">
        <v>17</v>
      </c>
      <c r="C863" t="s">
        <v>11</v>
      </c>
      <c r="D863" t="s">
        <v>41</v>
      </c>
      <c r="E863">
        <v>86</v>
      </c>
      <c r="F863">
        <v>119</v>
      </c>
      <c r="G863" s="1">
        <v>220000</v>
      </c>
      <c r="H863" s="1">
        <v>205400</v>
      </c>
      <c r="I863" s="1">
        <v>1396720</v>
      </c>
      <c r="J863" s="1">
        <v>6800</v>
      </c>
    </row>
    <row r="864" spans="1:10" x14ac:dyDescent="0.3">
      <c r="A864" t="s">
        <v>61</v>
      </c>
      <c r="B864" t="s">
        <v>18</v>
      </c>
      <c r="C864" t="s">
        <v>11</v>
      </c>
      <c r="D864" t="s">
        <v>41</v>
      </c>
      <c r="E864">
        <v>86</v>
      </c>
      <c r="F864">
        <v>119</v>
      </c>
      <c r="G864" s="1">
        <v>220580</v>
      </c>
      <c r="H864" s="1">
        <v>189260</v>
      </c>
      <c r="I864" s="1">
        <v>1040930</v>
      </c>
      <c r="J864" s="1">
        <v>5500</v>
      </c>
    </row>
    <row r="865" spans="1:10" x14ac:dyDescent="0.3">
      <c r="A865" t="s">
        <v>61</v>
      </c>
      <c r="B865" t="s">
        <v>19</v>
      </c>
      <c r="C865" t="s">
        <v>11</v>
      </c>
      <c r="D865" t="s">
        <v>41</v>
      </c>
      <c r="E865">
        <v>86</v>
      </c>
      <c r="F865">
        <v>119</v>
      </c>
      <c r="G865" s="1">
        <v>240000</v>
      </c>
      <c r="H865" s="1">
        <v>220500</v>
      </c>
      <c r="I865" s="1">
        <v>1433250</v>
      </c>
      <c r="J865" s="1">
        <v>6500</v>
      </c>
    </row>
    <row r="866" spans="1:10" x14ac:dyDescent="0.3">
      <c r="A866" t="s">
        <v>61</v>
      </c>
      <c r="B866" t="s">
        <v>20</v>
      </c>
      <c r="C866" t="s">
        <v>11</v>
      </c>
      <c r="D866" t="s">
        <v>41</v>
      </c>
      <c r="E866">
        <v>86</v>
      </c>
      <c r="F866">
        <v>119</v>
      </c>
      <c r="G866" s="1">
        <v>246900</v>
      </c>
      <c r="H866" s="1">
        <v>234145</v>
      </c>
      <c r="I866" s="1">
        <v>1723307</v>
      </c>
      <c r="J866" s="1">
        <v>7360</v>
      </c>
    </row>
    <row r="867" spans="1:10" x14ac:dyDescent="0.3">
      <c r="A867" t="s">
        <v>61</v>
      </c>
      <c r="B867" t="s">
        <v>21</v>
      </c>
      <c r="C867" t="s">
        <v>11</v>
      </c>
      <c r="D867" t="s">
        <v>41</v>
      </c>
      <c r="E867">
        <v>86</v>
      </c>
      <c r="F867">
        <v>119</v>
      </c>
      <c r="G867" s="1">
        <v>221000</v>
      </c>
      <c r="H867" s="1">
        <v>209450</v>
      </c>
      <c r="I867" s="1">
        <v>1539458</v>
      </c>
      <c r="J867" s="1">
        <v>7350</v>
      </c>
    </row>
    <row r="868" spans="1:10" x14ac:dyDescent="0.3">
      <c r="A868" t="s">
        <v>61</v>
      </c>
      <c r="B868" t="s">
        <v>22</v>
      </c>
      <c r="C868" t="s">
        <v>11</v>
      </c>
      <c r="D868" t="s">
        <v>41</v>
      </c>
      <c r="E868">
        <v>86</v>
      </c>
      <c r="F868">
        <v>119</v>
      </c>
      <c r="G868" s="1">
        <v>240500</v>
      </c>
      <c r="H868" s="1">
        <v>230570</v>
      </c>
      <c r="I868" s="1">
        <v>1729275</v>
      </c>
      <c r="J868" s="1">
        <v>7500</v>
      </c>
    </row>
    <row r="869" spans="1:10" x14ac:dyDescent="0.3">
      <c r="A869" t="s">
        <v>61</v>
      </c>
      <c r="B869" t="s">
        <v>23</v>
      </c>
      <c r="C869" t="s">
        <v>11</v>
      </c>
      <c r="D869" t="s">
        <v>41</v>
      </c>
      <c r="E869">
        <v>86</v>
      </c>
      <c r="F869">
        <v>119</v>
      </c>
      <c r="G869" s="1">
        <v>240500</v>
      </c>
      <c r="H869" s="1">
        <v>219096</v>
      </c>
      <c r="I869" s="1">
        <v>1424121</v>
      </c>
      <c r="J869" s="1">
        <v>6500</v>
      </c>
    </row>
    <row r="870" spans="1:10" x14ac:dyDescent="0.3">
      <c r="A870" t="s">
        <v>61</v>
      </c>
      <c r="B870" t="s">
        <v>24</v>
      </c>
      <c r="C870" t="s">
        <v>11</v>
      </c>
      <c r="D870" t="s">
        <v>41</v>
      </c>
      <c r="E870">
        <v>86</v>
      </c>
      <c r="F870">
        <v>119</v>
      </c>
      <c r="G870" s="1">
        <v>244100</v>
      </c>
      <c r="H870" s="1">
        <v>168950</v>
      </c>
      <c r="I870" s="1">
        <v>422375</v>
      </c>
      <c r="J870" s="1">
        <v>2500</v>
      </c>
    </row>
    <row r="871" spans="1:10" x14ac:dyDescent="0.3">
      <c r="A871" t="s">
        <v>61</v>
      </c>
      <c r="B871" t="s">
        <v>25</v>
      </c>
      <c r="C871" t="s">
        <v>11</v>
      </c>
      <c r="D871" t="s">
        <v>41</v>
      </c>
      <c r="E871">
        <v>86</v>
      </c>
      <c r="F871">
        <v>119</v>
      </c>
      <c r="G871" s="1">
        <v>222500</v>
      </c>
      <c r="H871" s="1">
        <v>178880</v>
      </c>
      <c r="I871" s="1">
        <v>482976</v>
      </c>
      <c r="J871" s="1">
        <v>2700</v>
      </c>
    </row>
    <row r="872" spans="1:10" x14ac:dyDescent="0.3">
      <c r="A872" t="s">
        <v>61</v>
      </c>
      <c r="B872" t="s">
        <v>21</v>
      </c>
      <c r="C872" t="s">
        <v>11</v>
      </c>
      <c r="D872" t="s">
        <v>42</v>
      </c>
      <c r="E872">
        <v>86</v>
      </c>
      <c r="F872">
        <v>126</v>
      </c>
      <c r="G872" s="1">
        <v>1700</v>
      </c>
      <c r="H872" s="1">
        <v>1530</v>
      </c>
      <c r="I872" s="1">
        <v>10710</v>
      </c>
      <c r="J872" s="1">
        <v>7000</v>
      </c>
    </row>
    <row r="873" spans="1:10" x14ac:dyDescent="0.3">
      <c r="A873" t="s">
        <v>61</v>
      </c>
      <c r="B873" t="s">
        <v>22</v>
      </c>
      <c r="C873" t="s">
        <v>11</v>
      </c>
      <c r="D873" t="s">
        <v>42</v>
      </c>
      <c r="E873">
        <v>86</v>
      </c>
      <c r="F873">
        <v>126</v>
      </c>
      <c r="G873" s="1">
        <v>1500</v>
      </c>
      <c r="H873" s="1">
        <v>1500</v>
      </c>
      <c r="I873" s="1">
        <v>0</v>
      </c>
      <c r="J873" s="1">
        <v>0</v>
      </c>
    </row>
    <row r="874" spans="1:10" x14ac:dyDescent="0.3">
      <c r="A874" t="s">
        <v>61</v>
      </c>
      <c r="B874" t="s">
        <v>15</v>
      </c>
      <c r="C874" t="s">
        <v>11</v>
      </c>
      <c r="D874" t="s">
        <v>43</v>
      </c>
      <c r="E874">
        <v>86</v>
      </c>
      <c r="F874">
        <v>133</v>
      </c>
      <c r="G874" s="1">
        <v>31900</v>
      </c>
      <c r="H874" s="1">
        <v>28100</v>
      </c>
      <c r="I874" s="1">
        <v>196700</v>
      </c>
      <c r="J874" s="1">
        <v>7000</v>
      </c>
    </row>
    <row r="875" spans="1:10" x14ac:dyDescent="0.3">
      <c r="A875" t="s">
        <v>61</v>
      </c>
      <c r="B875" t="s">
        <v>16</v>
      </c>
      <c r="C875" t="s">
        <v>11</v>
      </c>
      <c r="D875" t="s">
        <v>43</v>
      </c>
      <c r="E875">
        <v>86</v>
      </c>
      <c r="F875">
        <v>133</v>
      </c>
      <c r="G875" s="1">
        <v>34700</v>
      </c>
      <c r="H875" s="1">
        <v>30800</v>
      </c>
      <c r="I875" s="1">
        <v>224840</v>
      </c>
      <c r="J875" s="1">
        <v>7300</v>
      </c>
    </row>
    <row r="876" spans="1:10" x14ac:dyDescent="0.3">
      <c r="A876" t="s">
        <v>61</v>
      </c>
      <c r="B876" t="s">
        <v>17</v>
      </c>
      <c r="C876" t="s">
        <v>11</v>
      </c>
      <c r="D876" t="s">
        <v>43</v>
      </c>
      <c r="E876">
        <v>86</v>
      </c>
      <c r="F876">
        <v>133</v>
      </c>
      <c r="G876" s="1">
        <v>50000</v>
      </c>
      <c r="H876" s="1">
        <v>46000</v>
      </c>
      <c r="I876" s="1">
        <v>391000</v>
      </c>
      <c r="J876" s="1">
        <v>8500</v>
      </c>
    </row>
    <row r="877" spans="1:10" x14ac:dyDescent="0.3">
      <c r="A877" t="s">
        <v>61</v>
      </c>
      <c r="B877" t="s">
        <v>18</v>
      </c>
      <c r="C877" t="s">
        <v>11</v>
      </c>
      <c r="D877" t="s">
        <v>43</v>
      </c>
      <c r="E877">
        <v>86</v>
      </c>
      <c r="F877">
        <v>133</v>
      </c>
      <c r="G877" s="1">
        <v>60000</v>
      </c>
      <c r="H877" s="1">
        <v>55000</v>
      </c>
      <c r="I877" s="1">
        <v>385000</v>
      </c>
      <c r="J877" s="1">
        <v>7000</v>
      </c>
    </row>
    <row r="878" spans="1:10" x14ac:dyDescent="0.3">
      <c r="A878" t="s">
        <v>61</v>
      </c>
      <c r="B878" t="s">
        <v>19</v>
      </c>
      <c r="C878" t="s">
        <v>11</v>
      </c>
      <c r="D878" t="s">
        <v>43</v>
      </c>
      <c r="E878">
        <v>86</v>
      </c>
      <c r="F878">
        <v>133</v>
      </c>
      <c r="G878" s="1">
        <v>50000</v>
      </c>
      <c r="H878" s="1">
        <v>47000</v>
      </c>
      <c r="I878" s="1">
        <v>338400</v>
      </c>
      <c r="J878" s="1">
        <v>7200</v>
      </c>
    </row>
    <row r="879" spans="1:10" x14ac:dyDescent="0.3">
      <c r="A879" t="s">
        <v>61</v>
      </c>
      <c r="B879" t="s">
        <v>20</v>
      </c>
      <c r="C879" t="s">
        <v>11</v>
      </c>
      <c r="D879" t="s">
        <v>43</v>
      </c>
      <c r="E879">
        <v>86</v>
      </c>
      <c r="F879">
        <v>133</v>
      </c>
      <c r="G879" s="1">
        <v>50000</v>
      </c>
      <c r="H879" s="1">
        <v>47500</v>
      </c>
      <c r="I879" s="1">
        <v>333925</v>
      </c>
      <c r="J879" s="1">
        <v>7030</v>
      </c>
    </row>
    <row r="880" spans="1:10" x14ac:dyDescent="0.3">
      <c r="A880" t="s">
        <v>61</v>
      </c>
      <c r="B880" t="s">
        <v>21</v>
      </c>
      <c r="C880" t="s">
        <v>11</v>
      </c>
      <c r="D880" t="s">
        <v>43</v>
      </c>
      <c r="E880">
        <v>86</v>
      </c>
      <c r="F880">
        <v>133</v>
      </c>
      <c r="G880" s="1">
        <v>50000</v>
      </c>
      <c r="H880" s="1">
        <v>45000</v>
      </c>
      <c r="I880" s="1">
        <v>337500</v>
      </c>
      <c r="J880" s="1">
        <v>7500</v>
      </c>
    </row>
    <row r="881" spans="1:10" x14ac:dyDescent="0.3">
      <c r="A881" t="s">
        <v>61</v>
      </c>
      <c r="B881" t="s">
        <v>22</v>
      </c>
      <c r="C881" t="s">
        <v>11</v>
      </c>
      <c r="D881" t="s">
        <v>43</v>
      </c>
      <c r="E881">
        <v>86</v>
      </c>
      <c r="F881">
        <v>133</v>
      </c>
      <c r="G881" s="1">
        <v>40000</v>
      </c>
      <c r="H881" s="1">
        <v>36000</v>
      </c>
      <c r="I881" s="1">
        <v>270000</v>
      </c>
      <c r="J881" s="1">
        <v>7500</v>
      </c>
    </row>
    <row r="882" spans="1:10" x14ac:dyDescent="0.3">
      <c r="A882" t="s">
        <v>61</v>
      </c>
      <c r="B882" t="s">
        <v>23</v>
      </c>
      <c r="C882" t="s">
        <v>11</v>
      </c>
      <c r="D882" t="s">
        <v>43</v>
      </c>
      <c r="E882">
        <v>86</v>
      </c>
      <c r="F882">
        <v>133</v>
      </c>
      <c r="G882" s="1">
        <v>57000</v>
      </c>
      <c r="H882" s="1">
        <v>49000</v>
      </c>
      <c r="I882" s="1">
        <v>269500</v>
      </c>
      <c r="J882" s="1">
        <v>5500</v>
      </c>
    </row>
    <row r="883" spans="1:10" x14ac:dyDescent="0.3">
      <c r="A883" t="s">
        <v>61</v>
      </c>
      <c r="B883" t="s">
        <v>24</v>
      </c>
      <c r="C883" t="s">
        <v>11</v>
      </c>
      <c r="D883" t="s">
        <v>43</v>
      </c>
      <c r="E883">
        <v>86</v>
      </c>
      <c r="F883">
        <v>133</v>
      </c>
      <c r="G883" s="1">
        <v>52000</v>
      </c>
      <c r="H883" s="1">
        <v>25900</v>
      </c>
      <c r="I883" s="1">
        <v>116550</v>
      </c>
      <c r="J883" s="1">
        <v>4500</v>
      </c>
    </row>
    <row r="884" spans="1:10" x14ac:dyDescent="0.3">
      <c r="A884" t="s">
        <v>61</v>
      </c>
      <c r="B884" t="s">
        <v>25</v>
      </c>
      <c r="C884" t="s">
        <v>11</v>
      </c>
      <c r="D884" t="s">
        <v>43</v>
      </c>
      <c r="E884">
        <v>86</v>
      </c>
      <c r="F884">
        <v>133</v>
      </c>
      <c r="G884" s="1">
        <v>34200</v>
      </c>
      <c r="H884" s="1">
        <v>23790</v>
      </c>
      <c r="I884" s="1">
        <v>142740</v>
      </c>
      <c r="J884" s="1">
        <v>6000</v>
      </c>
    </row>
    <row r="885" spans="1:10" x14ac:dyDescent="0.3">
      <c r="A885" t="s">
        <v>61</v>
      </c>
      <c r="B885" t="s">
        <v>21</v>
      </c>
      <c r="C885" t="s">
        <v>11</v>
      </c>
      <c r="D885" t="s">
        <v>58</v>
      </c>
      <c r="E885">
        <v>86</v>
      </c>
      <c r="F885">
        <v>140</v>
      </c>
      <c r="G885" s="1">
        <v>2200</v>
      </c>
      <c r="H885" s="1">
        <v>1980</v>
      </c>
      <c r="I885" s="1">
        <v>13860</v>
      </c>
      <c r="J885" s="1">
        <v>7000</v>
      </c>
    </row>
    <row r="886" spans="1:10" x14ac:dyDescent="0.3">
      <c r="A886" t="s">
        <v>61</v>
      </c>
      <c r="B886" t="s">
        <v>22</v>
      </c>
      <c r="C886" t="s">
        <v>11</v>
      </c>
      <c r="D886" t="s">
        <v>58</v>
      </c>
      <c r="E886">
        <v>86</v>
      </c>
      <c r="F886">
        <v>140</v>
      </c>
      <c r="G886" s="1">
        <v>2000</v>
      </c>
      <c r="H886" s="1">
        <v>2000</v>
      </c>
      <c r="I886" s="1">
        <v>0</v>
      </c>
      <c r="J886" s="1">
        <v>0</v>
      </c>
    </row>
    <row r="887" spans="1:10" x14ac:dyDescent="0.3">
      <c r="A887" t="s">
        <v>61</v>
      </c>
      <c r="B887" t="s">
        <v>23</v>
      </c>
      <c r="C887" t="s">
        <v>11</v>
      </c>
      <c r="D887" t="s">
        <v>58</v>
      </c>
      <c r="E887">
        <v>86</v>
      </c>
      <c r="F887">
        <v>140</v>
      </c>
      <c r="G887" s="1">
        <v>10000</v>
      </c>
      <c r="H887" s="1">
        <v>10000</v>
      </c>
      <c r="I887" s="1">
        <v>50000</v>
      </c>
      <c r="J887" s="1">
        <v>5000</v>
      </c>
    </row>
    <row r="888" spans="1:10" x14ac:dyDescent="0.3">
      <c r="A888" t="s">
        <v>61</v>
      </c>
      <c r="B888" t="s">
        <v>24</v>
      </c>
      <c r="C888" t="s">
        <v>11</v>
      </c>
      <c r="D888" t="s">
        <v>58</v>
      </c>
      <c r="E888">
        <v>86</v>
      </c>
      <c r="F888">
        <v>140</v>
      </c>
      <c r="G888" s="1">
        <v>9000</v>
      </c>
      <c r="H888" s="1">
        <v>4000</v>
      </c>
      <c r="I888" s="1">
        <v>18000</v>
      </c>
      <c r="J888" s="1">
        <v>4500</v>
      </c>
    </row>
    <row r="889" spans="1:10" x14ac:dyDescent="0.3">
      <c r="A889" t="s">
        <v>61</v>
      </c>
      <c r="B889" t="s">
        <v>25</v>
      </c>
      <c r="C889" t="s">
        <v>11</v>
      </c>
      <c r="D889" t="s">
        <v>58</v>
      </c>
      <c r="E889">
        <v>86</v>
      </c>
      <c r="F889">
        <v>140</v>
      </c>
      <c r="G889" s="1">
        <v>6000</v>
      </c>
      <c r="H889" s="1">
        <v>4030</v>
      </c>
      <c r="I889" s="1">
        <v>24180</v>
      </c>
      <c r="J889" s="1">
        <v>6000</v>
      </c>
    </row>
    <row r="890" spans="1:10" x14ac:dyDescent="0.3">
      <c r="A890" t="s">
        <v>61</v>
      </c>
      <c r="B890" t="s">
        <v>15</v>
      </c>
      <c r="C890" t="s">
        <v>11</v>
      </c>
      <c r="D890" t="s">
        <v>44</v>
      </c>
      <c r="E890">
        <v>86</v>
      </c>
      <c r="F890">
        <v>147</v>
      </c>
      <c r="G890" s="1">
        <v>5000</v>
      </c>
      <c r="H890" s="1">
        <v>3500</v>
      </c>
      <c r="I890" s="1">
        <v>22750</v>
      </c>
      <c r="J890" s="1">
        <v>6500</v>
      </c>
    </row>
    <row r="891" spans="1:10" x14ac:dyDescent="0.3">
      <c r="A891" t="s">
        <v>61</v>
      </c>
      <c r="B891" t="s">
        <v>16</v>
      </c>
      <c r="C891" t="s">
        <v>11</v>
      </c>
      <c r="D891" t="s">
        <v>44</v>
      </c>
      <c r="E891">
        <v>86</v>
      </c>
      <c r="F891">
        <v>147</v>
      </c>
      <c r="G891" s="1">
        <v>6700</v>
      </c>
      <c r="H891" s="1">
        <v>5855</v>
      </c>
      <c r="I891" s="1">
        <v>42742</v>
      </c>
      <c r="J891" s="1">
        <v>7300</v>
      </c>
    </row>
    <row r="892" spans="1:10" x14ac:dyDescent="0.3">
      <c r="A892" t="s">
        <v>61</v>
      </c>
      <c r="B892" t="s">
        <v>17</v>
      </c>
      <c r="C892" t="s">
        <v>11</v>
      </c>
      <c r="D892" t="s">
        <v>44</v>
      </c>
      <c r="E892">
        <v>86</v>
      </c>
      <c r="F892">
        <v>147</v>
      </c>
      <c r="G892" s="1">
        <v>10000</v>
      </c>
      <c r="H892" s="1">
        <v>8800</v>
      </c>
      <c r="I892" s="1">
        <v>70400</v>
      </c>
      <c r="J892" s="1">
        <v>8000</v>
      </c>
    </row>
    <row r="893" spans="1:10" x14ac:dyDescent="0.3">
      <c r="A893" t="s">
        <v>61</v>
      </c>
      <c r="B893" t="s">
        <v>18</v>
      </c>
      <c r="C893" t="s">
        <v>11</v>
      </c>
      <c r="D893" t="s">
        <v>44</v>
      </c>
      <c r="E893">
        <v>86</v>
      </c>
      <c r="F893">
        <v>147</v>
      </c>
      <c r="G893" s="1">
        <v>10000</v>
      </c>
      <c r="H893" s="1">
        <v>7160</v>
      </c>
      <c r="I893" s="1">
        <v>50120</v>
      </c>
      <c r="J893" s="1">
        <v>7000</v>
      </c>
    </row>
    <row r="894" spans="1:10" x14ac:dyDescent="0.3">
      <c r="A894" t="s">
        <v>61</v>
      </c>
      <c r="B894" t="s">
        <v>19</v>
      </c>
      <c r="C894" t="s">
        <v>11</v>
      </c>
      <c r="D894" t="s">
        <v>44</v>
      </c>
      <c r="E894">
        <v>86</v>
      </c>
      <c r="F894">
        <v>147</v>
      </c>
      <c r="G894" s="1">
        <v>8000</v>
      </c>
      <c r="H894" s="1">
        <v>7000</v>
      </c>
      <c r="I894" s="1">
        <v>48300</v>
      </c>
      <c r="J894" s="1">
        <v>6900</v>
      </c>
    </row>
    <row r="895" spans="1:10" x14ac:dyDescent="0.3">
      <c r="A895" t="s">
        <v>61</v>
      </c>
      <c r="B895" t="s">
        <v>20</v>
      </c>
      <c r="C895" t="s">
        <v>11</v>
      </c>
      <c r="D895" t="s">
        <v>44</v>
      </c>
      <c r="E895">
        <v>86</v>
      </c>
      <c r="F895">
        <v>147</v>
      </c>
      <c r="G895" s="1">
        <v>9000</v>
      </c>
      <c r="H895" s="1">
        <v>8550</v>
      </c>
      <c r="I895" s="1">
        <v>64125</v>
      </c>
      <c r="J895" s="1">
        <v>7500</v>
      </c>
    </row>
    <row r="896" spans="1:10" x14ac:dyDescent="0.3">
      <c r="A896" t="s">
        <v>61</v>
      </c>
      <c r="B896" t="s">
        <v>21</v>
      </c>
      <c r="C896" t="s">
        <v>11</v>
      </c>
      <c r="D896" t="s">
        <v>44</v>
      </c>
      <c r="E896">
        <v>86</v>
      </c>
      <c r="F896">
        <v>147</v>
      </c>
      <c r="G896" s="1">
        <v>9000</v>
      </c>
      <c r="H896" s="1">
        <v>8100</v>
      </c>
      <c r="I896" s="1">
        <v>60750</v>
      </c>
      <c r="J896" s="1">
        <v>7500</v>
      </c>
    </row>
    <row r="897" spans="1:10" x14ac:dyDescent="0.3">
      <c r="A897" t="s">
        <v>61</v>
      </c>
      <c r="B897" t="s">
        <v>22</v>
      </c>
      <c r="C897" t="s">
        <v>11</v>
      </c>
      <c r="D897" t="s">
        <v>44</v>
      </c>
      <c r="E897">
        <v>86</v>
      </c>
      <c r="F897">
        <v>147</v>
      </c>
      <c r="G897" s="1">
        <v>8000</v>
      </c>
      <c r="H897" s="1">
        <v>7200</v>
      </c>
      <c r="I897" s="1">
        <v>57600</v>
      </c>
      <c r="J897" s="1">
        <v>8000</v>
      </c>
    </row>
    <row r="898" spans="1:10" x14ac:dyDescent="0.3">
      <c r="A898" t="s">
        <v>61</v>
      </c>
      <c r="B898" t="s">
        <v>23</v>
      </c>
      <c r="C898" t="s">
        <v>11</v>
      </c>
      <c r="D898" t="s">
        <v>44</v>
      </c>
      <c r="E898">
        <v>86</v>
      </c>
      <c r="F898">
        <v>147</v>
      </c>
      <c r="G898" s="1">
        <v>10000</v>
      </c>
      <c r="H898" s="1">
        <v>8000</v>
      </c>
      <c r="I898" s="1">
        <v>44000</v>
      </c>
      <c r="J898" s="1">
        <v>5500</v>
      </c>
    </row>
    <row r="899" spans="1:10" x14ac:dyDescent="0.3">
      <c r="A899" t="s">
        <v>61</v>
      </c>
      <c r="B899" t="s">
        <v>24</v>
      </c>
      <c r="C899" t="s">
        <v>11</v>
      </c>
      <c r="D899" t="s">
        <v>44</v>
      </c>
      <c r="E899">
        <v>86</v>
      </c>
      <c r="F899">
        <v>147</v>
      </c>
      <c r="G899" s="1">
        <v>9000</v>
      </c>
      <c r="H899" s="1">
        <v>4500</v>
      </c>
      <c r="I899" s="1">
        <v>20250</v>
      </c>
      <c r="J899" s="1">
        <v>4500</v>
      </c>
    </row>
    <row r="900" spans="1:10" x14ac:dyDescent="0.3">
      <c r="A900" t="s">
        <v>61</v>
      </c>
      <c r="B900" t="s">
        <v>25</v>
      </c>
      <c r="C900" t="s">
        <v>11</v>
      </c>
      <c r="D900" t="s">
        <v>44</v>
      </c>
      <c r="E900">
        <v>86</v>
      </c>
      <c r="F900">
        <v>147</v>
      </c>
      <c r="G900" s="1">
        <v>6000</v>
      </c>
      <c r="H900" s="1">
        <v>4070</v>
      </c>
      <c r="I900" s="1">
        <v>24420</v>
      </c>
      <c r="J900" s="1">
        <v>6000</v>
      </c>
    </row>
    <row r="901" spans="1:10" x14ac:dyDescent="0.3">
      <c r="A901" t="s">
        <v>61</v>
      </c>
      <c r="B901" t="s">
        <v>15</v>
      </c>
      <c r="C901" t="s">
        <v>11</v>
      </c>
      <c r="D901" t="s">
        <v>51</v>
      </c>
      <c r="E901">
        <v>86</v>
      </c>
      <c r="F901">
        <v>154</v>
      </c>
      <c r="G901" s="1">
        <v>20000</v>
      </c>
      <c r="H901" s="1">
        <v>16000</v>
      </c>
      <c r="I901" s="1">
        <v>112000</v>
      </c>
      <c r="J901" s="1">
        <v>7000</v>
      </c>
    </row>
    <row r="902" spans="1:10" x14ac:dyDescent="0.3">
      <c r="A902" t="s">
        <v>61</v>
      </c>
      <c r="B902" t="s">
        <v>16</v>
      </c>
      <c r="C902" t="s">
        <v>11</v>
      </c>
      <c r="D902" t="s">
        <v>51</v>
      </c>
      <c r="E902">
        <v>86</v>
      </c>
      <c r="F902">
        <v>154</v>
      </c>
      <c r="G902" s="1">
        <v>21200</v>
      </c>
      <c r="H902" s="1">
        <v>15650</v>
      </c>
      <c r="I902" s="1">
        <v>109550</v>
      </c>
      <c r="J902" s="1">
        <v>7000</v>
      </c>
    </row>
    <row r="903" spans="1:10" x14ac:dyDescent="0.3">
      <c r="A903" t="s">
        <v>61</v>
      </c>
      <c r="B903" t="s">
        <v>17</v>
      </c>
      <c r="C903" t="s">
        <v>11</v>
      </c>
      <c r="D903" t="s">
        <v>51</v>
      </c>
      <c r="E903">
        <v>86</v>
      </c>
      <c r="F903">
        <v>154</v>
      </c>
      <c r="G903" s="1">
        <v>21200</v>
      </c>
      <c r="H903" s="1">
        <v>17600</v>
      </c>
      <c r="I903" s="1">
        <v>123200</v>
      </c>
      <c r="J903" s="1">
        <v>7000</v>
      </c>
    </row>
    <row r="904" spans="1:10" x14ac:dyDescent="0.3">
      <c r="A904" t="s">
        <v>61</v>
      </c>
      <c r="B904" t="s">
        <v>18</v>
      </c>
      <c r="C904" t="s">
        <v>11</v>
      </c>
      <c r="D904" t="s">
        <v>51</v>
      </c>
      <c r="E904">
        <v>86</v>
      </c>
      <c r="F904">
        <v>154</v>
      </c>
      <c r="G904" s="1">
        <v>13700</v>
      </c>
      <c r="H904" s="1">
        <v>4780</v>
      </c>
      <c r="I904" s="1">
        <v>28680</v>
      </c>
      <c r="J904" s="1">
        <v>6000</v>
      </c>
    </row>
    <row r="905" spans="1:10" x14ac:dyDescent="0.3">
      <c r="A905" t="s">
        <v>61</v>
      </c>
      <c r="B905" t="s">
        <v>19</v>
      </c>
      <c r="C905" t="s">
        <v>11</v>
      </c>
      <c r="D905" t="s">
        <v>51</v>
      </c>
      <c r="E905">
        <v>86</v>
      </c>
      <c r="F905">
        <v>154</v>
      </c>
      <c r="G905" s="1">
        <v>23000</v>
      </c>
      <c r="H905" s="1">
        <v>19780</v>
      </c>
      <c r="I905" s="1">
        <v>130548</v>
      </c>
      <c r="J905" s="1">
        <v>6600</v>
      </c>
    </row>
    <row r="906" spans="1:10" x14ac:dyDescent="0.3">
      <c r="A906" t="s">
        <v>61</v>
      </c>
      <c r="B906" t="s">
        <v>20</v>
      </c>
      <c r="C906" t="s">
        <v>11</v>
      </c>
      <c r="D906" t="s">
        <v>51</v>
      </c>
      <c r="E906">
        <v>86</v>
      </c>
      <c r="F906">
        <v>154</v>
      </c>
      <c r="G906" s="1">
        <v>31000</v>
      </c>
      <c r="H906" s="1">
        <v>27610</v>
      </c>
      <c r="I906" s="1">
        <v>203210</v>
      </c>
      <c r="J906" s="1">
        <v>7360</v>
      </c>
    </row>
    <row r="907" spans="1:10" x14ac:dyDescent="0.3">
      <c r="A907" t="s">
        <v>61</v>
      </c>
      <c r="B907" t="s">
        <v>21</v>
      </c>
      <c r="C907" t="s">
        <v>11</v>
      </c>
      <c r="D907" t="s">
        <v>51</v>
      </c>
      <c r="E907">
        <v>86</v>
      </c>
      <c r="F907">
        <v>154</v>
      </c>
      <c r="G907" s="1">
        <v>30500</v>
      </c>
      <c r="H907" s="1">
        <v>27431</v>
      </c>
      <c r="I907" s="1">
        <v>200246</v>
      </c>
      <c r="J907" s="1">
        <v>7300</v>
      </c>
    </row>
    <row r="908" spans="1:10" x14ac:dyDescent="0.3">
      <c r="A908" t="s">
        <v>61</v>
      </c>
      <c r="B908" t="s">
        <v>22</v>
      </c>
      <c r="C908" t="s">
        <v>11</v>
      </c>
      <c r="D908" t="s">
        <v>51</v>
      </c>
      <c r="E908">
        <v>86</v>
      </c>
      <c r="F908">
        <v>154</v>
      </c>
      <c r="G908" s="1">
        <v>31000</v>
      </c>
      <c r="H908" s="1">
        <v>28910</v>
      </c>
      <c r="I908" s="1">
        <v>211043</v>
      </c>
      <c r="J908" s="1">
        <v>7300</v>
      </c>
    </row>
    <row r="909" spans="1:10" x14ac:dyDescent="0.3">
      <c r="A909" t="s">
        <v>61</v>
      </c>
      <c r="B909" t="s">
        <v>23</v>
      </c>
      <c r="C909" t="s">
        <v>11</v>
      </c>
      <c r="D909" t="s">
        <v>51</v>
      </c>
      <c r="E909">
        <v>86</v>
      </c>
      <c r="F909">
        <v>154</v>
      </c>
      <c r="G909" s="1">
        <v>31000</v>
      </c>
      <c r="H909" s="1">
        <v>28241</v>
      </c>
      <c r="I909" s="1">
        <v>169446</v>
      </c>
      <c r="J909" s="1">
        <v>6000</v>
      </c>
    </row>
    <row r="910" spans="1:10" x14ac:dyDescent="0.3">
      <c r="A910" t="s">
        <v>61</v>
      </c>
      <c r="B910" t="s">
        <v>24</v>
      </c>
      <c r="C910" t="s">
        <v>11</v>
      </c>
      <c r="D910" t="s">
        <v>51</v>
      </c>
      <c r="E910">
        <v>86</v>
      </c>
      <c r="F910">
        <v>154</v>
      </c>
      <c r="G910" s="1">
        <v>31700</v>
      </c>
      <c r="H910" s="1">
        <v>21640</v>
      </c>
      <c r="I910" s="1">
        <v>67084</v>
      </c>
      <c r="J910" s="1">
        <v>3100</v>
      </c>
    </row>
    <row r="911" spans="1:10" x14ac:dyDescent="0.3">
      <c r="A911" t="s">
        <v>61</v>
      </c>
      <c r="B911" t="s">
        <v>25</v>
      </c>
      <c r="C911" t="s">
        <v>11</v>
      </c>
      <c r="D911" t="s">
        <v>51</v>
      </c>
      <c r="E911">
        <v>86</v>
      </c>
      <c r="F911">
        <v>154</v>
      </c>
      <c r="G911" s="1">
        <v>18140</v>
      </c>
      <c r="H911" s="1">
        <v>13460</v>
      </c>
      <c r="I911" s="1">
        <v>56532</v>
      </c>
      <c r="J911" s="1">
        <v>4200</v>
      </c>
    </row>
    <row r="912" spans="1:10" x14ac:dyDescent="0.3">
      <c r="A912" t="s">
        <v>61</v>
      </c>
      <c r="B912" t="s">
        <v>15</v>
      </c>
      <c r="C912" t="s">
        <v>11</v>
      </c>
      <c r="D912" t="s">
        <v>45</v>
      </c>
      <c r="E912">
        <v>86</v>
      </c>
      <c r="F912">
        <v>161</v>
      </c>
      <c r="G912" s="1">
        <v>2500</v>
      </c>
      <c r="H912" s="1">
        <v>1500</v>
      </c>
      <c r="I912" s="1">
        <v>11250</v>
      </c>
      <c r="J912" s="1">
        <v>7500</v>
      </c>
    </row>
    <row r="913" spans="1:10" x14ac:dyDescent="0.3">
      <c r="A913" t="s">
        <v>61</v>
      </c>
      <c r="B913" t="s">
        <v>16</v>
      </c>
      <c r="C913" t="s">
        <v>11</v>
      </c>
      <c r="D913" t="s">
        <v>45</v>
      </c>
      <c r="E913">
        <v>86</v>
      </c>
      <c r="F913">
        <v>161</v>
      </c>
      <c r="G913" s="1">
        <v>2000</v>
      </c>
      <c r="H913" s="1">
        <v>1260</v>
      </c>
      <c r="I913" s="1">
        <v>9198</v>
      </c>
      <c r="J913" s="1">
        <v>7300</v>
      </c>
    </row>
    <row r="914" spans="1:10" x14ac:dyDescent="0.3">
      <c r="A914" t="s">
        <v>61</v>
      </c>
      <c r="B914" t="s">
        <v>17</v>
      </c>
      <c r="C914" t="s">
        <v>11</v>
      </c>
      <c r="D914" t="s">
        <v>45</v>
      </c>
      <c r="E914">
        <v>86</v>
      </c>
      <c r="F914">
        <v>161</v>
      </c>
      <c r="G914" s="1">
        <v>3500</v>
      </c>
      <c r="H914" s="1">
        <v>3050</v>
      </c>
      <c r="I914" s="1">
        <v>24400</v>
      </c>
      <c r="J914" s="1">
        <v>8000</v>
      </c>
    </row>
    <row r="915" spans="1:10" x14ac:dyDescent="0.3">
      <c r="A915" t="s">
        <v>61</v>
      </c>
      <c r="B915" t="s">
        <v>18</v>
      </c>
      <c r="C915" t="s">
        <v>11</v>
      </c>
      <c r="D915" t="s">
        <v>45</v>
      </c>
      <c r="E915">
        <v>86</v>
      </c>
      <c r="F915">
        <v>161</v>
      </c>
      <c r="G915" s="1">
        <v>4000</v>
      </c>
      <c r="H915" s="1">
        <v>2890</v>
      </c>
      <c r="I915" s="1">
        <v>21675</v>
      </c>
      <c r="J915" s="1">
        <v>7500</v>
      </c>
    </row>
    <row r="916" spans="1:10" x14ac:dyDescent="0.3">
      <c r="A916" t="s">
        <v>61</v>
      </c>
      <c r="B916" t="s">
        <v>19</v>
      </c>
      <c r="C916" t="s">
        <v>11</v>
      </c>
      <c r="D916" t="s">
        <v>45</v>
      </c>
      <c r="E916">
        <v>86</v>
      </c>
      <c r="F916">
        <v>161</v>
      </c>
      <c r="G916" s="1">
        <v>3500</v>
      </c>
      <c r="H916" s="1">
        <v>3500</v>
      </c>
      <c r="I916" s="1">
        <v>24150</v>
      </c>
      <c r="J916" s="1">
        <v>6900</v>
      </c>
    </row>
    <row r="917" spans="1:10" x14ac:dyDescent="0.3">
      <c r="A917" t="s">
        <v>61</v>
      </c>
      <c r="B917" t="s">
        <v>20</v>
      </c>
      <c r="C917" t="s">
        <v>11</v>
      </c>
      <c r="D917" t="s">
        <v>45</v>
      </c>
      <c r="E917">
        <v>86</v>
      </c>
      <c r="F917">
        <v>161</v>
      </c>
      <c r="G917" s="1">
        <v>4000</v>
      </c>
      <c r="H917" s="1">
        <v>3800</v>
      </c>
      <c r="I917" s="1">
        <v>24928</v>
      </c>
      <c r="J917" s="1">
        <v>6560</v>
      </c>
    </row>
    <row r="918" spans="1:10" x14ac:dyDescent="0.3">
      <c r="A918" t="s">
        <v>61</v>
      </c>
      <c r="B918" t="s">
        <v>21</v>
      </c>
      <c r="C918" t="s">
        <v>11</v>
      </c>
      <c r="D918" t="s">
        <v>45</v>
      </c>
      <c r="E918">
        <v>86</v>
      </c>
      <c r="F918">
        <v>161</v>
      </c>
      <c r="G918" s="1">
        <v>4000</v>
      </c>
      <c r="H918" s="1">
        <v>3600</v>
      </c>
      <c r="I918" s="1">
        <v>27000</v>
      </c>
      <c r="J918" s="1">
        <v>7500</v>
      </c>
    </row>
    <row r="919" spans="1:10" x14ac:dyDescent="0.3">
      <c r="A919" t="s">
        <v>61</v>
      </c>
      <c r="B919" t="s">
        <v>22</v>
      </c>
      <c r="C919" t="s">
        <v>11</v>
      </c>
      <c r="D919" t="s">
        <v>45</v>
      </c>
      <c r="E919">
        <v>86</v>
      </c>
      <c r="F919">
        <v>161</v>
      </c>
      <c r="G919" s="1">
        <v>4000</v>
      </c>
      <c r="H919" s="1">
        <v>3600</v>
      </c>
      <c r="I919" s="1">
        <v>28800</v>
      </c>
      <c r="J919" s="1">
        <v>8000</v>
      </c>
    </row>
    <row r="920" spans="1:10" x14ac:dyDescent="0.3">
      <c r="A920" t="s">
        <v>61</v>
      </c>
      <c r="B920" t="s">
        <v>23</v>
      </c>
      <c r="C920" t="s">
        <v>11</v>
      </c>
      <c r="D920" t="s">
        <v>45</v>
      </c>
      <c r="E920">
        <v>86</v>
      </c>
      <c r="F920">
        <v>161</v>
      </c>
      <c r="G920" s="1">
        <v>4000</v>
      </c>
      <c r="H920" s="1">
        <v>3200</v>
      </c>
      <c r="I920" s="1">
        <v>17600</v>
      </c>
      <c r="J920" s="1">
        <v>5500</v>
      </c>
    </row>
    <row r="921" spans="1:10" x14ac:dyDescent="0.3">
      <c r="A921" t="s">
        <v>61</v>
      </c>
      <c r="B921" t="s">
        <v>24</v>
      </c>
      <c r="C921" t="s">
        <v>11</v>
      </c>
      <c r="D921" t="s">
        <v>45</v>
      </c>
      <c r="E921">
        <v>86</v>
      </c>
      <c r="F921">
        <v>161</v>
      </c>
      <c r="G921" s="1">
        <v>4000</v>
      </c>
      <c r="H921" s="1">
        <v>2000</v>
      </c>
      <c r="I921" s="1">
        <v>9000</v>
      </c>
      <c r="J921" s="1">
        <v>4500</v>
      </c>
    </row>
    <row r="922" spans="1:10" x14ac:dyDescent="0.3">
      <c r="A922" t="s">
        <v>61</v>
      </c>
      <c r="B922" t="s">
        <v>25</v>
      </c>
      <c r="C922" t="s">
        <v>11</v>
      </c>
      <c r="D922" t="s">
        <v>45</v>
      </c>
      <c r="E922">
        <v>86</v>
      </c>
      <c r="F922">
        <v>161</v>
      </c>
      <c r="G922" s="1">
        <v>2400</v>
      </c>
      <c r="H922" s="1">
        <v>1560</v>
      </c>
      <c r="I922" s="1">
        <v>9048</v>
      </c>
      <c r="J922" s="1">
        <v>5800</v>
      </c>
    </row>
    <row r="923" spans="1:10" x14ac:dyDescent="0.3">
      <c r="A923" t="s">
        <v>61</v>
      </c>
      <c r="B923" t="s">
        <v>15</v>
      </c>
      <c r="C923" t="s">
        <v>11</v>
      </c>
      <c r="D923" t="s">
        <v>46</v>
      </c>
      <c r="E923">
        <v>86</v>
      </c>
      <c r="F923">
        <v>175</v>
      </c>
      <c r="G923" s="1">
        <v>1000</v>
      </c>
      <c r="H923" s="1">
        <v>0</v>
      </c>
      <c r="I923" s="1">
        <v>0</v>
      </c>
      <c r="J923" s="1">
        <v>0</v>
      </c>
    </row>
    <row r="924" spans="1:10" x14ac:dyDescent="0.3">
      <c r="A924" t="s">
        <v>61</v>
      </c>
      <c r="B924" t="s">
        <v>16</v>
      </c>
      <c r="C924" t="s">
        <v>11</v>
      </c>
      <c r="D924" t="s">
        <v>46</v>
      </c>
      <c r="E924">
        <v>86</v>
      </c>
      <c r="F924">
        <v>175</v>
      </c>
      <c r="G924" s="1">
        <v>1000</v>
      </c>
      <c r="H924" s="1">
        <v>870</v>
      </c>
      <c r="I924" s="1">
        <v>4611</v>
      </c>
      <c r="J924" s="1">
        <v>5300</v>
      </c>
    </row>
    <row r="925" spans="1:10" x14ac:dyDescent="0.3">
      <c r="A925" t="s">
        <v>61</v>
      </c>
      <c r="B925" t="s">
        <v>17</v>
      </c>
      <c r="C925" t="s">
        <v>11</v>
      </c>
      <c r="D925" t="s">
        <v>46</v>
      </c>
      <c r="E925">
        <v>86</v>
      </c>
      <c r="F925">
        <v>175</v>
      </c>
      <c r="G925" s="1">
        <v>2000</v>
      </c>
      <c r="H925" s="1">
        <v>1700</v>
      </c>
      <c r="I925" s="1">
        <v>10200</v>
      </c>
      <c r="J925" s="1">
        <v>6000</v>
      </c>
    </row>
    <row r="926" spans="1:10" x14ac:dyDescent="0.3">
      <c r="A926" t="s">
        <v>61</v>
      </c>
      <c r="B926" t="s">
        <v>18</v>
      </c>
      <c r="C926" t="s">
        <v>11</v>
      </c>
      <c r="D926" t="s">
        <v>46</v>
      </c>
      <c r="E926">
        <v>86</v>
      </c>
      <c r="F926">
        <v>175</v>
      </c>
      <c r="G926" s="1">
        <v>3000</v>
      </c>
      <c r="H926" s="1">
        <v>2160</v>
      </c>
      <c r="I926" s="1">
        <v>15120</v>
      </c>
      <c r="J926" s="1">
        <v>7000</v>
      </c>
    </row>
    <row r="927" spans="1:10" x14ac:dyDescent="0.3">
      <c r="A927" t="s">
        <v>61</v>
      </c>
      <c r="B927" t="s">
        <v>19</v>
      </c>
      <c r="C927" t="s">
        <v>11</v>
      </c>
      <c r="D927" t="s">
        <v>46</v>
      </c>
      <c r="E927">
        <v>86</v>
      </c>
      <c r="F927">
        <v>175</v>
      </c>
      <c r="G927" s="1">
        <v>2000</v>
      </c>
      <c r="H927" s="1">
        <v>2000</v>
      </c>
      <c r="I927" s="1">
        <v>13400</v>
      </c>
      <c r="J927" s="1">
        <v>6700</v>
      </c>
    </row>
    <row r="928" spans="1:10" x14ac:dyDescent="0.3">
      <c r="A928" t="s">
        <v>61</v>
      </c>
      <c r="B928" t="s">
        <v>20</v>
      </c>
      <c r="C928" t="s">
        <v>11</v>
      </c>
      <c r="D928" t="s">
        <v>46</v>
      </c>
      <c r="E928">
        <v>86</v>
      </c>
      <c r="F928">
        <v>175</v>
      </c>
      <c r="G928" s="1">
        <v>3000</v>
      </c>
      <c r="H928" s="1">
        <v>2850</v>
      </c>
      <c r="I928" s="1">
        <v>18696</v>
      </c>
      <c r="J928" s="1">
        <v>6560</v>
      </c>
    </row>
    <row r="929" spans="1:10" x14ac:dyDescent="0.3">
      <c r="A929" t="s">
        <v>61</v>
      </c>
      <c r="B929" t="s">
        <v>21</v>
      </c>
      <c r="C929" t="s">
        <v>11</v>
      </c>
      <c r="D929" t="s">
        <v>46</v>
      </c>
      <c r="E929">
        <v>86</v>
      </c>
      <c r="F929">
        <v>175</v>
      </c>
      <c r="G929" s="1">
        <v>3000</v>
      </c>
      <c r="H929" s="1">
        <v>2700</v>
      </c>
      <c r="I929" s="1">
        <v>20250</v>
      </c>
      <c r="J929" s="1">
        <v>7500</v>
      </c>
    </row>
    <row r="930" spans="1:10" x14ac:dyDescent="0.3">
      <c r="A930" t="s">
        <v>61</v>
      </c>
      <c r="B930" t="s">
        <v>22</v>
      </c>
      <c r="C930" t="s">
        <v>11</v>
      </c>
      <c r="D930" t="s">
        <v>46</v>
      </c>
      <c r="E930">
        <v>86</v>
      </c>
      <c r="F930">
        <v>175</v>
      </c>
      <c r="G930" s="1">
        <v>3000</v>
      </c>
      <c r="H930" s="1">
        <v>2700</v>
      </c>
      <c r="I930" s="1">
        <v>20250</v>
      </c>
      <c r="J930" s="1">
        <v>7500</v>
      </c>
    </row>
    <row r="931" spans="1:10" x14ac:dyDescent="0.3">
      <c r="A931" t="s">
        <v>61</v>
      </c>
      <c r="B931" t="s">
        <v>23</v>
      </c>
      <c r="C931" t="s">
        <v>11</v>
      </c>
      <c r="D931" t="s">
        <v>46</v>
      </c>
      <c r="E931">
        <v>86</v>
      </c>
      <c r="F931">
        <v>175</v>
      </c>
      <c r="G931" s="1">
        <v>4000</v>
      </c>
      <c r="H931" s="1">
        <v>3200</v>
      </c>
      <c r="I931" s="1">
        <v>17600</v>
      </c>
      <c r="J931" s="1">
        <v>5500</v>
      </c>
    </row>
    <row r="932" spans="1:10" x14ac:dyDescent="0.3">
      <c r="A932" t="s">
        <v>61</v>
      </c>
      <c r="B932" t="s">
        <v>24</v>
      </c>
      <c r="C932" t="s">
        <v>11</v>
      </c>
      <c r="D932" t="s">
        <v>46</v>
      </c>
      <c r="E932">
        <v>86</v>
      </c>
      <c r="F932">
        <v>175</v>
      </c>
      <c r="G932" s="1">
        <v>3500</v>
      </c>
      <c r="H932" s="1">
        <v>1500</v>
      </c>
      <c r="I932" s="1">
        <v>6750</v>
      </c>
      <c r="J932" s="1">
        <v>4500</v>
      </c>
    </row>
    <row r="933" spans="1:10" x14ac:dyDescent="0.3">
      <c r="A933" t="s">
        <v>61</v>
      </c>
      <c r="B933" t="s">
        <v>25</v>
      </c>
      <c r="C933" t="s">
        <v>11</v>
      </c>
      <c r="D933" t="s">
        <v>46</v>
      </c>
      <c r="E933">
        <v>86</v>
      </c>
      <c r="F933">
        <v>175</v>
      </c>
      <c r="G933" s="1">
        <v>3000</v>
      </c>
      <c r="H933" s="1">
        <v>1950</v>
      </c>
      <c r="I933" s="1">
        <v>10920</v>
      </c>
      <c r="J933" s="1">
        <v>5600</v>
      </c>
    </row>
    <row r="934" spans="1:10" x14ac:dyDescent="0.3">
      <c r="A934" t="s">
        <v>61</v>
      </c>
      <c r="B934" t="s">
        <v>15</v>
      </c>
      <c r="C934" t="s">
        <v>11</v>
      </c>
      <c r="D934" t="s">
        <v>47</v>
      </c>
      <c r="E934">
        <v>86</v>
      </c>
      <c r="F934">
        <v>182</v>
      </c>
      <c r="G934" s="1">
        <v>2500</v>
      </c>
      <c r="H934" s="1">
        <v>2000</v>
      </c>
      <c r="I934" s="1">
        <v>12000</v>
      </c>
      <c r="J934" s="1">
        <v>6000</v>
      </c>
    </row>
    <row r="935" spans="1:10" x14ac:dyDescent="0.3">
      <c r="A935" t="s">
        <v>61</v>
      </c>
      <c r="B935" t="s">
        <v>16</v>
      </c>
      <c r="C935" t="s">
        <v>11</v>
      </c>
      <c r="D935" t="s">
        <v>47</v>
      </c>
      <c r="E935">
        <v>86</v>
      </c>
      <c r="F935">
        <v>182</v>
      </c>
      <c r="G935" s="1">
        <v>2625</v>
      </c>
      <c r="H935" s="1">
        <v>2365</v>
      </c>
      <c r="I935" s="1">
        <v>15373</v>
      </c>
      <c r="J935" s="1">
        <v>6500</v>
      </c>
    </row>
    <row r="936" spans="1:10" x14ac:dyDescent="0.3">
      <c r="A936" t="s">
        <v>61</v>
      </c>
      <c r="B936" t="s">
        <v>17</v>
      </c>
      <c r="C936" t="s">
        <v>11</v>
      </c>
      <c r="D936" t="s">
        <v>47</v>
      </c>
      <c r="E936">
        <v>86</v>
      </c>
      <c r="F936">
        <v>182</v>
      </c>
      <c r="G936" s="1">
        <v>2600</v>
      </c>
      <c r="H936" s="1">
        <v>2100</v>
      </c>
      <c r="I936" s="1">
        <v>14280</v>
      </c>
      <c r="J936" s="1">
        <v>6800</v>
      </c>
    </row>
    <row r="937" spans="1:10" x14ac:dyDescent="0.3">
      <c r="A937" t="s">
        <v>61</v>
      </c>
      <c r="B937" t="s">
        <v>18</v>
      </c>
      <c r="C937" t="s">
        <v>11</v>
      </c>
      <c r="D937" t="s">
        <v>47</v>
      </c>
      <c r="E937">
        <v>86</v>
      </c>
      <c r="F937">
        <v>182</v>
      </c>
      <c r="G937" s="1">
        <v>2700</v>
      </c>
      <c r="H937" s="1">
        <v>2160</v>
      </c>
      <c r="I937" s="1">
        <v>11880</v>
      </c>
      <c r="J937" s="1">
        <v>5500</v>
      </c>
    </row>
    <row r="938" spans="1:10" x14ac:dyDescent="0.3">
      <c r="A938" t="s">
        <v>61</v>
      </c>
      <c r="B938" t="s">
        <v>19</v>
      </c>
      <c r="C938" t="s">
        <v>11</v>
      </c>
      <c r="D938" t="s">
        <v>47</v>
      </c>
      <c r="E938">
        <v>86</v>
      </c>
      <c r="F938">
        <v>182</v>
      </c>
      <c r="G938" s="1">
        <v>2900</v>
      </c>
      <c r="H938" s="1">
        <v>2780</v>
      </c>
      <c r="I938" s="1">
        <v>17236</v>
      </c>
      <c r="J938" s="1">
        <v>6200</v>
      </c>
    </row>
    <row r="939" spans="1:10" x14ac:dyDescent="0.3">
      <c r="A939" t="s">
        <v>61</v>
      </c>
      <c r="B939" t="s">
        <v>20</v>
      </c>
      <c r="C939" t="s">
        <v>11</v>
      </c>
      <c r="D939" t="s">
        <v>47</v>
      </c>
      <c r="E939">
        <v>86</v>
      </c>
      <c r="F939">
        <v>182</v>
      </c>
      <c r="G939" s="1">
        <v>6200</v>
      </c>
      <c r="H939" s="1">
        <v>5830</v>
      </c>
      <c r="I939" s="1">
        <v>34689</v>
      </c>
      <c r="J939" s="1">
        <v>5950</v>
      </c>
    </row>
    <row r="940" spans="1:10" x14ac:dyDescent="0.3">
      <c r="A940" t="s">
        <v>61</v>
      </c>
      <c r="B940" t="s">
        <v>21</v>
      </c>
      <c r="C940" t="s">
        <v>11</v>
      </c>
      <c r="D940" t="s">
        <v>47</v>
      </c>
      <c r="E940">
        <v>86</v>
      </c>
      <c r="F940">
        <v>182</v>
      </c>
      <c r="G940" s="1">
        <v>6000</v>
      </c>
      <c r="H940" s="1">
        <v>5670</v>
      </c>
      <c r="I940" s="1">
        <v>33453</v>
      </c>
      <c r="J940" s="1">
        <v>5900</v>
      </c>
    </row>
    <row r="941" spans="1:10" x14ac:dyDescent="0.3">
      <c r="A941" t="s">
        <v>61</v>
      </c>
      <c r="B941" t="s">
        <v>22</v>
      </c>
      <c r="C941" t="s">
        <v>11</v>
      </c>
      <c r="D941" t="s">
        <v>47</v>
      </c>
      <c r="E941">
        <v>86</v>
      </c>
      <c r="F941">
        <v>182</v>
      </c>
      <c r="G941" s="1">
        <v>5700</v>
      </c>
      <c r="H941" s="1">
        <v>5350</v>
      </c>
      <c r="I941" s="1">
        <v>35845</v>
      </c>
      <c r="J941" s="1">
        <v>6700</v>
      </c>
    </row>
    <row r="942" spans="1:10" x14ac:dyDescent="0.3">
      <c r="A942" t="s">
        <v>61</v>
      </c>
      <c r="B942" t="s">
        <v>23</v>
      </c>
      <c r="C942" t="s">
        <v>11</v>
      </c>
      <c r="D942" t="s">
        <v>47</v>
      </c>
      <c r="E942">
        <v>86</v>
      </c>
      <c r="F942">
        <v>182</v>
      </c>
      <c r="G942" s="1">
        <v>5700</v>
      </c>
      <c r="H942" s="1">
        <v>5193</v>
      </c>
      <c r="I942" s="1">
        <v>28560</v>
      </c>
      <c r="J942" s="1">
        <v>5500</v>
      </c>
    </row>
    <row r="943" spans="1:10" x14ac:dyDescent="0.3">
      <c r="A943" t="s">
        <v>61</v>
      </c>
      <c r="B943" t="s">
        <v>24</v>
      </c>
      <c r="C943" t="s">
        <v>11</v>
      </c>
      <c r="D943" t="s">
        <v>47</v>
      </c>
      <c r="E943">
        <v>86</v>
      </c>
      <c r="F943">
        <v>182</v>
      </c>
      <c r="G943" s="1">
        <v>6200</v>
      </c>
      <c r="H943" s="1">
        <v>4480</v>
      </c>
      <c r="I943" s="1">
        <v>10752</v>
      </c>
      <c r="J943" s="1">
        <v>2400</v>
      </c>
    </row>
    <row r="944" spans="1:10" x14ac:dyDescent="0.3">
      <c r="A944" t="s">
        <v>61</v>
      </c>
      <c r="B944" t="s">
        <v>25</v>
      </c>
      <c r="C944" t="s">
        <v>11</v>
      </c>
      <c r="D944" t="s">
        <v>47</v>
      </c>
      <c r="E944">
        <v>86</v>
      </c>
      <c r="F944">
        <v>182</v>
      </c>
      <c r="G944" s="1">
        <v>3800</v>
      </c>
      <c r="H944" s="1">
        <v>3440</v>
      </c>
      <c r="I944" s="1">
        <v>11008</v>
      </c>
      <c r="J944" s="1">
        <v>3200</v>
      </c>
    </row>
    <row r="945" spans="1:10" x14ac:dyDescent="0.3">
      <c r="A945" t="s">
        <v>61</v>
      </c>
      <c r="B945" t="s">
        <v>15</v>
      </c>
      <c r="C945" t="s">
        <v>11</v>
      </c>
      <c r="D945" t="s">
        <v>48</v>
      </c>
      <c r="E945">
        <v>86</v>
      </c>
      <c r="F945">
        <v>189</v>
      </c>
      <c r="G945" s="1">
        <v>1500</v>
      </c>
      <c r="H945" s="1">
        <v>1000</v>
      </c>
      <c r="I945" s="1">
        <v>7500</v>
      </c>
      <c r="J945" s="1">
        <v>7500</v>
      </c>
    </row>
    <row r="946" spans="1:10" x14ac:dyDescent="0.3">
      <c r="A946" t="s">
        <v>61</v>
      </c>
      <c r="B946" t="s">
        <v>16</v>
      </c>
      <c r="C946" t="s">
        <v>11</v>
      </c>
      <c r="D946" t="s">
        <v>48</v>
      </c>
      <c r="E946">
        <v>86</v>
      </c>
      <c r="F946">
        <v>189</v>
      </c>
      <c r="G946" s="1">
        <v>2500</v>
      </c>
      <c r="H946" s="1">
        <v>1525</v>
      </c>
      <c r="I946" s="1">
        <v>975</v>
      </c>
      <c r="J946" s="1">
        <v>639</v>
      </c>
    </row>
    <row r="947" spans="1:10" x14ac:dyDescent="0.3">
      <c r="A947" t="s">
        <v>61</v>
      </c>
      <c r="B947" t="s">
        <v>17</v>
      </c>
      <c r="C947" t="s">
        <v>11</v>
      </c>
      <c r="D947" t="s">
        <v>48</v>
      </c>
      <c r="E947">
        <v>86</v>
      </c>
      <c r="F947">
        <v>189</v>
      </c>
      <c r="G947" s="1">
        <v>3500</v>
      </c>
      <c r="H947" s="1">
        <v>3050</v>
      </c>
      <c r="I947" s="1">
        <v>25925</v>
      </c>
      <c r="J947" s="1">
        <v>8500</v>
      </c>
    </row>
    <row r="948" spans="1:10" x14ac:dyDescent="0.3">
      <c r="A948" t="s">
        <v>61</v>
      </c>
      <c r="B948" t="s">
        <v>18</v>
      </c>
      <c r="C948" t="s">
        <v>11</v>
      </c>
      <c r="D948" t="s">
        <v>48</v>
      </c>
      <c r="E948">
        <v>86</v>
      </c>
      <c r="F948">
        <v>189</v>
      </c>
      <c r="G948" s="1">
        <v>5000</v>
      </c>
      <c r="H948" s="1">
        <v>3640</v>
      </c>
      <c r="I948" s="1">
        <v>27300</v>
      </c>
      <c r="J948" s="1">
        <v>7500</v>
      </c>
    </row>
    <row r="949" spans="1:10" x14ac:dyDescent="0.3">
      <c r="A949" t="s">
        <v>61</v>
      </c>
      <c r="B949" t="s">
        <v>19</v>
      </c>
      <c r="C949" t="s">
        <v>11</v>
      </c>
      <c r="D949" t="s">
        <v>48</v>
      </c>
      <c r="E949">
        <v>86</v>
      </c>
      <c r="F949">
        <v>189</v>
      </c>
      <c r="G949" s="1">
        <v>3500</v>
      </c>
      <c r="H949" s="1">
        <v>3000</v>
      </c>
      <c r="I949" s="1">
        <v>21000</v>
      </c>
      <c r="J949" s="1">
        <v>7000</v>
      </c>
    </row>
    <row r="950" spans="1:10" x14ac:dyDescent="0.3">
      <c r="A950" t="s">
        <v>61</v>
      </c>
      <c r="B950" t="s">
        <v>20</v>
      </c>
      <c r="C950" t="s">
        <v>11</v>
      </c>
      <c r="D950" t="s">
        <v>48</v>
      </c>
      <c r="E950">
        <v>86</v>
      </c>
      <c r="F950">
        <v>189</v>
      </c>
      <c r="G950" s="1">
        <v>5000</v>
      </c>
      <c r="H950" s="1">
        <v>4750</v>
      </c>
      <c r="I950" s="1">
        <v>33393</v>
      </c>
      <c r="J950" s="1">
        <v>7030</v>
      </c>
    </row>
    <row r="951" spans="1:10" x14ac:dyDescent="0.3">
      <c r="A951" t="s">
        <v>61</v>
      </c>
      <c r="B951" t="s">
        <v>21</v>
      </c>
      <c r="C951" t="s">
        <v>11</v>
      </c>
      <c r="D951" t="s">
        <v>48</v>
      </c>
      <c r="E951">
        <v>86</v>
      </c>
      <c r="F951">
        <v>189</v>
      </c>
      <c r="G951" s="1">
        <v>5000</v>
      </c>
      <c r="H951" s="1">
        <v>4500</v>
      </c>
      <c r="I951" s="1">
        <v>33750</v>
      </c>
      <c r="J951" s="1">
        <v>7500</v>
      </c>
    </row>
    <row r="952" spans="1:10" x14ac:dyDescent="0.3">
      <c r="A952" t="s">
        <v>61</v>
      </c>
      <c r="B952" t="s">
        <v>22</v>
      </c>
      <c r="C952" t="s">
        <v>11</v>
      </c>
      <c r="D952" t="s">
        <v>48</v>
      </c>
      <c r="E952">
        <v>86</v>
      </c>
      <c r="F952">
        <v>189</v>
      </c>
      <c r="G952" s="1">
        <v>5000</v>
      </c>
      <c r="H952" s="1">
        <v>4500</v>
      </c>
      <c r="I952" s="1">
        <v>33750</v>
      </c>
      <c r="J952" s="1">
        <v>7500</v>
      </c>
    </row>
    <row r="953" spans="1:10" x14ac:dyDescent="0.3">
      <c r="A953" t="s">
        <v>61</v>
      </c>
      <c r="B953" t="s">
        <v>23</v>
      </c>
      <c r="C953" t="s">
        <v>11</v>
      </c>
      <c r="D953" t="s">
        <v>48</v>
      </c>
      <c r="E953">
        <v>86</v>
      </c>
      <c r="F953">
        <v>189</v>
      </c>
      <c r="G953" s="1">
        <v>5000</v>
      </c>
      <c r="H953" s="1">
        <v>4000</v>
      </c>
      <c r="I953" s="1">
        <v>22000</v>
      </c>
      <c r="J953" s="1">
        <v>5500</v>
      </c>
    </row>
    <row r="954" spans="1:10" x14ac:dyDescent="0.3">
      <c r="A954" t="s">
        <v>61</v>
      </c>
      <c r="B954" t="s">
        <v>24</v>
      </c>
      <c r="C954" t="s">
        <v>11</v>
      </c>
      <c r="D954" t="s">
        <v>48</v>
      </c>
      <c r="E954">
        <v>86</v>
      </c>
      <c r="F954">
        <v>189</v>
      </c>
      <c r="G954" s="1">
        <v>5000</v>
      </c>
      <c r="H954" s="1">
        <v>2500</v>
      </c>
      <c r="I954" s="1">
        <v>10000</v>
      </c>
      <c r="J954" s="1">
        <v>4000</v>
      </c>
    </row>
    <row r="955" spans="1:10" x14ac:dyDescent="0.3">
      <c r="A955" t="s">
        <v>61</v>
      </c>
      <c r="B955" t="s">
        <v>25</v>
      </c>
      <c r="C955" t="s">
        <v>11</v>
      </c>
      <c r="D955" t="s">
        <v>48</v>
      </c>
      <c r="E955">
        <v>86</v>
      </c>
      <c r="F955">
        <v>189</v>
      </c>
      <c r="G955" s="1">
        <v>2000</v>
      </c>
      <c r="H955" s="1">
        <v>1565</v>
      </c>
      <c r="I955" s="1">
        <v>10173</v>
      </c>
      <c r="J955" s="1">
        <v>6500</v>
      </c>
    </row>
    <row r="956" spans="1:10" x14ac:dyDescent="0.3">
      <c r="A956" t="s">
        <v>62</v>
      </c>
      <c r="B956" t="s">
        <v>24</v>
      </c>
      <c r="C956" t="s">
        <v>11</v>
      </c>
      <c r="D956" t="s">
        <v>36</v>
      </c>
      <c r="E956">
        <v>86</v>
      </c>
      <c r="F956">
        <v>84</v>
      </c>
      <c r="G956" s="1">
        <v>300</v>
      </c>
      <c r="H956" s="1">
        <v>295</v>
      </c>
      <c r="I956" s="1">
        <v>738</v>
      </c>
      <c r="J956" s="1">
        <v>2500</v>
      </c>
    </row>
    <row r="957" spans="1:10" x14ac:dyDescent="0.3">
      <c r="A957" t="s">
        <v>62</v>
      </c>
      <c r="B957" t="s">
        <v>25</v>
      </c>
      <c r="C957" t="s">
        <v>11</v>
      </c>
      <c r="D957" t="s">
        <v>36</v>
      </c>
      <c r="E957">
        <v>86</v>
      </c>
      <c r="F957">
        <v>84</v>
      </c>
      <c r="G957" s="1">
        <v>300</v>
      </c>
      <c r="H957" s="1">
        <v>285</v>
      </c>
      <c r="I957" s="1">
        <v>627</v>
      </c>
      <c r="J957" s="1">
        <v>2200</v>
      </c>
    </row>
    <row r="958" spans="1:10" x14ac:dyDescent="0.3">
      <c r="A958" t="s">
        <v>66</v>
      </c>
      <c r="B958" t="s">
        <v>15</v>
      </c>
      <c r="C958" t="s">
        <v>11</v>
      </c>
      <c r="D958" t="s">
        <v>29</v>
      </c>
      <c r="E958">
        <v>86</v>
      </c>
      <c r="F958">
        <v>35</v>
      </c>
      <c r="G958" s="1">
        <v>500</v>
      </c>
      <c r="H958" s="1">
        <v>500</v>
      </c>
      <c r="I958" s="1">
        <v>600</v>
      </c>
      <c r="J958" s="1">
        <v>1200</v>
      </c>
    </row>
    <row r="959" spans="1:10" x14ac:dyDescent="0.3">
      <c r="A959" t="s">
        <v>66</v>
      </c>
      <c r="B959" t="s">
        <v>15</v>
      </c>
      <c r="C959" t="s">
        <v>11</v>
      </c>
      <c r="D959" t="s">
        <v>32</v>
      </c>
      <c r="E959">
        <v>86</v>
      </c>
      <c r="F959">
        <v>63</v>
      </c>
      <c r="G959" s="1">
        <v>7000</v>
      </c>
      <c r="H959" s="1">
        <v>7000</v>
      </c>
      <c r="I959" s="1">
        <v>8400</v>
      </c>
      <c r="J959" s="1">
        <v>1200</v>
      </c>
    </row>
    <row r="960" spans="1:10" x14ac:dyDescent="0.3">
      <c r="A960" t="s">
        <v>66</v>
      </c>
      <c r="B960" t="s">
        <v>15</v>
      </c>
      <c r="C960" t="s">
        <v>11</v>
      </c>
      <c r="D960" t="s">
        <v>36</v>
      </c>
      <c r="E960">
        <v>86</v>
      </c>
      <c r="F960">
        <v>84</v>
      </c>
      <c r="G960" s="1">
        <v>8000</v>
      </c>
      <c r="H960" s="1">
        <v>8000</v>
      </c>
      <c r="I960" s="1">
        <v>9600</v>
      </c>
      <c r="J960" s="1">
        <v>1200</v>
      </c>
    </row>
    <row r="961" spans="1:10" x14ac:dyDescent="0.3">
      <c r="A961" t="s">
        <v>66</v>
      </c>
      <c r="B961" t="s">
        <v>15</v>
      </c>
      <c r="C961" t="s">
        <v>11</v>
      </c>
      <c r="D961" t="s">
        <v>37</v>
      </c>
      <c r="E961">
        <v>86</v>
      </c>
      <c r="F961">
        <v>91</v>
      </c>
      <c r="G961" s="1">
        <v>15000</v>
      </c>
      <c r="H961" s="1">
        <v>15000</v>
      </c>
      <c r="I961" s="1">
        <v>22500</v>
      </c>
      <c r="J961" s="1">
        <v>1500</v>
      </c>
    </row>
    <row r="962" spans="1:10" x14ac:dyDescent="0.3">
      <c r="A962" t="s">
        <v>66</v>
      </c>
      <c r="B962" t="s">
        <v>15</v>
      </c>
      <c r="C962" t="s">
        <v>11</v>
      </c>
      <c r="D962" t="s">
        <v>43</v>
      </c>
      <c r="E962">
        <v>86</v>
      </c>
      <c r="F962">
        <v>133</v>
      </c>
      <c r="G962" s="1">
        <v>25000</v>
      </c>
      <c r="H962" s="1">
        <v>25000</v>
      </c>
      <c r="I962" s="1">
        <v>37500</v>
      </c>
      <c r="J962" s="1">
        <v>1500</v>
      </c>
    </row>
    <row r="963" spans="1:10" x14ac:dyDescent="0.3">
      <c r="A963" t="s">
        <v>66</v>
      </c>
      <c r="B963" t="s">
        <v>15</v>
      </c>
      <c r="C963" t="s">
        <v>11</v>
      </c>
      <c r="D963" t="s">
        <v>44</v>
      </c>
      <c r="E963">
        <v>86</v>
      </c>
      <c r="F963">
        <v>147</v>
      </c>
      <c r="G963" s="1">
        <v>4000</v>
      </c>
      <c r="H963" s="1">
        <v>4000</v>
      </c>
      <c r="I963" s="1">
        <v>4800</v>
      </c>
      <c r="J963" s="1">
        <v>1200</v>
      </c>
    </row>
    <row r="964" spans="1:10" x14ac:dyDescent="0.3">
      <c r="A964" t="s">
        <v>66</v>
      </c>
      <c r="B964" t="s">
        <v>16</v>
      </c>
      <c r="C964" t="s">
        <v>11</v>
      </c>
      <c r="D964" t="s">
        <v>29</v>
      </c>
      <c r="E964">
        <v>86</v>
      </c>
      <c r="F964">
        <v>35</v>
      </c>
      <c r="G964" s="1">
        <v>1000</v>
      </c>
      <c r="H964" s="1">
        <v>1000</v>
      </c>
      <c r="I964" s="1">
        <v>1500</v>
      </c>
      <c r="J964" s="1">
        <v>1500</v>
      </c>
    </row>
    <row r="965" spans="1:10" x14ac:dyDescent="0.3">
      <c r="A965" t="s">
        <v>66</v>
      </c>
      <c r="B965" t="s">
        <v>16</v>
      </c>
      <c r="C965" t="s">
        <v>11</v>
      </c>
      <c r="D965" t="s">
        <v>32</v>
      </c>
      <c r="E965">
        <v>86</v>
      </c>
      <c r="F965">
        <v>63</v>
      </c>
      <c r="G965" s="1">
        <v>4000</v>
      </c>
      <c r="H965" s="1">
        <v>4000</v>
      </c>
      <c r="I965" s="1">
        <v>6000</v>
      </c>
      <c r="J965" s="1">
        <v>1500</v>
      </c>
    </row>
    <row r="966" spans="1:10" x14ac:dyDescent="0.3">
      <c r="A966" t="s">
        <v>66</v>
      </c>
      <c r="B966" t="s">
        <v>16</v>
      </c>
      <c r="C966" t="s">
        <v>11</v>
      </c>
      <c r="D966" t="s">
        <v>36</v>
      </c>
      <c r="E966">
        <v>86</v>
      </c>
      <c r="F966">
        <v>84</v>
      </c>
      <c r="G966" s="1">
        <v>5000</v>
      </c>
      <c r="H966" s="1">
        <v>5000</v>
      </c>
      <c r="I966" s="1">
        <v>9000</v>
      </c>
      <c r="J966" s="1">
        <v>1800</v>
      </c>
    </row>
    <row r="967" spans="1:10" x14ac:dyDescent="0.3">
      <c r="A967" t="s">
        <v>66</v>
      </c>
      <c r="B967" t="s">
        <v>16</v>
      </c>
      <c r="C967" t="s">
        <v>11</v>
      </c>
      <c r="D967" t="s">
        <v>37</v>
      </c>
      <c r="E967">
        <v>86</v>
      </c>
      <c r="F967">
        <v>91</v>
      </c>
      <c r="G967" s="1">
        <v>15000</v>
      </c>
      <c r="H967" s="1">
        <v>15000</v>
      </c>
      <c r="I967" s="1">
        <v>33000</v>
      </c>
      <c r="J967" s="1">
        <v>2200</v>
      </c>
    </row>
    <row r="968" spans="1:10" x14ac:dyDescent="0.3">
      <c r="A968" t="s">
        <v>66</v>
      </c>
      <c r="B968" t="s">
        <v>16</v>
      </c>
      <c r="C968" t="s">
        <v>11</v>
      </c>
      <c r="D968" t="s">
        <v>43</v>
      </c>
      <c r="E968">
        <v>86</v>
      </c>
      <c r="F968">
        <v>133</v>
      </c>
      <c r="G968" s="1">
        <v>20000</v>
      </c>
      <c r="H968" s="1">
        <v>20000</v>
      </c>
      <c r="I968" s="1">
        <v>40000</v>
      </c>
      <c r="J968" s="1">
        <v>2000</v>
      </c>
    </row>
    <row r="969" spans="1:10" x14ac:dyDescent="0.3">
      <c r="A969" t="s">
        <v>66</v>
      </c>
      <c r="B969" t="s">
        <v>16</v>
      </c>
      <c r="C969" t="s">
        <v>11</v>
      </c>
      <c r="D969" t="s">
        <v>44</v>
      </c>
      <c r="E969">
        <v>86</v>
      </c>
      <c r="F969">
        <v>147</v>
      </c>
      <c r="G969" s="1">
        <v>4000</v>
      </c>
      <c r="H969" s="1">
        <v>4000</v>
      </c>
      <c r="I969" s="1">
        <v>7200</v>
      </c>
      <c r="J969" s="1">
        <v>1800</v>
      </c>
    </row>
    <row r="970" spans="1:10" x14ac:dyDescent="0.3">
      <c r="A970" t="s">
        <v>66</v>
      </c>
      <c r="B970" t="s">
        <v>17</v>
      </c>
      <c r="C970" t="s">
        <v>11</v>
      </c>
      <c r="D970" t="s">
        <v>29</v>
      </c>
      <c r="E970">
        <v>86</v>
      </c>
      <c r="F970">
        <v>35</v>
      </c>
      <c r="G970" s="1">
        <v>800</v>
      </c>
      <c r="H970" s="1">
        <v>800</v>
      </c>
      <c r="I970" s="1">
        <v>1600</v>
      </c>
      <c r="J970" s="1">
        <v>2000</v>
      </c>
    </row>
    <row r="971" spans="1:10" x14ac:dyDescent="0.3">
      <c r="A971" t="s">
        <v>66</v>
      </c>
      <c r="B971" t="s">
        <v>17</v>
      </c>
      <c r="C971" t="s">
        <v>11</v>
      </c>
      <c r="D971" t="s">
        <v>31</v>
      </c>
      <c r="E971">
        <v>86</v>
      </c>
      <c r="F971">
        <v>49</v>
      </c>
      <c r="G971" s="1">
        <v>300</v>
      </c>
      <c r="H971" s="1">
        <v>300</v>
      </c>
      <c r="I971" s="1">
        <v>600</v>
      </c>
      <c r="J971" s="1">
        <v>2000</v>
      </c>
    </row>
    <row r="972" spans="1:10" x14ac:dyDescent="0.3">
      <c r="A972" t="s">
        <v>66</v>
      </c>
      <c r="B972" t="s">
        <v>17</v>
      </c>
      <c r="C972" t="s">
        <v>11</v>
      </c>
      <c r="D972" t="s">
        <v>32</v>
      </c>
      <c r="E972">
        <v>86</v>
      </c>
      <c r="F972">
        <v>63</v>
      </c>
      <c r="G972" s="1">
        <v>5000</v>
      </c>
      <c r="H972" s="1">
        <v>5000</v>
      </c>
      <c r="I972" s="1">
        <v>10000</v>
      </c>
      <c r="J972" s="1">
        <v>2000</v>
      </c>
    </row>
    <row r="973" spans="1:10" x14ac:dyDescent="0.3">
      <c r="A973" t="s">
        <v>66</v>
      </c>
      <c r="B973" t="s">
        <v>17</v>
      </c>
      <c r="C973" t="s">
        <v>11</v>
      </c>
      <c r="D973" t="s">
        <v>36</v>
      </c>
      <c r="E973">
        <v>86</v>
      </c>
      <c r="F973">
        <v>84</v>
      </c>
      <c r="G973" s="1">
        <v>5000</v>
      </c>
      <c r="H973" s="1">
        <v>5000</v>
      </c>
      <c r="I973" s="1">
        <v>11000</v>
      </c>
      <c r="J973" s="1">
        <v>2200</v>
      </c>
    </row>
    <row r="974" spans="1:10" x14ac:dyDescent="0.3">
      <c r="A974" t="s">
        <v>66</v>
      </c>
      <c r="B974" t="s">
        <v>17</v>
      </c>
      <c r="C974" t="s">
        <v>11</v>
      </c>
      <c r="D974" t="s">
        <v>37</v>
      </c>
      <c r="E974">
        <v>86</v>
      </c>
      <c r="F974">
        <v>91</v>
      </c>
      <c r="G974" s="1">
        <v>15000</v>
      </c>
      <c r="H974" s="1">
        <v>15000</v>
      </c>
      <c r="I974" s="1">
        <v>33000</v>
      </c>
      <c r="J974" s="1">
        <v>2200</v>
      </c>
    </row>
    <row r="975" spans="1:10" x14ac:dyDescent="0.3">
      <c r="A975" t="s">
        <v>66</v>
      </c>
      <c r="B975" t="s">
        <v>17</v>
      </c>
      <c r="C975" t="s">
        <v>11</v>
      </c>
      <c r="D975" t="s">
        <v>43</v>
      </c>
      <c r="E975">
        <v>86</v>
      </c>
      <c r="F975">
        <v>133</v>
      </c>
      <c r="G975" s="1">
        <v>15000</v>
      </c>
      <c r="H975" s="1">
        <v>15000</v>
      </c>
      <c r="I975" s="1">
        <v>33000</v>
      </c>
      <c r="J975" s="1">
        <v>2200</v>
      </c>
    </row>
    <row r="976" spans="1:10" x14ac:dyDescent="0.3">
      <c r="A976" t="s">
        <v>66</v>
      </c>
      <c r="B976" t="s">
        <v>17</v>
      </c>
      <c r="C976" t="s">
        <v>11</v>
      </c>
      <c r="D976" t="s">
        <v>44</v>
      </c>
      <c r="E976">
        <v>86</v>
      </c>
      <c r="F976">
        <v>147</v>
      </c>
      <c r="G976" s="1">
        <v>3000</v>
      </c>
      <c r="H976" s="1">
        <v>3000</v>
      </c>
      <c r="I976" s="1">
        <v>6000</v>
      </c>
      <c r="J976" s="1">
        <v>2000</v>
      </c>
    </row>
    <row r="977" spans="1:10" x14ac:dyDescent="0.3">
      <c r="A977" t="s">
        <v>66</v>
      </c>
      <c r="B977" t="s">
        <v>18</v>
      </c>
      <c r="C977" t="s">
        <v>11</v>
      </c>
      <c r="D977" t="s">
        <v>29</v>
      </c>
      <c r="E977">
        <v>86</v>
      </c>
      <c r="F977">
        <v>35</v>
      </c>
      <c r="G977" s="1">
        <v>1500</v>
      </c>
      <c r="H977" s="1">
        <v>1500</v>
      </c>
      <c r="I977" s="1">
        <v>3000</v>
      </c>
      <c r="J977" s="1">
        <v>2000</v>
      </c>
    </row>
    <row r="978" spans="1:10" x14ac:dyDescent="0.3">
      <c r="A978" t="s">
        <v>66</v>
      </c>
      <c r="B978" t="s">
        <v>18</v>
      </c>
      <c r="C978" t="s">
        <v>11</v>
      </c>
      <c r="D978" t="s">
        <v>32</v>
      </c>
      <c r="E978">
        <v>86</v>
      </c>
      <c r="F978">
        <v>63</v>
      </c>
      <c r="G978" s="1">
        <v>5000</v>
      </c>
      <c r="H978" s="1">
        <v>5000</v>
      </c>
      <c r="I978" s="1">
        <v>7500</v>
      </c>
      <c r="J978" s="1">
        <v>1500</v>
      </c>
    </row>
    <row r="979" spans="1:10" x14ac:dyDescent="0.3">
      <c r="A979" t="s">
        <v>66</v>
      </c>
      <c r="B979" t="s">
        <v>18</v>
      </c>
      <c r="C979" t="s">
        <v>11</v>
      </c>
      <c r="D979" t="s">
        <v>36</v>
      </c>
      <c r="E979">
        <v>86</v>
      </c>
      <c r="F979">
        <v>84</v>
      </c>
      <c r="G979" s="1">
        <v>5000</v>
      </c>
      <c r="H979" s="1">
        <v>5000</v>
      </c>
      <c r="I979" s="1">
        <v>9000</v>
      </c>
      <c r="J979" s="1">
        <v>1800</v>
      </c>
    </row>
    <row r="980" spans="1:10" x14ac:dyDescent="0.3">
      <c r="A980" t="s">
        <v>66</v>
      </c>
      <c r="B980" t="s">
        <v>18</v>
      </c>
      <c r="C980" t="s">
        <v>11</v>
      </c>
      <c r="D980" t="s">
        <v>37</v>
      </c>
      <c r="E980">
        <v>86</v>
      </c>
      <c r="F980">
        <v>91</v>
      </c>
      <c r="G980" s="1">
        <v>20000</v>
      </c>
      <c r="H980" s="1">
        <v>20000</v>
      </c>
      <c r="I980" s="1">
        <v>40000</v>
      </c>
      <c r="J980" s="1">
        <v>2000</v>
      </c>
    </row>
    <row r="981" spans="1:10" x14ac:dyDescent="0.3">
      <c r="A981" t="s">
        <v>66</v>
      </c>
      <c r="B981" t="s">
        <v>18</v>
      </c>
      <c r="C981" t="s">
        <v>11</v>
      </c>
      <c r="D981" t="s">
        <v>43</v>
      </c>
      <c r="E981">
        <v>86</v>
      </c>
      <c r="F981">
        <v>133</v>
      </c>
      <c r="G981" s="1">
        <v>18000</v>
      </c>
      <c r="H981" s="1">
        <v>18000</v>
      </c>
      <c r="I981" s="1">
        <v>39600</v>
      </c>
      <c r="J981" s="1">
        <v>2200</v>
      </c>
    </row>
    <row r="982" spans="1:10" x14ac:dyDescent="0.3">
      <c r="A982" t="s">
        <v>66</v>
      </c>
      <c r="B982" t="s">
        <v>18</v>
      </c>
      <c r="C982" t="s">
        <v>11</v>
      </c>
      <c r="D982" t="s">
        <v>44</v>
      </c>
      <c r="E982">
        <v>86</v>
      </c>
      <c r="F982">
        <v>147</v>
      </c>
      <c r="G982" s="1">
        <v>3000</v>
      </c>
      <c r="H982" s="1">
        <v>3000</v>
      </c>
      <c r="I982" s="1">
        <v>6600</v>
      </c>
      <c r="J982" s="1">
        <v>2200</v>
      </c>
    </row>
    <row r="983" spans="1:10" x14ac:dyDescent="0.3">
      <c r="A983" t="s">
        <v>66</v>
      </c>
      <c r="B983" t="s">
        <v>19</v>
      </c>
      <c r="C983" t="s">
        <v>11</v>
      </c>
      <c r="D983" t="s">
        <v>29</v>
      </c>
      <c r="E983">
        <v>86</v>
      </c>
      <c r="F983">
        <v>35</v>
      </c>
      <c r="G983" s="1">
        <v>1000</v>
      </c>
      <c r="H983" s="1">
        <v>1000</v>
      </c>
      <c r="I983" s="1">
        <v>2000</v>
      </c>
      <c r="J983" s="1">
        <v>2000</v>
      </c>
    </row>
    <row r="984" spans="1:10" x14ac:dyDescent="0.3">
      <c r="A984" t="s">
        <v>66</v>
      </c>
      <c r="B984" t="s">
        <v>19</v>
      </c>
      <c r="C984" t="s">
        <v>11</v>
      </c>
      <c r="D984" t="s">
        <v>32</v>
      </c>
      <c r="E984">
        <v>86</v>
      </c>
      <c r="F984">
        <v>63</v>
      </c>
      <c r="G984" s="1">
        <v>6000</v>
      </c>
      <c r="H984" s="1">
        <v>6000</v>
      </c>
      <c r="I984" s="1">
        <v>10800</v>
      </c>
      <c r="J984" s="1">
        <v>1800</v>
      </c>
    </row>
    <row r="985" spans="1:10" x14ac:dyDescent="0.3">
      <c r="A985" t="s">
        <v>66</v>
      </c>
      <c r="B985" t="s">
        <v>19</v>
      </c>
      <c r="C985" t="s">
        <v>11</v>
      </c>
      <c r="D985" t="s">
        <v>36</v>
      </c>
      <c r="E985">
        <v>86</v>
      </c>
      <c r="F985">
        <v>84</v>
      </c>
      <c r="G985" s="1">
        <v>6000</v>
      </c>
      <c r="H985" s="1">
        <v>6000</v>
      </c>
      <c r="I985" s="1">
        <v>10800</v>
      </c>
      <c r="J985" s="1">
        <v>1800</v>
      </c>
    </row>
    <row r="986" spans="1:10" x14ac:dyDescent="0.3">
      <c r="A986" t="s">
        <v>66</v>
      </c>
      <c r="B986" t="s">
        <v>19</v>
      </c>
      <c r="C986" t="s">
        <v>11</v>
      </c>
      <c r="D986" t="s">
        <v>37</v>
      </c>
      <c r="E986">
        <v>86</v>
      </c>
      <c r="F986">
        <v>91</v>
      </c>
      <c r="G986" s="1">
        <v>22000</v>
      </c>
      <c r="H986" s="1">
        <v>22000</v>
      </c>
      <c r="I986" s="1">
        <v>44000</v>
      </c>
      <c r="J986" s="1">
        <v>2000</v>
      </c>
    </row>
    <row r="987" spans="1:10" x14ac:dyDescent="0.3">
      <c r="A987" t="s">
        <v>66</v>
      </c>
      <c r="B987" t="s">
        <v>19</v>
      </c>
      <c r="C987" t="s">
        <v>11</v>
      </c>
      <c r="D987" t="s">
        <v>43</v>
      </c>
      <c r="E987">
        <v>86</v>
      </c>
      <c r="F987">
        <v>133</v>
      </c>
      <c r="G987" s="1">
        <v>20000</v>
      </c>
      <c r="H987" s="1">
        <v>20000</v>
      </c>
      <c r="I987" s="1">
        <v>40000</v>
      </c>
      <c r="J987" s="1">
        <v>2000</v>
      </c>
    </row>
    <row r="988" spans="1:10" x14ac:dyDescent="0.3">
      <c r="A988" t="s">
        <v>66</v>
      </c>
      <c r="B988" t="s">
        <v>19</v>
      </c>
      <c r="C988" t="s">
        <v>11</v>
      </c>
      <c r="D988" t="s">
        <v>44</v>
      </c>
      <c r="E988">
        <v>86</v>
      </c>
      <c r="F988">
        <v>147</v>
      </c>
      <c r="G988" s="1">
        <v>5000</v>
      </c>
      <c r="H988" s="1">
        <v>5000</v>
      </c>
      <c r="I988" s="1">
        <v>10000</v>
      </c>
      <c r="J988" s="1">
        <v>2000</v>
      </c>
    </row>
    <row r="989" spans="1:10" x14ac:dyDescent="0.3">
      <c r="A989" t="s">
        <v>66</v>
      </c>
      <c r="B989" t="s">
        <v>20</v>
      </c>
      <c r="C989" t="s">
        <v>11</v>
      </c>
      <c r="D989" t="s">
        <v>26</v>
      </c>
      <c r="E989">
        <v>86</v>
      </c>
      <c r="F989">
        <v>14</v>
      </c>
      <c r="G989" s="1">
        <v>1350</v>
      </c>
      <c r="H989" s="1">
        <v>1350</v>
      </c>
      <c r="I989" s="1">
        <v>2160</v>
      </c>
      <c r="J989" s="1">
        <v>1600</v>
      </c>
    </row>
    <row r="990" spans="1:10" x14ac:dyDescent="0.3">
      <c r="A990" t="s">
        <v>66</v>
      </c>
      <c r="B990" t="s">
        <v>20</v>
      </c>
      <c r="C990" t="s">
        <v>11</v>
      </c>
      <c r="D990" t="s">
        <v>32</v>
      </c>
      <c r="E990">
        <v>86</v>
      </c>
      <c r="F990">
        <v>63</v>
      </c>
      <c r="G990" s="1">
        <v>6000</v>
      </c>
      <c r="H990" s="1">
        <v>6000</v>
      </c>
      <c r="I990" s="1">
        <v>12000</v>
      </c>
      <c r="J990" s="1">
        <v>2000</v>
      </c>
    </row>
    <row r="991" spans="1:10" x14ac:dyDescent="0.3">
      <c r="A991" t="s">
        <v>66</v>
      </c>
      <c r="B991" t="s">
        <v>20</v>
      </c>
      <c r="C991" t="s">
        <v>11</v>
      </c>
      <c r="D991" t="s">
        <v>35</v>
      </c>
      <c r="E991">
        <v>86</v>
      </c>
      <c r="F991">
        <v>77</v>
      </c>
      <c r="G991" s="1">
        <v>490</v>
      </c>
      <c r="H991" s="1">
        <v>490</v>
      </c>
      <c r="I991" s="1">
        <v>833</v>
      </c>
      <c r="J991" s="1">
        <v>1700</v>
      </c>
    </row>
    <row r="992" spans="1:10" x14ac:dyDescent="0.3">
      <c r="A992" t="s">
        <v>66</v>
      </c>
      <c r="B992" t="s">
        <v>20</v>
      </c>
      <c r="C992" t="s">
        <v>11</v>
      </c>
      <c r="D992" t="s">
        <v>36</v>
      </c>
      <c r="E992">
        <v>86</v>
      </c>
      <c r="F992">
        <v>84</v>
      </c>
      <c r="G992" s="1">
        <v>6000</v>
      </c>
      <c r="H992" s="1">
        <v>6000</v>
      </c>
      <c r="I992" s="1">
        <v>12000</v>
      </c>
      <c r="J992" s="1">
        <v>2000</v>
      </c>
    </row>
    <row r="993" spans="1:10" x14ac:dyDescent="0.3">
      <c r="A993" t="s">
        <v>66</v>
      </c>
      <c r="B993" t="s">
        <v>20</v>
      </c>
      <c r="C993" t="s">
        <v>11</v>
      </c>
      <c r="D993" t="s">
        <v>37</v>
      </c>
      <c r="E993">
        <v>86</v>
      </c>
      <c r="F993">
        <v>91</v>
      </c>
      <c r="G993" s="1">
        <v>20000</v>
      </c>
      <c r="H993" s="1">
        <v>20000</v>
      </c>
      <c r="I993" s="1">
        <v>40000</v>
      </c>
      <c r="J993" s="1">
        <v>2000</v>
      </c>
    </row>
    <row r="994" spans="1:10" x14ac:dyDescent="0.3">
      <c r="A994" t="s">
        <v>66</v>
      </c>
      <c r="B994" t="s">
        <v>20</v>
      </c>
      <c r="C994" t="s">
        <v>11</v>
      </c>
      <c r="D994" t="s">
        <v>38</v>
      </c>
      <c r="E994">
        <v>86</v>
      </c>
      <c r="F994">
        <v>98</v>
      </c>
      <c r="G994" s="1">
        <v>780</v>
      </c>
      <c r="H994" s="1">
        <v>780</v>
      </c>
      <c r="I994" s="1">
        <v>1326</v>
      </c>
      <c r="J994" s="1">
        <v>1700</v>
      </c>
    </row>
    <row r="995" spans="1:10" x14ac:dyDescent="0.3">
      <c r="A995" t="s">
        <v>66</v>
      </c>
      <c r="B995" t="s">
        <v>20</v>
      </c>
      <c r="C995" t="s">
        <v>11</v>
      </c>
      <c r="D995" t="s">
        <v>41</v>
      </c>
      <c r="E995">
        <v>86</v>
      </c>
      <c r="F995">
        <v>119</v>
      </c>
      <c r="G995" s="1">
        <v>2400</v>
      </c>
      <c r="H995" s="1">
        <v>2400</v>
      </c>
      <c r="I995" s="1">
        <v>4080</v>
      </c>
      <c r="J995" s="1">
        <v>1700</v>
      </c>
    </row>
    <row r="996" spans="1:10" x14ac:dyDescent="0.3">
      <c r="A996" t="s">
        <v>66</v>
      </c>
      <c r="B996" t="s">
        <v>20</v>
      </c>
      <c r="C996" t="s">
        <v>11</v>
      </c>
      <c r="D996" t="s">
        <v>43</v>
      </c>
      <c r="E996">
        <v>86</v>
      </c>
      <c r="F996">
        <v>133</v>
      </c>
      <c r="G996" s="1">
        <v>15000</v>
      </c>
      <c r="H996" s="1">
        <v>15000</v>
      </c>
      <c r="I996" s="1">
        <v>30000</v>
      </c>
      <c r="J996" s="1">
        <v>2000</v>
      </c>
    </row>
    <row r="997" spans="1:10" x14ac:dyDescent="0.3">
      <c r="A997" t="s">
        <v>66</v>
      </c>
      <c r="B997" t="s">
        <v>20</v>
      </c>
      <c r="C997" t="s">
        <v>11</v>
      </c>
      <c r="D997" t="s">
        <v>44</v>
      </c>
      <c r="E997">
        <v>86</v>
      </c>
      <c r="F997">
        <v>147</v>
      </c>
      <c r="G997" s="1">
        <v>5000</v>
      </c>
      <c r="H997" s="1">
        <v>5000</v>
      </c>
      <c r="I997" s="1">
        <v>10000</v>
      </c>
      <c r="J997" s="1">
        <v>2000</v>
      </c>
    </row>
    <row r="998" spans="1:10" x14ac:dyDescent="0.3">
      <c r="A998" t="s">
        <v>66</v>
      </c>
      <c r="B998" t="s">
        <v>21</v>
      </c>
      <c r="C998" t="s">
        <v>11</v>
      </c>
      <c r="D998" t="s">
        <v>26</v>
      </c>
      <c r="E998">
        <v>86</v>
      </c>
      <c r="F998">
        <v>14</v>
      </c>
      <c r="G998" s="1">
        <v>1350</v>
      </c>
      <c r="H998" s="1">
        <v>1350</v>
      </c>
      <c r="I998" s="1">
        <v>2025</v>
      </c>
      <c r="J998" s="1">
        <v>1500</v>
      </c>
    </row>
    <row r="999" spans="1:10" x14ac:dyDescent="0.3">
      <c r="A999" t="s">
        <v>66</v>
      </c>
      <c r="B999" t="s">
        <v>21</v>
      </c>
      <c r="C999" t="s">
        <v>11</v>
      </c>
      <c r="D999" t="s">
        <v>29</v>
      </c>
      <c r="E999">
        <v>86</v>
      </c>
      <c r="F999">
        <v>35</v>
      </c>
      <c r="G999" s="1">
        <v>1600</v>
      </c>
      <c r="H999" s="1">
        <v>1600</v>
      </c>
      <c r="I999" s="1">
        <v>3180</v>
      </c>
      <c r="J999" s="1">
        <v>1988</v>
      </c>
    </row>
    <row r="1000" spans="1:10" x14ac:dyDescent="0.3">
      <c r="A1000" t="s">
        <v>66</v>
      </c>
      <c r="B1000" t="s">
        <v>21</v>
      </c>
      <c r="C1000" t="s">
        <v>11</v>
      </c>
      <c r="D1000" t="s">
        <v>31</v>
      </c>
      <c r="E1000">
        <v>86</v>
      </c>
      <c r="F1000">
        <v>49</v>
      </c>
      <c r="G1000" s="1">
        <v>750</v>
      </c>
      <c r="H1000" s="1">
        <v>750</v>
      </c>
      <c r="I1000" s="1">
        <v>1200</v>
      </c>
      <c r="J1000" s="1">
        <v>1600</v>
      </c>
    </row>
    <row r="1001" spans="1:10" x14ac:dyDescent="0.3">
      <c r="A1001" t="s">
        <v>66</v>
      </c>
      <c r="B1001" t="s">
        <v>21</v>
      </c>
      <c r="C1001" t="s">
        <v>11</v>
      </c>
      <c r="D1001" t="s">
        <v>32</v>
      </c>
      <c r="E1001">
        <v>86</v>
      </c>
      <c r="F1001">
        <v>63</v>
      </c>
      <c r="G1001" s="1">
        <v>6650</v>
      </c>
      <c r="H1001" s="1">
        <v>6650</v>
      </c>
      <c r="I1001" s="1">
        <v>13170</v>
      </c>
      <c r="J1001" s="1">
        <v>1980</v>
      </c>
    </row>
    <row r="1002" spans="1:10" x14ac:dyDescent="0.3">
      <c r="A1002" t="s">
        <v>66</v>
      </c>
      <c r="B1002" t="s">
        <v>21</v>
      </c>
      <c r="C1002" t="s">
        <v>11</v>
      </c>
      <c r="D1002" t="s">
        <v>34</v>
      </c>
      <c r="E1002">
        <v>86</v>
      </c>
      <c r="F1002">
        <v>70</v>
      </c>
      <c r="G1002" s="1">
        <v>300</v>
      </c>
      <c r="H1002" s="1">
        <v>300</v>
      </c>
      <c r="I1002" s="1">
        <v>450</v>
      </c>
      <c r="J1002" s="1">
        <v>1500</v>
      </c>
    </row>
    <row r="1003" spans="1:10" x14ac:dyDescent="0.3">
      <c r="A1003" t="s">
        <v>66</v>
      </c>
      <c r="B1003" t="s">
        <v>21</v>
      </c>
      <c r="C1003" t="s">
        <v>11</v>
      </c>
      <c r="D1003" t="s">
        <v>35</v>
      </c>
      <c r="E1003">
        <v>86</v>
      </c>
      <c r="F1003">
        <v>77</v>
      </c>
      <c r="G1003" s="1">
        <v>500</v>
      </c>
      <c r="H1003" s="1">
        <v>500</v>
      </c>
      <c r="I1003" s="1">
        <v>750</v>
      </c>
      <c r="J1003" s="1">
        <v>1500</v>
      </c>
    </row>
    <row r="1004" spans="1:10" x14ac:dyDescent="0.3">
      <c r="A1004" t="s">
        <v>66</v>
      </c>
      <c r="B1004" t="s">
        <v>21</v>
      </c>
      <c r="C1004" t="s">
        <v>11</v>
      </c>
      <c r="D1004" t="s">
        <v>36</v>
      </c>
      <c r="E1004">
        <v>86</v>
      </c>
      <c r="F1004">
        <v>84</v>
      </c>
      <c r="G1004" s="1">
        <v>6550</v>
      </c>
      <c r="H1004" s="1">
        <v>6550</v>
      </c>
      <c r="I1004" s="1">
        <v>12990</v>
      </c>
      <c r="J1004" s="1">
        <v>1983</v>
      </c>
    </row>
    <row r="1005" spans="1:10" x14ac:dyDescent="0.3">
      <c r="A1005" t="s">
        <v>66</v>
      </c>
      <c r="B1005" t="s">
        <v>21</v>
      </c>
      <c r="C1005" t="s">
        <v>11</v>
      </c>
      <c r="D1005" t="s">
        <v>37</v>
      </c>
      <c r="E1005">
        <v>86</v>
      </c>
      <c r="F1005">
        <v>91</v>
      </c>
      <c r="G1005" s="1">
        <v>20830</v>
      </c>
      <c r="H1005" s="1">
        <v>20830</v>
      </c>
      <c r="I1005" s="1">
        <v>45494</v>
      </c>
      <c r="J1005" s="1">
        <v>2184</v>
      </c>
    </row>
    <row r="1006" spans="1:10" x14ac:dyDescent="0.3">
      <c r="A1006" t="s">
        <v>66</v>
      </c>
      <c r="B1006" t="s">
        <v>21</v>
      </c>
      <c r="C1006" t="s">
        <v>11</v>
      </c>
      <c r="D1006" t="s">
        <v>38</v>
      </c>
      <c r="E1006">
        <v>86</v>
      </c>
      <c r="F1006">
        <v>98</v>
      </c>
      <c r="G1006" s="1">
        <v>800</v>
      </c>
      <c r="H1006" s="1">
        <v>800</v>
      </c>
      <c r="I1006" s="1">
        <v>1200</v>
      </c>
      <c r="J1006" s="1">
        <v>1500</v>
      </c>
    </row>
    <row r="1007" spans="1:10" x14ac:dyDescent="0.3">
      <c r="A1007" t="s">
        <v>66</v>
      </c>
      <c r="B1007" t="s">
        <v>21</v>
      </c>
      <c r="C1007" t="s">
        <v>11</v>
      </c>
      <c r="D1007" t="s">
        <v>41</v>
      </c>
      <c r="E1007">
        <v>86</v>
      </c>
      <c r="F1007">
        <v>119</v>
      </c>
      <c r="G1007" s="1">
        <v>3150</v>
      </c>
      <c r="H1007" s="1">
        <v>3150</v>
      </c>
      <c r="I1007" s="1">
        <v>4725</v>
      </c>
      <c r="J1007" s="1">
        <v>1500</v>
      </c>
    </row>
    <row r="1008" spans="1:10" x14ac:dyDescent="0.3">
      <c r="A1008" t="s">
        <v>66</v>
      </c>
      <c r="B1008" t="s">
        <v>21</v>
      </c>
      <c r="C1008" t="s">
        <v>11</v>
      </c>
      <c r="D1008" t="s">
        <v>43</v>
      </c>
      <c r="E1008">
        <v>86</v>
      </c>
      <c r="F1008">
        <v>133</v>
      </c>
      <c r="G1008" s="1">
        <v>15650</v>
      </c>
      <c r="H1008" s="1">
        <v>15650</v>
      </c>
      <c r="I1008" s="1">
        <v>31170</v>
      </c>
      <c r="J1008" s="1">
        <v>1992</v>
      </c>
    </row>
    <row r="1009" spans="1:10" x14ac:dyDescent="0.3">
      <c r="A1009" t="s">
        <v>66</v>
      </c>
      <c r="B1009" t="s">
        <v>21</v>
      </c>
      <c r="C1009" t="s">
        <v>11</v>
      </c>
      <c r="D1009" t="s">
        <v>44</v>
      </c>
      <c r="E1009">
        <v>86</v>
      </c>
      <c r="F1009">
        <v>147</v>
      </c>
      <c r="G1009" s="1">
        <v>5230</v>
      </c>
      <c r="H1009" s="1">
        <v>5230</v>
      </c>
      <c r="I1009" s="1">
        <v>10414</v>
      </c>
      <c r="J1009" s="1">
        <v>1991</v>
      </c>
    </row>
    <row r="1010" spans="1:10" x14ac:dyDescent="0.3">
      <c r="A1010" t="s">
        <v>64</v>
      </c>
      <c r="B1010" t="s">
        <v>22</v>
      </c>
      <c r="C1010" t="s">
        <v>11</v>
      </c>
      <c r="D1010" t="s">
        <v>26</v>
      </c>
      <c r="E1010">
        <v>86</v>
      </c>
      <c r="F1010">
        <v>14</v>
      </c>
      <c r="G1010" s="1">
        <v>1350</v>
      </c>
      <c r="H1010" s="1">
        <v>1350</v>
      </c>
      <c r="I1010" s="1">
        <v>2565</v>
      </c>
      <c r="J1010" s="1">
        <v>1900</v>
      </c>
    </row>
    <row r="1011" spans="1:10" x14ac:dyDescent="0.3">
      <c r="A1011" t="s">
        <v>64</v>
      </c>
      <c r="B1011" t="s">
        <v>22</v>
      </c>
      <c r="C1011" t="s">
        <v>11</v>
      </c>
      <c r="D1011" t="s">
        <v>29</v>
      </c>
      <c r="E1011">
        <v>86</v>
      </c>
      <c r="F1011">
        <v>35</v>
      </c>
      <c r="G1011" s="1">
        <v>1000</v>
      </c>
      <c r="H1011" s="1">
        <v>1000</v>
      </c>
      <c r="I1011" s="1">
        <v>1500</v>
      </c>
      <c r="J1011" s="1">
        <v>1500</v>
      </c>
    </row>
    <row r="1012" spans="1:10" x14ac:dyDescent="0.3">
      <c r="A1012" t="s">
        <v>64</v>
      </c>
      <c r="B1012" t="s">
        <v>22</v>
      </c>
      <c r="C1012" t="s">
        <v>11</v>
      </c>
      <c r="D1012" t="s">
        <v>32</v>
      </c>
      <c r="E1012">
        <v>86</v>
      </c>
      <c r="F1012">
        <v>63</v>
      </c>
      <c r="G1012" s="1">
        <v>6000</v>
      </c>
      <c r="H1012" s="1">
        <v>6000</v>
      </c>
      <c r="I1012" s="1">
        <v>9000</v>
      </c>
      <c r="J1012" s="1">
        <v>1500</v>
      </c>
    </row>
    <row r="1013" spans="1:10" x14ac:dyDescent="0.3">
      <c r="A1013" t="s">
        <v>64</v>
      </c>
      <c r="B1013" t="s">
        <v>22</v>
      </c>
      <c r="C1013" t="s">
        <v>11</v>
      </c>
      <c r="D1013" t="s">
        <v>35</v>
      </c>
      <c r="E1013">
        <v>86</v>
      </c>
      <c r="F1013">
        <v>77</v>
      </c>
      <c r="G1013" s="1">
        <v>500</v>
      </c>
      <c r="H1013" s="1">
        <v>500</v>
      </c>
      <c r="I1013" s="1">
        <v>1100</v>
      </c>
      <c r="J1013" s="1">
        <v>2200</v>
      </c>
    </row>
    <row r="1014" spans="1:10" x14ac:dyDescent="0.3">
      <c r="A1014" t="s">
        <v>64</v>
      </c>
      <c r="B1014" t="s">
        <v>22</v>
      </c>
      <c r="C1014" t="s">
        <v>11</v>
      </c>
      <c r="D1014" t="s">
        <v>36</v>
      </c>
      <c r="E1014">
        <v>86</v>
      </c>
      <c r="F1014">
        <v>84</v>
      </c>
      <c r="G1014" s="1">
        <v>6000</v>
      </c>
      <c r="H1014" s="1">
        <v>6000</v>
      </c>
      <c r="I1014" s="1">
        <v>9000</v>
      </c>
      <c r="J1014" s="1">
        <v>1500</v>
      </c>
    </row>
    <row r="1015" spans="1:10" x14ac:dyDescent="0.3">
      <c r="A1015" t="s">
        <v>64</v>
      </c>
      <c r="B1015" t="s">
        <v>22</v>
      </c>
      <c r="C1015" t="s">
        <v>11</v>
      </c>
      <c r="D1015" t="s">
        <v>37</v>
      </c>
      <c r="E1015">
        <v>86</v>
      </c>
      <c r="F1015">
        <v>91</v>
      </c>
      <c r="G1015" s="1">
        <v>20000</v>
      </c>
      <c r="H1015" s="1">
        <v>20000</v>
      </c>
      <c r="I1015" s="1">
        <v>30000</v>
      </c>
      <c r="J1015" s="1">
        <v>1500</v>
      </c>
    </row>
    <row r="1016" spans="1:10" x14ac:dyDescent="0.3">
      <c r="A1016" t="s">
        <v>64</v>
      </c>
      <c r="B1016" t="s">
        <v>22</v>
      </c>
      <c r="C1016" t="s">
        <v>11</v>
      </c>
      <c r="D1016" t="s">
        <v>38</v>
      </c>
      <c r="E1016">
        <v>86</v>
      </c>
      <c r="F1016">
        <v>98</v>
      </c>
      <c r="G1016" s="1">
        <v>800</v>
      </c>
      <c r="H1016" s="1">
        <v>800</v>
      </c>
      <c r="I1016" s="1">
        <v>1760</v>
      </c>
      <c r="J1016" s="1">
        <v>2200</v>
      </c>
    </row>
    <row r="1017" spans="1:10" x14ac:dyDescent="0.3">
      <c r="A1017" t="s">
        <v>64</v>
      </c>
      <c r="B1017" t="s">
        <v>22</v>
      </c>
      <c r="C1017" t="s">
        <v>11</v>
      </c>
      <c r="D1017" t="s">
        <v>41</v>
      </c>
      <c r="E1017">
        <v>86</v>
      </c>
      <c r="F1017">
        <v>119</v>
      </c>
      <c r="G1017" s="1">
        <v>3150</v>
      </c>
      <c r="H1017" s="1">
        <v>3150</v>
      </c>
      <c r="I1017" s="1">
        <v>7245</v>
      </c>
      <c r="J1017" s="1">
        <v>2300</v>
      </c>
    </row>
    <row r="1018" spans="1:10" x14ac:dyDescent="0.3">
      <c r="A1018" t="s">
        <v>64</v>
      </c>
      <c r="B1018" t="s">
        <v>22</v>
      </c>
      <c r="C1018" t="s">
        <v>11</v>
      </c>
      <c r="D1018" t="s">
        <v>43</v>
      </c>
      <c r="E1018">
        <v>86</v>
      </c>
      <c r="F1018">
        <v>133</v>
      </c>
      <c r="G1018" s="1">
        <v>15000</v>
      </c>
      <c r="H1018" s="1">
        <v>15000</v>
      </c>
      <c r="I1018" s="1">
        <v>22500</v>
      </c>
      <c r="J1018" s="1">
        <v>1500</v>
      </c>
    </row>
    <row r="1019" spans="1:10" x14ac:dyDescent="0.3">
      <c r="A1019" t="s">
        <v>64</v>
      </c>
      <c r="B1019" t="s">
        <v>22</v>
      </c>
      <c r="C1019" t="s">
        <v>11</v>
      </c>
      <c r="D1019" t="s">
        <v>44</v>
      </c>
      <c r="E1019">
        <v>86</v>
      </c>
      <c r="F1019">
        <v>147</v>
      </c>
      <c r="G1019" s="1">
        <v>5000</v>
      </c>
      <c r="H1019" s="1">
        <v>5000</v>
      </c>
      <c r="I1019" s="1">
        <v>7500</v>
      </c>
      <c r="J1019" s="1">
        <v>1500</v>
      </c>
    </row>
    <row r="1020" spans="1:10" x14ac:dyDescent="0.3">
      <c r="A1020" t="s">
        <v>65</v>
      </c>
      <c r="B1020" t="s">
        <v>22</v>
      </c>
      <c r="C1020" t="s">
        <v>11</v>
      </c>
      <c r="D1020" t="s">
        <v>29</v>
      </c>
      <c r="E1020">
        <v>86</v>
      </c>
      <c r="F1020">
        <v>35</v>
      </c>
      <c r="G1020" s="1">
        <v>500</v>
      </c>
      <c r="H1020" s="1">
        <v>500</v>
      </c>
      <c r="I1020" s="1">
        <v>750</v>
      </c>
      <c r="J1020" s="1">
        <v>1500</v>
      </c>
    </row>
    <row r="1021" spans="1:10" x14ac:dyDescent="0.3">
      <c r="A1021" t="s">
        <v>65</v>
      </c>
      <c r="B1021" t="s">
        <v>22</v>
      </c>
      <c r="C1021" t="s">
        <v>11</v>
      </c>
      <c r="D1021" t="s">
        <v>32</v>
      </c>
      <c r="E1021">
        <v>86</v>
      </c>
      <c r="F1021">
        <v>63</v>
      </c>
      <c r="G1021" s="1">
        <v>650</v>
      </c>
      <c r="H1021" s="1">
        <v>650</v>
      </c>
      <c r="I1021" s="1">
        <v>780</v>
      </c>
      <c r="J1021" s="1">
        <v>1200</v>
      </c>
    </row>
    <row r="1022" spans="1:10" x14ac:dyDescent="0.3">
      <c r="A1022" t="s">
        <v>65</v>
      </c>
      <c r="B1022" t="s">
        <v>22</v>
      </c>
      <c r="C1022" t="s">
        <v>11</v>
      </c>
      <c r="D1022" t="s">
        <v>37</v>
      </c>
      <c r="E1022">
        <v>86</v>
      </c>
      <c r="F1022">
        <v>91</v>
      </c>
      <c r="G1022" s="1">
        <v>800</v>
      </c>
      <c r="H1022" s="1">
        <v>800</v>
      </c>
      <c r="I1022" s="1">
        <v>1200</v>
      </c>
      <c r="J1022" s="1">
        <v>1500</v>
      </c>
    </row>
    <row r="1023" spans="1:10" x14ac:dyDescent="0.3">
      <c r="A1023" t="s">
        <v>65</v>
      </c>
      <c r="B1023" t="s">
        <v>22</v>
      </c>
      <c r="C1023" t="s">
        <v>11</v>
      </c>
      <c r="D1023" t="s">
        <v>43</v>
      </c>
      <c r="E1023">
        <v>86</v>
      </c>
      <c r="F1023">
        <v>133</v>
      </c>
      <c r="G1023" s="1">
        <v>700</v>
      </c>
      <c r="H1023" s="1">
        <v>700</v>
      </c>
      <c r="I1023" s="1">
        <v>1050</v>
      </c>
      <c r="J1023" s="1">
        <v>1500</v>
      </c>
    </row>
    <row r="1024" spans="1:10" x14ac:dyDescent="0.3">
      <c r="A1024" t="s">
        <v>65</v>
      </c>
      <c r="B1024" t="s">
        <v>22</v>
      </c>
      <c r="C1024" t="s">
        <v>11</v>
      </c>
      <c r="D1024" t="s">
        <v>44</v>
      </c>
      <c r="E1024">
        <v>86</v>
      </c>
      <c r="F1024">
        <v>147</v>
      </c>
      <c r="G1024" s="1">
        <v>250</v>
      </c>
      <c r="H1024" s="1">
        <v>250</v>
      </c>
      <c r="I1024" s="1">
        <v>375</v>
      </c>
      <c r="J1024" s="1">
        <v>1500</v>
      </c>
    </row>
    <row r="1025" spans="1:10" x14ac:dyDescent="0.3">
      <c r="A1025" t="s">
        <v>66</v>
      </c>
      <c r="B1025" t="s">
        <v>22</v>
      </c>
      <c r="C1025" t="s">
        <v>11</v>
      </c>
      <c r="D1025" t="s">
        <v>26</v>
      </c>
      <c r="E1025">
        <v>86</v>
      </c>
      <c r="F1025">
        <v>14</v>
      </c>
      <c r="G1025" s="1">
        <v>1350</v>
      </c>
      <c r="H1025" s="1">
        <v>1350</v>
      </c>
      <c r="I1025" s="1">
        <v>2565</v>
      </c>
      <c r="J1025" s="1">
        <v>1900</v>
      </c>
    </row>
    <row r="1026" spans="1:10" x14ac:dyDescent="0.3">
      <c r="A1026" t="s">
        <v>66</v>
      </c>
      <c r="B1026" t="s">
        <v>22</v>
      </c>
      <c r="C1026" t="s">
        <v>11</v>
      </c>
      <c r="D1026" t="s">
        <v>29</v>
      </c>
      <c r="E1026">
        <v>86</v>
      </c>
      <c r="F1026">
        <v>35</v>
      </c>
      <c r="G1026" s="1">
        <v>1500</v>
      </c>
      <c r="H1026" s="1">
        <v>1500</v>
      </c>
      <c r="I1026" s="1">
        <v>2250</v>
      </c>
      <c r="J1026" s="1">
        <v>1500</v>
      </c>
    </row>
    <row r="1027" spans="1:10" x14ac:dyDescent="0.3">
      <c r="A1027" t="s">
        <v>66</v>
      </c>
      <c r="B1027" t="s">
        <v>22</v>
      </c>
      <c r="C1027" t="s">
        <v>11</v>
      </c>
      <c r="D1027" t="s">
        <v>32</v>
      </c>
      <c r="E1027">
        <v>86</v>
      </c>
      <c r="F1027">
        <v>63</v>
      </c>
      <c r="G1027" s="1">
        <v>6650</v>
      </c>
      <c r="H1027" s="1">
        <v>6650</v>
      </c>
      <c r="I1027" s="1">
        <v>9780</v>
      </c>
      <c r="J1027" s="1">
        <v>1471</v>
      </c>
    </row>
    <row r="1028" spans="1:10" x14ac:dyDescent="0.3">
      <c r="A1028" t="s">
        <v>66</v>
      </c>
      <c r="B1028" t="s">
        <v>22</v>
      </c>
      <c r="C1028" t="s">
        <v>11</v>
      </c>
      <c r="D1028" t="s">
        <v>35</v>
      </c>
      <c r="E1028">
        <v>86</v>
      </c>
      <c r="F1028">
        <v>77</v>
      </c>
      <c r="G1028" s="1">
        <v>500</v>
      </c>
      <c r="H1028" s="1">
        <v>500</v>
      </c>
      <c r="I1028" s="1">
        <v>1100</v>
      </c>
      <c r="J1028" s="1">
        <v>2200</v>
      </c>
    </row>
    <row r="1029" spans="1:10" x14ac:dyDescent="0.3">
      <c r="A1029" t="s">
        <v>66</v>
      </c>
      <c r="B1029" t="s">
        <v>22</v>
      </c>
      <c r="C1029" t="s">
        <v>11</v>
      </c>
      <c r="D1029" t="s">
        <v>36</v>
      </c>
      <c r="E1029">
        <v>86</v>
      </c>
      <c r="F1029">
        <v>84</v>
      </c>
      <c r="G1029" s="1">
        <v>6000</v>
      </c>
      <c r="H1029" s="1">
        <v>6000</v>
      </c>
      <c r="I1029" s="1">
        <v>9000</v>
      </c>
      <c r="J1029" s="1">
        <v>1500</v>
      </c>
    </row>
    <row r="1030" spans="1:10" x14ac:dyDescent="0.3">
      <c r="A1030" t="s">
        <v>66</v>
      </c>
      <c r="B1030" t="s">
        <v>22</v>
      </c>
      <c r="C1030" t="s">
        <v>11</v>
      </c>
      <c r="D1030" t="s">
        <v>37</v>
      </c>
      <c r="E1030">
        <v>86</v>
      </c>
      <c r="F1030">
        <v>91</v>
      </c>
      <c r="G1030" s="1">
        <v>20800</v>
      </c>
      <c r="H1030" s="1">
        <v>20800</v>
      </c>
      <c r="I1030" s="1">
        <v>31200</v>
      </c>
      <c r="J1030" s="1">
        <v>1500</v>
      </c>
    </row>
    <row r="1031" spans="1:10" x14ac:dyDescent="0.3">
      <c r="A1031" t="s">
        <v>66</v>
      </c>
      <c r="B1031" t="s">
        <v>22</v>
      </c>
      <c r="C1031" t="s">
        <v>11</v>
      </c>
      <c r="D1031" t="s">
        <v>38</v>
      </c>
      <c r="E1031">
        <v>86</v>
      </c>
      <c r="F1031">
        <v>98</v>
      </c>
      <c r="G1031" s="1">
        <v>800</v>
      </c>
      <c r="H1031" s="1">
        <v>800</v>
      </c>
      <c r="I1031" s="1">
        <v>1760</v>
      </c>
      <c r="J1031" s="1">
        <v>2200</v>
      </c>
    </row>
    <row r="1032" spans="1:10" x14ac:dyDescent="0.3">
      <c r="A1032" t="s">
        <v>66</v>
      </c>
      <c r="B1032" t="s">
        <v>22</v>
      </c>
      <c r="C1032" t="s">
        <v>11</v>
      </c>
      <c r="D1032" t="s">
        <v>41</v>
      </c>
      <c r="E1032">
        <v>86</v>
      </c>
      <c r="F1032">
        <v>119</v>
      </c>
      <c r="G1032" s="1">
        <v>3150</v>
      </c>
      <c r="H1032" s="1">
        <v>3150</v>
      </c>
      <c r="I1032" s="1">
        <v>7245</v>
      </c>
      <c r="J1032" s="1">
        <v>2300</v>
      </c>
    </row>
    <row r="1033" spans="1:10" x14ac:dyDescent="0.3">
      <c r="A1033" t="s">
        <v>66</v>
      </c>
      <c r="B1033" t="s">
        <v>22</v>
      </c>
      <c r="C1033" t="s">
        <v>11</v>
      </c>
      <c r="D1033" t="s">
        <v>43</v>
      </c>
      <c r="E1033">
        <v>86</v>
      </c>
      <c r="F1033">
        <v>133</v>
      </c>
      <c r="G1033" s="1">
        <v>15700</v>
      </c>
      <c r="H1033" s="1">
        <v>15700</v>
      </c>
      <c r="I1033" s="1">
        <v>23550</v>
      </c>
      <c r="J1033" s="1">
        <v>1500</v>
      </c>
    </row>
    <row r="1034" spans="1:10" x14ac:dyDescent="0.3">
      <c r="A1034" t="s">
        <v>66</v>
      </c>
      <c r="B1034" t="s">
        <v>22</v>
      </c>
      <c r="C1034" t="s">
        <v>11</v>
      </c>
      <c r="D1034" t="s">
        <v>44</v>
      </c>
      <c r="E1034">
        <v>86</v>
      </c>
      <c r="F1034">
        <v>147</v>
      </c>
      <c r="G1034" s="1">
        <v>5250</v>
      </c>
      <c r="H1034" s="1">
        <v>5250</v>
      </c>
      <c r="I1034" s="1">
        <v>7875</v>
      </c>
      <c r="J1034" s="1">
        <v>1500</v>
      </c>
    </row>
    <row r="1035" spans="1:10" x14ac:dyDescent="0.3">
      <c r="A1035" t="s">
        <v>64</v>
      </c>
      <c r="B1035" t="s">
        <v>22</v>
      </c>
      <c r="C1035" t="s">
        <v>11</v>
      </c>
      <c r="D1035" t="s">
        <v>595</v>
      </c>
      <c r="E1035">
        <v>86</v>
      </c>
      <c r="F1035">
        <v>0</v>
      </c>
      <c r="G1035" s="1">
        <v>58800</v>
      </c>
      <c r="H1035" s="1">
        <v>58800</v>
      </c>
      <c r="I1035" s="1">
        <v>92170</v>
      </c>
      <c r="J1035" s="1">
        <v>1568</v>
      </c>
    </row>
    <row r="1036" spans="1:10" x14ac:dyDescent="0.3">
      <c r="A1036" t="s">
        <v>65</v>
      </c>
      <c r="B1036" t="s">
        <v>22</v>
      </c>
      <c r="C1036" t="s">
        <v>11</v>
      </c>
      <c r="D1036" t="s">
        <v>595</v>
      </c>
      <c r="E1036">
        <v>86</v>
      </c>
      <c r="F1036">
        <v>0</v>
      </c>
      <c r="G1036" s="1">
        <v>2900</v>
      </c>
      <c r="H1036" s="1">
        <v>2900</v>
      </c>
      <c r="I1036" s="1">
        <v>4155</v>
      </c>
      <c r="J1036" s="1">
        <v>1433</v>
      </c>
    </row>
    <row r="1037" spans="1:10" x14ac:dyDescent="0.3">
      <c r="A1037" t="s">
        <v>64</v>
      </c>
      <c r="B1037" t="s">
        <v>23</v>
      </c>
      <c r="C1037" t="s">
        <v>11</v>
      </c>
      <c r="D1037" t="s">
        <v>26</v>
      </c>
      <c r="E1037">
        <v>86</v>
      </c>
      <c r="F1037">
        <v>14</v>
      </c>
      <c r="G1037" s="1">
        <v>3300</v>
      </c>
      <c r="H1037" s="1">
        <v>3300</v>
      </c>
      <c r="I1037" s="1">
        <v>5940</v>
      </c>
      <c r="J1037" s="1">
        <v>1800</v>
      </c>
    </row>
    <row r="1038" spans="1:10" x14ac:dyDescent="0.3">
      <c r="A1038" t="s">
        <v>64</v>
      </c>
      <c r="B1038" t="s">
        <v>23</v>
      </c>
      <c r="C1038" t="s">
        <v>11</v>
      </c>
      <c r="D1038" t="s">
        <v>29</v>
      </c>
      <c r="E1038">
        <v>86</v>
      </c>
      <c r="F1038">
        <v>35</v>
      </c>
      <c r="G1038" s="1">
        <v>1000</v>
      </c>
      <c r="H1038" s="1">
        <v>1000</v>
      </c>
      <c r="I1038" s="1">
        <v>2000</v>
      </c>
      <c r="J1038" s="1">
        <v>2000</v>
      </c>
    </row>
    <row r="1039" spans="1:10" x14ac:dyDescent="0.3">
      <c r="A1039" t="s">
        <v>64</v>
      </c>
      <c r="B1039" t="s">
        <v>23</v>
      </c>
      <c r="C1039" t="s">
        <v>11</v>
      </c>
      <c r="D1039" t="s">
        <v>31</v>
      </c>
      <c r="E1039">
        <v>86</v>
      </c>
      <c r="F1039">
        <v>49</v>
      </c>
      <c r="G1039" s="1">
        <v>2100</v>
      </c>
      <c r="H1039" s="1">
        <v>2100</v>
      </c>
      <c r="I1039" s="1">
        <v>3780</v>
      </c>
      <c r="J1039" s="1">
        <v>1800</v>
      </c>
    </row>
    <row r="1040" spans="1:10" x14ac:dyDescent="0.3">
      <c r="A1040" t="s">
        <v>64</v>
      </c>
      <c r="B1040" t="s">
        <v>23</v>
      </c>
      <c r="C1040" t="s">
        <v>11</v>
      </c>
      <c r="D1040" t="s">
        <v>32</v>
      </c>
      <c r="E1040">
        <v>86</v>
      </c>
      <c r="F1040">
        <v>63</v>
      </c>
      <c r="G1040" s="1">
        <v>6000</v>
      </c>
      <c r="H1040" s="1">
        <v>6000</v>
      </c>
      <c r="I1040" s="1">
        <v>12000</v>
      </c>
      <c r="J1040" s="1">
        <v>2000</v>
      </c>
    </row>
    <row r="1041" spans="1:10" x14ac:dyDescent="0.3">
      <c r="A1041" t="s">
        <v>64</v>
      </c>
      <c r="B1041" t="s">
        <v>23</v>
      </c>
      <c r="C1041" t="s">
        <v>11</v>
      </c>
      <c r="D1041" t="s">
        <v>34</v>
      </c>
      <c r="E1041">
        <v>86</v>
      </c>
      <c r="F1041">
        <v>70</v>
      </c>
      <c r="G1041" s="1">
        <v>1500</v>
      </c>
      <c r="H1041" s="1">
        <v>1500</v>
      </c>
      <c r="I1041" s="1">
        <v>3000</v>
      </c>
      <c r="J1041" s="1">
        <v>2000</v>
      </c>
    </row>
    <row r="1042" spans="1:10" x14ac:dyDescent="0.3">
      <c r="A1042" t="s">
        <v>64</v>
      </c>
      <c r="B1042" t="s">
        <v>23</v>
      </c>
      <c r="C1042" t="s">
        <v>11</v>
      </c>
      <c r="D1042" t="s">
        <v>35</v>
      </c>
      <c r="E1042">
        <v>86</v>
      </c>
      <c r="F1042">
        <v>77</v>
      </c>
      <c r="G1042" s="1">
        <v>2250</v>
      </c>
      <c r="H1042" s="1">
        <v>2250</v>
      </c>
      <c r="I1042" s="1">
        <v>3825</v>
      </c>
      <c r="J1042" s="1">
        <v>1700</v>
      </c>
    </row>
    <row r="1043" spans="1:10" x14ac:dyDescent="0.3">
      <c r="A1043" t="s">
        <v>64</v>
      </c>
      <c r="B1043" t="s">
        <v>23</v>
      </c>
      <c r="C1043" t="s">
        <v>11</v>
      </c>
      <c r="D1043" t="s">
        <v>36</v>
      </c>
      <c r="E1043">
        <v>86</v>
      </c>
      <c r="F1043">
        <v>84</v>
      </c>
      <c r="G1043" s="1">
        <v>7000</v>
      </c>
      <c r="H1043" s="1">
        <v>7000</v>
      </c>
      <c r="I1043" s="1">
        <v>14000</v>
      </c>
      <c r="J1043" s="1">
        <v>2000</v>
      </c>
    </row>
    <row r="1044" spans="1:10" x14ac:dyDescent="0.3">
      <c r="A1044" t="s">
        <v>64</v>
      </c>
      <c r="B1044" t="s">
        <v>23</v>
      </c>
      <c r="C1044" t="s">
        <v>11</v>
      </c>
      <c r="D1044" t="s">
        <v>37</v>
      </c>
      <c r="E1044">
        <v>86</v>
      </c>
      <c r="F1044">
        <v>91</v>
      </c>
      <c r="G1044" s="1">
        <v>20000</v>
      </c>
      <c r="H1044" s="1">
        <v>20000</v>
      </c>
      <c r="I1044" s="1">
        <v>50000</v>
      </c>
      <c r="J1044" s="1">
        <v>2500</v>
      </c>
    </row>
    <row r="1045" spans="1:10" x14ac:dyDescent="0.3">
      <c r="A1045" t="s">
        <v>64</v>
      </c>
      <c r="B1045" t="s">
        <v>23</v>
      </c>
      <c r="C1045" t="s">
        <v>11</v>
      </c>
      <c r="D1045" t="s">
        <v>38</v>
      </c>
      <c r="E1045">
        <v>86</v>
      </c>
      <c r="F1045">
        <v>98</v>
      </c>
      <c r="G1045" s="1">
        <v>2150</v>
      </c>
      <c r="H1045" s="1">
        <v>2150</v>
      </c>
      <c r="I1045" s="1">
        <v>3655</v>
      </c>
      <c r="J1045" s="1">
        <v>1700</v>
      </c>
    </row>
    <row r="1046" spans="1:10" x14ac:dyDescent="0.3">
      <c r="A1046" t="s">
        <v>64</v>
      </c>
      <c r="B1046" t="s">
        <v>23</v>
      </c>
      <c r="C1046" t="s">
        <v>11</v>
      </c>
      <c r="D1046" t="s">
        <v>41</v>
      </c>
      <c r="E1046">
        <v>86</v>
      </c>
      <c r="F1046">
        <v>119</v>
      </c>
      <c r="G1046" s="1">
        <v>6700</v>
      </c>
      <c r="H1046" s="1">
        <v>6700</v>
      </c>
      <c r="I1046" s="1">
        <v>12730</v>
      </c>
      <c r="J1046" s="1">
        <v>1900</v>
      </c>
    </row>
    <row r="1047" spans="1:10" x14ac:dyDescent="0.3">
      <c r="A1047" t="s">
        <v>64</v>
      </c>
      <c r="B1047" t="s">
        <v>23</v>
      </c>
      <c r="C1047" t="s">
        <v>11</v>
      </c>
      <c r="D1047" t="s">
        <v>42</v>
      </c>
      <c r="E1047">
        <v>86</v>
      </c>
      <c r="F1047">
        <v>126</v>
      </c>
      <c r="G1047" s="1">
        <v>11600</v>
      </c>
      <c r="H1047" s="1">
        <v>11600</v>
      </c>
      <c r="I1047" s="1">
        <v>23200</v>
      </c>
      <c r="J1047" s="1">
        <v>2000</v>
      </c>
    </row>
    <row r="1048" spans="1:10" x14ac:dyDescent="0.3">
      <c r="A1048" t="s">
        <v>64</v>
      </c>
      <c r="B1048" t="s">
        <v>23</v>
      </c>
      <c r="C1048" t="s">
        <v>11</v>
      </c>
      <c r="D1048" t="s">
        <v>43</v>
      </c>
      <c r="E1048">
        <v>86</v>
      </c>
      <c r="F1048">
        <v>133</v>
      </c>
      <c r="G1048" s="1">
        <v>15000</v>
      </c>
      <c r="H1048" s="1">
        <v>15000</v>
      </c>
      <c r="I1048" s="1">
        <v>30000</v>
      </c>
      <c r="J1048" s="1">
        <v>2000</v>
      </c>
    </row>
    <row r="1049" spans="1:10" x14ac:dyDescent="0.3">
      <c r="A1049" t="s">
        <v>64</v>
      </c>
      <c r="B1049" t="s">
        <v>23</v>
      </c>
      <c r="C1049" t="s">
        <v>11</v>
      </c>
      <c r="D1049" t="s">
        <v>58</v>
      </c>
      <c r="E1049">
        <v>86</v>
      </c>
      <c r="F1049">
        <v>140</v>
      </c>
      <c r="G1049" s="1">
        <v>2200</v>
      </c>
      <c r="H1049" s="1">
        <v>2200</v>
      </c>
      <c r="I1049" s="1">
        <v>4400</v>
      </c>
      <c r="J1049" s="1">
        <v>2000</v>
      </c>
    </row>
    <row r="1050" spans="1:10" x14ac:dyDescent="0.3">
      <c r="A1050" t="s">
        <v>64</v>
      </c>
      <c r="B1050" t="s">
        <v>23</v>
      </c>
      <c r="C1050" t="s">
        <v>11</v>
      </c>
      <c r="D1050" t="s">
        <v>44</v>
      </c>
      <c r="E1050">
        <v>86</v>
      </c>
      <c r="F1050">
        <v>147</v>
      </c>
      <c r="G1050" s="1">
        <v>10000</v>
      </c>
      <c r="H1050" s="1">
        <v>10000</v>
      </c>
      <c r="I1050" s="1">
        <v>20000</v>
      </c>
      <c r="J1050" s="1">
        <v>2000</v>
      </c>
    </row>
    <row r="1051" spans="1:10" x14ac:dyDescent="0.3">
      <c r="A1051" t="s">
        <v>64</v>
      </c>
      <c r="B1051" t="s">
        <v>23</v>
      </c>
      <c r="C1051" t="s">
        <v>11</v>
      </c>
      <c r="D1051" t="s">
        <v>48</v>
      </c>
      <c r="E1051">
        <v>86</v>
      </c>
      <c r="F1051">
        <v>189</v>
      </c>
      <c r="G1051" s="1">
        <v>100</v>
      </c>
      <c r="H1051" s="1">
        <v>100</v>
      </c>
      <c r="I1051" s="1">
        <v>180</v>
      </c>
      <c r="J1051" s="1">
        <v>1800</v>
      </c>
    </row>
    <row r="1052" spans="1:10" x14ac:dyDescent="0.3">
      <c r="A1052" t="s">
        <v>65</v>
      </c>
      <c r="B1052" t="s">
        <v>23</v>
      </c>
      <c r="C1052" t="s">
        <v>11</v>
      </c>
      <c r="D1052" t="s">
        <v>31</v>
      </c>
      <c r="E1052">
        <v>86</v>
      </c>
      <c r="F1052">
        <v>49</v>
      </c>
      <c r="G1052" s="1">
        <v>300</v>
      </c>
      <c r="H1052" s="1">
        <v>300</v>
      </c>
      <c r="I1052" s="1">
        <v>600</v>
      </c>
      <c r="J1052" s="1">
        <v>2000</v>
      </c>
    </row>
    <row r="1053" spans="1:10" x14ac:dyDescent="0.3">
      <c r="A1053" t="s">
        <v>65</v>
      </c>
      <c r="B1053" t="s">
        <v>23</v>
      </c>
      <c r="C1053" t="s">
        <v>11</v>
      </c>
      <c r="D1053" t="s">
        <v>32</v>
      </c>
      <c r="E1053">
        <v>86</v>
      </c>
      <c r="F1053">
        <v>63</v>
      </c>
      <c r="G1053" s="1">
        <v>700</v>
      </c>
      <c r="H1053" s="1">
        <v>700</v>
      </c>
      <c r="I1053" s="1">
        <v>1050</v>
      </c>
      <c r="J1053" s="1">
        <v>1500</v>
      </c>
    </row>
    <row r="1054" spans="1:10" x14ac:dyDescent="0.3">
      <c r="A1054" t="s">
        <v>65</v>
      </c>
      <c r="B1054" t="s">
        <v>23</v>
      </c>
      <c r="C1054" t="s">
        <v>11</v>
      </c>
      <c r="D1054" t="s">
        <v>34</v>
      </c>
      <c r="E1054">
        <v>86</v>
      </c>
      <c r="F1054">
        <v>70</v>
      </c>
      <c r="G1054" s="1">
        <v>1500</v>
      </c>
      <c r="H1054" s="1">
        <v>1500</v>
      </c>
      <c r="I1054" s="1">
        <v>2700</v>
      </c>
      <c r="J1054" s="1">
        <v>1800</v>
      </c>
    </row>
    <row r="1055" spans="1:10" x14ac:dyDescent="0.3">
      <c r="A1055" t="s">
        <v>65</v>
      </c>
      <c r="B1055" t="s">
        <v>23</v>
      </c>
      <c r="C1055" t="s">
        <v>11</v>
      </c>
      <c r="D1055" t="s">
        <v>36</v>
      </c>
      <c r="E1055">
        <v>86</v>
      </c>
      <c r="F1055">
        <v>84</v>
      </c>
      <c r="G1055" s="1">
        <v>1200</v>
      </c>
      <c r="H1055" s="1">
        <v>1200</v>
      </c>
      <c r="I1055" s="1">
        <v>2160</v>
      </c>
      <c r="J1055" s="1">
        <v>1800</v>
      </c>
    </row>
    <row r="1056" spans="1:10" x14ac:dyDescent="0.3">
      <c r="A1056" t="s">
        <v>65</v>
      </c>
      <c r="B1056" t="s">
        <v>23</v>
      </c>
      <c r="C1056" t="s">
        <v>11</v>
      </c>
      <c r="D1056" t="s">
        <v>37</v>
      </c>
      <c r="E1056">
        <v>86</v>
      </c>
      <c r="F1056">
        <v>91</v>
      </c>
      <c r="G1056" s="1">
        <v>1300</v>
      </c>
      <c r="H1056" s="1">
        <v>1300</v>
      </c>
      <c r="I1056" s="1">
        <v>2600</v>
      </c>
      <c r="J1056" s="1">
        <v>2000</v>
      </c>
    </row>
    <row r="1057" spans="1:10" x14ac:dyDescent="0.3">
      <c r="A1057" t="s">
        <v>65</v>
      </c>
      <c r="B1057" t="s">
        <v>23</v>
      </c>
      <c r="C1057" t="s">
        <v>11</v>
      </c>
      <c r="D1057" t="s">
        <v>42</v>
      </c>
      <c r="E1057">
        <v>86</v>
      </c>
      <c r="F1057">
        <v>126</v>
      </c>
      <c r="G1057" s="1">
        <v>500</v>
      </c>
      <c r="H1057" s="1">
        <v>500</v>
      </c>
      <c r="I1057" s="1">
        <v>900</v>
      </c>
      <c r="J1057" s="1">
        <v>1800</v>
      </c>
    </row>
    <row r="1058" spans="1:10" x14ac:dyDescent="0.3">
      <c r="A1058" t="s">
        <v>65</v>
      </c>
      <c r="B1058" t="s">
        <v>23</v>
      </c>
      <c r="C1058" t="s">
        <v>11</v>
      </c>
      <c r="D1058" t="s">
        <v>43</v>
      </c>
      <c r="E1058">
        <v>86</v>
      </c>
      <c r="F1058">
        <v>133</v>
      </c>
      <c r="G1058" s="1">
        <v>700</v>
      </c>
      <c r="H1058" s="1">
        <v>700</v>
      </c>
      <c r="I1058" s="1">
        <v>1400</v>
      </c>
      <c r="J1058" s="1">
        <v>2000</v>
      </c>
    </row>
    <row r="1059" spans="1:10" x14ac:dyDescent="0.3">
      <c r="A1059" t="s">
        <v>66</v>
      </c>
      <c r="B1059" t="s">
        <v>23</v>
      </c>
      <c r="C1059" t="s">
        <v>11</v>
      </c>
      <c r="D1059" t="s">
        <v>26</v>
      </c>
      <c r="E1059">
        <v>86</v>
      </c>
      <c r="F1059">
        <v>14</v>
      </c>
      <c r="G1059" s="1">
        <v>3300</v>
      </c>
      <c r="H1059" s="1">
        <v>3300</v>
      </c>
      <c r="I1059" s="1">
        <v>5940</v>
      </c>
      <c r="J1059" s="1">
        <v>1800</v>
      </c>
    </row>
    <row r="1060" spans="1:10" x14ac:dyDescent="0.3">
      <c r="A1060" t="s">
        <v>66</v>
      </c>
      <c r="B1060" t="s">
        <v>23</v>
      </c>
      <c r="C1060" t="s">
        <v>11</v>
      </c>
      <c r="D1060" t="s">
        <v>29</v>
      </c>
      <c r="E1060">
        <v>86</v>
      </c>
      <c r="F1060">
        <v>35</v>
      </c>
      <c r="G1060" s="1">
        <v>1000</v>
      </c>
      <c r="H1060" s="1">
        <v>1000</v>
      </c>
      <c r="I1060" s="1">
        <v>2000</v>
      </c>
      <c r="J1060" s="1">
        <v>2000</v>
      </c>
    </row>
    <row r="1061" spans="1:10" x14ac:dyDescent="0.3">
      <c r="A1061" t="s">
        <v>66</v>
      </c>
      <c r="B1061" t="s">
        <v>23</v>
      </c>
      <c r="C1061" t="s">
        <v>11</v>
      </c>
      <c r="D1061" t="s">
        <v>31</v>
      </c>
      <c r="E1061">
        <v>86</v>
      </c>
      <c r="F1061">
        <v>49</v>
      </c>
      <c r="G1061" s="1">
        <v>2400</v>
      </c>
      <c r="H1061" s="1">
        <v>2400</v>
      </c>
      <c r="I1061" s="1">
        <v>4380</v>
      </c>
      <c r="J1061" s="1">
        <v>1825</v>
      </c>
    </row>
    <row r="1062" spans="1:10" x14ac:dyDescent="0.3">
      <c r="A1062" t="s">
        <v>66</v>
      </c>
      <c r="B1062" t="s">
        <v>23</v>
      </c>
      <c r="C1062" t="s">
        <v>11</v>
      </c>
      <c r="D1062" t="s">
        <v>32</v>
      </c>
      <c r="E1062">
        <v>86</v>
      </c>
      <c r="F1062">
        <v>63</v>
      </c>
      <c r="G1062" s="1">
        <v>6700</v>
      </c>
      <c r="H1062" s="1">
        <v>6700</v>
      </c>
      <c r="I1062" s="1">
        <v>13050</v>
      </c>
      <c r="J1062" s="1">
        <v>1948</v>
      </c>
    </row>
    <row r="1063" spans="1:10" x14ac:dyDescent="0.3">
      <c r="A1063" t="s">
        <v>66</v>
      </c>
      <c r="B1063" t="s">
        <v>23</v>
      </c>
      <c r="C1063" t="s">
        <v>11</v>
      </c>
      <c r="D1063" t="s">
        <v>34</v>
      </c>
      <c r="E1063">
        <v>86</v>
      </c>
      <c r="F1063">
        <v>70</v>
      </c>
      <c r="G1063" s="1">
        <v>3000</v>
      </c>
      <c r="H1063" s="1">
        <v>3000</v>
      </c>
      <c r="I1063" s="1">
        <v>5700</v>
      </c>
      <c r="J1063" s="1">
        <v>1900</v>
      </c>
    </row>
    <row r="1064" spans="1:10" x14ac:dyDescent="0.3">
      <c r="A1064" t="s">
        <v>66</v>
      </c>
      <c r="B1064" t="s">
        <v>23</v>
      </c>
      <c r="C1064" t="s">
        <v>11</v>
      </c>
      <c r="D1064" t="s">
        <v>35</v>
      </c>
      <c r="E1064">
        <v>86</v>
      </c>
      <c r="F1064">
        <v>77</v>
      </c>
      <c r="G1064" s="1">
        <v>2250</v>
      </c>
      <c r="H1064" s="1">
        <v>2250</v>
      </c>
      <c r="I1064" s="1">
        <v>3825</v>
      </c>
      <c r="J1064" s="1">
        <v>1700</v>
      </c>
    </row>
    <row r="1065" spans="1:10" x14ac:dyDescent="0.3">
      <c r="A1065" t="s">
        <v>66</v>
      </c>
      <c r="B1065" t="s">
        <v>23</v>
      </c>
      <c r="C1065" t="s">
        <v>11</v>
      </c>
      <c r="D1065" t="s">
        <v>36</v>
      </c>
      <c r="E1065">
        <v>86</v>
      </c>
      <c r="F1065">
        <v>84</v>
      </c>
      <c r="G1065" s="1">
        <v>8200</v>
      </c>
      <c r="H1065" s="1">
        <v>8200</v>
      </c>
      <c r="I1065" s="1">
        <v>16160</v>
      </c>
      <c r="J1065" s="1">
        <v>1971</v>
      </c>
    </row>
    <row r="1066" spans="1:10" x14ac:dyDescent="0.3">
      <c r="A1066" t="s">
        <v>66</v>
      </c>
      <c r="B1066" t="s">
        <v>23</v>
      </c>
      <c r="C1066" t="s">
        <v>11</v>
      </c>
      <c r="D1066" t="s">
        <v>37</v>
      </c>
      <c r="E1066">
        <v>86</v>
      </c>
      <c r="F1066">
        <v>91</v>
      </c>
      <c r="G1066" s="1">
        <v>21300</v>
      </c>
      <c r="H1066" s="1">
        <v>21300</v>
      </c>
      <c r="I1066" s="1">
        <v>52600</v>
      </c>
      <c r="J1066" s="1">
        <v>2469</v>
      </c>
    </row>
    <row r="1067" spans="1:10" x14ac:dyDescent="0.3">
      <c r="A1067" t="s">
        <v>66</v>
      </c>
      <c r="B1067" t="s">
        <v>23</v>
      </c>
      <c r="C1067" t="s">
        <v>11</v>
      </c>
      <c r="D1067" t="s">
        <v>38</v>
      </c>
      <c r="E1067">
        <v>86</v>
      </c>
      <c r="F1067">
        <v>98</v>
      </c>
      <c r="G1067" s="1">
        <v>2150</v>
      </c>
      <c r="H1067" s="1">
        <v>2150</v>
      </c>
      <c r="I1067" s="1">
        <v>3655</v>
      </c>
      <c r="J1067" s="1">
        <v>1700</v>
      </c>
    </row>
    <row r="1068" spans="1:10" x14ac:dyDescent="0.3">
      <c r="A1068" t="s">
        <v>66</v>
      </c>
      <c r="B1068" t="s">
        <v>23</v>
      </c>
      <c r="C1068" t="s">
        <v>11</v>
      </c>
      <c r="D1068" t="s">
        <v>41</v>
      </c>
      <c r="E1068">
        <v>86</v>
      </c>
      <c r="F1068">
        <v>119</v>
      </c>
      <c r="G1068" s="1">
        <v>6700</v>
      </c>
      <c r="H1068" s="1">
        <v>6700</v>
      </c>
      <c r="I1068" s="1">
        <v>12730</v>
      </c>
      <c r="J1068" s="1">
        <v>1900</v>
      </c>
    </row>
    <row r="1069" spans="1:10" x14ac:dyDescent="0.3">
      <c r="A1069" t="s">
        <v>66</v>
      </c>
      <c r="B1069" t="s">
        <v>23</v>
      </c>
      <c r="C1069" t="s">
        <v>11</v>
      </c>
      <c r="D1069" t="s">
        <v>42</v>
      </c>
      <c r="E1069">
        <v>86</v>
      </c>
      <c r="F1069">
        <v>126</v>
      </c>
      <c r="G1069" s="1">
        <v>12100</v>
      </c>
      <c r="H1069" s="1">
        <v>12100</v>
      </c>
      <c r="I1069" s="1">
        <v>24100</v>
      </c>
      <c r="J1069" s="1">
        <v>1992</v>
      </c>
    </row>
    <row r="1070" spans="1:10" x14ac:dyDescent="0.3">
      <c r="A1070" t="s">
        <v>66</v>
      </c>
      <c r="B1070" t="s">
        <v>23</v>
      </c>
      <c r="C1070" t="s">
        <v>11</v>
      </c>
      <c r="D1070" t="s">
        <v>43</v>
      </c>
      <c r="E1070">
        <v>86</v>
      </c>
      <c r="F1070">
        <v>133</v>
      </c>
      <c r="G1070" s="1">
        <v>15700</v>
      </c>
      <c r="H1070" s="1">
        <v>15700</v>
      </c>
      <c r="I1070" s="1">
        <v>31400</v>
      </c>
      <c r="J1070" s="1">
        <v>2000</v>
      </c>
    </row>
    <row r="1071" spans="1:10" x14ac:dyDescent="0.3">
      <c r="A1071" t="s">
        <v>66</v>
      </c>
      <c r="B1071" t="s">
        <v>23</v>
      </c>
      <c r="C1071" t="s">
        <v>11</v>
      </c>
      <c r="D1071" t="s">
        <v>58</v>
      </c>
      <c r="E1071">
        <v>86</v>
      </c>
      <c r="F1071">
        <v>140</v>
      </c>
      <c r="G1071" s="1">
        <v>2200</v>
      </c>
      <c r="H1071" s="1">
        <v>2200</v>
      </c>
      <c r="I1071" s="1">
        <v>4400</v>
      </c>
      <c r="J1071" s="1">
        <v>2000</v>
      </c>
    </row>
    <row r="1072" spans="1:10" x14ac:dyDescent="0.3">
      <c r="A1072" t="s">
        <v>66</v>
      </c>
      <c r="B1072" t="s">
        <v>23</v>
      </c>
      <c r="C1072" t="s">
        <v>11</v>
      </c>
      <c r="D1072" t="s">
        <v>44</v>
      </c>
      <c r="E1072">
        <v>86</v>
      </c>
      <c r="F1072">
        <v>147</v>
      </c>
      <c r="G1072" s="1">
        <v>10000</v>
      </c>
      <c r="H1072" s="1">
        <v>10000</v>
      </c>
      <c r="I1072" s="1">
        <v>20000</v>
      </c>
      <c r="J1072" s="1">
        <v>2000</v>
      </c>
    </row>
    <row r="1073" spans="1:10" x14ac:dyDescent="0.3">
      <c r="A1073" t="s">
        <v>66</v>
      </c>
      <c r="B1073" t="s">
        <v>23</v>
      </c>
      <c r="C1073" t="s">
        <v>11</v>
      </c>
      <c r="D1073" t="s">
        <v>48</v>
      </c>
      <c r="E1073">
        <v>86</v>
      </c>
      <c r="F1073">
        <v>189</v>
      </c>
      <c r="G1073" s="1">
        <v>100</v>
      </c>
      <c r="H1073" s="1">
        <v>100</v>
      </c>
      <c r="I1073" s="1">
        <v>180</v>
      </c>
      <c r="J1073" s="1">
        <v>1800</v>
      </c>
    </row>
    <row r="1074" spans="1:10" x14ac:dyDescent="0.3">
      <c r="A1074" t="s">
        <v>64</v>
      </c>
      <c r="B1074" t="s">
        <v>23</v>
      </c>
      <c r="C1074" t="s">
        <v>11</v>
      </c>
      <c r="D1074" t="s">
        <v>595</v>
      </c>
      <c r="E1074">
        <v>86</v>
      </c>
      <c r="F1074">
        <v>0</v>
      </c>
      <c r="G1074" s="1">
        <v>90900</v>
      </c>
      <c r="H1074" s="1">
        <v>90900</v>
      </c>
      <c r="I1074" s="1">
        <v>188710</v>
      </c>
      <c r="J1074" s="1">
        <v>2076</v>
      </c>
    </row>
    <row r="1075" spans="1:10" x14ac:dyDescent="0.3">
      <c r="A1075" t="s">
        <v>65</v>
      </c>
      <c r="B1075" t="s">
        <v>23</v>
      </c>
      <c r="C1075" t="s">
        <v>11</v>
      </c>
      <c r="D1075" t="s">
        <v>595</v>
      </c>
      <c r="E1075">
        <v>86</v>
      </c>
      <c r="F1075">
        <v>0</v>
      </c>
      <c r="G1075" s="1">
        <v>6200</v>
      </c>
      <c r="H1075" s="1">
        <v>6200</v>
      </c>
      <c r="I1075" s="1">
        <v>11410</v>
      </c>
      <c r="J1075" s="1">
        <v>1840</v>
      </c>
    </row>
    <row r="1076" spans="1:10" x14ac:dyDescent="0.3">
      <c r="A1076" t="s">
        <v>64</v>
      </c>
      <c r="B1076" t="s">
        <v>24</v>
      </c>
      <c r="C1076" t="s">
        <v>11</v>
      </c>
      <c r="D1076" t="s">
        <v>26</v>
      </c>
      <c r="E1076">
        <v>86</v>
      </c>
      <c r="F1076">
        <v>14</v>
      </c>
      <c r="G1076" s="1">
        <v>2850</v>
      </c>
      <c r="H1076" s="1">
        <v>2850</v>
      </c>
      <c r="I1076" s="1">
        <v>3705</v>
      </c>
      <c r="J1076" s="1">
        <v>1300</v>
      </c>
    </row>
    <row r="1077" spans="1:10" x14ac:dyDescent="0.3">
      <c r="A1077" t="s">
        <v>64</v>
      </c>
      <c r="B1077" t="s">
        <v>24</v>
      </c>
      <c r="C1077" t="s">
        <v>11</v>
      </c>
      <c r="D1077" t="s">
        <v>29</v>
      </c>
      <c r="E1077">
        <v>86</v>
      </c>
      <c r="F1077">
        <v>35</v>
      </c>
      <c r="G1077" s="1">
        <v>960</v>
      </c>
      <c r="H1077" s="1">
        <v>960</v>
      </c>
      <c r="I1077" s="1">
        <v>960</v>
      </c>
      <c r="J1077" s="1">
        <v>1000</v>
      </c>
    </row>
    <row r="1078" spans="1:10" x14ac:dyDescent="0.3">
      <c r="A1078" t="s">
        <v>64</v>
      </c>
      <c r="B1078" t="s">
        <v>24</v>
      </c>
      <c r="C1078" t="s">
        <v>11</v>
      </c>
      <c r="D1078" t="s">
        <v>31</v>
      </c>
      <c r="E1078">
        <v>86</v>
      </c>
      <c r="F1078">
        <v>49</v>
      </c>
      <c r="G1078" s="1">
        <v>2000</v>
      </c>
      <c r="H1078" s="1">
        <v>1985</v>
      </c>
      <c r="I1078" s="1">
        <v>1588</v>
      </c>
      <c r="J1078" s="1">
        <v>800</v>
      </c>
    </row>
    <row r="1079" spans="1:10" x14ac:dyDescent="0.3">
      <c r="A1079" t="s">
        <v>64</v>
      </c>
      <c r="B1079" t="s">
        <v>24</v>
      </c>
      <c r="C1079" t="s">
        <v>11</v>
      </c>
      <c r="D1079" t="s">
        <v>32</v>
      </c>
      <c r="E1079">
        <v>86</v>
      </c>
      <c r="F1079">
        <v>63</v>
      </c>
      <c r="G1079" s="1">
        <v>5730</v>
      </c>
      <c r="H1079" s="1">
        <v>5710</v>
      </c>
      <c r="I1079" s="1">
        <v>4568</v>
      </c>
      <c r="J1079" s="1">
        <v>800</v>
      </c>
    </row>
    <row r="1080" spans="1:10" x14ac:dyDescent="0.3">
      <c r="A1080" t="s">
        <v>64</v>
      </c>
      <c r="B1080" t="s">
        <v>24</v>
      </c>
      <c r="C1080" t="s">
        <v>11</v>
      </c>
      <c r="D1080" t="s">
        <v>34</v>
      </c>
      <c r="E1080">
        <v>86</v>
      </c>
      <c r="F1080">
        <v>70</v>
      </c>
      <c r="G1080" s="1">
        <v>1450</v>
      </c>
      <c r="H1080" s="1">
        <v>1435</v>
      </c>
      <c r="I1080" s="1">
        <v>1162</v>
      </c>
      <c r="J1080" s="1">
        <v>810</v>
      </c>
    </row>
    <row r="1081" spans="1:10" x14ac:dyDescent="0.3">
      <c r="A1081" t="s">
        <v>64</v>
      </c>
      <c r="B1081" t="s">
        <v>24</v>
      </c>
      <c r="C1081" t="s">
        <v>11</v>
      </c>
      <c r="D1081" t="s">
        <v>35</v>
      </c>
      <c r="E1081">
        <v>86</v>
      </c>
      <c r="F1081">
        <v>77</v>
      </c>
      <c r="G1081" s="1">
        <v>2000</v>
      </c>
      <c r="H1081" s="1">
        <v>2000</v>
      </c>
      <c r="I1081" s="1">
        <v>3800</v>
      </c>
      <c r="J1081" s="1">
        <v>1900</v>
      </c>
    </row>
    <row r="1082" spans="1:10" x14ac:dyDescent="0.3">
      <c r="A1082" t="s">
        <v>64</v>
      </c>
      <c r="B1082" t="s">
        <v>24</v>
      </c>
      <c r="C1082" t="s">
        <v>11</v>
      </c>
      <c r="D1082" t="s">
        <v>36</v>
      </c>
      <c r="E1082">
        <v>86</v>
      </c>
      <c r="F1082">
        <v>84</v>
      </c>
      <c r="G1082" s="1">
        <v>6700</v>
      </c>
      <c r="H1082" s="1">
        <v>6640</v>
      </c>
      <c r="I1082" s="1">
        <v>5445</v>
      </c>
      <c r="J1082" s="1">
        <v>820</v>
      </c>
    </row>
    <row r="1083" spans="1:10" x14ac:dyDescent="0.3">
      <c r="A1083" t="s">
        <v>64</v>
      </c>
      <c r="B1083" t="s">
        <v>24</v>
      </c>
      <c r="C1083" t="s">
        <v>11</v>
      </c>
      <c r="D1083" t="s">
        <v>37</v>
      </c>
      <c r="E1083">
        <v>86</v>
      </c>
      <c r="F1083">
        <v>91</v>
      </c>
      <c r="G1083" s="1">
        <v>19110</v>
      </c>
      <c r="H1083" s="1">
        <v>19025</v>
      </c>
      <c r="I1083" s="1">
        <v>15981</v>
      </c>
      <c r="J1083" s="1">
        <v>840</v>
      </c>
    </row>
    <row r="1084" spans="1:10" x14ac:dyDescent="0.3">
      <c r="A1084" t="s">
        <v>64</v>
      </c>
      <c r="B1084" t="s">
        <v>24</v>
      </c>
      <c r="C1084" t="s">
        <v>11</v>
      </c>
      <c r="D1084" t="s">
        <v>38</v>
      </c>
      <c r="E1084">
        <v>86</v>
      </c>
      <c r="F1084">
        <v>98</v>
      </c>
      <c r="G1084" s="1">
        <v>1960</v>
      </c>
      <c r="H1084" s="1">
        <v>1960</v>
      </c>
      <c r="I1084" s="1">
        <v>3136</v>
      </c>
      <c r="J1084" s="1">
        <v>1600</v>
      </c>
    </row>
    <row r="1085" spans="1:10" x14ac:dyDescent="0.3">
      <c r="A1085" t="s">
        <v>64</v>
      </c>
      <c r="B1085" t="s">
        <v>24</v>
      </c>
      <c r="C1085" t="s">
        <v>11</v>
      </c>
      <c r="D1085" t="s">
        <v>41</v>
      </c>
      <c r="E1085">
        <v>86</v>
      </c>
      <c r="F1085">
        <v>119</v>
      </c>
      <c r="G1085" s="1">
        <v>5200</v>
      </c>
      <c r="H1085" s="1">
        <v>5200</v>
      </c>
      <c r="I1085" s="1">
        <v>7800</v>
      </c>
      <c r="J1085" s="1">
        <v>1500</v>
      </c>
    </row>
    <row r="1086" spans="1:10" x14ac:dyDescent="0.3">
      <c r="A1086" t="s">
        <v>64</v>
      </c>
      <c r="B1086" t="s">
        <v>24</v>
      </c>
      <c r="C1086" t="s">
        <v>11</v>
      </c>
      <c r="D1086" t="s">
        <v>42</v>
      </c>
      <c r="E1086">
        <v>86</v>
      </c>
      <c r="F1086">
        <v>126</v>
      </c>
      <c r="G1086" s="1">
        <v>11100</v>
      </c>
      <c r="H1086" s="1">
        <v>11020</v>
      </c>
      <c r="I1086" s="1">
        <v>10138</v>
      </c>
      <c r="J1086" s="1">
        <v>920</v>
      </c>
    </row>
    <row r="1087" spans="1:10" x14ac:dyDescent="0.3">
      <c r="A1087" t="s">
        <v>64</v>
      </c>
      <c r="B1087" t="s">
        <v>24</v>
      </c>
      <c r="C1087" t="s">
        <v>11</v>
      </c>
      <c r="D1087" t="s">
        <v>43</v>
      </c>
      <c r="E1087">
        <v>86</v>
      </c>
      <c r="F1087">
        <v>133</v>
      </c>
      <c r="G1087" s="1">
        <v>14300</v>
      </c>
      <c r="H1087" s="1">
        <v>14225</v>
      </c>
      <c r="I1087" s="1">
        <v>13514</v>
      </c>
      <c r="J1087" s="1">
        <v>950</v>
      </c>
    </row>
    <row r="1088" spans="1:10" x14ac:dyDescent="0.3">
      <c r="A1088" t="s">
        <v>64</v>
      </c>
      <c r="B1088" t="s">
        <v>24</v>
      </c>
      <c r="C1088" t="s">
        <v>11</v>
      </c>
      <c r="D1088" t="s">
        <v>58</v>
      </c>
      <c r="E1088">
        <v>86</v>
      </c>
      <c r="F1088">
        <v>140</v>
      </c>
      <c r="G1088" s="1">
        <v>2100</v>
      </c>
      <c r="H1088" s="1">
        <v>2050</v>
      </c>
      <c r="I1088" s="1">
        <v>2153</v>
      </c>
      <c r="J1088" s="1">
        <v>1050</v>
      </c>
    </row>
    <row r="1089" spans="1:10" x14ac:dyDescent="0.3">
      <c r="A1089" t="s">
        <v>64</v>
      </c>
      <c r="B1089" t="s">
        <v>24</v>
      </c>
      <c r="C1089" t="s">
        <v>11</v>
      </c>
      <c r="D1089" t="s">
        <v>44</v>
      </c>
      <c r="E1089">
        <v>86</v>
      </c>
      <c r="F1089">
        <v>147</v>
      </c>
      <c r="G1089" s="1">
        <v>9550</v>
      </c>
      <c r="H1089" s="1">
        <v>9505</v>
      </c>
      <c r="I1089" s="1">
        <v>10931</v>
      </c>
      <c r="J1089" s="1">
        <v>1150</v>
      </c>
    </row>
    <row r="1090" spans="1:10" x14ac:dyDescent="0.3">
      <c r="A1090" t="s">
        <v>65</v>
      </c>
      <c r="B1090" t="s">
        <v>24</v>
      </c>
      <c r="C1090" t="s">
        <v>11</v>
      </c>
      <c r="D1090" t="s">
        <v>31</v>
      </c>
      <c r="E1090">
        <v>86</v>
      </c>
      <c r="F1090">
        <v>49</v>
      </c>
      <c r="G1090" s="1">
        <v>300</v>
      </c>
      <c r="H1090" s="1">
        <v>295</v>
      </c>
      <c r="I1090" s="1">
        <v>443</v>
      </c>
      <c r="J1090" s="1">
        <v>1500</v>
      </c>
    </row>
    <row r="1091" spans="1:10" x14ac:dyDescent="0.3">
      <c r="A1091" t="s">
        <v>65</v>
      </c>
      <c r="B1091" t="s">
        <v>24</v>
      </c>
      <c r="C1091" t="s">
        <v>11</v>
      </c>
      <c r="D1091" t="s">
        <v>32</v>
      </c>
      <c r="E1091">
        <v>86</v>
      </c>
      <c r="F1091">
        <v>63</v>
      </c>
      <c r="G1091" s="1">
        <v>700</v>
      </c>
      <c r="H1091" s="1">
        <v>685</v>
      </c>
      <c r="I1091" s="1">
        <v>959</v>
      </c>
      <c r="J1091" s="1">
        <v>1400</v>
      </c>
    </row>
    <row r="1092" spans="1:10" x14ac:dyDescent="0.3">
      <c r="A1092" t="s">
        <v>65</v>
      </c>
      <c r="B1092" t="s">
        <v>24</v>
      </c>
      <c r="C1092" t="s">
        <v>11</v>
      </c>
      <c r="D1092" t="s">
        <v>34</v>
      </c>
      <c r="E1092">
        <v>86</v>
      </c>
      <c r="F1092">
        <v>70</v>
      </c>
      <c r="G1092" s="1">
        <v>1500</v>
      </c>
      <c r="H1092" s="1">
        <v>1490</v>
      </c>
      <c r="I1092" s="1">
        <v>3725</v>
      </c>
      <c r="J1092" s="1">
        <v>2500</v>
      </c>
    </row>
    <row r="1093" spans="1:10" x14ac:dyDescent="0.3">
      <c r="A1093" t="s">
        <v>65</v>
      </c>
      <c r="B1093" t="s">
        <v>24</v>
      </c>
      <c r="C1093" t="s">
        <v>11</v>
      </c>
      <c r="D1093" t="s">
        <v>36</v>
      </c>
      <c r="E1093">
        <v>86</v>
      </c>
      <c r="F1093">
        <v>84</v>
      </c>
      <c r="G1093" s="1">
        <v>1200</v>
      </c>
      <c r="H1093" s="1">
        <v>1175</v>
      </c>
      <c r="I1093" s="1">
        <v>1763</v>
      </c>
      <c r="J1093" s="1">
        <v>1500</v>
      </c>
    </row>
    <row r="1094" spans="1:10" x14ac:dyDescent="0.3">
      <c r="A1094" t="s">
        <v>65</v>
      </c>
      <c r="B1094" t="s">
        <v>24</v>
      </c>
      <c r="C1094" t="s">
        <v>11</v>
      </c>
      <c r="D1094" t="s">
        <v>37</v>
      </c>
      <c r="E1094">
        <v>86</v>
      </c>
      <c r="F1094">
        <v>91</v>
      </c>
      <c r="G1094" s="1">
        <v>1300</v>
      </c>
      <c r="H1094" s="1">
        <v>1275</v>
      </c>
      <c r="I1094" s="1">
        <v>1785</v>
      </c>
      <c r="J1094" s="1">
        <v>1400</v>
      </c>
    </row>
    <row r="1095" spans="1:10" x14ac:dyDescent="0.3">
      <c r="A1095" t="s">
        <v>65</v>
      </c>
      <c r="B1095" t="s">
        <v>24</v>
      </c>
      <c r="C1095" t="s">
        <v>11</v>
      </c>
      <c r="D1095" t="s">
        <v>42</v>
      </c>
      <c r="E1095">
        <v>86</v>
      </c>
      <c r="F1095">
        <v>126</v>
      </c>
      <c r="G1095" s="1">
        <v>500</v>
      </c>
      <c r="H1095" s="1">
        <v>481</v>
      </c>
      <c r="I1095" s="1">
        <v>481</v>
      </c>
      <c r="J1095" s="1">
        <v>1000</v>
      </c>
    </row>
    <row r="1096" spans="1:10" x14ac:dyDescent="0.3">
      <c r="A1096" t="s">
        <v>65</v>
      </c>
      <c r="B1096" t="s">
        <v>24</v>
      </c>
      <c r="C1096" t="s">
        <v>11</v>
      </c>
      <c r="D1096" t="s">
        <v>43</v>
      </c>
      <c r="E1096">
        <v>86</v>
      </c>
      <c r="F1096">
        <v>133</v>
      </c>
      <c r="G1096" s="1">
        <v>700</v>
      </c>
      <c r="H1096" s="1">
        <v>700</v>
      </c>
      <c r="I1096" s="1">
        <v>1050</v>
      </c>
      <c r="J1096" s="1">
        <v>1500</v>
      </c>
    </row>
    <row r="1097" spans="1:10" x14ac:dyDescent="0.3">
      <c r="A1097" t="s">
        <v>65</v>
      </c>
      <c r="B1097" t="s">
        <v>24</v>
      </c>
      <c r="C1097" t="s">
        <v>11</v>
      </c>
      <c r="D1097" t="s">
        <v>44</v>
      </c>
      <c r="E1097">
        <v>86</v>
      </c>
      <c r="F1097">
        <v>147</v>
      </c>
      <c r="G1097" s="1">
        <v>3300</v>
      </c>
      <c r="H1097" s="1">
        <v>3250</v>
      </c>
      <c r="I1097" s="1">
        <v>2600</v>
      </c>
      <c r="J1097" s="1">
        <v>800</v>
      </c>
    </row>
    <row r="1098" spans="1:10" x14ac:dyDescent="0.3">
      <c r="A1098" t="s">
        <v>66</v>
      </c>
      <c r="B1098" t="s">
        <v>24</v>
      </c>
      <c r="C1098" t="s">
        <v>11</v>
      </c>
      <c r="D1098" t="s">
        <v>26</v>
      </c>
      <c r="E1098">
        <v>86</v>
      </c>
      <c r="F1098">
        <v>14</v>
      </c>
      <c r="G1098" s="1">
        <v>2850</v>
      </c>
      <c r="H1098" s="1">
        <v>2850</v>
      </c>
      <c r="I1098" s="1">
        <v>3705</v>
      </c>
      <c r="J1098" s="1">
        <v>1300</v>
      </c>
    </row>
    <row r="1099" spans="1:10" x14ac:dyDescent="0.3">
      <c r="A1099" t="s">
        <v>66</v>
      </c>
      <c r="B1099" t="s">
        <v>24</v>
      </c>
      <c r="C1099" t="s">
        <v>11</v>
      </c>
      <c r="D1099" t="s">
        <v>29</v>
      </c>
      <c r="E1099">
        <v>86</v>
      </c>
      <c r="F1099">
        <v>35</v>
      </c>
      <c r="G1099" s="1">
        <v>960</v>
      </c>
      <c r="H1099" s="1">
        <v>960</v>
      </c>
      <c r="I1099" s="1">
        <v>960</v>
      </c>
      <c r="J1099" s="1">
        <v>1000</v>
      </c>
    </row>
    <row r="1100" spans="1:10" x14ac:dyDescent="0.3">
      <c r="A1100" t="s">
        <v>66</v>
      </c>
      <c r="B1100" t="s">
        <v>24</v>
      </c>
      <c r="C1100" t="s">
        <v>11</v>
      </c>
      <c r="D1100" t="s">
        <v>31</v>
      </c>
      <c r="E1100">
        <v>86</v>
      </c>
      <c r="F1100">
        <v>49</v>
      </c>
      <c r="G1100" s="1">
        <v>2300</v>
      </c>
      <c r="H1100" s="1">
        <v>2280</v>
      </c>
      <c r="I1100" s="1">
        <v>2031</v>
      </c>
      <c r="J1100" s="1">
        <v>891</v>
      </c>
    </row>
    <row r="1101" spans="1:10" x14ac:dyDescent="0.3">
      <c r="A1101" t="s">
        <v>66</v>
      </c>
      <c r="B1101" t="s">
        <v>24</v>
      </c>
      <c r="C1101" t="s">
        <v>11</v>
      </c>
      <c r="D1101" t="s">
        <v>32</v>
      </c>
      <c r="E1101">
        <v>86</v>
      </c>
      <c r="F1101">
        <v>63</v>
      </c>
      <c r="G1101" s="1">
        <v>6430</v>
      </c>
      <c r="H1101" s="1">
        <v>6395</v>
      </c>
      <c r="I1101" s="1">
        <v>5527</v>
      </c>
      <c r="J1101" s="1">
        <v>864</v>
      </c>
    </row>
    <row r="1102" spans="1:10" x14ac:dyDescent="0.3">
      <c r="A1102" t="s">
        <v>66</v>
      </c>
      <c r="B1102" t="s">
        <v>24</v>
      </c>
      <c r="C1102" t="s">
        <v>11</v>
      </c>
      <c r="D1102" t="s">
        <v>34</v>
      </c>
      <c r="E1102">
        <v>86</v>
      </c>
      <c r="F1102">
        <v>70</v>
      </c>
      <c r="G1102" s="1">
        <v>2950</v>
      </c>
      <c r="H1102" s="1">
        <v>2925</v>
      </c>
      <c r="I1102" s="1">
        <v>4887</v>
      </c>
      <c r="J1102" s="1">
        <v>1671</v>
      </c>
    </row>
    <row r="1103" spans="1:10" x14ac:dyDescent="0.3">
      <c r="A1103" t="s">
        <v>66</v>
      </c>
      <c r="B1103" t="s">
        <v>24</v>
      </c>
      <c r="C1103" t="s">
        <v>11</v>
      </c>
      <c r="D1103" t="s">
        <v>35</v>
      </c>
      <c r="E1103">
        <v>86</v>
      </c>
      <c r="F1103">
        <v>77</v>
      </c>
      <c r="G1103" s="1">
        <v>2000</v>
      </c>
      <c r="H1103" s="1">
        <v>2000</v>
      </c>
      <c r="I1103" s="1">
        <v>3800</v>
      </c>
      <c r="J1103" s="1">
        <v>1900</v>
      </c>
    </row>
    <row r="1104" spans="1:10" x14ac:dyDescent="0.3">
      <c r="A1104" t="s">
        <v>66</v>
      </c>
      <c r="B1104" t="s">
        <v>24</v>
      </c>
      <c r="C1104" t="s">
        <v>11</v>
      </c>
      <c r="D1104" t="s">
        <v>36</v>
      </c>
      <c r="E1104">
        <v>86</v>
      </c>
      <c r="F1104">
        <v>84</v>
      </c>
      <c r="G1104" s="1">
        <v>7900</v>
      </c>
      <c r="H1104" s="1">
        <v>7815</v>
      </c>
      <c r="I1104" s="1">
        <v>7207</v>
      </c>
      <c r="J1104" s="1">
        <v>922</v>
      </c>
    </row>
    <row r="1105" spans="1:10" x14ac:dyDescent="0.3">
      <c r="A1105" t="s">
        <v>66</v>
      </c>
      <c r="B1105" t="s">
        <v>24</v>
      </c>
      <c r="C1105" t="s">
        <v>11</v>
      </c>
      <c r="D1105" t="s">
        <v>37</v>
      </c>
      <c r="E1105">
        <v>86</v>
      </c>
      <c r="F1105">
        <v>91</v>
      </c>
      <c r="G1105" s="1">
        <v>20410</v>
      </c>
      <c r="H1105" s="1">
        <v>20300</v>
      </c>
      <c r="I1105" s="1">
        <v>17766</v>
      </c>
      <c r="J1105" s="1">
        <v>875</v>
      </c>
    </row>
    <row r="1106" spans="1:10" x14ac:dyDescent="0.3">
      <c r="A1106" t="s">
        <v>66</v>
      </c>
      <c r="B1106" t="s">
        <v>24</v>
      </c>
      <c r="C1106" t="s">
        <v>11</v>
      </c>
      <c r="D1106" t="s">
        <v>38</v>
      </c>
      <c r="E1106">
        <v>86</v>
      </c>
      <c r="F1106">
        <v>98</v>
      </c>
      <c r="G1106" s="1">
        <v>1960</v>
      </c>
      <c r="H1106" s="1">
        <v>1960</v>
      </c>
      <c r="I1106" s="1">
        <v>3136</v>
      </c>
      <c r="J1106" s="1">
        <v>1600</v>
      </c>
    </row>
    <row r="1107" spans="1:10" x14ac:dyDescent="0.3">
      <c r="A1107" t="s">
        <v>66</v>
      </c>
      <c r="B1107" t="s">
        <v>24</v>
      </c>
      <c r="C1107" t="s">
        <v>11</v>
      </c>
      <c r="D1107" t="s">
        <v>41</v>
      </c>
      <c r="E1107">
        <v>86</v>
      </c>
      <c r="F1107">
        <v>119</v>
      </c>
      <c r="G1107" s="1">
        <v>5200</v>
      </c>
      <c r="H1107" s="1">
        <v>5200</v>
      </c>
      <c r="I1107" s="1">
        <v>7800</v>
      </c>
      <c r="J1107" s="1">
        <v>1500</v>
      </c>
    </row>
    <row r="1108" spans="1:10" x14ac:dyDescent="0.3">
      <c r="A1108" t="s">
        <v>66</v>
      </c>
      <c r="B1108" t="s">
        <v>24</v>
      </c>
      <c r="C1108" t="s">
        <v>11</v>
      </c>
      <c r="D1108" t="s">
        <v>42</v>
      </c>
      <c r="E1108">
        <v>86</v>
      </c>
      <c r="F1108">
        <v>126</v>
      </c>
      <c r="G1108" s="1">
        <v>11600</v>
      </c>
      <c r="H1108" s="1">
        <v>11501</v>
      </c>
      <c r="I1108" s="1">
        <v>10619</v>
      </c>
      <c r="J1108" s="1">
        <v>923</v>
      </c>
    </row>
    <row r="1109" spans="1:10" x14ac:dyDescent="0.3">
      <c r="A1109" t="s">
        <v>66</v>
      </c>
      <c r="B1109" t="s">
        <v>24</v>
      </c>
      <c r="C1109" t="s">
        <v>11</v>
      </c>
      <c r="D1109" t="s">
        <v>43</v>
      </c>
      <c r="E1109">
        <v>86</v>
      </c>
      <c r="F1109">
        <v>133</v>
      </c>
      <c r="G1109" s="1">
        <v>15000</v>
      </c>
      <c r="H1109" s="1">
        <v>14925</v>
      </c>
      <c r="I1109" s="1">
        <v>14564</v>
      </c>
      <c r="J1109" s="1">
        <v>976</v>
      </c>
    </row>
    <row r="1110" spans="1:10" x14ac:dyDescent="0.3">
      <c r="A1110" t="s">
        <v>66</v>
      </c>
      <c r="B1110" t="s">
        <v>24</v>
      </c>
      <c r="C1110" t="s">
        <v>11</v>
      </c>
      <c r="D1110" t="s">
        <v>58</v>
      </c>
      <c r="E1110">
        <v>86</v>
      </c>
      <c r="F1110">
        <v>140</v>
      </c>
      <c r="G1110" s="1">
        <v>2100</v>
      </c>
      <c r="H1110" s="1">
        <v>2050</v>
      </c>
      <c r="I1110" s="1">
        <v>2153</v>
      </c>
      <c r="J1110" s="1">
        <v>1050</v>
      </c>
    </row>
    <row r="1111" spans="1:10" x14ac:dyDescent="0.3">
      <c r="A1111" t="s">
        <v>66</v>
      </c>
      <c r="B1111" t="s">
        <v>24</v>
      </c>
      <c r="C1111" t="s">
        <v>11</v>
      </c>
      <c r="D1111" t="s">
        <v>44</v>
      </c>
      <c r="E1111">
        <v>86</v>
      </c>
      <c r="F1111">
        <v>147</v>
      </c>
      <c r="G1111" s="1">
        <v>12850</v>
      </c>
      <c r="H1111" s="1">
        <v>12755</v>
      </c>
      <c r="I1111" s="1">
        <v>13531</v>
      </c>
      <c r="J1111" s="1">
        <v>1061</v>
      </c>
    </row>
    <row r="1112" spans="1:10" x14ac:dyDescent="0.3">
      <c r="A1112" t="s">
        <v>64</v>
      </c>
      <c r="B1112" t="s">
        <v>24</v>
      </c>
      <c r="C1112" t="s">
        <v>11</v>
      </c>
      <c r="D1112" t="s">
        <v>595</v>
      </c>
      <c r="E1112">
        <v>86</v>
      </c>
      <c r="F1112">
        <v>0</v>
      </c>
      <c r="G1112" s="1">
        <v>85010</v>
      </c>
      <c r="H1112" s="1">
        <v>84565</v>
      </c>
      <c r="I1112" s="1">
        <v>84881</v>
      </c>
      <c r="J1112" s="1">
        <v>1004</v>
      </c>
    </row>
    <row r="1113" spans="1:10" x14ac:dyDescent="0.3">
      <c r="A1113" t="s">
        <v>65</v>
      </c>
      <c r="B1113" t="s">
        <v>24</v>
      </c>
      <c r="C1113" t="s">
        <v>11</v>
      </c>
      <c r="D1113" t="s">
        <v>595</v>
      </c>
      <c r="E1113">
        <v>86</v>
      </c>
      <c r="F1113">
        <v>0</v>
      </c>
      <c r="G1113" s="1">
        <v>9500</v>
      </c>
      <c r="H1113" s="1">
        <v>9351</v>
      </c>
      <c r="I1113" s="1">
        <v>12805</v>
      </c>
      <c r="J1113" s="1">
        <v>1369</v>
      </c>
    </row>
    <row r="1114" spans="1:10" x14ac:dyDescent="0.3">
      <c r="A1114" t="s">
        <v>64</v>
      </c>
      <c r="B1114" t="s">
        <v>25</v>
      </c>
      <c r="C1114" t="s">
        <v>11</v>
      </c>
      <c r="D1114" t="s">
        <v>26</v>
      </c>
      <c r="E1114">
        <v>86</v>
      </c>
      <c r="F1114">
        <v>14</v>
      </c>
      <c r="G1114" s="1">
        <v>2550</v>
      </c>
      <c r="H1114" s="1">
        <v>2050</v>
      </c>
      <c r="I1114" s="1">
        <v>1497</v>
      </c>
      <c r="J1114" s="1">
        <v>730</v>
      </c>
    </row>
    <row r="1115" spans="1:10" x14ac:dyDescent="0.3">
      <c r="A1115" t="s">
        <v>64</v>
      </c>
      <c r="B1115" t="s">
        <v>25</v>
      </c>
      <c r="C1115" t="s">
        <v>11</v>
      </c>
      <c r="D1115" t="s">
        <v>29</v>
      </c>
      <c r="E1115">
        <v>86</v>
      </c>
      <c r="F1115">
        <v>35</v>
      </c>
      <c r="G1115" s="1">
        <v>1700</v>
      </c>
      <c r="H1115" s="1">
        <v>1620</v>
      </c>
      <c r="I1115" s="1">
        <v>2754</v>
      </c>
      <c r="J1115" s="1">
        <v>1700</v>
      </c>
    </row>
    <row r="1116" spans="1:10" x14ac:dyDescent="0.3">
      <c r="A1116" t="s">
        <v>64</v>
      </c>
      <c r="B1116" t="s">
        <v>25</v>
      </c>
      <c r="C1116" t="s">
        <v>11</v>
      </c>
      <c r="D1116" t="s">
        <v>31</v>
      </c>
      <c r="E1116">
        <v>86</v>
      </c>
      <c r="F1116">
        <v>49</v>
      </c>
      <c r="G1116" s="1">
        <v>2800</v>
      </c>
      <c r="H1116" s="1">
        <v>2690</v>
      </c>
      <c r="I1116" s="1">
        <v>5111</v>
      </c>
      <c r="J1116" s="1">
        <v>1900</v>
      </c>
    </row>
    <row r="1117" spans="1:10" x14ac:dyDescent="0.3">
      <c r="A1117" t="s">
        <v>64</v>
      </c>
      <c r="B1117" t="s">
        <v>25</v>
      </c>
      <c r="C1117" t="s">
        <v>11</v>
      </c>
      <c r="D1117" t="s">
        <v>32</v>
      </c>
      <c r="E1117">
        <v>86</v>
      </c>
      <c r="F1117">
        <v>63</v>
      </c>
      <c r="G1117" s="1">
        <v>7500</v>
      </c>
      <c r="H1117" s="1">
        <v>7380</v>
      </c>
      <c r="I1117" s="1">
        <v>14022</v>
      </c>
      <c r="J1117" s="1">
        <v>1900</v>
      </c>
    </row>
    <row r="1118" spans="1:10" x14ac:dyDescent="0.3">
      <c r="A1118" t="s">
        <v>64</v>
      </c>
      <c r="B1118" t="s">
        <v>25</v>
      </c>
      <c r="C1118" t="s">
        <v>11</v>
      </c>
      <c r="D1118" t="s">
        <v>34</v>
      </c>
      <c r="E1118">
        <v>86</v>
      </c>
      <c r="F1118">
        <v>70</v>
      </c>
      <c r="G1118" s="1">
        <v>1800</v>
      </c>
      <c r="H1118" s="1">
        <v>1680</v>
      </c>
      <c r="I1118" s="1">
        <v>2856</v>
      </c>
      <c r="J1118" s="1">
        <v>1700</v>
      </c>
    </row>
    <row r="1119" spans="1:10" x14ac:dyDescent="0.3">
      <c r="A1119" t="s">
        <v>64</v>
      </c>
      <c r="B1119" t="s">
        <v>25</v>
      </c>
      <c r="C1119" t="s">
        <v>11</v>
      </c>
      <c r="D1119" t="s">
        <v>35</v>
      </c>
      <c r="E1119">
        <v>86</v>
      </c>
      <c r="F1119">
        <v>77</v>
      </c>
      <c r="G1119" s="1">
        <v>2000</v>
      </c>
      <c r="H1119" s="1">
        <v>1800</v>
      </c>
      <c r="I1119" s="1">
        <v>2340</v>
      </c>
      <c r="J1119" s="1">
        <v>1300</v>
      </c>
    </row>
    <row r="1120" spans="1:10" x14ac:dyDescent="0.3">
      <c r="A1120" t="s">
        <v>64</v>
      </c>
      <c r="B1120" t="s">
        <v>25</v>
      </c>
      <c r="C1120" t="s">
        <v>11</v>
      </c>
      <c r="D1120" t="s">
        <v>36</v>
      </c>
      <c r="E1120">
        <v>86</v>
      </c>
      <c r="F1120">
        <v>84</v>
      </c>
      <c r="G1120" s="1">
        <v>8800</v>
      </c>
      <c r="H1120" s="1">
        <v>8650</v>
      </c>
      <c r="I1120" s="1">
        <v>16003</v>
      </c>
      <c r="J1120" s="1">
        <v>1850</v>
      </c>
    </row>
    <row r="1121" spans="1:10" x14ac:dyDescent="0.3">
      <c r="A1121" t="s">
        <v>64</v>
      </c>
      <c r="B1121" t="s">
        <v>25</v>
      </c>
      <c r="C1121" t="s">
        <v>11</v>
      </c>
      <c r="D1121" t="s">
        <v>37</v>
      </c>
      <c r="E1121">
        <v>86</v>
      </c>
      <c r="F1121">
        <v>91</v>
      </c>
      <c r="G1121" s="1">
        <v>25000</v>
      </c>
      <c r="H1121" s="1">
        <v>24850</v>
      </c>
      <c r="I1121" s="1">
        <v>45973</v>
      </c>
      <c r="J1121" s="1">
        <v>1850</v>
      </c>
    </row>
    <row r="1122" spans="1:10" x14ac:dyDescent="0.3">
      <c r="A1122" t="s">
        <v>64</v>
      </c>
      <c r="B1122" t="s">
        <v>25</v>
      </c>
      <c r="C1122" t="s">
        <v>11</v>
      </c>
      <c r="D1122" t="s">
        <v>38</v>
      </c>
      <c r="E1122">
        <v>86</v>
      </c>
      <c r="F1122">
        <v>98</v>
      </c>
      <c r="G1122" s="1">
        <v>1800</v>
      </c>
      <c r="H1122" s="1">
        <v>1400</v>
      </c>
      <c r="I1122" s="1">
        <v>1680</v>
      </c>
      <c r="J1122" s="1">
        <v>1200</v>
      </c>
    </row>
    <row r="1123" spans="1:10" x14ac:dyDescent="0.3">
      <c r="A1123" t="s">
        <v>64</v>
      </c>
      <c r="B1123" t="s">
        <v>25</v>
      </c>
      <c r="C1123" t="s">
        <v>11</v>
      </c>
      <c r="D1123" t="s">
        <v>41</v>
      </c>
      <c r="E1123">
        <v>86</v>
      </c>
      <c r="F1123">
        <v>119</v>
      </c>
      <c r="G1123" s="1">
        <v>5660</v>
      </c>
      <c r="H1123" s="1">
        <v>4910</v>
      </c>
      <c r="I1123" s="1">
        <v>3633</v>
      </c>
      <c r="J1123" s="1">
        <v>740</v>
      </c>
    </row>
    <row r="1124" spans="1:10" x14ac:dyDescent="0.3">
      <c r="A1124" t="s">
        <v>64</v>
      </c>
      <c r="B1124" t="s">
        <v>25</v>
      </c>
      <c r="C1124" t="s">
        <v>11</v>
      </c>
      <c r="D1124" t="s">
        <v>42</v>
      </c>
      <c r="E1124">
        <v>86</v>
      </c>
      <c r="F1124">
        <v>126</v>
      </c>
      <c r="G1124" s="1">
        <v>14500</v>
      </c>
      <c r="H1124" s="1">
        <v>14350</v>
      </c>
      <c r="I1124" s="1">
        <v>24395</v>
      </c>
      <c r="J1124" s="1">
        <v>1700</v>
      </c>
    </row>
    <row r="1125" spans="1:10" x14ac:dyDescent="0.3">
      <c r="A1125" t="s">
        <v>64</v>
      </c>
      <c r="B1125" t="s">
        <v>25</v>
      </c>
      <c r="C1125" t="s">
        <v>11</v>
      </c>
      <c r="D1125" t="s">
        <v>43</v>
      </c>
      <c r="E1125">
        <v>86</v>
      </c>
      <c r="F1125">
        <v>133</v>
      </c>
      <c r="G1125" s="1">
        <v>18800</v>
      </c>
      <c r="H1125" s="1">
        <v>18618</v>
      </c>
      <c r="I1125" s="1">
        <v>34443</v>
      </c>
      <c r="J1125" s="1">
        <v>1850</v>
      </c>
    </row>
    <row r="1126" spans="1:10" x14ac:dyDescent="0.3">
      <c r="A1126" t="s">
        <v>64</v>
      </c>
      <c r="B1126" t="s">
        <v>25</v>
      </c>
      <c r="C1126" t="s">
        <v>11</v>
      </c>
      <c r="D1126" t="s">
        <v>58</v>
      </c>
      <c r="E1126">
        <v>86</v>
      </c>
      <c r="F1126">
        <v>140</v>
      </c>
      <c r="G1126" s="1">
        <v>2800</v>
      </c>
      <c r="H1126" s="1">
        <v>2670</v>
      </c>
      <c r="I1126" s="1">
        <v>4539</v>
      </c>
      <c r="J1126" s="1">
        <v>1700</v>
      </c>
    </row>
    <row r="1127" spans="1:10" x14ac:dyDescent="0.3">
      <c r="A1127" t="s">
        <v>64</v>
      </c>
      <c r="B1127" t="s">
        <v>25</v>
      </c>
      <c r="C1127" t="s">
        <v>11</v>
      </c>
      <c r="D1127" t="s">
        <v>44</v>
      </c>
      <c r="E1127">
        <v>86</v>
      </c>
      <c r="F1127">
        <v>147</v>
      </c>
      <c r="G1127" s="1">
        <v>12500</v>
      </c>
      <c r="H1127" s="1">
        <v>12415</v>
      </c>
      <c r="I1127" s="1">
        <v>21106</v>
      </c>
      <c r="J1127" s="1">
        <v>1700</v>
      </c>
    </row>
    <row r="1128" spans="1:10" x14ac:dyDescent="0.3">
      <c r="A1128" t="s">
        <v>64</v>
      </c>
      <c r="B1128" t="s">
        <v>25</v>
      </c>
      <c r="C1128" t="s">
        <v>11</v>
      </c>
      <c r="D1128" t="s">
        <v>48</v>
      </c>
      <c r="E1128">
        <v>86</v>
      </c>
      <c r="F1128">
        <v>189</v>
      </c>
      <c r="G1128" s="1">
        <v>150</v>
      </c>
      <c r="H1128" s="1">
        <v>130</v>
      </c>
      <c r="I1128" s="1">
        <v>234</v>
      </c>
      <c r="J1128" s="1">
        <v>1800</v>
      </c>
    </row>
    <row r="1129" spans="1:10" x14ac:dyDescent="0.3">
      <c r="A1129" t="s">
        <v>65</v>
      </c>
      <c r="B1129" t="s">
        <v>25</v>
      </c>
      <c r="C1129" t="s">
        <v>11</v>
      </c>
      <c r="D1129" t="s">
        <v>31</v>
      </c>
      <c r="E1129">
        <v>86</v>
      </c>
      <c r="F1129">
        <v>49</v>
      </c>
      <c r="G1129" s="1">
        <v>500</v>
      </c>
      <c r="H1129" s="1">
        <v>475</v>
      </c>
      <c r="I1129" s="1">
        <v>855</v>
      </c>
      <c r="J1129" s="1">
        <v>1800</v>
      </c>
    </row>
    <row r="1130" spans="1:10" x14ac:dyDescent="0.3">
      <c r="A1130" t="s">
        <v>65</v>
      </c>
      <c r="B1130" t="s">
        <v>25</v>
      </c>
      <c r="C1130" t="s">
        <v>11</v>
      </c>
      <c r="D1130" t="s">
        <v>32</v>
      </c>
      <c r="E1130">
        <v>86</v>
      </c>
      <c r="F1130">
        <v>63</v>
      </c>
      <c r="G1130" s="1">
        <v>850</v>
      </c>
      <c r="H1130" s="1">
        <v>815</v>
      </c>
      <c r="I1130" s="1">
        <v>1549</v>
      </c>
      <c r="J1130" s="1">
        <v>1900</v>
      </c>
    </row>
    <row r="1131" spans="1:10" x14ac:dyDescent="0.3">
      <c r="A1131" t="s">
        <v>65</v>
      </c>
      <c r="B1131" t="s">
        <v>25</v>
      </c>
      <c r="C1131" t="s">
        <v>11</v>
      </c>
      <c r="D1131" t="s">
        <v>34</v>
      </c>
      <c r="E1131">
        <v>86</v>
      </c>
      <c r="F1131">
        <v>70</v>
      </c>
      <c r="G1131" s="1">
        <v>1850</v>
      </c>
      <c r="H1131" s="1">
        <v>1800</v>
      </c>
      <c r="I1131" s="1">
        <v>3420</v>
      </c>
      <c r="J1131" s="1">
        <v>1900</v>
      </c>
    </row>
    <row r="1132" spans="1:10" x14ac:dyDescent="0.3">
      <c r="A1132" t="s">
        <v>65</v>
      </c>
      <c r="B1132" t="s">
        <v>25</v>
      </c>
      <c r="C1132" t="s">
        <v>11</v>
      </c>
      <c r="D1132" t="s">
        <v>36</v>
      </c>
      <c r="E1132">
        <v>86</v>
      </c>
      <c r="F1132">
        <v>84</v>
      </c>
      <c r="G1132" s="1">
        <v>1500</v>
      </c>
      <c r="H1132" s="1">
        <v>1446</v>
      </c>
      <c r="I1132" s="1">
        <v>2603</v>
      </c>
      <c r="J1132" s="1">
        <v>1800</v>
      </c>
    </row>
    <row r="1133" spans="1:10" x14ac:dyDescent="0.3">
      <c r="A1133" t="s">
        <v>65</v>
      </c>
      <c r="B1133" t="s">
        <v>25</v>
      </c>
      <c r="C1133" t="s">
        <v>11</v>
      </c>
      <c r="D1133" t="s">
        <v>37</v>
      </c>
      <c r="E1133">
        <v>86</v>
      </c>
      <c r="F1133">
        <v>91</v>
      </c>
      <c r="G1133" s="1">
        <v>1625</v>
      </c>
      <c r="H1133" s="1">
        <v>1600</v>
      </c>
      <c r="I1133" s="1">
        <v>2720</v>
      </c>
      <c r="J1133" s="1">
        <v>1700</v>
      </c>
    </row>
    <row r="1134" spans="1:10" x14ac:dyDescent="0.3">
      <c r="A1134" t="s">
        <v>65</v>
      </c>
      <c r="B1134" t="s">
        <v>25</v>
      </c>
      <c r="C1134" t="s">
        <v>11</v>
      </c>
      <c r="D1134" t="s">
        <v>42</v>
      </c>
      <c r="E1134">
        <v>86</v>
      </c>
      <c r="F1134">
        <v>126</v>
      </c>
      <c r="G1134" s="1">
        <v>650</v>
      </c>
      <c r="H1134" s="1">
        <v>615</v>
      </c>
      <c r="I1134" s="1">
        <v>1107</v>
      </c>
      <c r="J1134" s="1">
        <v>1800</v>
      </c>
    </row>
    <row r="1135" spans="1:10" x14ac:dyDescent="0.3">
      <c r="A1135" t="s">
        <v>65</v>
      </c>
      <c r="B1135" t="s">
        <v>25</v>
      </c>
      <c r="C1135" t="s">
        <v>11</v>
      </c>
      <c r="D1135" t="s">
        <v>43</v>
      </c>
      <c r="E1135">
        <v>86</v>
      </c>
      <c r="F1135">
        <v>133</v>
      </c>
      <c r="G1135" s="1">
        <v>875</v>
      </c>
      <c r="H1135" s="1">
        <v>850</v>
      </c>
      <c r="I1135" s="1">
        <v>1105</v>
      </c>
      <c r="J1135" s="1">
        <v>1300</v>
      </c>
    </row>
    <row r="1136" spans="1:10" x14ac:dyDescent="0.3">
      <c r="A1136" t="s">
        <v>66</v>
      </c>
      <c r="B1136" t="s">
        <v>25</v>
      </c>
      <c r="C1136" t="s">
        <v>11</v>
      </c>
      <c r="D1136" t="s">
        <v>26</v>
      </c>
      <c r="E1136">
        <v>86</v>
      </c>
      <c r="F1136">
        <v>14</v>
      </c>
      <c r="G1136" s="1">
        <v>2550</v>
      </c>
      <c r="H1136" s="1">
        <v>2050</v>
      </c>
      <c r="I1136" s="1">
        <v>1497</v>
      </c>
      <c r="J1136" s="1">
        <v>730</v>
      </c>
    </row>
    <row r="1137" spans="1:10" x14ac:dyDescent="0.3">
      <c r="A1137" t="s">
        <v>66</v>
      </c>
      <c r="B1137" t="s">
        <v>25</v>
      </c>
      <c r="C1137" t="s">
        <v>11</v>
      </c>
      <c r="D1137" t="s">
        <v>29</v>
      </c>
      <c r="E1137">
        <v>86</v>
      </c>
      <c r="F1137">
        <v>35</v>
      </c>
      <c r="G1137" s="1">
        <v>1700</v>
      </c>
      <c r="H1137" s="1">
        <v>1620</v>
      </c>
      <c r="I1137" s="1">
        <v>2754</v>
      </c>
      <c r="J1137" s="1">
        <v>1700</v>
      </c>
    </row>
    <row r="1138" spans="1:10" x14ac:dyDescent="0.3">
      <c r="A1138" t="s">
        <v>66</v>
      </c>
      <c r="B1138" t="s">
        <v>25</v>
      </c>
      <c r="C1138" t="s">
        <v>11</v>
      </c>
      <c r="D1138" t="s">
        <v>31</v>
      </c>
      <c r="E1138">
        <v>86</v>
      </c>
      <c r="F1138">
        <v>49</v>
      </c>
      <c r="G1138" s="1">
        <v>3300</v>
      </c>
      <c r="H1138" s="1">
        <v>3165</v>
      </c>
      <c r="I1138" s="1">
        <v>5966</v>
      </c>
      <c r="J1138" s="1">
        <v>1885</v>
      </c>
    </row>
    <row r="1139" spans="1:10" x14ac:dyDescent="0.3">
      <c r="A1139" t="s">
        <v>66</v>
      </c>
      <c r="B1139" t="s">
        <v>25</v>
      </c>
      <c r="C1139" t="s">
        <v>11</v>
      </c>
      <c r="D1139" t="s">
        <v>32</v>
      </c>
      <c r="E1139">
        <v>86</v>
      </c>
      <c r="F1139">
        <v>63</v>
      </c>
      <c r="G1139" s="1">
        <v>8350</v>
      </c>
      <c r="H1139" s="1">
        <v>8195</v>
      </c>
      <c r="I1139" s="1">
        <v>15571</v>
      </c>
      <c r="J1139" s="1">
        <v>1900</v>
      </c>
    </row>
    <row r="1140" spans="1:10" x14ac:dyDescent="0.3">
      <c r="A1140" t="s">
        <v>66</v>
      </c>
      <c r="B1140" t="s">
        <v>25</v>
      </c>
      <c r="C1140" t="s">
        <v>11</v>
      </c>
      <c r="D1140" t="s">
        <v>34</v>
      </c>
      <c r="E1140">
        <v>86</v>
      </c>
      <c r="F1140">
        <v>70</v>
      </c>
      <c r="G1140" s="1">
        <v>3650</v>
      </c>
      <c r="H1140" s="1">
        <v>3480</v>
      </c>
      <c r="I1140" s="1">
        <v>6276</v>
      </c>
      <c r="J1140" s="1">
        <v>1803</v>
      </c>
    </row>
    <row r="1141" spans="1:10" x14ac:dyDescent="0.3">
      <c r="A1141" t="s">
        <v>66</v>
      </c>
      <c r="B1141" t="s">
        <v>25</v>
      </c>
      <c r="C1141" t="s">
        <v>11</v>
      </c>
      <c r="D1141" t="s">
        <v>35</v>
      </c>
      <c r="E1141">
        <v>86</v>
      </c>
      <c r="F1141">
        <v>77</v>
      </c>
      <c r="G1141" s="1">
        <v>2000</v>
      </c>
      <c r="H1141" s="1">
        <v>1800</v>
      </c>
      <c r="I1141" s="1">
        <v>2340</v>
      </c>
      <c r="J1141" s="1">
        <v>1300</v>
      </c>
    </row>
    <row r="1142" spans="1:10" x14ac:dyDescent="0.3">
      <c r="A1142" t="s">
        <v>66</v>
      </c>
      <c r="B1142" t="s">
        <v>25</v>
      </c>
      <c r="C1142" t="s">
        <v>11</v>
      </c>
      <c r="D1142" t="s">
        <v>36</v>
      </c>
      <c r="E1142">
        <v>86</v>
      </c>
      <c r="F1142">
        <v>84</v>
      </c>
      <c r="G1142" s="1">
        <v>10300</v>
      </c>
      <c r="H1142" s="1">
        <v>10096</v>
      </c>
      <c r="I1142" s="1">
        <v>18605</v>
      </c>
      <c r="J1142" s="1">
        <v>1843</v>
      </c>
    </row>
    <row r="1143" spans="1:10" x14ac:dyDescent="0.3">
      <c r="A1143" t="s">
        <v>66</v>
      </c>
      <c r="B1143" t="s">
        <v>25</v>
      </c>
      <c r="C1143" t="s">
        <v>11</v>
      </c>
      <c r="D1143" t="s">
        <v>37</v>
      </c>
      <c r="E1143">
        <v>86</v>
      </c>
      <c r="F1143">
        <v>91</v>
      </c>
      <c r="G1143" s="1">
        <v>26625</v>
      </c>
      <c r="H1143" s="1">
        <v>26450</v>
      </c>
      <c r="I1143" s="1">
        <v>48693</v>
      </c>
      <c r="J1143" s="1">
        <v>1841</v>
      </c>
    </row>
    <row r="1144" spans="1:10" x14ac:dyDescent="0.3">
      <c r="A1144" t="s">
        <v>66</v>
      </c>
      <c r="B1144" t="s">
        <v>25</v>
      </c>
      <c r="C1144" t="s">
        <v>11</v>
      </c>
      <c r="D1144" t="s">
        <v>38</v>
      </c>
      <c r="E1144">
        <v>86</v>
      </c>
      <c r="F1144">
        <v>98</v>
      </c>
      <c r="G1144" s="1">
        <v>1800</v>
      </c>
      <c r="H1144" s="1">
        <v>1400</v>
      </c>
      <c r="I1144" s="1">
        <v>1680</v>
      </c>
      <c r="J1144" s="1">
        <v>1200</v>
      </c>
    </row>
    <row r="1145" spans="1:10" x14ac:dyDescent="0.3">
      <c r="A1145" t="s">
        <v>67</v>
      </c>
      <c r="B1145" t="s">
        <v>15</v>
      </c>
      <c r="C1145" t="s">
        <v>11</v>
      </c>
      <c r="D1145" t="s">
        <v>12</v>
      </c>
      <c r="E1145">
        <v>86</v>
      </c>
      <c r="F1145">
        <v>7</v>
      </c>
      <c r="G1145" s="1">
        <v>46500</v>
      </c>
      <c r="H1145" s="1">
        <v>37500</v>
      </c>
      <c r="I1145" s="1">
        <v>86250</v>
      </c>
      <c r="J1145" s="1">
        <v>2300</v>
      </c>
    </row>
    <row r="1146" spans="1:10" x14ac:dyDescent="0.3">
      <c r="A1146" t="s">
        <v>67</v>
      </c>
      <c r="B1146" t="s">
        <v>16</v>
      </c>
      <c r="C1146" t="s">
        <v>11</v>
      </c>
      <c r="D1146" t="s">
        <v>12</v>
      </c>
      <c r="E1146">
        <v>86</v>
      </c>
      <c r="F1146">
        <v>7</v>
      </c>
      <c r="G1146" s="1">
        <v>52720</v>
      </c>
      <c r="H1146" s="1">
        <v>52720</v>
      </c>
      <c r="I1146" s="1">
        <v>126528</v>
      </c>
      <c r="J1146" s="1">
        <v>2400</v>
      </c>
    </row>
    <row r="1147" spans="1:10" x14ac:dyDescent="0.3">
      <c r="A1147" t="s">
        <v>67</v>
      </c>
      <c r="B1147" t="s">
        <v>17</v>
      </c>
      <c r="C1147" t="s">
        <v>11</v>
      </c>
      <c r="D1147" t="s">
        <v>12</v>
      </c>
      <c r="E1147">
        <v>86</v>
      </c>
      <c r="F1147">
        <v>7</v>
      </c>
      <c r="G1147" s="1">
        <v>4240</v>
      </c>
      <c r="H1147" s="1">
        <v>4240</v>
      </c>
      <c r="I1147" s="1">
        <v>15264</v>
      </c>
      <c r="J1147" s="1">
        <v>3600</v>
      </c>
    </row>
    <row r="1148" spans="1:10" x14ac:dyDescent="0.3">
      <c r="A1148" t="s">
        <v>67</v>
      </c>
      <c r="B1148" t="s">
        <v>18</v>
      </c>
      <c r="C1148" t="s">
        <v>11</v>
      </c>
      <c r="D1148" t="s">
        <v>12</v>
      </c>
      <c r="E1148">
        <v>86</v>
      </c>
      <c r="F1148">
        <v>7</v>
      </c>
      <c r="G1148" s="1">
        <v>4122</v>
      </c>
      <c r="H1148" s="1">
        <v>4122</v>
      </c>
      <c r="I1148" s="1">
        <v>6595</v>
      </c>
      <c r="J1148" s="1">
        <v>1600</v>
      </c>
    </row>
    <row r="1149" spans="1:10" x14ac:dyDescent="0.3">
      <c r="A1149" t="s">
        <v>67</v>
      </c>
      <c r="B1149" t="s">
        <v>19</v>
      </c>
      <c r="C1149" t="s">
        <v>11</v>
      </c>
      <c r="D1149" t="s">
        <v>12</v>
      </c>
      <c r="E1149">
        <v>86</v>
      </c>
      <c r="F1149">
        <v>7</v>
      </c>
      <c r="G1149" s="1">
        <v>12107</v>
      </c>
      <c r="H1149" s="1">
        <v>10767</v>
      </c>
      <c r="I1149" s="1">
        <v>34131</v>
      </c>
      <c r="J1149" s="1">
        <v>3170</v>
      </c>
    </row>
    <row r="1150" spans="1:10" x14ac:dyDescent="0.3">
      <c r="A1150" t="s">
        <v>67</v>
      </c>
      <c r="B1150" t="s">
        <v>20</v>
      </c>
      <c r="C1150" t="s">
        <v>11</v>
      </c>
      <c r="D1150" t="s">
        <v>12</v>
      </c>
      <c r="E1150">
        <v>86</v>
      </c>
      <c r="F1150">
        <v>7</v>
      </c>
      <c r="G1150" s="1">
        <v>16500</v>
      </c>
      <c r="H1150" s="1">
        <v>16380</v>
      </c>
      <c r="I1150" s="1">
        <v>55692</v>
      </c>
      <c r="J1150" s="1">
        <v>3400</v>
      </c>
    </row>
    <row r="1151" spans="1:10" x14ac:dyDescent="0.3">
      <c r="A1151" t="s">
        <v>67</v>
      </c>
      <c r="B1151" t="s">
        <v>21</v>
      </c>
      <c r="C1151" t="s">
        <v>11</v>
      </c>
      <c r="D1151" t="s">
        <v>12</v>
      </c>
      <c r="E1151">
        <v>86</v>
      </c>
      <c r="F1151">
        <v>7</v>
      </c>
      <c r="G1151" s="1">
        <v>16500</v>
      </c>
      <c r="H1151" s="1">
        <v>16500</v>
      </c>
      <c r="I1151" s="1">
        <v>49500</v>
      </c>
      <c r="J1151" s="1">
        <v>3000</v>
      </c>
    </row>
    <row r="1152" spans="1:10" x14ac:dyDescent="0.3">
      <c r="A1152" t="s">
        <v>67</v>
      </c>
      <c r="B1152" t="s">
        <v>22</v>
      </c>
      <c r="C1152" t="s">
        <v>11</v>
      </c>
      <c r="D1152" t="s">
        <v>12</v>
      </c>
      <c r="E1152">
        <v>86</v>
      </c>
      <c r="F1152">
        <v>7</v>
      </c>
      <c r="G1152" s="1">
        <v>16500</v>
      </c>
      <c r="H1152" s="1">
        <v>16500</v>
      </c>
      <c r="I1152" s="1">
        <v>46200</v>
      </c>
      <c r="J1152" s="1">
        <v>2800</v>
      </c>
    </row>
    <row r="1153" spans="1:10" x14ac:dyDescent="0.3">
      <c r="A1153" t="s">
        <v>67</v>
      </c>
      <c r="B1153" t="s">
        <v>23</v>
      </c>
      <c r="C1153" t="s">
        <v>11</v>
      </c>
      <c r="D1153" t="s">
        <v>12</v>
      </c>
      <c r="E1153">
        <v>86</v>
      </c>
      <c r="F1153">
        <v>7</v>
      </c>
      <c r="G1153" s="1">
        <v>19700</v>
      </c>
      <c r="H1153" s="1">
        <v>19700</v>
      </c>
      <c r="I1153" s="1">
        <v>51220</v>
      </c>
      <c r="J1153" s="1">
        <v>2600</v>
      </c>
    </row>
    <row r="1154" spans="1:10" x14ac:dyDescent="0.3">
      <c r="A1154" t="s">
        <v>67</v>
      </c>
      <c r="B1154" t="s">
        <v>24</v>
      </c>
      <c r="C1154" t="s">
        <v>11</v>
      </c>
      <c r="D1154" t="s">
        <v>12</v>
      </c>
      <c r="E1154">
        <v>86</v>
      </c>
      <c r="F1154">
        <v>7</v>
      </c>
      <c r="G1154" s="1">
        <v>19000</v>
      </c>
      <c r="H1154" s="1">
        <v>18550</v>
      </c>
      <c r="I1154" s="1">
        <v>44520</v>
      </c>
      <c r="J1154" s="1">
        <v>2400</v>
      </c>
    </row>
    <row r="1155" spans="1:10" x14ac:dyDescent="0.3">
      <c r="A1155" t="s">
        <v>67</v>
      </c>
      <c r="B1155" t="s">
        <v>25</v>
      </c>
      <c r="C1155" t="s">
        <v>11</v>
      </c>
      <c r="D1155" t="s">
        <v>12</v>
      </c>
      <c r="E1155">
        <v>86</v>
      </c>
      <c r="F1155">
        <v>7</v>
      </c>
      <c r="G1155" s="1">
        <v>26100</v>
      </c>
      <c r="H1155" s="1">
        <v>25140</v>
      </c>
      <c r="I1155" s="1">
        <v>60336</v>
      </c>
      <c r="J1155" s="1">
        <v>2400</v>
      </c>
    </row>
    <row r="1156" spans="1:10" x14ac:dyDescent="0.3">
      <c r="A1156" t="s">
        <v>67</v>
      </c>
      <c r="B1156" t="s">
        <v>15</v>
      </c>
      <c r="C1156" t="s">
        <v>11</v>
      </c>
      <c r="D1156" t="s">
        <v>26</v>
      </c>
      <c r="E1156">
        <v>86</v>
      </c>
      <c r="F1156">
        <v>14</v>
      </c>
      <c r="G1156" s="1">
        <v>87400</v>
      </c>
      <c r="H1156" s="1">
        <v>86480</v>
      </c>
      <c r="I1156" s="1">
        <v>224848</v>
      </c>
      <c r="J1156" s="1">
        <v>2600</v>
      </c>
    </row>
    <row r="1157" spans="1:10" x14ac:dyDescent="0.3">
      <c r="A1157" t="s">
        <v>67</v>
      </c>
      <c r="B1157" t="s">
        <v>16</v>
      </c>
      <c r="C1157" t="s">
        <v>11</v>
      </c>
      <c r="D1157" t="s">
        <v>26</v>
      </c>
      <c r="E1157">
        <v>86</v>
      </c>
      <c r="F1157">
        <v>14</v>
      </c>
      <c r="G1157" s="1">
        <v>103014</v>
      </c>
      <c r="H1157" s="1">
        <v>103014</v>
      </c>
      <c r="I1157" s="1">
        <v>298739</v>
      </c>
      <c r="J1157" s="1">
        <v>2900</v>
      </c>
    </row>
    <row r="1158" spans="1:10" x14ac:dyDescent="0.3">
      <c r="A1158" t="s">
        <v>67</v>
      </c>
      <c r="B1158" t="s">
        <v>17</v>
      </c>
      <c r="C1158" t="s">
        <v>11</v>
      </c>
      <c r="D1158" t="s">
        <v>26</v>
      </c>
      <c r="E1158">
        <v>86</v>
      </c>
      <c r="F1158">
        <v>14</v>
      </c>
      <c r="G1158" s="1">
        <v>59720</v>
      </c>
      <c r="H1158" s="1">
        <v>59720</v>
      </c>
      <c r="I1158" s="1">
        <v>232908</v>
      </c>
      <c r="J1158" s="1">
        <v>3900</v>
      </c>
    </row>
    <row r="1159" spans="1:10" x14ac:dyDescent="0.3">
      <c r="A1159" t="s">
        <v>67</v>
      </c>
      <c r="B1159" t="s">
        <v>18</v>
      </c>
      <c r="C1159" t="s">
        <v>11</v>
      </c>
      <c r="D1159" t="s">
        <v>26</v>
      </c>
      <c r="E1159">
        <v>86</v>
      </c>
      <c r="F1159">
        <v>14</v>
      </c>
      <c r="G1159" s="1">
        <v>49003</v>
      </c>
      <c r="H1159" s="1">
        <v>49003</v>
      </c>
      <c r="I1159" s="1">
        <v>161708</v>
      </c>
      <c r="J1159" s="1">
        <v>3300</v>
      </c>
    </row>
    <row r="1160" spans="1:10" x14ac:dyDescent="0.3">
      <c r="A1160" t="s">
        <v>67</v>
      </c>
      <c r="B1160" t="s">
        <v>19</v>
      </c>
      <c r="C1160" t="s">
        <v>11</v>
      </c>
      <c r="D1160" t="s">
        <v>26</v>
      </c>
      <c r="E1160">
        <v>86</v>
      </c>
      <c r="F1160">
        <v>14</v>
      </c>
      <c r="G1160" s="1">
        <v>80000</v>
      </c>
      <c r="H1160" s="1">
        <v>76600</v>
      </c>
      <c r="I1160" s="1">
        <v>251248</v>
      </c>
      <c r="J1160" s="1">
        <v>3280</v>
      </c>
    </row>
    <row r="1161" spans="1:10" x14ac:dyDescent="0.3">
      <c r="A1161" t="s">
        <v>67</v>
      </c>
      <c r="B1161" t="s">
        <v>20</v>
      </c>
      <c r="C1161" t="s">
        <v>11</v>
      </c>
      <c r="D1161" t="s">
        <v>26</v>
      </c>
      <c r="E1161">
        <v>86</v>
      </c>
      <c r="F1161">
        <v>14</v>
      </c>
      <c r="G1161" s="1">
        <v>79200</v>
      </c>
      <c r="H1161" s="1">
        <v>78990</v>
      </c>
      <c r="I1161" s="1">
        <v>284364</v>
      </c>
      <c r="J1161" s="1">
        <v>3600</v>
      </c>
    </row>
    <row r="1162" spans="1:10" x14ac:dyDescent="0.3">
      <c r="A1162" t="s">
        <v>67</v>
      </c>
      <c r="B1162" t="s">
        <v>21</v>
      </c>
      <c r="C1162" t="s">
        <v>11</v>
      </c>
      <c r="D1162" t="s">
        <v>26</v>
      </c>
      <c r="E1162">
        <v>86</v>
      </c>
      <c r="F1162">
        <v>14</v>
      </c>
      <c r="G1162" s="1">
        <v>96200</v>
      </c>
      <c r="H1162" s="1">
        <v>96200</v>
      </c>
      <c r="I1162" s="1">
        <v>298220</v>
      </c>
      <c r="J1162" s="1">
        <v>3100</v>
      </c>
    </row>
    <row r="1163" spans="1:10" x14ac:dyDescent="0.3">
      <c r="A1163" t="s">
        <v>67</v>
      </c>
      <c r="B1163" t="s">
        <v>22</v>
      </c>
      <c r="C1163" t="s">
        <v>11</v>
      </c>
      <c r="D1163" t="s">
        <v>26</v>
      </c>
      <c r="E1163">
        <v>86</v>
      </c>
      <c r="F1163">
        <v>14</v>
      </c>
      <c r="G1163" s="1">
        <v>96200</v>
      </c>
      <c r="H1163" s="1">
        <v>96200</v>
      </c>
      <c r="I1163" s="1">
        <v>317460</v>
      </c>
      <c r="J1163" s="1">
        <v>3300</v>
      </c>
    </row>
    <row r="1164" spans="1:10" x14ac:dyDescent="0.3">
      <c r="A1164" t="s">
        <v>67</v>
      </c>
      <c r="B1164" t="s">
        <v>23</v>
      </c>
      <c r="C1164" t="s">
        <v>11</v>
      </c>
      <c r="D1164" t="s">
        <v>26</v>
      </c>
      <c r="E1164">
        <v>86</v>
      </c>
      <c r="F1164">
        <v>14</v>
      </c>
      <c r="G1164" s="1">
        <v>104300</v>
      </c>
      <c r="H1164" s="1">
        <v>104300</v>
      </c>
      <c r="I1164" s="1">
        <v>286825</v>
      </c>
      <c r="J1164" s="1">
        <v>2750</v>
      </c>
    </row>
    <row r="1165" spans="1:10" x14ac:dyDescent="0.3">
      <c r="A1165" t="s">
        <v>67</v>
      </c>
      <c r="B1165" t="s">
        <v>24</v>
      </c>
      <c r="C1165" t="s">
        <v>11</v>
      </c>
      <c r="D1165" t="s">
        <v>26</v>
      </c>
      <c r="E1165">
        <v>86</v>
      </c>
      <c r="F1165">
        <v>14</v>
      </c>
      <c r="G1165" s="1">
        <v>105000</v>
      </c>
      <c r="H1165" s="1">
        <v>100280</v>
      </c>
      <c r="I1165" s="1">
        <v>180504</v>
      </c>
      <c r="J1165" s="1">
        <v>1800</v>
      </c>
    </row>
    <row r="1166" spans="1:10" x14ac:dyDescent="0.3">
      <c r="A1166" t="s">
        <v>67</v>
      </c>
      <c r="B1166" t="s">
        <v>25</v>
      </c>
      <c r="C1166" t="s">
        <v>11</v>
      </c>
      <c r="D1166" t="s">
        <v>26</v>
      </c>
      <c r="E1166">
        <v>86</v>
      </c>
      <c r="F1166">
        <v>14</v>
      </c>
      <c r="G1166" s="1">
        <v>130230</v>
      </c>
      <c r="H1166" s="1">
        <v>93766</v>
      </c>
      <c r="I1166" s="1">
        <v>65636</v>
      </c>
      <c r="J1166" s="1">
        <v>700</v>
      </c>
    </row>
    <row r="1167" spans="1:10" x14ac:dyDescent="0.3">
      <c r="A1167" t="s">
        <v>67</v>
      </c>
      <c r="B1167" t="s">
        <v>23</v>
      </c>
      <c r="C1167" t="s">
        <v>11</v>
      </c>
      <c r="D1167" t="s">
        <v>27</v>
      </c>
      <c r="E1167">
        <v>86</v>
      </c>
      <c r="F1167">
        <v>21</v>
      </c>
      <c r="G1167" s="1">
        <v>500</v>
      </c>
      <c r="H1167" s="1">
        <v>500</v>
      </c>
      <c r="I1167" s="1">
        <v>750</v>
      </c>
      <c r="J1167" s="1">
        <v>1500</v>
      </c>
    </row>
    <row r="1168" spans="1:10" x14ac:dyDescent="0.3">
      <c r="A1168" t="s">
        <v>67</v>
      </c>
      <c r="B1168" t="s">
        <v>24</v>
      </c>
      <c r="C1168" t="s">
        <v>11</v>
      </c>
      <c r="D1168" t="s">
        <v>27</v>
      </c>
      <c r="E1168">
        <v>86</v>
      </c>
      <c r="F1168">
        <v>21</v>
      </c>
      <c r="G1168" s="1">
        <v>500</v>
      </c>
      <c r="H1168" s="1">
        <v>500</v>
      </c>
      <c r="I1168" s="1">
        <v>1520</v>
      </c>
      <c r="J1168" s="1">
        <v>3040</v>
      </c>
    </row>
    <row r="1169" spans="1:10" x14ac:dyDescent="0.3">
      <c r="A1169" t="s">
        <v>67</v>
      </c>
      <c r="B1169" t="s">
        <v>25</v>
      </c>
      <c r="C1169" t="s">
        <v>11</v>
      </c>
      <c r="D1169" t="s">
        <v>27</v>
      </c>
      <c r="E1169">
        <v>86</v>
      </c>
      <c r="F1169">
        <v>21</v>
      </c>
      <c r="G1169" s="1">
        <v>575</v>
      </c>
      <c r="H1169" s="1">
        <v>540</v>
      </c>
      <c r="I1169" s="1">
        <v>1188</v>
      </c>
      <c r="J1169" s="1">
        <v>2200</v>
      </c>
    </row>
    <row r="1170" spans="1:10" x14ac:dyDescent="0.3">
      <c r="A1170" t="s">
        <v>67</v>
      </c>
      <c r="B1170" t="s">
        <v>15</v>
      </c>
      <c r="C1170" t="s">
        <v>11</v>
      </c>
      <c r="D1170" t="s">
        <v>28</v>
      </c>
      <c r="E1170">
        <v>86</v>
      </c>
      <c r="F1170">
        <v>28</v>
      </c>
      <c r="G1170" s="1">
        <v>3500</v>
      </c>
      <c r="H1170" s="1">
        <v>2500</v>
      </c>
      <c r="I1170" s="1">
        <v>5000</v>
      </c>
      <c r="J1170" s="1">
        <v>2000</v>
      </c>
    </row>
    <row r="1171" spans="1:10" x14ac:dyDescent="0.3">
      <c r="A1171" t="s">
        <v>67</v>
      </c>
      <c r="B1171" t="s">
        <v>16</v>
      </c>
      <c r="C1171" t="s">
        <v>11</v>
      </c>
      <c r="D1171" t="s">
        <v>28</v>
      </c>
      <c r="E1171">
        <v>86</v>
      </c>
      <c r="F1171">
        <v>28</v>
      </c>
      <c r="G1171" s="1">
        <v>3500</v>
      </c>
      <c r="H1171" s="1">
        <v>3500</v>
      </c>
      <c r="I1171" s="1">
        <v>7350</v>
      </c>
      <c r="J1171" s="1">
        <v>2100</v>
      </c>
    </row>
    <row r="1172" spans="1:10" x14ac:dyDescent="0.3">
      <c r="A1172" t="s">
        <v>67</v>
      </c>
      <c r="B1172" t="s">
        <v>17</v>
      </c>
      <c r="C1172" t="s">
        <v>11</v>
      </c>
      <c r="D1172" t="s">
        <v>28</v>
      </c>
      <c r="E1172">
        <v>86</v>
      </c>
      <c r="F1172">
        <v>28</v>
      </c>
      <c r="G1172" s="1">
        <v>3500</v>
      </c>
      <c r="H1172" s="1">
        <v>3380</v>
      </c>
      <c r="I1172" s="1">
        <v>11492</v>
      </c>
      <c r="J1172" s="1">
        <v>3400</v>
      </c>
    </row>
    <row r="1173" spans="1:10" x14ac:dyDescent="0.3">
      <c r="A1173" t="s">
        <v>67</v>
      </c>
      <c r="B1173" t="s">
        <v>18</v>
      </c>
      <c r="C1173" t="s">
        <v>11</v>
      </c>
      <c r="D1173" t="s">
        <v>28</v>
      </c>
      <c r="E1173">
        <v>86</v>
      </c>
      <c r="F1173">
        <v>28</v>
      </c>
      <c r="G1173" s="1">
        <v>50</v>
      </c>
      <c r="H1173" s="1">
        <v>50</v>
      </c>
      <c r="I1173" s="1">
        <v>140</v>
      </c>
      <c r="J1173" s="1">
        <v>2800</v>
      </c>
    </row>
    <row r="1174" spans="1:10" x14ac:dyDescent="0.3">
      <c r="A1174" t="s">
        <v>67</v>
      </c>
      <c r="B1174" t="s">
        <v>19</v>
      </c>
      <c r="C1174" t="s">
        <v>11</v>
      </c>
      <c r="D1174" t="s">
        <v>28</v>
      </c>
      <c r="E1174">
        <v>86</v>
      </c>
      <c r="F1174">
        <v>28</v>
      </c>
      <c r="G1174" s="1">
        <v>3500</v>
      </c>
      <c r="H1174" s="1">
        <v>3380</v>
      </c>
      <c r="I1174" s="1">
        <v>10478</v>
      </c>
      <c r="J1174" s="1">
        <v>3100</v>
      </c>
    </row>
    <row r="1175" spans="1:10" x14ac:dyDescent="0.3">
      <c r="A1175" t="s">
        <v>67</v>
      </c>
      <c r="B1175" t="s">
        <v>20</v>
      </c>
      <c r="C1175" t="s">
        <v>11</v>
      </c>
      <c r="D1175" t="s">
        <v>28</v>
      </c>
      <c r="E1175">
        <v>86</v>
      </c>
      <c r="F1175">
        <v>28</v>
      </c>
      <c r="G1175" s="1">
        <v>3600</v>
      </c>
      <c r="H1175" s="1">
        <v>3600</v>
      </c>
      <c r="I1175" s="1">
        <v>10800</v>
      </c>
      <c r="J1175" s="1">
        <v>3000</v>
      </c>
    </row>
    <row r="1176" spans="1:10" x14ac:dyDescent="0.3">
      <c r="A1176" t="s">
        <v>67</v>
      </c>
      <c r="B1176" t="s">
        <v>21</v>
      </c>
      <c r="C1176" t="s">
        <v>11</v>
      </c>
      <c r="D1176" t="s">
        <v>28</v>
      </c>
      <c r="E1176">
        <v>86</v>
      </c>
      <c r="F1176">
        <v>28</v>
      </c>
      <c r="G1176" s="1">
        <v>3600</v>
      </c>
      <c r="H1176" s="1">
        <v>3600</v>
      </c>
      <c r="I1176" s="1">
        <v>11520</v>
      </c>
      <c r="J1176" s="1">
        <v>3200</v>
      </c>
    </row>
    <row r="1177" spans="1:10" x14ac:dyDescent="0.3">
      <c r="A1177" t="s">
        <v>67</v>
      </c>
      <c r="B1177" t="s">
        <v>22</v>
      </c>
      <c r="C1177" t="s">
        <v>11</v>
      </c>
      <c r="D1177" t="s">
        <v>28</v>
      </c>
      <c r="E1177">
        <v>86</v>
      </c>
      <c r="F1177">
        <v>28</v>
      </c>
      <c r="G1177" s="1">
        <v>3600</v>
      </c>
      <c r="H1177" s="1">
        <v>3600</v>
      </c>
      <c r="I1177" s="1">
        <v>10440</v>
      </c>
      <c r="J1177" s="1">
        <v>2900</v>
      </c>
    </row>
    <row r="1178" spans="1:10" x14ac:dyDescent="0.3">
      <c r="A1178" t="s">
        <v>67</v>
      </c>
      <c r="B1178" t="s">
        <v>23</v>
      </c>
      <c r="C1178" t="s">
        <v>11</v>
      </c>
      <c r="D1178" t="s">
        <v>28</v>
      </c>
      <c r="E1178">
        <v>86</v>
      </c>
      <c r="F1178">
        <v>28</v>
      </c>
      <c r="G1178" s="1">
        <v>5600</v>
      </c>
      <c r="H1178" s="1">
        <v>5600</v>
      </c>
      <c r="I1178" s="1">
        <v>14392</v>
      </c>
      <c r="J1178" s="1">
        <v>2570</v>
      </c>
    </row>
    <row r="1179" spans="1:10" x14ac:dyDescent="0.3">
      <c r="A1179" t="s">
        <v>67</v>
      </c>
      <c r="B1179" t="s">
        <v>24</v>
      </c>
      <c r="C1179" t="s">
        <v>11</v>
      </c>
      <c r="D1179" t="s">
        <v>28</v>
      </c>
      <c r="E1179">
        <v>86</v>
      </c>
      <c r="F1179">
        <v>28</v>
      </c>
      <c r="G1179" s="1">
        <v>4800</v>
      </c>
      <c r="H1179" s="1">
        <v>4680</v>
      </c>
      <c r="I1179" s="1">
        <v>11326</v>
      </c>
      <c r="J1179" s="1">
        <v>2420</v>
      </c>
    </row>
    <row r="1180" spans="1:10" x14ac:dyDescent="0.3">
      <c r="A1180" t="s">
        <v>67</v>
      </c>
      <c r="B1180" t="s">
        <v>25</v>
      </c>
      <c r="C1180" t="s">
        <v>11</v>
      </c>
      <c r="D1180" t="s">
        <v>28</v>
      </c>
      <c r="E1180">
        <v>86</v>
      </c>
      <c r="F1180">
        <v>28</v>
      </c>
      <c r="G1180" s="1">
        <v>5850</v>
      </c>
      <c r="H1180" s="1">
        <v>5640</v>
      </c>
      <c r="I1180" s="1">
        <v>10152</v>
      </c>
      <c r="J1180" s="1">
        <v>1800</v>
      </c>
    </row>
    <row r="1181" spans="1:10" x14ac:dyDescent="0.3">
      <c r="A1181" t="s">
        <v>67</v>
      </c>
      <c r="B1181" t="s">
        <v>15</v>
      </c>
      <c r="C1181" t="s">
        <v>11</v>
      </c>
      <c r="D1181" t="s">
        <v>29</v>
      </c>
      <c r="E1181">
        <v>86</v>
      </c>
      <c r="F1181">
        <v>35</v>
      </c>
      <c r="G1181" s="1">
        <v>1625</v>
      </c>
      <c r="H1181" s="1">
        <v>1625</v>
      </c>
      <c r="I1181" s="1">
        <v>4063</v>
      </c>
      <c r="J1181" s="1">
        <v>2500</v>
      </c>
    </row>
    <row r="1182" spans="1:10" x14ac:dyDescent="0.3">
      <c r="A1182" t="s">
        <v>67</v>
      </c>
      <c r="B1182" t="s">
        <v>16</v>
      </c>
      <c r="C1182" t="s">
        <v>11</v>
      </c>
      <c r="D1182" t="s">
        <v>29</v>
      </c>
      <c r="E1182">
        <v>86</v>
      </c>
      <c r="F1182">
        <v>35</v>
      </c>
      <c r="G1182" s="1">
        <v>3050</v>
      </c>
      <c r="H1182" s="1">
        <v>3050</v>
      </c>
      <c r="I1182" s="1">
        <v>6710</v>
      </c>
      <c r="J1182" s="1">
        <v>2200</v>
      </c>
    </row>
    <row r="1183" spans="1:10" x14ac:dyDescent="0.3">
      <c r="A1183" t="s">
        <v>67</v>
      </c>
      <c r="B1183" t="s">
        <v>17</v>
      </c>
      <c r="C1183" t="s">
        <v>11</v>
      </c>
      <c r="D1183" t="s">
        <v>29</v>
      </c>
      <c r="E1183">
        <v>86</v>
      </c>
      <c r="F1183">
        <v>35</v>
      </c>
      <c r="G1183" s="1">
        <v>3050</v>
      </c>
      <c r="H1183" s="1">
        <v>3050</v>
      </c>
      <c r="I1183" s="1">
        <v>9150</v>
      </c>
      <c r="J1183" s="1">
        <v>3000</v>
      </c>
    </row>
    <row r="1184" spans="1:10" x14ac:dyDescent="0.3">
      <c r="A1184" t="s">
        <v>67</v>
      </c>
      <c r="B1184" t="s">
        <v>18</v>
      </c>
      <c r="C1184" t="s">
        <v>11</v>
      </c>
      <c r="D1184" t="s">
        <v>29</v>
      </c>
      <c r="E1184">
        <v>86</v>
      </c>
      <c r="F1184">
        <v>35</v>
      </c>
      <c r="G1184" s="1">
        <v>1625</v>
      </c>
      <c r="H1184" s="1">
        <v>1625</v>
      </c>
      <c r="I1184" s="1">
        <v>4063</v>
      </c>
      <c r="J1184" s="1">
        <v>2500</v>
      </c>
    </row>
    <row r="1185" spans="1:10" x14ac:dyDescent="0.3">
      <c r="A1185" t="s">
        <v>67</v>
      </c>
      <c r="B1185" t="s">
        <v>19</v>
      </c>
      <c r="C1185" t="s">
        <v>11</v>
      </c>
      <c r="D1185" t="s">
        <v>29</v>
      </c>
      <c r="E1185">
        <v>86</v>
      </c>
      <c r="F1185">
        <v>35</v>
      </c>
      <c r="G1185" s="1">
        <v>4600</v>
      </c>
      <c r="H1185" s="1">
        <v>4600</v>
      </c>
      <c r="I1185" s="1">
        <v>13800</v>
      </c>
      <c r="J1185" s="1">
        <v>3000</v>
      </c>
    </row>
    <row r="1186" spans="1:10" x14ac:dyDescent="0.3">
      <c r="A1186" t="s">
        <v>67</v>
      </c>
      <c r="B1186" t="s">
        <v>20</v>
      </c>
      <c r="C1186" t="s">
        <v>11</v>
      </c>
      <c r="D1186" t="s">
        <v>29</v>
      </c>
      <c r="E1186">
        <v>86</v>
      </c>
      <c r="F1186">
        <v>35</v>
      </c>
      <c r="G1186" s="1">
        <v>3000</v>
      </c>
      <c r="H1186" s="1">
        <v>3000</v>
      </c>
      <c r="I1186" s="1">
        <v>9000</v>
      </c>
      <c r="J1186" s="1">
        <v>3000</v>
      </c>
    </row>
    <row r="1187" spans="1:10" x14ac:dyDescent="0.3">
      <c r="A1187" t="s">
        <v>67</v>
      </c>
      <c r="B1187" t="s">
        <v>21</v>
      </c>
      <c r="C1187" t="s">
        <v>11</v>
      </c>
      <c r="D1187" t="s">
        <v>29</v>
      </c>
      <c r="E1187">
        <v>86</v>
      </c>
      <c r="F1187">
        <v>35</v>
      </c>
      <c r="G1187" s="1">
        <v>3000</v>
      </c>
      <c r="H1187" s="1">
        <v>3000</v>
      </c>
      <c r="I1187" s="1">
        <v>9000</v>
      </c>
      <c r="J1187" s="1">
        <v>3000</v>
      </c>
    </row>
    <row r="1188" spans="1:10" x14ac:dyDescent="0.3">
      <c r="A1188" t="s">
        <v>67</v>
      </c>
      <c r="B1188" t="s">
        <v>22</v>
      </c>
      <c r="C1188" t="s">
        <v>11</v>
      </c>
      <c r="D1188" t="s">
        <v>29</v>
      </c>
      <c r="E1188">
        <v>86</v>
      </c>
      <c r="F1188">
        <v>35</v>
      </c>
      <c r="G1188" s="1">
        <v>3500</v>
      </c>
      <c r="H1188" s="1">
        <v>3500</v>
      </c>
      <c r="I1188" s="1">
        <v>8750</v>
      </c>
      <c r="J1188" s="1">
        <v>2500</v>
      </c>
    </row>
    <row r="1189" spans="1:10" x14ac:dyDescent="0.3">
      <c r="A1189" t="s">
        <v>67</v>
      </c>
      <c r="B1189" t="s">
        <v>23</v>
      </c>
      <c r="C1189" t="s">
        <v>11</v>
      </c>
      <c r="D1189" t="s">
        <v>29</v>
      </c>
      <c r="E1189">
        <v>86</v>
      </c>
      <c r="F1189">
        <v>35</v>
      </c>
      <c r="G1189" s="1">
        <v>4000</v>
      </c>
      <c r="H1189" s="1">
        <v>4000</v>
      </c>
      <c r="I1189" s="1">
        <v>6000</v>
      </c>
      <c r="J1189" s="1">
        <v>1500</v>
      </c>
    </row>
    <row r="1190" spans="1:10" x14ac:dyDescent="0.3">
      <c r="A1190" t="s">
        <v>67</v>
      </c>
      <c r="B1190" t="s">
        <v>24</v>
      </c>
      <c r="C1190" t="s">
        <v>11</v>
      </c>
      <c r="D1190" t="s">
        <v>29</v>
      </c>
      <c r="E1190">
        <v>86</v>
      </c>
      <c r="F1190">
        <v>35</v>
      </c>
      <c r="G1190" s="1">
        <v>4000</v>
      </c>
      <c r="H1190" s="1">
        <v>4000</v>
      </c>
      <c r="I1190" s="1">
        <v>12148</v>
      </c>
      <c r="J1190" s="1">
        <v>3037</v>
      </c>
    </row>
    <row r="1191" spans="1:10" x14ac:dyDescent="0.3">
      <c r="A1191" t="s">
        <v>67</v>
      </c>
      <c r="B1191" t="s">
        <v>25</v>
      </c>
      <c r="C1191" t="s">
        <v>11</v>
      </c>
      <c r="D1191" t="s">
        <v>29</v>
      </c>
      <c r="E1191">
        <v>86</v>
      </c>
      <c r="F1191">
        <v>35</v>
      </c>
      <c r="G1191" s="1">
        <v>4600</v>
      </c>
      <c r="H1191" s="1">
        <v>4550</v>
      </c>
      <c r="I1191" s="1">
        <v>12740</v>
      </c>
      <c r="J1191" s="1">
        <v>2800</v>
      </c>
    </row>
    <row r="1192" spans="1:10" x14ac:dyDescent="0.3">
      <c r="A1192" t="s">
        <v>67</v>
      </c>
      <c r="B1192" t="s">
        <v>15</v>
      </c>
      <c r="C1192" t="s">
        <v>11</v>
      </c>
      <c r="D1192" t="s">
        <v>30</v>
      </c>
      <c r="E1192">
        <v>86</v>
      </c>
      <c r="F1192">
        <v>42</v>
      </c>
      <c r="G1192" s="1">
        <v>90750</v>
      </c>
      <c r="H1192" s="1">
        <v>63957</v>
      </c>
      <c r="I1192" s="1">
        <v>115123</v>
      </c>
      <c r="J1192" s="1">
        <v>1800</v>
      </c>
    </row>
    <row r="1193" spans="1:10" x14ac:dyDescent="0.3">
      <c r="A1193" t="s">
        <v>67</v>
      </c>
      <c r="B1193" t="s">
        <v>16</v>
      </c>
      <c r="C1193" t="s">
        <v>11</v>
      </c>
      <c r="D1193" t="s">
        <v>30</v>
      </c>
      <c r="E1193">
        <v>86</v>
      </c>
      <c r="F1193">
        <v>42</v>
      </c>
      <c r="G1193" s="1">
        <v>45804</v>
      </c>
      <c r="H1193" s="1">
        <v>41714</v>
      </c>
      <c r="I1193" s="1">
        <v>112629</v>
      </c>
      <c r="J1193" s="1">
        <v>2700</v>
      </c>
    </row>
    <row r="1194" spans="1:10" x14ac:dyDescent="0.3">
      <c r="A1194" t="s">
        <v>67</v>
      </c>
      <c r="B1194" t="s">
        <v>17</v>
      </c>
      <c r="C1194" t="s">
        <v>11</v>
      </c>
      <c r="D1194" t="s">
        <v>30</v>
      </c>
      <c r="E1194">
        <v>86</v>
      </c>
      <c r="F1194">
        <v>42</v>
      </c>
      <c r="G1194" s="1">
        <v>29470</v>
      </c>
      <c r="H1194" s="1">
        <v>28946</v>
      </c>
      <c r="I1194" s="1">
        <v>107102</v>
      </c>
      <c r="J1194" s="1">
        <v>3700</v>
      </c>
    </row>
    <row r="1195" spans="1:10" x14ac:dyDescent="0.3">
      <c r="A1195" t="s">
        <v>67</v>
      </c>
      <c r="B1195" t="s">
        <v>18</v>
      </c>
      <c r="C1195" t="s">
        <v>11</v>
      </c>
      <c r="D1195" t="s">
        <v>30</v>
      </c>
      <c r="E1195">
        <v>86</v>
      </c>
      <c r="F1195">
        <v>42</v>
      </c>
      <c r="G1195" s="1">
        <v>11299</v>
      </c>
      <c r="H1195" s="1">
        <v>11299</v>
      </c>
      <c r="I1195" s="1">
        <v>27118</v>
      </c>
      <c r="J1195" s="1">
        <v>2400</v>
      </c>
    </row>
    <row r="1196" spans="1:10" x14ac:dyDescent="0.3">
      <c r="A1196" t="s">
        <v>67</v>
      </c>
      <c r="B1196" t="s">
        <v>19</v>
      </c>
      <c r="C1196" t="s">
        <v>11</v>
      </c>
      <c r="D1196" t="s">
        <v>30</v>
      </c>
      <c r="E1196">
        <v>86</v>
      </c>
      <c r="F1196">
        <v>42</v>
      </c>
      <c r="G1196" s="1">
        <v>80000</v>
      </c>
      <c r="H1196" s="1">
        <v>69250</v>
      </c>
      <c r="I1196" s="1">
        <v>228525</v>
      </c>
      <c r="J1196" s="1">
        <v>3300</v>
      </c>
    </row>
    <row r="1197" spans="1:10" x14ac:dyDescent="0.3">
      <c r="A1197" t="s">
        <v>67</v>
      </c>
      <c r="B1197" t="s">
        <v>20</v>
      </c>
      <c r="C1197" t="s">
        <v>11</v>
      </c>
      <c r="D1197" t="s">
        <v>30</v>
      </c>
      <c r="E1197">
        <v>86</v>
      </c>
      <c r="F1197">
        <v>42</v>
      </c>
      <c r="G1197" s="1">
        <v>49000</v>
      </c>
      <c r="H1197" s="1">
        <v>48570</v>
      </c>
      <c r="I1197" s="1">
        <v>160281</v>
      </c>
      <c r="J1197" s="1">
        <v>3300</v>
      </c>
    </row>
    <row r="1198" spans="1:10" x14ac:dyDescent="0.3">
      <c r="A1198" t="s">
        <v>67</v>
      </c>
      <c r="B1198" t="s">
        <v>21</v>
      </c>
      <c r="C1198" t="s">
        <v>11</v>
      </c>
      <c r="D1198" t="s">
        <v>30</v>
      </c>
      <c r="E1198">
        <v>86</v>
      </c>
      <c r="F1198">
        <v>42</v>
      </c>
      <c r="G1198" s="1">
        <v>49000</v>
      </c>
      <c r="H1198" s="1">
        <v>49000</v>
      </c>
      <c r="I1198" s="1">
        <v>191100</v>
      </c>
      <c r="J1198" s="1">
        <v>3900</v>
      </c>
    </row>
    <row r="1199" spans="1:10" x14ac:dyDescent="0.3">
      <c r="A1199" t="s">
        <v>67</v>
      </c>
      <c r="B1199" t="s">
        <v>22</v>
      </c>
      <c r="C1199" t="s">
        <v>11</v>
      </c>
      <c r="D1199" t="s">
        <v>30</v>
      </c>
      <c r="E1199">
        <v>86</v>
      </c>
      <c r="F1199">
        <v>42</v>
      </c>
      <c r="G1199" s="1">
        <v>49000</v>
      </c>
      <c r="H1199" s="1">
        <v>49000</v>
      </c>
      <c r="I1199" s="1">
        <v>156800</v>
      </c>
      <c r="J1199" s="1">
        <v>3200</v>
      </c>
    </row>
    <row r="1200" spans="1:10" x14ac:dyDescent="0.3">
      <c r="A1200" t="s">
        <v>67</v>
      </c>
      <c r="B1200" t="s">
        <v>23</v>
      </c>
      <c r="C1200" t="s">
        <v>11</v>
      </c>
      <c r="D1200" t="s">
        <v>30</v>
      </c>
      <c r="E1200">
        <v>86</v>
      </c>
      <c r="F1200">
        <v>42</v>
      </c>
      <c r="G1200" s="1">
        <v>89400</v>
      </c>
      <c r="H1200" s="1">
        <v>89400</v>
      </c>
      <c r="I1200" s="1">
        <v>250320</v>
      </c>
      <c r="J1200" s="1">
        <v>2800</v>
      </c>
    </row>
    <row r="1201" spans="1:10" x14ac:dyDescent="0.3">
      <c r="A1201" t="s">
        <v>67</v>
      </c>
      <c r="B1201" t="s">
        <v>24</v>
      </c>
      <c r="C1201" t="s">
        <v>11</v>
      </c>
      <c r="D1201" t="s">
        <v>30</v>
      </c>
      <c r="E1201">
        <v>86</v>
      </c>
      <c r="F1201">
        <v>42</v>
      </c>
      <c r="G1201" s="1">
        <v>87500</v>
      </c>
      <c r="H1201" s="1">
        <v>86600</v>
      </c>
      <c r="I1201" s="1">
        <v>251140</v>
      </c>
      <c r="J1201" s="1">
        <v>2900</v>
      </c>
    </row>
    <row r="1202" spans="1:10" x14ac:dyDescent="0.3">
      <c r="A1202" t="s">
        <v>67</v>
      </c>
      <c r="B1202" t="s">
        <v>25</v>
      </c>
      <c r="C1202" t="s">
        <v>11</v>
      </c>
      <c r="D1202" t="s">
        <v>30</v>
      </c>
      <c r="E1202">
        <v>86</v>
      </c>
      <c r="F1202">
        <v>42</v>
      </c>
      <c r="G1202" s="1">
        <v>105700</v>
      </c>
      <c r="H1202" s="1">
        <v>101830</v>
      </c>
      <c r="I1202" s="1">
        <v>343167</v>
      </c>
      <c r="J1202" s="1">
        <v>3370</v>
      </c>
    </row>
    <row r="1203" spans="1:10" x14ac:dyDescent="0.3">
      <c r="A1203" t="s">
        <v>67</v>
      </c>
      <c r="B1203" t="s">
        <v>15</v>
      </c>
      <c r="C1203" t="s">
        <v>11</v>
      </c>
      <c r="D1203" t="s">
        <v>31</v>
      </c>
      <c r="E1203">
        <v>86</v>
      </c>
      <c r="F1203">
        <v>49</v>
      </c>
      <c r="G1203" s="1">
        <v>1625</v>
      </c>
      <c r="H1203" s="1">
        <v>1625</v>
      </c>
      <c r="I1203" s="1">
        <v>4063</v>
      </c>
      <c r="J1203" s="1">
        <v>2500</v>
      </c>
    </row>
    <row r="1204" spans="1:10" x14ac:dyDescent="0.3">
      <c r="A1204" t="s">
        <v>67</v>
      </c>
      <c r="B1204" t="s">
        <v>16</v>
      </c>
      <c r="C1204" t="s">
        <v>11</v>
      </c>
      <c r="D1204" t="s">
        <v>31</v>
      </c>
      <c r="E1204">
        <v>86</v>
      </c>
      <c r="F1204">
        <v>49</v>
      </c>
      <c r="G1204" s="1">
        <v>1765</v>
      </c>
      <c r="H1204" s="1">
        <v>1765</v>
      </c>
      <c r="I1204" s="1">
        <v>4766</v>
      </c>
      <c r="J1204" s="1">
        <v>2700</v>
      </c>
    </row>
    <row r="1205" spans="1:10" x14ac:dyDescent="0.3">
      <c r="A1205" t="s">
        <v>67</v>
      </c>
      <c r="B1205" t="s">
        <v>17</v>
      </c>
      <c r="C1205" t="s">
        <v>11</v>
      </c>
      <c r="D1205" t="s">
        <v>31</v>
      </c>
      <c r="E1205">
        <v>86</v>
      </c>
      <c r="F1205">
        <v>49</v>
      </c>
      <c r="G1205" s="1">
        <v>2550</v>
      </c>
      <c r="H1205" s="1">
        <v>2550</v>
      </c>
      <c r="I1205" s="1">
        <v>8925</v>
      </c>
      <c r="J1205" s="1">
        <v>3500</v>
      </c>
    </row>
    <row r="1206" spans="1:10" x14ac:dyDescent="0.3">
      <c r="A1206" t="s">
        <v>67</v>
      </c>
      <c r="B1206" t="s">
        <v>18</v>
      </c>
      <c r="C1206" t="s">
        <v>11</v>
      </c>
      <c r="D1206" t="s">
        <v>31</v>
      </c>
      <c r="E1206">
        <v>86</v>
      </c>
      <c r="F1206">
        <v>49</v>
      </c>
      <c r="G1206" s="1">
        <v>2100</v>
      </c>
      <c r="H1206" s="1">
        <v>2100</v>
      </c>
      <c r="I1206" s="1">
        <v>5880</v>
      </c>
      <c r="J1206" s="1">
        <v>2800</v>
      </c>
    </row>
    <row r="1207" spans="1:10" x14ac:dyDescent="0.3">
      <c r="A1207" t="s">
        <v>67</v>
      </c>
      <c r="B1207" t="s">
        <v>19</v>
      </c>
      <c r="C1207" t="s">
        <v>11</v>
      </c>
      <c r="D1207" t="s">
        <v>31</v>
      </c>
      <c r="E1207">
        <v>86</v>
      </c>
      <c r="F1207">
        <v>49</v>
      </c>
      <c r="G1207" s="1">
        <v>4000</v>
      </c>
      <c r="H1207" s="1">
        <v>4000</v>
      </c>
      <c r="I1207" s="1">
        <v>14000</v>
      </c>
      <c r="J1207" s="1">
        <v>3500</v>
      </c>
    </row>
    <row r="1208" spans="1:10" x14ac:dyDescent="0.3">
      <c r="A1208" t="s">
        <v>67</v>
      </c>
      <c r="B1208" t="s">
        <v>20</v>
      </c>
      <c r="C1208" t="s">
        <v>11</v>
      </c>
      <c r="D1208" t="s">
        <v>31</v>
      </c>
      <c r="E1208">
        <v>86</v>
      </c>
      <c r="F1208">
        <v>49</v>
      </c>
      <c r="G1208" s="1">
        <v>3000</v>
      </c>
      <c r="H1208" s="1">
        <v>3000</v>
      </c>
      <c r="I1208" s="1">
        <v>9000</v>
      </c>
      <c r="J1208" s="1">
        <v>3000</v>
      </c>
    </row>
    <row r="1209" spans="1:10" x14ac:dyDescent="0.3">
      <c r="A1209" t="s">
        <v>67</v>
      </c>
      <c r="B1209" t="s">
        <v>21</v>
      </c>
      <c r="C1209" t="s">
        <v>11</v>
      </c>
      <c r="D1209" t="s">
        <v>31</v>
      </c>
      <c r="E1209">
        <v>86</v>
      </c>
      <c r="F1209">
        <v>49</v>
      </c>
      <c r="G1209" s="1">
        <v>3000</v>
      </c>
      <c r="H1209" s="1">
        <v>3000</v>
      </c>
      <c r="I1209" s="1">
        <v>9000</v>
      </c>
      <c r="J1209" s="1">
        <v>3000</v>
      </c>
    </row>
    <row r="1210" spans="1:10" x14ac:dyDescent="0.3">
      <c r="A1210" t="s">
        <v>67</v>
      </c>
      <c r="B1210" t="s">
        <v>22</v>
      </c>
      <c r="C1210" t="s">
        <v>11</v>
      </c>
      <c r="D1210" t="s">
        <v>31</v>
      </c>
      <c r="E1210">
        <v>86</v>
      </c>
      <c r="F1210">
        <v>49</v>
      </c>
      <c r="G1210" s="1">
        <v>3500</v>
      </c>
      <c r="H1210" s="1">
        <v>3500</v>
      </c>
      <c r="I1210" s="1">
        <v>8750</v>
      </c>
      <c r="J1210" s="1">
        <v>2500</v>
      </c>
    </row>
    <row r="1211" spans="1:10" x14ac:dyDescent="0.3">
      <c r="A1211" t="s">
        <v>67</v>
      </c>
      <c r="B1211" t="s">
        <v>23</v>
      </c>
      <c r="C1211" t="s">
        <v>11</v>
      </c>
      <c r="D1211" t="s">
        <v>31</v>
      </c>
      <c r="E1211">
        <v>86</v>
      </c>
      <c r="F1211">
        <v>49</v>
      </c>
      <c r="G1211" s="1">
        <v>4000</v>
      </c>
      <c r="H1211" s="1">
        <v>4000</v>
      </c>
      <c r="I1211" s="1">
        <v>6000</v>
      </c>
      <c r="J1211" s="1">
        <v>1500</v>
      </c>
    </row>
    <row r="1212" spans="1:10" x14ac:dyDescent="0.3">
      <c r="A1212" t="s">
        <v>67</v>
      </c>
      <c r="B1212" t="s">
        <v>24</v>
      </c>
      <c r="C1212" t="s">
        <v>11</v>
      </c>
      <c r="D1212" t="s">
        <v>31</v>
      </c>
      <c r="E1212">
        <v>86</v>
      </c>
      <c r="F1212">
        <v>49</v>
      </c>
      <c r="G1212" s="1">
        <v>4000</v>
      </c>
      <c r="H1212" s="1">
        <v>3990</v>
      </c>
      <c r="I1212" s="1">
        <v>12162</v>
      </c>
      <c r="J1212" s="1">
        <v>3048</v>
      </c>
    </row>
    <row r="1213" spans="1:10" x14ac:dyDescent="0.3">
      <c r="A1213" t="s">
        <v>67</v>
      </c>
      <c r="B1213" t="s">
        <v>25</v>
      </c>
      <c r="C1213" t="s">
        <v>11</v>
      </c>
      <c r="D1213" t="s">
        <v>31</v>
      </c>
      <c r="E1213">
        <v>86</v>
      </c>
      <c r="F1213">
        <v>49</v>
      </c>
      <c r="G1213" s="1">
        <v>4600</v>
      </c>
      <c r="H1213" s="1">
        <v>4530</v>
      </c>
      <c r="I1213" s="1">
        <v>10419</v>
      </c>
      <c r="J1213" s="1">
        <v>2300</v>
      </c>
    </row>
    <row r="1214" spans="1:10" x14ac:dyDescent="0.3">
      <c r="A1214" t="s">
        <v>67</v>
      </c>
      <c r="B1214" t="s">
        <v>15</v>
      </c>
      <c r="C1214" t="s">
        <v>11</v>
      </c>
      <c r="D1214" t="s">
        <v>32</v>
      </c>
      <c r="E1214">
        <v>86</v>
      </c>
      <c r="F1214">
        <v>63</v>
      </c>
      <c r="G1214" s="1">
        <v>5000</v>
      </c>
      <c r="H1214" s="1">
        <v>5000</v>
      </c>
      <c r="I1214" s="1">
        <v>10000</v>
      </c>
      <c r="J1214" s="1">
        <v>2000</v>
      </c>
    </row>
    <row r="1215" spans="1:10" x14ac:dyDescent="0.3">
      <c r="A1215" t="s">
        <v>67</v>
      </c>
      <c r="B1215" t="s">
        <v>16</v>
      </c>
      <c r="C1215" t="s">
        <v>11</v>
      </c>
      <c r="D1215" t="s">
        <v>32</v>
      </c>
      <c r="E1215">
        <v>86</v>
      </c>
      <c r="F1215">
        <v>63</v>
      </c>
      <c r="G1215" s="1">
        <v>5000</v>
      </c>
      <c r="H1215" s="1">
        <v>5000</v>
      </c>
      <c r="I1215" s="1">
        <v>10500</v>
      </c>
      <c r="J1215" s="1">
        <v>2100</v>
      </c>
    </row>
    <row r="1216" spans="1:10" x14ac:dyDescent="0.3">
      <c r="A1216" t="s">
        <v>67</v>
      </c>
      <c r="B1216" t="s">
        <v>17</v>
      </c>
      <c r="C1216" t="s">
        <v>11</v>
      </c>
      <c r="D1216" t="s">
        <v>32</v>
      </c>
      <c r="E1216">
        <v>86</v>
      </c>
      <c r="F1216">
        <v>63</v>
      </c>
      <c r="G1216" s="1">
        <v>6000</v>
      </c>
      <c r="H1216" s="1">
        <v>6000</v>
      </c>
      <c r="I1216" s="1">
        <v>16800</v>
      </c>
      <c r="J1216" s="1">
        <v>2800</v>
      </c>
    </row>
    <row r="1217" spans="1:10" x14ac:dyDescent="0.3">
      <c r="A1217" t="s">
        <v>67</v>
      </c>
      <c r="B1217" t="s">
        <v>18</v>
      </c>
      <c r="C1217" t="s">
        <v>11</v>
      </c>
      <c r="D1217" t="s">
        <v>32</v>
      </c>
      <c r="E1217">
        <v>86</v>
      </c>
      <c r="F1217">
        <v>63</v>
      </c>
      <c r="G1217" s="1">
        <v>6000</v>
      </c>
      <c r="H1217" s="1">
        <v>6000</v>
      </c>
      <c r="I1217" s="1">
        <v>15000</v>
      </c>
      <c r="J1217" s="1">
        <v>2500</v>
      </c>
    </row>
    <row r="1218" spans="1:10" x14ac:dyDescent="0.3">
      <c r="A1218" t="s">
        <v>67</v>
      </c>
      <c r="B1218" t="s">
        <v>19</v>
      </c>
      <c r="C1218" t="s">
        <v>11</v>
      </c>
      <c r="D1218" t="s">
        <v>32</v>
      </c>
      <c r="E1218">
        <v>86</v>
      </c>
      <c r="F1218">
        <v>63</v>
      </c>
      <c r="G1218" s="1">
        <v>5000</v>
      </c>
      <c r="H1218" s="1">
        <v>5000</v>
      </c>
      <c r="I1218" s="1">
        <v>17500</v>
      </c>
      <c r="J1218" s="1">
        <v>3500</v>
      </c>
    </row>
    <row r="1219" spans="1:10" x14ac:dyDescent="0.3">
      <c r="A1219" t="s">
        <v>67</v>
      </c>
      <c r="B1219" t="s">
        <v>20</v>
      </c>
      <c r="C1219" t="s">
        <v>11</v>
      </c>
      <c r="D1219" t="s">
        <v>32</v>
      </c>
      <c r="E1219">
        <v>86</v>
      </c>
      <c r="F1219">
        <v>63</v>
      </c>
      <c r="G1219" s="1">
        <v>5000</v>
      </c>
      <c r="H1219" s="1">
        <v>5000</v>
      </c>
      <c r="I1219" s="1">
        <v>15000</v>
      </c>
      <c r="J1219" s="1">
        <v>3000</v>
      </c>
    </row>
    <row r="1220" spans="1:10" x14ac:dyDescent="0.3">
      <c r="A1220" t="s">
        <v>67</v>
      </c>
      <c r="B1220" t="s">
        <v>21</v>
      </c>
      <c r="C1220" t="s">
        <v>11</v>
      </c>
      <c r="D1220" t="s">
        <v>32</v>
      </c>
      <c r="E1220">
        <v>86</v>
      </c>
      <c r="F1220">
        <v>63</v>
      </c>
      <c r="G1220" s="1">
        <v>5500</v>
      </c>
      <c r="H1220" s="1">
        <v>5500</v>
      </c>
      <c r="I1220" s="1">
        <v>16500</v>
      </c>
      <c r="J1220" s="1">
        <v>3000</v>
      </c>
    </row>
    <row r="1221" spans="1:10" x14ac:dyDescent="0.3">
      <c r="A1221" t="s">
        <v>67</v>
      </c>
      <c r="B1221" t="s">
        <v>22</v>
      </c>
      <c r="C1221" t="s">
        <v>11</v>
      </c>
      <c r="D1221" t="s">
        <v>32</v>
      </c>
      <c r="E1221">
        <v>86</v>
      </c>
      <c r="F1221">
        <v>63</v>
      </c>
      <c r="G1221" s="1">
        <v>5500</v>
      </c>
      <c r="H1221" s="1">
        <v>5500</v>
      </c>
      <c r="I1221" s="1">
        <v>13750</v>
      </c>
      <c r="J1221" s="1">
        <v>2500</v>
      </c>
    </row>
    <row r="1222" spans="1:10" x14ac:dyDescent="0.3">
      <c r="A1222" t="s">
        <v>67</v>
      </c>
      <c r="B1222" t="s">
        <v>23</v>
      </c>
      <c r="C1222" t="s">
        <v>11</v>
      </c>
      <c r="D1222" t="s">
        <v>32</v>
      </c>
      <c r="E1222">
        <v>86</v>
      </c>
      <c r="F1222">
        <v>63</v>
      </c>
      <c r="G1222" s="1">
        <v>6000</v>
      </c>
      <c r="H1222" s="1">
        <v>6000</v>
      </c>
      <c r="I1222" s="1">
        <v>9000</v>
      </c>
      <c r="J1222" s="1">
        <v>1500</v>
      </c>
    </row>
    <row r="1223" spans="1:10" x14ac:dyDescent="0.3">
      <c r="A1223" t="s">
        <v>67</v>
      </c>
      <c r="B1223" t="s">
        <v>24</v>
      </c>
      <c r="C1223" t="s">
        <v>11</v>
      </c>
      <c r="D1223" t="s">
        <v>32</v>
      </c>
      <c r="E1223">
        <v>86</v>
      </c>
      <c r="F1223">
        <v>63</v>
      </c>
      <c r="G1223" s="1">
        <v>6000</v>
      </c>
      <c r="H1223" s="1">
        <v>5990</v>
      </c>
      <c r="I1223" s="1">
        <v>18329</v>
      </c>
      <c r="J1223" s="1">
        <v>3060</v>
      </c>
    </row>
    <row r="1224" spans="1:10" x14ac:dyDescent="0.3">
      <c r="A1224" t="s">
        <v>67</v>
      </c>
      <c r="B1224" t="s">
        <v>25</v>
      </c>
      <c r="C1224" t="s">
        <v>11</v>
      </c>
      <c r="D1224" t="s">
        <v>32</v>
      </c>
      <c r="E1224">
        <v>86</v>
      </c>
      <c r="F1224">
        <v>63</v>
      </c>
      <c r="G1224" s="1">
        <v>6900</v>
      </c>
      <c r="H1224" s="1">
        <v>6820</v>
      </c>
      <c r="I1224" s="1">
        <v>15686</v>
      </c>
      <c r="J1224" s="1">
        <v>2300</v>
      </c>
    </row>
    <row r="1225" spans="1:10" x14ac:dyDescent="0.3">
      <c r="A1225" t="s">
        <v>67</v>
      </c>
      <c r="B1225" t="s">
        <v>15</v>
      </c>
      <c r="C1225" t="s">
        <v>11</v>
      </c>
      <c r="D1225" t="s">
        <v>33</v>
      </c>
      <c r="E1225">
        <v>86</v>
      </c>
      <c r="F1225">
        <v>56</v>
      </c>
      <c r="G1225" s="1">
        <v>8500</v>
      </c>
      <c r="H1225" s="1">
        <v>8000</v>
      </c>
      <c r="I1225" s="1">
        <v>19200</v>
      </c>
      <c r="J1225" s="1">
        <v>2400</v>
      </c>
    </row>
    <row r="1226" spans="1:10" x14ac:dyDescent="0.3">
      <c r="A1226" t="s">
        <v>67</v>
      </c>
      <c r="B1226" t="s">
        <v>16</v>
      </c>
      <c r="C1226" t="s">
        <v>11</v>
      </c>
      <c r="D1226" t="s">
        <v>33</v>
      </c>
      <c r="E1226">
        <v>86</v>
      </c>
      <c r="F1226">
        <v>56</v>
      </c>
      <c r="G1226" s="1">
        <v>8500</v>
      </c>
      <c r="H1226" s="1">
        <v>8500</v>
      </c>
      <c r="I1226" s="1">
        <v>18700</v>
      </c>
      <c r="J1226" s="1">
        <v>2200</v>
      </c>
    </row>
    <row r="1227" spans="1:10" x14ac:dyDescent="0.3">
      <c r="A1227" t="s">
        <v>67</v>
      </c>
      <c r="B1227" t="s">
        <v>17</v>
      </c>
      <c r="C1227" t="s">
        <v>11</v>
      </c>
      <c r="D1227" t="s">
        <v>33</v>
      </c>
      <c r="E1227">
        <v>86</v>
      </c>
      <c r="F1227">
        <v>56</v>
      </c>
      <c r="G1227" s="1">
        <v>8500</v>
      </c>
      <c r="H1227" s="1">
        <v>8370</v>
      </c>
      <c r="I1227" s="1">
        <v>25947</v>
      </c>
      <c r="J1227" s="1">
        <v>3100</v>
      </c>
    </row>
    <row r="1228" spans="1:10" x14ac:dyDescent="0.3">
      <c r="A1228" t="s">
        <v>67</v>
      </c>
      <c r="B1228" t="s">
        <v>18</v>
      </c>
      <c r="C1228" t="s">
        <v>11</v>
      </c>
      <c r="D1228" t="s">
        <v>33</v>
      </c>
      <c r="E1228">
        <v>86</v>
      </c>
      <c r="F1228">
        <v>56</v>
      </c>
      <c r="G1228" s="1">
        <v>8500</v>
      </c>
      <c r="H1228" s="1">
        <v>8370</v>
      </c>
      <c r="I1228" s="1">
        <v>22599</v>
      </c>
      <c r="J1228" s="1">
        <v>2700</v>
      </c>
    </row>
    <row r="1229" spans="1:10" x14ac:dyDescent="0.3">
      <c r="A1229" t="s">
        <v>67</v>
      </c>
      <c r="B1229" t="s">
        <v>19</v>
      </c>
      <c r="C1229" t="s">
        <v>11</v>
      </c>
      <c r="D1229" t="s">
        <v>33</v>
      </c>
      <c r="E1229">
        <v>86</v>
      </c>
      <c r="F1229">
        <v>56</v>
      </c>
      <c r="G1229" s="1">
        <v>6615</v>
      </c>
      <c r="H1229" s="1">
        <v>6405</v>
      </c>
      <c r="I1229" s="1">
        <v>19215</v>
      </c>
      <c r="J1229" s="1">
        <v>3000</v>
      </c>
    </row>
    <row r="1230" spans="1:10" x14ac:dyDescent="0.3">
      <c r="A1230" t="s">
        <v>67</v>
      </c>
      <c r="B1230" t="s">
        <v>20</v>
      </c>
      <c r="C1230" t="s">
        <v>11</v>
      </c>
      <c r="D1230" t="s">
        <v>33</v>
      </c>
      <c r="E1230">
        <v>86</v>
      </c>
      <c r="F1230">
        <v>56</v>
      </c>
      <c r="G1230" s="1">
        <v>6800</v>
      </c>
      <c r="H1230" s="1">
        <v>6670</v>
      </c>
      <c r="I1230" s="1">
        <v>21344</v>
      </c>
      <c r="J1230" s="1">
        <v>3200</v>
      </c>
    </row>
    <row r="1231" spans="1:10" x14ac:dyDescent="0.3">
      <c r="A1231" t="s">
        <v>67</v>
      </c>
      <c r="B1231" t="s">
        <v>21</v>
      </c>
      <c r="C1231" t="s">
        <v>11</v>
      </c>
      <c r="D1231" t="s">
        <v>33</v>
      </c>
      <c r="E1231">
        <v>86</v>
      </c>
      <c r="F1231">
        <v>56</v>
      </c>
      <c r="G1231" s="1">
        <v>9500</v>
      </c>
      <c r="H1231" s="1">
        <v>9500</v>
      </c>
      <c r="I1231" s="1">
        <v>28500</v>
      </c>
      <c r="J1231" s="1">
        <v>3000</v>
      </c>
    </row>
    <row r="1232" spans="1:10" x14ac:dyDescent="0.3">
      <c r="A1232" t="s">
        <v>67</v>
      </c>
      <c r="B1232" t="s">
        <v>22</v>
      </c>
      <c r="C1232" t="s">
        <v>11</v>
      </c>
      <c r="D1232" t="s">
        <v>33</v>
      </c>
      <c r="E1232">
        <v>86</v>
      </c>
      <c r="F1232">
        <v>56</v>
      </c>
      <c r="G1232" s="1">
        <v>9500</v>
      </c>
      <c r="H1232" s="1">
        <v>9500</v>
      </c>
      <c r="I1232" s="1">
        <v>28500</v>
      </c>
      <c r="J1232" s="1">
        <v>3000</v>
      </c>
    </row>
    <row r="1233" spans="1:10" x14ac:dyDescent="0.3">
      <c r="A1233" t="s">
        <v>67</v>
      </c>
      <c r="B1233" t="s">
        <v>23</v>
      </c>
      <c r="C1233" t="s">
        <v>11</v>
      </c>
      <c r="D1233" t="s">
        <v>33</v>
      </c>
      <c r="E1233">
        <v>86</v>
      </c>
      <c r="F1233">
        <v>56</v>
      </c>
      <c r="G1233" s="1">
        <v>19500</v>
      </c>
      <c r="H1233" s="1">
        <v>19500</v>
      </c>
      <c r="I1233" s="1">
        <v>50115</v>
      </c>
      <c r="J1233" s="1">
        <v>2570</v>
      </c>
    </row>
    <row r="1234" spans="1:10" x14ac:dyDescent="0.3">
      <c r="A1234" t="s">
        <v>67</v>
      </c>
      <c r="B1234" t="s">
        <v>24</v>
      </c>
      <c r="C1234" t="s">
        <v>11</v>
      </c>
      <c r="D1234" t="s">
        <v>33</v>
      </c>
      <c r="E1234">
        <v>86</v>
      </c>
      <c r="F1234">
        <v>56</v>
      </c>
      <c r="G1234" s="1">
        <v>21300</v>
      </c>
      <c r="H1234" s="1">
        <v>21120</v>
      </c>
      <c r="I1234" s="1">
        <v>48576</v>
      </c>
      <c r="J1234" s="1">
        <v>2300</v>
      </c>
    </row>
    <row r="1235" spans="1:10" x14ac:dyDescent="0.3">
      <c r="A1235" t="s">
        <v>67</v>
      </c>
      <c r="B1235" t="s">
        <v>25</v>
      </c>
      <c r="C1235" t="s">
        <v>11</v>
      </c>
      <c r="D1235" t="s">
        <v>33</v>
      </c>
      <c r="E1235">
        <v>86</v>
      </c>
      <c r="F1235">
        <v>56</v>
      </c>
      <c r="G1235" s="1">
        <v>25350</v>
      </c>
      <c r="H1235" s="1">
        <v>19120</v>
      </c>
      <c r="I1235" s="1">
        <v>21032</v>
      </c>
      <c r="J1235" s="1">
        <v>1100</v>
      </c>
    </row>
    <row r="1236" spans="1:10" x14ac:dyDescent="0.3">
      <c r="A1236" t="s">
        <v>67</v>
      </c>
      <c r="B1236" t="s">
        <v>15</v>
      </c>
      <c r="C1236" t="s">
        <v>11</v>
      </c>
      <c r="D1236" t="s">
        <v>34</v>
      </c>
      <c r="E1236">
        <v>86</v>
      </c>
      <c r="F1236">
        <v>70</v>
      </c>
      <c r="G1236" s="1">
        <v>25</v>
      </c>
      <c r="H1236" s="1">
        <v>25</v>
      </c>
      <c r="I1236" s="1">
        <v>45</v>
      </c>
      <c r="J1236" s="1">
        <v>1800</v>
      </c>
    </row>
    <row r="1237" spans="1:10" x14ac:dyDescent="0.3">
      <c r="A1237" t="s">
        <v>67</v>
      </c>
      <c r="B1237" t="s">
        <v>16</v>
      </c>
      <c r="C1237" t="s">
        <v>11</v>
      </c>
      <c r="D1237" t="s">
        <v>34</v>
      </c>
      <c r="E1237">
        <v>86</v>
      </c>
      <c r="F1237">
        <v>70</v>
      </c>
      <c r="G1237" s="1">
        <v>500</v>
      </c>
      <c r="H1237" s="1">
        <v>500</v>
      </c>
      <c r="I1237" s="1">
        <v>850</v>
      </c>
      <c r="J1237" s="1">
        <v>1700</v>
      </c>
    </row>
    <row r="1238" spans="1:10" x14ac:dyDescent="0.3">
      <c r="A1238" t="s">
        <v>67</v>
      </c>
      <c r="B1238" t="s">
        <v>17</v>
      </c>
      <c r="C1238" t="s">
        <v>11</v>
      </c>
      <c r="D1238" t="s">
        <v>34</v>
      </c>
      <c r="E1238">
        <v>86</v>
      </c>
      <c r="F1238">
        <v>70</v>
      </c>
      <c r="G1238" s="1">
        <v>1000</v>
      </c>
      <c r="H1238" s="1">
        <v>1000</v>
      </c>
      <c r="I1238" s="1">
        <v>2800</v>
      </c>
      <c r="J1238" s="1">
        <v>2800</v>
      </c>
    </row>
    <row r="1239" spans="1:10" x14ac:dyDescent="0.3">
      <c r="A1239" t="s">
        <v>67</v>
      </c>
      <c r="B1239" t="s">
        <v>18</v>
      </c>
      <c r="C1239" t="s">
        <v>11</v>
      </c>
      <c r="D1239" t="s">
        <v>34</v>
      </c>
      <c r="E1239">
        <v>86</v>
      </c>
      <c r="F1239">
        <v>70</v>
      </c>
      <c r="G1239" s="1">
        <v>1000</v>
      </c>
      <c r="H1239" s="1">
        <v>1000</v>
      </c>
      <c r="I1239" s="1">
        <v>2000</v>
      </c>
      <c r="J1239" s="1">
        <v>2000</v>
      </c>
    </row>
    <row r="1240" spans="1:10" x14ac:dyDescent="0.3">
      <c r="A1240" t="s">
        <v>67</v>
      </c>
      <c r="B1240" t="s">
        <v>19</v>
      </c>
      <c r="C1240" t="s">
        <v>11</v>
      </c>
      <c r="D1240" t="s">
        <v>34</v>
      </c>
      <c r="E1240">
        <v>86</v>
      </c>
      <c r="F1240">
        <v>70</v>
      </c>
      <c r="G1240" s="1">
        <v>1500</v>
      </c>
      <c r="H1240" s="1">
        <v>1500</v>
      </c>
      <c r="I1240" s="1">
        <v>4350</v>
      </c>
      <c r="J1240" s="1">
        <v>2900</v>
      </c>
    </row>
    <row r="1241" spans="1:10" x14ac:dyDescent="0.3">
      <c r="A1241" t="s">
        <v>67</v>
      </c>
      <c r="B1241" t="s">
        <v>20</v>
      </c>
      <c r="C1241" t="s">
        <v>11</v>
      </c>
      <c r="D1241" t="s">
        <v>34</v>
      </c>
      <c r="E1241">
        <v>86</v>
      </c>
      <c r="F1241">
        <v>70</v>
      </c>
      <c r="G1241" s="1">
        <v>1500</v>
      </c>
      <c r="H1241" s="1">
        <v>1500</v>
      </c>
      <c r="I1241" s="1">
        <v>4500</v>
      </c>
      <c r="J1241" s="1">
        <v>3000</v>
      </c>
    </row>
    <row r="1242" spans="1:10" x14ac:dyDescent="0.3">
      <c r="A1242" t="s">
        <v>67</v>
      </c>
      <c r="B1242" t="s">
        <v>21</v>
      </c>
      <c r="C1242" t="s">
        <v>11</v>
      </c>
      <c r="D1242" t="s">
        <v>34</v>
      </c>
      <c r="E1242">
        <v>86</v>
      </c>
      <c r="F1242">
        <v>70</v>
      </c>
      <c r="G1242" s="1">
        <v>1000</v>
      </c>
      <c r="H1242" s="1">
        <v>1000</v>
      </c>
      <c r="I1242" s="1">
        <v>3000</v>
      </c>
      <c r="J1242" s="1">
        <v>3000</v>
      </c>
    </row>
    <row r="1243" spans="1:10" x14ac:dyDescent="0.3">
      <c r="A1243" t="s">
        <v>67</v>
      </c>
      <c r="B1243" t="s">
        <v>22</v>
      </c>
      <c r="C1243" t="s">
        <v>11</v>
      </c>
      <c r="D1243" t="s">
        <v>34</v>
      </c>
      <c r="E1243">
        <v>86</v>
      </c>
      <c r="F1243">
        <v>70</v>
      </c>
      <c r="G1243" s="1">
        <v>1000</v>
      </c>
      <c r="H1243" s="1">
        <v>1000</v>
      </c>
      <c r="I1243" s="1">
        <v>2500</v>
      </c>
      <c r="J1243" s="1">
        <v>2500</v>
      </c>
    </row>
    <row r="1244" spans="1:10" x14ac:dyDescent="0.3">
      <c r="A1244" t="s">
        <v>67</v>
      </c>
      <c r="B1244" t="s">
        <v>23</v>
      </c>
      <c r="C1244" t="s">
        <v>11</v>
      </c>
      <c r="D1244" t="s">
        <v>34</v>
      </c>
      <c r="E1244">
        <v>86</v>
      </c>
      <c r="F1244">
        <v>70</v>
      </c>
      <c r="G1244" s="1">
        <v>2000</v>
      </c>
      <c r="H1244" s="1">
        <v>2000</v>
      </c>
      <c r="I1244" s="1">
        <v>3000</v>
      </c>
      <c r="J1244" s="1">
        <v>1500</v>
      </c>
    </row>
    <row r="1245" spans="1:10" x14ac:dyDescent="0.3">
      <c r="A1245" t="s">
        <v>67</v>
      </c>
      <c r="B1245" t="s">
        <v>24</v>
      </c>
      <c r="C1245" t="s">
        <v>11</v>
      </c>
      <c r="D1245" t="s">
        <v>34</v>
      </c>
      <c r="E1245">
        <v>86</v>
      </c>
      <c r="F1245">
        <v>70</v>
      </c>
      <c r="G1245" s="1">
        <v>2000</v>
      </c>
      <c r="H1245" s="1">
        <v>1980</v>
      </c>
      <c r="I1245" s="1">
        <v>6138</v>
      </c>
      <c r="J1245" s="1">
        <v>3100</v>
      </c>
    </row>
    <row r="1246" spans="1:10" x14ac:dyDescent="0.3">
      <c r="A1246" t="s">
        <v>67</v>
      </c>
      <c r="B1246" t="s">
        <v>25</v>
      </c>
      <c r="C1246" t="s">
        <v>11</v>
      </c>
      <c r="D1246" t="s">
        <v>34</v>
      </c>
      <c r="E1246">
        <v>86</v>
      </c>
      <c r="F1246">
        <v>70</v>
      </c>
      <c r="G1246" s="1">
        <v>2200</v>
      </c>
      <c r="H1246" s="1">
        <v>2128</v>
      </c>
      <c r="I1246" s="1">
        <v>4894</v>
      </c>
      <c r="J1246" s="1">
        <v>2300</v>
      </c>
    </row>
    <row r="1247" spans="1:10" x14ac:dyDescent="0.3">
      <c r="A1247" t="s">
        <v>67</v>
      </c>
      <c r="B1247" t="s">
        <v>15</v>
      </c>
      <c r="C1247" t="s">
        <v>11</v>
      </c>
      <c r="D1247" t="s">
        <v>35</v>
      </c>
      <c r="E1247">
        <v>86</v>
      </c>
      <c r="F1247">
        <v>77</v>
      </c>
      <c r="G1247" s="1">
        <v>111950</v>
      </c>
      <c r="H1247" s="1">
        <v>80087</v>
      </c>
      <c r="I1247" s="1">
        <v>184201</v>
      </c>
      <c r="J1247" s="1">
        <v>2300</v>
      </c>
    </row>
    <row r="1248" spans="1:10" x14ac:dyDescent="0.3">
      <c r="A1248" t="s">
        <v>67</v>
      </c>
      <c r="B1248" t="s">
        <v>16</v>
      </c>
      <c r="C1248" t="s">
        <v>11</v>
      </c>
      <c r="D1248" t="s">
        <v>35</v>
      </c>
      <c r="E1248">
        <v>86</v>
      </c>
      <c r="F1248">
        <v>77</v>
      </c>
      <c r="G1248" s="1">
        <v>56049</v>
      </c>
      <c r="H1248" s="1">
        <v>50444</v>
      </c>
      <c r="I1248" s="1">
        <v>136198</v>
      </c>
      <c r="J1248" s="1">
        <v>2700</v>
      </c>
    </row>
    <row r="1249" spans="1:10" x14ac:dyDescent="0.3">
      <c r="A1249" t="s">
        <v>67</v>
      </c>
      <c r="B1249" t="s">
        <v>17</v>
      </c>
      <c r="C1249" t="s">
        <v>11</v>
      </c>
      <c r="D1249" t="s">
        <v>35</v>
      </c>
      <c r="E1249">
        <v>86</v>
      </c>
      <c r="F1249">
        <v>77</v>
      </c>
      <c r="G1249" s="1">
        <v>112550</v>
      </c>
      <c r="H1249" s="1">
        <v>110652</v>
      </c>
      <c r="I1249" s="1">
        <v>431542</v>
      </c>
      <c r="J1249" s="1">
        <v>3900</v>
      </c>
    </row>
    <row r="1250" spans="1:10" x14ac:dyDescent="0.3">
      <c r="A1250" t="s">
        <v>67</v>
      </c>
      <c r="B1250" t="s">
        <v>18</v>
      </c>
      <c r="C1250" t="s">
        <v>11</v>
      </c>
      <c r="D1250" t="s">
        <v>35</v>
      </c>
      <c r="E1250">
        <v>86</v>
      </c>
      <c r="F1250">
        <v>77</v>
      </c>
      <c r="G1250" s="1">
        <v>35932</v>
      </c>
      <c r="H1250" s="1">
        <v>35932</v>
      </c>
      <c r="I1250" s="1">
        <v>97016</v>
      </c>
      <c r="J1250" s="1">
        <v>2700</v>
      </c>
    </row>
    <row r="1251" spans="1:10" x14ac:dyDescent="0.3">
      <c r="A1251" t="s">
        <v>67</v>
      </c>
      <c r="B1251" t="s">
        <v>19</v>
      </c>
      <c r="C1251" t="s">
        <v>11</v>
      </c>
      <c r="D1251" t="s">
        <v>35</v>
      </c>
      <c r="E1251">
        <v>86</v>
      </c>
      <c r="F1251">
        <v>77</v>
      </c>
      <c r="G1251" s="1">
        <v>134000</v>
      </c>
      <c r="H1251" s="1">
        <v>117110</v>
      </c>
      <c r="I1251" s="1">
        <v>401219</v>
      </c>
      <c r="J1251" s="1">
        <v>3426</v>
      </c>
    </row>
    <row r="1252" spans="1:10" x14ac:dyDescent="0.3">
      <c r="A1252" t="s">
        <v>67</v>
      </c>
      <c r="B1252" t="s">
        <v>20</v>
      </c>
      <c r="C1252" t="s">
        <v>11</v>
      </c>
      <c r="D1252" t="s">
        <v>35</v>
      </c>
      <c r="E1252">
        <v>86</v>
      </c>
      <c r="F1252">
        <v>77</v>
      </c>
      <c r="G1252" s="1">
        <v>69300</v>
      </c>
      <c r="H1252" s="1">
        <v>68760</v>
      </c>
      <c r="I1252" s="1">
        <v>226908</v>
      </c>
      <c r="J1252" s="1">
        <v>3300</v>
      </c>
    </row>
    <row r="1253" spans="1:10" x14ac:dyDescent="0.3">
      <c r="A1253" t="s">
        <v>67</v>
      </c>
      <c r="B1253" t="s">
        <v>21</v>
      </c>
      <c r="C1253" t="s">
        <v>11</v>
      </c>
      <c r="D1253" t="s">
        <v>35</v>
      </c>
      <c r="E1253">
        <v>86</v>
      </c>
      <c r="F1253">
        <v>77</v>
      </c>
      <c r="G1253" s="1">
        <v>69300</v>
      </c>
      <c r="H1253" s="1">
        <v>69300</v>
      </c>
      <c r="I1253" s="1">
        <v>277200</v>
      </c>
      <c r="J1253" s="1">
        <v>4000</v>
      </c>
    </row>
    <row r="1254" spans="1:10" x14ac:dyDescent="0.3">
      <c r="A1254" t="s">
        <v>67</v>
      </c>
      <c r="B1254" t="s">
        <v>22</v>
      </c>
      <c r="C1254" t="s">
        <v>11</v>
      </c>
      <c r="D1254" t="s">
        <v>35</v>
      </c>
      <c r="E1254">
        <v>86</v>
      </c>
      <c r="F1254">
        <v>77</v>
      </c>
      <c r="G1254" s="1">
        <v>69300</v>
      </c>
      <c r="H1254" s="1">
        <v>69300</v>
      </c>
      <c r="I1254" s="1">
        <v>221760</v>
      </c>
      <c r="J1254" s="1">
        <v>3200</v>
      </c>
    </row>
    <row r="1255" spans="1:10" x14ac:dyDescent="0.3">
      <c r="A1255" t="s">
        <v>67</v>
      </c>
      <c r="B1255" t="s">
        <v>23</v>
      </c>
      <c r="C1255" t="s">
        <v>11</v>
      </c>
      <c r="D1255" t="s">
        <v>35</v>
      </c>
      <c r="E1255">
        <v>86</v>
      </c>
      <c r="F1255">
        <v>77</v>
      </c>
      <c r="G1255" s="1">
        <v>127300</v>
      </c>
      <c r="H1255" s="1">
        <v>127300</v>
      </c>
      <c r="I1255" s="1">
        <v>338618</v>
      </c>
      <c r="J1255" s="1">
        <v>2660</v>
      </c>
    </row>
    <row r="1256" spans="1:10" x14ac:dyDescent="0.3">
      <c r="A1256" t="s">
        <v>67</v>
      </c>
      <c r="B1256" t="s">
        <v>24</v>
      </c>
      <c r="C1256" t="s">
        <v>11</v>
      </c>
      <c r="D1256" t="s">
        <v>35</v>
      </c>
      <c r="E1256">
        <v>86</v>
      </c>
      <c r="F1256">
        <v>77</v>
      </c>
      <c r="G1256" s="1">
        <v>129000</v>
      </c>
      <c r="H1256" s="1">
        <v>128050</v>
      </c>
      <c r="I1256" s="1">
        <v>371345</v>
      </c>
      <c r="J1256" s="1">
        <v>2900</v>
      </c>
    </row>
    <row r="1257" spans="1:10" x14ac:dyDescent="0.3">
      <c r="A1257" t="s">
        <v>67</v>
      </c>
      <c r="B1257" t="s">
        <v>25</v>
      </c>
      <c r="C1257" t="s">
        <v>11</v>
      </c>
      <c r="D1257" t="s">
        <v>35</v>
      </c>
      <c r="E1257">
        <v>86</v>
      </c>
      <c r="F1257">
        <v>77</v>
      </c>
      <c r="G1257" s="1">
        <v>166900</v>
      </c>
      <c r="H1257" s="1">
        <v>161110</v>
      </c>
      <c r="I1257" s="1">
        <v>542941</v>
      </c>
      <c r="J1257" s="1">
        <v>3370</v>
      </c>
    </row>
    <row r="1258" spans="1:10" x14ac:dyDescent="0.3">
      <c r="A1258" t="s">
        <v>67</v>
      </c>
      <c r="B1258" t="s">
        <v>15</v>
      </c>
      <c r="C1258" t="s">
        <v>11</v>
      </c>
      <c r="D1258" t="s">
        <v>36</v>
      </c>
      <c r="E1258">
        <v>86</v>
      </c>
      <c r="F1258">
        <v>84</v>
      </c>
      <c r="G1258" s="1">
        <v>4525</v>
      </c>
      <c r="H1258" s="1">
        <v>4525</v>
      </c>
      <c r="I1258" s="1">
        <v>11313</v>
      </c>
      <c r="J1258" s="1">
        <v>2500</v>
      </c>
    </row>
    <row r="1259" spans="1:10" x14ac:dyDescent="0.3">
      <c r="A1259" t="s">
        <v>67</v>
      </c>
      <c r="B1259" t="s">
        <v>16</v>
      </c>
      <c r="C1259" t="s">
        <v>11</v>
      </c>
      <c r="D1259" t="s">
        <v>36</v>
      </c>
      <c r="E1259">
        <v>86</v>
      </c>
      <c r="F1259">
        <v>84</v>
      </c>
      <c r="G1259" s="1">
        <v>4000</v>
      </c>
      <c r="H1259" s="1">
        <v>4000</v>
      </c>
      <c r="I1259" s="1">
        <v>9600</v>
      </c>
      <c r="J1259" s="1">
        <v>2400</v>
      </c>
    </row>
    <row r="1260" spans="1:10" x14ac:dyDescent="0.3">
      <c r="A1260" t="s">
        <v>67</v>
      </c>
      <c r="B1260" t="s">
        <v>17</v>
      </c>
      <c r="C1260" t="s">
        <v>11</v>
      </c>
      <c r="D1260" t="s">
        <v>36</v>
      </c>
      <c r="E1260">
        <v>86</v>
      </c>
      <c r="F1260">
        <v>84</v>
      </c>
      <c r="G1260" s="1">
        <v>2625</v>
      </c>
      <c r="H1260" s="1">
        <v>2625</v>
      </c>
      <c r="I1260" s="1">
        <v>7875</v>
      </c>
      <c r="J1260" s="1">
        <v>3000</v>
      </c>
    </row>
    <row r="1261" spans="1:10" x14ac:dyDescent="0.3">
      <c r="A1261" t="s">
        <v>67</v>
      </c>
      <c r="B1261" t="s">
        <v>18</v>
      </c>
      <c r="C1261" t="s">
        <v>11</v>
      </c>
      <c r="D1261" t="s">
        <v>36</v>
      </c>
      <c r="E1261">
        <v>86</v>
      </c>
      <c r="F1261">
        <v>84</v>
      </c>
      <c r="G1261" s="1">
        <v>2625</v>
      </c>
      <c r="H1261" s="1">
        <v>2625</v>
      </c>
      <c r="I1261" s="1">
        <v>6563</v>
      </c>
      <c r="J1261" s="1">
        <v>2500</v>
      </c>
    </row>
    <row r="1262" spans="1:10" x14ac:dyDescent="0.3">
      <c r="A1262" t="s">
        <v>67</v>
      </c>
      <c r="B1262" t="s">
        <v>19</v>
      </c>
      <c r="C1262" t="s">
        <v>11</v>
      </c>
      <c r="D1262" t="s">
        <v>36</v>
      </c>
      <c r="E1262">
        <v>86</v>
      </c>
      <c r="F1262">
        <v>84</v>
      </c>
      <c r="G1262" s="1">
        <v>5000</v>
      </c>
      <c r="H1262" s="1">
        <v>5000</v>
      </c>
      <c r="I1262" s="1">
        <v>17500</v>
      </c>
      <c r="J1262" s="1">
        <v>3500</v>
      </c>
    </row>
    <row r="1263" spans="1:10" x14ac:dyDescent="0.3">
      <c r="A1263" t="s">
        <v>67</v>
      </c>
      <c r="B1263" t="s">
        <v>20</v>
      </c>
      <c r="C1263" t="s">
        <v>11</v>
      </c>
      <c r="D1263" t="s">
        <v>36</v>
      </c>
      <c r="E1263">
        <v>86</v>
      </c>
      <c r="F1263">
        <v>84</v>
      </c>
      <c r="G1263" s="1">
        <v>3500</v>
      </c>
      <c r="H1263" s="1">
        <v>3500</v>
      </c>
      <c r="I1263" s="1">
        <v>10500</v>
      </c>
      <c r="J1263" s="1">
        <v>3000</v>
      </c>
    </row>
    <row r="1264" spans="1:10" x14ac:dyDescent="0.3">
      <c r="A1264" t="s">
        <v>67</v>
      </c>
      <c r="B1264" t="s">
        <v>21</v>
      </c>
      <c r="C1264" t="s">
        <v>11</v>
      </c>
      <c r="D1264" t="s">
        <v>36</v>
      </c>
      <c r="E1264">
        <v>86</v>
      </c>
      <c r="F1264">
        <v>84</v>
      </c>
      <c r="G1264" s="1">
        <v>3500</v>
      </c>
      <c r="H1264" s="1">
        <v>3500</v>
      </c>
      <c r="I1264" s="1">
        <v>10500</v>
      </c>
      <c r="J1264" s="1">
        <v>3000</v>
      </c>
    </row>
    <row r="1265" spans="1:10" x14ac:dyDescent="0.3">
      <c r="A1265" t="s">
        <v>67</v>
      </c>
      <c r="B1265" t="s">
        <v>22</v>
      </c>
      <c r="C1265" t="s">
        <v>11</v>
      </c>
      <c r="D1265" t="s">
        <v>36</v>
      </c>
      <c r="E1265">
        <v>86</v>
      </c>
      <c r="F1265">
        <v>84</v>
      </c>
      <c r="G1265" s="1">
        <v>3500</v>
      </c>
      <c r="H1265" s="1">
        <v>3500</v>
      </c>
      <c r="I1265" s="1">
        <v>8750</v>
      </c>
      <c r="J1265" s="1">
        <v>2500</v>
      </c>
    </row>
    <row r="1266" spans="1:10" x14ac:dyDescent="0.3">
      <c r="A1266" t="s">
        <v>67</v>
      </c>
      <c r="B1266" t="s">
        <v>23</v>
      </c>
      <c r="C1266" t="s">
        <v>11</v>
      </c>
      <c r="D1266" t="s">
        <v>36</v>
      </c>
      <c r="E1266">
        <v>86</v>
      </c>
      <c r="F1266">
        <v>84</v>
      </c>
      <c r="G1266" s="1">
        <v>4000</v>
      </c>
      <c r="H1266" s="1">
        <v>4000</v>
      </c>
      <c r="I1266" s="1">
        <v>6000</v>
      </c>
      <c r="J1266" s="1">
        <v>1500</v>
      </c>
    </row>
    <row r="1267" spans="1:10" x14ac:dyDescent="0.3">
      <c r="A1267" t="s">
        <v>67</v>
      </c>
      <c r="B1267" t="s">
        <v>24</v>
      </c>
      <c r="C1267" t="s">
        <v>11</v>
      </c>
      <c r="D1267" t="s">
        <v>36</v>
      </c>
      <c r="E1267">
        <v>86</v>
      </c>
      <c r="F1267">
        <v>84</v>
      </c>
      <c r="G1267" s="1">
        <v>5000</v>
      </c>
      <c r="H1267" s="1">
        <v>4970</v>
      </c>
      <c r="I1267" s="1">
        <v>17892</v>
      </c>
      <c r="J1267" s="1">
        <v>3600</v>
      </c>
    </row>
    <row r="1268" spans="1:10" x14ac:dyDescent="0.3">
      <c r="A1268" t="s">
        <v>67</v>
      </c>
      <c r="B1268" t="s">
        <v>25</v>
      </c>
      <c r="C1268" t="s">
        <v>11</v>
      </c>
      <c r="D1268" t="s">
        <v>36</v>
      </c>
      <c r="E1268">
        <v>86</v>
      </c>
      <c r="F1268">
        <v>84</v>
      </c>
      <c r="G1268" s="1">
        <v>4400</v>
      </c>
      <c r="H1268" s="1">
        <v>4325</v>
      </c>
      <c r="I1268" s="1">
        <v>12543</v>
      </c>
      <c r="J1268" s="1">
        <v>2900</v>
      </c>
    </row>
    <row r="1269" spans="1:10" x14ac:dyDescent="0.3">
      <c r="A1269" t="s">
        <v>67</v>
      </c>
      <c r="B1269" t="s">
        <v>15</v>
      </c>
      <c r="C1269" t="s">
        <v>11</v>
      </c>
      <c r="D1269" t="s">
        <v>37</v>
      </c>
      <c r="E1269">
        <v>86</v>
      </c>
      <c r="F1269">
        <v>91</v>
      </c>
      <c r="G1269" s="1">
        <v>39250</v>
      </c>
      <c r="H1269" s="1">
        <v>38627</v>
      </c>
      <c r="I1269" s="1">
        <v>104293</v>
      </c>
      <c r="J1269" s="1">
        <v>2700</v>
      </c>
    </row>
    <row r="1270" spans="1:10" x14ac:dyDescent="0.3">
      <c r="A1270" t="s">
        <v>67</v>
      </c>
      <c r="B1270" t="s">
        <v>16</v>
      </c>
      <c r="C1270" t="s">
        <v>11</v>
      </c>
      <c r="D1270" t="s">
        <v>37</v>
      </c>
      <c r="E1270">
        <v>86</v>
      </c>
      <c r="F1270">
        <v>91</v>
      </c>
      <c r="G1270" s="1">
        <v>21311</v>
      </c>
      <c r="H1270" s="1">
        <v>21311</v>
      </c>
      <c r="I1270" s="1">
        <v>61802</v>
      </c>
      <c r="J1270" s="1">
        <v>2900</v>
      </c>
    </row>
    <row r="1271" spans="1:10" x14ac:dyDescent="0.3">
      <c r="A1271" t="s">
        <v>67</v>
      </c>
      <c r="B1271" t="s">
        <v>17</v>
      </c>
      <c r="C1271" t="s">
        <v>11</v>
      </c>
      <c r="D1271" t="s">
        <v>37</v>
      </c>
      <c r="E1271">
        <v>86</v>
      </c>
      <c r="F1271">
        <v>91</v>
      </c>
      <c r="G1271" s="1">
        <v>17377</v>
      </c>
      <c r="H1271" s="1">
        <v>17377</v>
      </c>
      <c r="I1271" s="1">
        <v>60821</v>
      </c>
      <c r="J1271" s="1">
        <v>3500</v>
      </c>
    </row>
    <row r="1272" spans="1:10" x14ac:dyDescent="0.3">
      <c r="A1272" t="s">
        <v>67</v>
      </c>
      <c r="B1272" t="s">
        <v>18</v>
      </c>
      <c r="C1272" t="s">
        <v>11</v>
      </c>
      <c r="D1272" t="s">
        <v>37</v>
      </c>
      <c r="E1272">
        <v>86</v>
      </c>
      <c r="F1272">
        <v>91</v>
      </c>
      <c r="G1272" s="1">
        <v>12674</v>
      </c>
      <c r="H1272" s="1">
        <v>12674</v>
      </c>
      <c r="I1272" s="1">
        <v>38022</v>
      </c>
      <c r="J1272" s="1">
        <v>3000</v>
      </c>
    </row>
    <row r="1273" spans="1:10" x14ac:dyDescent="0.3">
      <c r="A1273" t="s">
        <v>67</v>
      </c>
      <c r="B1273" t="s">
        <v>19</v>
      </c>
      <c r="C1273" t="s">
        <v>11</v>
      </c>
      <c r="D1273" t="s">
        <v>37</v>
      </c>
      <c r="E1273">
        <v>86</v>
      </c>
      <c r="F1273">
        <v>91</v>
      </c>
      <c r="G1273" s="1">
        <v>58000</v>
      </c>
      <c r="H1273" s="1">
        <v>58000</v>
      </c>
      <c r="I1273" s="1">
        <v>208800</v>
      </c>
      <c r="J1273" s="1">
        <v>3600</v>
      </c>
    </row>
    <row r="1274" spans="1:10" x14ac:dyDescent="0.3">
      <c r="A1274" t="s">
        <v>67</v>
      </c>
      <c r="B1274" t="s">
        <v>20</v>
      </c>
      <c r="C1274" t="s">
        <v>11</v>
      </c>
      <c r="D1274" t="s">
        <v>37</v>
      </c>
      <c r="E1274">
        <v>86</v>
      </c>
      <c r="F1274">
        <v>91</v>
      </c>
      <c r="G1274" s="1">
        <v>40000</v>
      </c>
      <c r="H1274" s="1">
        <v>40000</v>
      </c>
      <c r="I1274" s="1">
        <v>120000</v>
      </c>
      <c r="J1274" s="1">
        <v>3000</v>
      </c>
    </row>
    <row r="1275" spans="1:10" x14ac:dyDescent="0.3">
      <c r="A1275" t="s">
        <v>67</v>
      </c>
      <c r="B1275" t="s">
        <v>21</v>
      </c>
      <c r="C1275" t="s">
        <v>11</v>
      </c>
      <c r="D1275" t="s">
        <v>37</v>
      </c>
      <c r="E1275">
        <v>86</v>
      </c>
      <c r="F1275">
        <v>91</v>
      </c>
      <c r="G1275" s="1">
        <v>40000</v>
      </c>
      <c r="H1275" s="1">
        <v>40000</v>
      </c>
      <c r="I1275" s="1">
        <v>140000</v>
      </c>
      <c r="J1275" s="1">
        <v>3500</v>
      </c>
    </row>
    <row r="1276" spans="1:10" x14ac:dyDescent="0.3">
      <c r="A1276" t="s">
        <v>67</v>
      </c>
      <c r="B1276" t="s">
        <v>22</v>
      </c>
      <c r="C1276" t="s">
        <v>11</v>
      </c>
      <c r="D1276" t="s">
        <v>37</v>
      </c>
      <c r="E1276">
        <v>86</v>
      </c>
      <c r="F1276">
        <v>91</v>
      </c>
      <c r="G1276" s="1">
        <v>45000</v>
      </c>
      <c r="H1276" s="1">
        <v>45000</v>
      </c>
      <c r="I1276" s="1">
        <v>112500</v>
      </c>
      <c r="J1276" s="1">
        <v>2500</v>
      </c>
    </row>
    <row r="1277" spans="1:10" x14ac:dyDescent="0.3">
      <c r="A1277" t="s">
        <v>67</v>
      </c>
      <c r="B1277" t="s">
        <v>23</v>
      </c>
      <c r="C1277" t="s">
        <v>11</v>
      </c>
      <c r="D1277" t="s">
        <v>37</v>
      </c>
      <c r="E1277">
        <v>86</v>
      </c>
      <c r="F1277">
        <v>91</v>
      </c>
      <c r="G1277" s="1">
        <v>45000</v>
      </c>
      <c r="H1277" s="1">
        <v>45000</v>
      </c>
      <c r="I1277" s="1">
        <v>67500</v>
      </c>
      <c r="J1277" s="1">
        <v>1500</v>
      </c>
    </row>
    <row r="1278" spans="1:10" x14ac:dyDescent="0.3">
      <c r="A1278" t="s">
        <v>67</v>
      </c>
      <c r="B1278" t="s">
        <v>24</v>
      </c>
      <c r="C1278" t="s">
        <v>11</v>
      </c>
      <c r="D1278" t="s">
        <v>37</v>
      </c>
      <c r="E1278">
        <v>86</v>
      </c>
      <c r="F1278">
        <v>91</v>
      </c>
      <c r="G1278" s="1">
        <v>45000</v>
      </c>
      <c r="H1278" s="1">
        <v>44910</v>
      </c>
      <c r="I1278" s="1">
        <v>160239</v>
      </c>
      <c r="J1278" s="1">
        <v>3568</v>
      </c>
    </row>
    <row r="1279" spans="1:10" x14ac:dyDescent="0.3">
      <c r="A1279" t="s">
        <v>67</v>
      </c>
      <c r="B1279" t="s">
        <v>25</v>
      </c>
      <c r="C1279" t="s">
        <v>11</v>
      </c>
      <c r="D1279" t="s">
        <v>37</v>
      </c>
      <c r="E1279">
        <v>86</v>
      </c>
      <c r="F1279">
        <v>91</v>
      </c>
      <c r="G1279" s="1">
        <v>49500</v>
      </c>
      <c r="H1279" s="1">
        <v>49350</v>
      </c>
      <c r="I1279" s="1">
        <v>143115</v>
      </c>
      <c r="J1279" s="1">
        <v>2900</v>
      </c>
    </row>
    <row r="1280" spans="1:10" x14ac:dyDescent="0.3">
      <c r="A1280" t="s">
        <v>67</v>
      </c>
      <c r="B1280" t="s">
        <v>15</v>
      </c>
      <c r="C1280" t="s">
        <v>11</v>
      </c>
      <c r="D1280" t="s">
        <v>38</v>
      </c>
      <c r="E1280">
        <v>86</v>
      </c>
      <c r="F1280">
        <v>98</v>
      </c>
      <c r="G1280" s="1">
        <v>45500</v>
      </c>
      <c r="H1280" s="1">
        <v>45086</v>
      </c>
      <c r="I1280" s="1">
        <v>130750</v>
      </c>
      <c r="J1280" s="1">
        <v>2900</v>
      </c>
    </row>
    <row r="1281" spans="1:10" x14ac:dyDescent="0.3">
      <c r="A1281" t="s">
        <v>67</v>
      </c>
      <c r="B1281" t="s">
        <v>16</v>
      </c>
      <c r="C1281" t="s">
        <v>11</v>
      </c>
      <c r="D1281" t="s">
        <v>38</v>
      </c>
      <c r="E1281">
        <v>86</v>
      </c>
      <c r="F1281">
        <v>98</v>
      </c>
      <c r="G1281" s="1">
        <v>47704</v>
      </c>
      <c r="H1281" s="1">
        <v>42500</v>
      </c>
      <c r="I1281" s="1">
        <v>110500</v>
      </c>
      <c r="J1281" s="1">
        <v>2600</v>
      </c>
    </row>
    <row r="1282" spans="1:10" x14ac:dyDescent="0.3">
      <c r="A1282" t="s">
        <v>67</v>
      </c>
      <c r="B1282" t="s">
        <v>17</v>
      </c>
      <c r="C1282" t="s">
        <v>11</v>
      </c>
      <c r="D1282" t="s">
        <v>38</v>
      </c>
      <c r="E1282">
        <v>86</v>
      </c>
      <c r="F1282">
        <v>98</v>
      </c>
      <c r="G1282" s="1">
        <v>63390</v>
      </c>
      <c r="H1282" s="1">
        <v>63145</v>
      </c>
      <c r="I1282" s="1">
        <v>221008</v>
      </c>
      <c r="J1282" s="1">
        <v>3500</v>
      </c>
    </row>
    <row r="1283" spans="1:10" x14ac:dyDescent="0.3">
      <c r="A1283" t="s">
        <v>67</v>
      </c>
      <c r="B1283" t="s">
        <v>18</v>
      </c>
      <c r="C1283" t="s">
        <v>11</v>
      </c>
      <c r="D1283" t="s">
        <v>38</v>
      </c>
      <c r="E1283">
        <v>86</v>
      </c>
      <c r="F1283">
        <v>98</v>
      </c>
      <c r="G1283" s="1">
        <v>64135</v>
      </c>
      <c r="H1283" s="1">
        <v>63213</v>
      </c>
      <c r="I1283" s="1">
        <v>132747</v>
      </c>
      <c r="J1283" s="1">
        <v>2100</v>
      </c>
    </row>
    <row r="1284" spans="1:10" x14ac:dyDescent="0.3">
      <c r="A1284" t="s">
        <v>67</v>
      </c>
      <c r="B1284" t="s">
        <v>19</v>
      </c>
      <c r="C1284" t="s">
        <v>11</v>
      </c>
      <c r="D1284" t="s">
        <v>38</v>
      </c>
      <c r="E1284">
        <v>86</v>
      </c>
      <c r="F1284">
        <v>98</v>
      </c>
      <c r="G1284" s="1">
        <v>55800</v>
      </c>
      <c r="H1284" s="1">
        <v>54570</v>
      </c>
      <c r="I1284" s="1">
        <v>180081</v>
      </c>
      <c r="J1284" s="1">
        <v>3300</v>
      </c>
    </row>
    <row r="1285" spans="1:10" x14ac:dyDescent="0.3">
      <c r="A1285" t="s">
        <v>67</v>
      </c>
      <c r="B1285" t="s">
        <v>20</v>
      </c>
      <c r="C1285" t="s">
        <v>11</v>
      </c>
      <c r="D1285" t="s">
        <v>38</v>
      </c>
      <c r="E1285">
        <v>86</v>
      </c>
      <c r="F1285">
        <v>98</v>
      </c>
      <c r="G1285" s="1">
        <v>44000</v>
      </c>
      <c r="H1285" s="1">
        <v>43710</v>
      </c>
      <c r="I1285" s="1">
        <v>144243</v>
      </c>
      <c r="J1285" s="1">
        <v>3300</v>
      </c>
    </row>
    <row r="1286" spans="1:10" x14ac:dyDescent="0.3">
      <c r="A1286" t="s">
        <v>67</v>
      </c>
      <c r="B1286" t="s">
        <v>21</v>
      </c>
      <c r="C1286" t="s">
        <v>11</v>
      </c>
      <c r="D1286" t="s">
        <v>38</v>
      </c>
      <c r="E1286">
        <v>86</v>
      </c>
      <c r="F1286">
        <v>98</v>
      </c>
      <c r="G1286" s="1">
        <v>59500</v>
      </c>
      <c r="H1286" s="1">
        <v>59500</v>
      </c>
      <c r="I1286" s="1">
        <v>208250</v>
      </c>
      <c r="J1286" s="1">
        <v>3500</v>
      </c>
    </row>
    <row r="1287" spans="1:10" x14ac:dyDescent="0.3">
      <c r="A1287" t="s">
        <v>67</v>
      </c>
      <c r="B1287" t="s">
        <v>22</v>
      </c>
      <c r="C1287" t="s">
        <v>11</v>
      </c>
      <c r="D1287" t="s">
        <v>38</v>
      </c>
      <c r="E1287">
        <v>86</v>
      </c>
      <c r="F1287">
        <v>98</v>
      </c>
      <c r="G1287" s="1">
        <v>59500</v>
      </c>
      <c r="H1287" s="1">
        <v>59500</v>
      </c>
      <c r="I1287" s="1">
        <v>196350</v>
      </c>
      <c r="J1287" s="1">
        <v>3300</v>
      </c>
    </row>
    <row r="1288" spans="1:10" x14ac:dyDescent="0.3">
      <c r="A1288" t="s">
        <v>67</v>
      </c>
      <c r="B1288" t="s">
        <v>23</v>
      </c>
      <c r="C1288" t="s">
        <v>11</v>
      </c>
      <c r="D1288" t="s">
        <v>38</v>
      </c>
      <c r="E1288">
        <v>86</v>
      </c>
      <c r="F1288">
        <v>98</v>
      </c>
      <c r="G1288" s="1">
        <v>68500</v>
      </c>
      <c r="H1288" s="1">
        <v>68500</v>
      </c>
      <c r="I1288" s="1">
        <v>191800</v>
      </c>
      <c r="J1288" s="1">
        <v>2800</v>
      </c>
    </row>
    <row r="1289" spans="1:10" x14ac:dyDescent="0.3">
      <c r="A1289" t="s">
        <v>67</v>
      </c>
      <c r="B1289" t="s">
        <v>24</v>
      </c>
      <c r="C1289" t="s">
        <v>11</v>
      </c>
      <c r="D1289" t="s">
        <v>38</v>
      </c>
      <c r="E1289">
        <v>86</v>
      </c>
      <c r="F1289">
        <v>98</v>
      </c>
      <c r="G1289" s="1">
        <v>63200</v>
      </c>
      <c r="H1289" s="1">
        <v>62720</v>
      </c>
      <c r="I1289" s="1">
        <v>181888</v>
      </c>
      <c r="J1289" s="1">
        <v>2900</v>
      </c>
    </row>
    <row r="1290" spans="1:10" x14ac:dyDescent="0.3">
      <c r="A1290" t="s">
        <v>67</v>
      </c>
      <c r="B1290" t="s">
        <v>25</v>
      </c>
      <c r="C1290" t="s">
        <v>11</v>
      </c>
      <c r="D1290" t="s">
        <v>38</v>
      </c>
      <c r="E1290">
        <v>86</v>
      </c>
      <c r="F1290">
        <v>98</v>
      </c>
      <c r="G1290" s="1">
        <v>83100</v>
      </c>
      <c r="H1290" s="1">
        <v>77644</v>
      </c>
      <c r="I1290" s="1">
        <v>183240</v>
      </c>
      <c r="J1290" s="1">
        <v>2360</v>
      </c>
    </row>
    <row r="1291" spans="1:10" x14ac:dyDescent="0.3">
      <c r="A1291" t="s">
        <v>67</v>
      </c>
      <c r="B1291" t="s">
        <v>15</v>
      </c>
      <c r="C1291" t="s">
        <v>11</v>
      </c>
      <c r="D1291" t="s">
        <v>39</v>
      </c>
      <c r="E1291">
        <v>86</v>
      </c>
      <c r="F1291">
        <v>105</v>
      </c>
      <c r="G1291" s="1">
        <v>1500</v>
      </c>
      <c r="H1291" s="1">
        <v>1500</v>
      </c>
      <c r="I1291" s="1">
        <v>3300</v>
      </c>
      <c r="J1291" s="1">
        <v>2200</v>
      </c>
    </row>
    <row r="1292" spans="1:10" x14ac:dyDescent="0.3">
      <c r="A1292" t="s">
        <v>67</v>
      </c>
      <c r="B1292" t="s">
        <v>16</v>
      </c>
      <c r="C1292" t="s">
        <v>11</v>
      </c>
      <c r="D1292" t="s">
        <v>39</v>
      </c>
      <c r="E1292">
        <v>86</v>
      </c>
      <c r="F1292">
        <v>105</v>
      </c>
      <c r="G1292" s="1">
        <v>1500</v>
      </c>
      <c r="H1292" s="1">
        <v>1500</v>
      </c>
      <c r="I1292" s="1">
        <v>3600</v>
      </c>
      <c r="J1292" s="1">
        <v>2400</v>
      </c>
    </row>
    <row r="1293" spans="1:10" x14ac:dyDescent="0.3">
      <c r="A1293" t="s">
        <v>67</v>
      </c>
      <c r="B1293" t="s">
        <v>17</v>
      </c>
      <c r="C1293" t="s">
        <v>11</v>
      </c>
      <c r="D1293" t="s">
        <v>39</v>
      </c>
      <c r="E1293">
        <v>86</v>
      </c>
      <c r="F1293">
        <v>105</v>
      </c>
      <c r="G1293" s="1">
        <v>2000</v>
      </c>
      <c r="H1293" s="1">
        <v>2000</v>
      </c>
      <c r="I1293" s="1">
        <v>6000</v>
      </c>
      <c r="J1293" s="1">
        <v>3000</v>
      </c>
    </row>
    <row r="1294" spans="1:10" x14ac:dyDescent="0.3">
      <c r="A1294" t="s">
        <v>67</v>
      </c>
      <c r="B1294" t="s">
        <v>18</v>
      </c>
      <c r="C1294" t="s">
        <v>11</v>
      </c>
      <c r="D1294" t="s">
        <v>39</v>
      </c>
      <c r="E1294">
        <v>86</v>
      </c>
      <c r="F1294">
        <v>105</v>
      </c>
      <c r="G1294" s="1">
        <v>1360</v>
      </c>
      <c r="H1294" s="1">
        <v>1360</v>
      </c>
      <c r="I1294" s="1">
        <v>3400</v>
      </c>
      <c r="J1294" s="1">
        <v>2500</v>
      </c>
    </row>
    <row r="1295" spans="1:10" x14ac:dyDescent="0.3">
      <c r="A1295" t="s">
        <v>67</v>
      </c>
      <c r="B1295" t="s">
        <v>19</v>
      </c>
      <c r="C1295" t="s">
        <v>11</v>
      </c>
      <c r="D1295" t="s">
        <v>39</v>
      </c>
      <c r="E1295">
        <v>86</v>
      </c>
      <c r="F1295">
        <v>105</v>
      </c>
      <c r="G1295" s="1">
        <v>2500</v>
      </c>
      <c r="H1295" s="1">
        <v>2500</v>
      </c>
      <c r="I1295" s="1">
        <v>8750</v>
      </c>
      <c r="J1295" s="1">
        <v>3500</v>
      </c>
    </row>
    <row r="1296" spans="1:10" x14ac:dyDescent="0.3">
      <c r="A1296" t="s">
        <v>67</v>
      </c>
      <c r="B1296" t="s">
        <v>20</v>
      </c>
      <c r="C1296" t="s">
        <v>11</v>
      </c>
      <c r="D1296" t="s">
        <v>39</v>
      </c>
      <c r="E1296">
        <v>86</v>
      </c>
      <c r="F1296">
        <v>105</v>
      </c>
      <c r="G1296" s="1">
        <v>1500</v>
      </c>
      <c r="H1296" s="1">
        <v>1500</v>
      </c>
      <c r="I1296" s="1">
        <v>4500</v>
      </c>
      <c r="J1296" s="1">
        <v>3000</v>
      </c>
    </row>
    <row r="1297" spans="1:10" x14ac:dyDescent="0.3">
      <c r="A1297" t="s">
        <v>67</v>
      </c>
      <c r="B1297" t="s">
        <v>21</v>
      </c>
      <c r="C1297" t="s">
        <v>11</v>
      </c>
      <c r="D1297" t="s">
        <v>39</v>
      </c>
      <c r="E1297">
        <v>86</v>
      </c>
      <c r="F1297">
        <v>105</v>
      </c>
      <c r="G1297" s="1">
        <v>1500</v>
      </c>
      <c r="H1297" s="1">
        <v>1500</v>
      </c>
      <c r="I1297" s="1">
        <v>4500</v>
      </c>
      <c r="J1297" s="1">
        <v>3000</v>
      </c>
    </row>
    <row r="1298" spans="1:10" x14ac:dyDescent="0.3">
      <c r="A1298" t="s">
        <v>67</v>
      </c>
      <c r="B1298" t="s">
        <v>22</v>
      </c>
      <c r="C1298" t="s">
        <v>11</v>
      </c>
      <c r="D1298" t="s">
        <v>39</v>
      </c>
      <c r="E1298">
        <v>86</v>
      </c>
      <c r="F1298">
        <v>105</v>
      </c>
      <c r="G1298" s="1">
        <v>1500</v>
      </c>
      <c r="H1298" s="1">
        <v>1500</v>
      </c>
      <c r="I1298" s="1">
        <v>3750</v>
      </c>
      <c r="J1298" s="1">
        <v>2500</v>
      </c>
    </row>
    <row r="1299" spans="1:10" x14ac:dyDescent="0.3">
      <c r="A1299" t="s">
        <v>67</v>
      </c>
      <c r="B1299" t="s">
        <v>23</v>
      </c>
      <c r="C1299" t="s">
        <v>11</v>
      </c>
      <c r="D1299" t="s">
        <v>39</v>
      </c>
      <c r="E1299">
        <v>86</v>
      </c>
      <c r="F1299">
        <v>105</v>
      </c>
      <c r="G1299" s="1">
        <v>2000</v>
      </c>
      <c r="H1299" s="1">
        <v>2000</v>
      </c>
      <c r="I1299" s="1">
        <v>3000</v>
      </c>
      <c r="J1299" s="1">
        <v>1500</v>
      </c>
    </row>
    <row r="1300" spans="1:10" x14ac:dyDescent="0.3">
      <c r="A1300" t="s">
        <v>67</v>
      </c>
      <c r="B1300" t="s">
        <v>24</v>
      </c>
      <c r="C1300" t="s">
        <v>11</v>
      </c>
      <c r="D1300" t="s">
        <v>39</v>
      </c>
      <c r="E1300">
        <v>86</v>
      </c>
      <c r="F1300">
        <v>105</v>
      </c>
      <c r="G1300" s="1">
        <v>2000</v>
      </c>
      <c r="H1300" s="1">
        <v>1970</v>
      </c>
      <c r="I1300" s="1">
        <v>7033</v>
      </c>
      <c r="J1300" s="1">
        <v>3570</v>
      </c>
    </row>
    <row r="1301" spans="1:10" x14ac:dyDescent="0.3">
      <c r="A1301" t="s">
        <v>67</v>
      </c>
      <c r="B1301" t="s">
        <v>25</v>
      </c>
      <c r="C1301" t="s">
        <v>11</v>
      </c>
      <c r="D1301" t="s">
        <v>39</v>
      </c>
      <c r="E1301">
        <v>86</v>
      </c>
      <c r="F1301">
        <v>105</v>
      </c>
      <c r="G1301" s="1">
        <v>2200</v>
      </c>
      <c r="H1301" s="1">
        <v>2140</v>
      </c>
      <c r="I1301" s="1">
        <v>5992</v>
      </c>
      <c r="J1301" s="1">
        <v>2800</v>
      </c>
    </row>
    <row r="1302" spans="1:10" x14ac:dyDescent="0.3">
      <c r="A1302" t="s">
        <v>67</v>
      </c>
      <c r="B1302" t="s">
        <v>15</v>
      </c>
      <c r="C1302" t="s">
        <v>11</v>
      </c>
      <c r="D1302" t="s">
        <v>40</v>
      </c>
      <c r="E1302">
        <v>86</v>
      </c>
      <c r="F1302">
        <v>112</v>
      </c>
      <c r="G1302" s="1">
        <v>17625</v>
      </c>
      <c r="H1302" s="1">
        <v>17184</v>
      </c>
      <c r="I1302" s="1">
        <v>41243</v>
      </c>
      <c r="J1302" s="1">
        <v>2400</v>
      </c>
    </row>
    <row r="1303" spans="1:10" x14ac:dyDescent="0.3">
      <c r="A1303" t="s">
        <v>67</v>
      </c>
      <c r="B1303" t="s">
        <v>16</v>
      </c>
      <c r="C1303" t="s">
        <v>11</v>
      </c>
      <c r="D1303" t="s">
        <v>40</v>
      </c>
      <c r="E1303">
        <v>86</v>
      </c>
      <c r="F1303">
        <v>112</v>
      </c>
      <c r="G1303" s="1">
        <v>12150</v>
      </c>
      <c r="H1303" s="1">
        <v>12150</v>
      </c>
      <c r="I1303" s="1">
        <v>32805</v>
      </c>
      <c r="J1303" s="1">
        <v>2700</v>
      </c>
    </row>
    <row r="1304" spans="1:10" x14ac:dyDescent="0.3">
      <c r="A1304" t="s">
        <v>67</v>
      </c>
      <c r="B1304" t="s">
        <v>17</v>
      </c>
      <c r="C1304" t="s">
        <v>11</v>
      </c>
      <c r="D1304" t="s">
        <v>40</v>
      </c>
      <c r="E1304">
        <v>86</v>
      </c>
      <c r="F1304">
        <v>112</v>
      </c>
      <c r="G1304" s="1">
        <v>10250</v>
      </c>
      <c r="H1304" s="1">
        <v>10250</v>
      </c>
      <c r="I1304" s="1">
        <v>35875</v>
      </c>
      <c r="J1304" s="1">
        <v>3500</v>
      </c>
    </row>
    <row r="1305" spans="1:10" x14ac:dyDescent="0.3">
      <c r="A1305" t="s">
        <v>67</v>
      </c>
      <c r="B1305" t="s">
        <v>18</v>
      </c>
      <c r="C1305" t="s">
        <v>11</v>
      </c>
      <c r="D1305" t="s">
        <v>40</v>
      </c>
      <c r="E1305">
        <v>86</v>
      </c>
      <c r="F1305">
        <v>112</v>
      </c>
      <c r="G1305" s="1">
        <v>8350</v>
      </c>
      <c r="H1305" s="1">
        <v>8350</v>
      </c>
      <c r="I1305" s="1">
        <v>12525</v>
      </c>
      <c r="J1305" s="1">
        <v>1500</v>
      </c>
    </row>
    <row r="1306" spans="1:10" x14ac:dyDescent="0.3">
      <c r="A1306" t="s">
        <v>67</v>
      </c>
      <c r="B1306" t="s">
        <v>19</v>
      </c>
      <c r="C1306" t="s">
        <v>11</v>
      </c>
      <c r="D1306" t="s">
        <v>40</v>
      </c>
      <c r="E1306">
        <v>86</v>
      </c>
      <c r="F1306">
        <v>112</v>
      </c>
      <c r="G1306" s="1">
        <v>12000</v>
      </c>
      <c r="H1306" s="1">
        <v>12000</v>
      </c>
      <c r="I1306" s="1">
        <v>42000</v>
      </c>
      <c r="J1306" s="1">
        <v>3500</v>
      </c>
    </row>
    <row r="1307" spans="1:10" x14ac:dyDescent="0.3">
      <c r="A1307" t="s">
        <v>67</v>
      </c>
      <c r="B1307" t="s">
        <v>20</v>
      </c>
      <c r="C1307" t="s">
        <v>11</v>
      </c>
      <c r="D1307" t="s">
        <v>40</v>
      </c>
      <c r="E1307">
        <v>86</v>
      </c>
      <c r="F1307">
        <v>112</v>
      </c>
      <c r="G1307" s="1">
        <v>9000</v>
      </c>
      <c r="H1307" s="1">
        <v>9000</v>
      </c>
      <c r="I1307" s="1">
        <v>27000</v>
      </c>
      <c r="J1307" s="1">
        <v>3000</v>
      </c>
    </row>
    <row r="1308" spans="1:10" x14ac:dyDescent="0.3">
      <c r="A1308" t="s">
        <v>67</v>
      </c>
      <c r="B1308" t="s">
        <v>21</v>
      </c>
      <c r="C1308" t="s">
        <v>11</v>
      </c>
      <c r="D1308" t="s">
        <v>40</v>
      </c>
      <c r="E1308">
        <v>86</v>
      </c>
      <c r="F1308">
        <v>112</v>
      </c>
      <c r="G1308" s="1">
        <v>9000</v>
      </c>
      <c r="H1308" s="1">
        <v>9000</v>
      </c>
      <c r="I1308" s="1">
        <v>27000</v>
      </c>
      <c r="J1308" s="1">
        <v>3000</v>
      </c>
    </row>
    <row r="1309" spans="1:10" x14ac:dyDescent="0.3">
      <c r="A1309" t="s">
        <v>67</v>
      </c>
      <c r="B1309" t="s">
        <v>22</v>
      </c>
      <c r="C1309" t="s">
        <v>11</v>
      </c>
      <c r="D1309" t="s">
        <v>40</v>
      </c>
      <c r="E1309">
        <v>86</v>
      </c>
      <c r="F1309">
        <v>112</v>
      </c>
      <c r="G1309" s="1">
        <v>9000</v>
      </c>
      <c r="H1309" s="1">
        <v>9000</v>
      </c>
      <c r="I1309" s="1">
        <v>22500</v>
      </c>
      <c r="J1309" s="1">
        <v>2500</v>
      </c>
    </row>
    <row r="1310" spans="1:10" x14ac:dyDescent="0.3">
      <c r="A1310" t="s">
        <v>67</v>
      </c>
      <c r="B1310" t="s">
        <v>23</v>
      </c>
      <c r="C1310" t="s">
        <v>11</v>
      </c>
      <c r="D1310" t="s">
        <v>40</v>
      </c>
      <c r="E1310">
        <v>86</v>
      </c>
      <c r="F1310">
        <v>112</v>
      </c>
      <c r="G1310" s="1">
        <v>10000</v>
      </c>
      <c r="H1310" s="1">
        <v>10000</v>
      </c>
      <c r="I1310" s="1">
        <v>15000</v>
      </c>
      <c r="J1310" s="1">
        <v>1500</v>
      </c>
    </row>
    <row r="1311" spans="1:10" x14ac:dyDescent="0.3">
      <c r="A1311" t="s">
        <v>67</v>
      </c>
      <c r="B1311" t="s">
        <v>24</v>
      </c>
      <c r="C1311" t="s">
        <v>11</v>
      </c>
      <c r="D1311" t="s">
        <v>40</v>
      </c>
      <c r="E1311">
        <v>86</v>
      </c>
      <c r="F1311">
        <v>112</v>
      </c>
      <c r="G1311" s="1">
        <v>10000</v>
      </c>
      <c r="H1311" s="1">
        <v>9962</v>
      </c>
      <c r="I1311" s="1">
        <v>38852</v>
      </c>
      <c r="J1311" s="1">
        <v>3900</v>
      </c>
    </row>
    <row r="1312" spans="1:10" x14ac:dyDescent="0.3">
      <c r="A1312" t="s">
        <v>67</v>
      </c>
      <c r="B1312" t="s">
        <v>25</v>
      </c>
      <c r="C1312" t="s">
        <v>11</v>
      </c>
      <c r="D1312" t="s">
        <v>40</v>
      </c>
      <c r="E1312">
        <v>86</v>
      </c>
      <c r="F1312">
        <v>112</v>
      </c>
      <c r="G1312" s="1">
        <v>11000</v>
      </c>
      <c r="H1312" s="1">
        <v>10850</v>
      </c>
      <c r="I1312" s="1">
        <v>27125</v>
      </c>
      <c r="J1312" s="1">
        <v>2500</v>
      </c>
    </row>
    <row r="1313" spans="1:10" x14ac:dyDescent="0.3">
      <c r="A1313" t="s">
        <v>67</v>
      </c>
      <c r="B1313" t="s">
        <v>15</v>
      </c>
      <c r="C1313" t="s">
        <v>11</v>
      </c>
      <c r="D1313" t="s">
        <v>41</v>
      </c>
      <c r="E1313">
        <v>86</v>
      </c>
      <c r="F1313">
        <v>119</v>
      </c>
      <c r="G1313" s="1">
        <v>196250</v>
      </c>
      <c r="H1313" s="1">
        <v>194288</v>
      </c>
      <c r="I1313" s="1">
        <v>505148</v>
      </c>
      <c r="J1313" s="1">
        <v>2600</v>
      </c>
    </row>
    <row r="1314" spans="1:10" x14ac:dyDescent="0.3">
      <c r="A1314" t="s">
        <v>67</v>
      </c>
      <c r="B1314" t="s">
        <v>16</v>
      </c>
      <c r="C1314" t="s">
        <v>11</v>
      </c>
      <c r="D1314" t="s">
        <v>41</v>
      </c>
      <c r="E1314">
        <v>86</v>
      </c>
      <c r="F1314">
        <v>119</v>
      </c>
      <c r="G1314" s="1">
        <v>282638</v>
      </c>
      <c r="H1314" s="1">
        <v>277764</v>
      </c>
      <c r="I1314" s="1">
        <v>722188</v>
      </c>
      <c r="J1314" s="1">
        <v>2600</v>
      </c>
    </row>
    <row r="1315" spans="1:10" x14ac:dyDescent="0.3">
      <c r="A1315" t="s">
        <v>67</v>
      </c>
      <c r="B1315" t="s">
        <v>17</v>
      </c>
      <c r="C1315" t="s">
        <v>11</v>
      </c>
      <c r="D1315" t="s">
        <v>41</v>
      </c>
      <c r="E1315">
        <v>86</v>
      </c>
      <c r="F1315">
        <v>119</v>
      </c>
      <c r="G1315" s="1">
        <v>213785</v>
      </c>
      <c r="H1315" s="1">
        <v>213434</v>
      </c>
      <c r="I1315" s="1">
        <v>768363</v>
      </c>
      <c r="J1315" s="1">
        <v>3600</v>
      </c>
    </row>
    <row r="1316" spans="1:10" x14ac:dyDescent="0.3">
      <c r="A1316" t="s">
        <v>67</v>
      </c>
      <c r="B1316" t="s">
        <v>18</v>
      </c>
      <c r="C1316" t="s">
        <v>11</v>
      </c>
      <c r="D1316" t="s">
        <v>41</v>
      </c>
      <c r="E1316">
        <v>86</v>
      </c>
      <c r="F1316">
        <v>119</v>
      </c>
      <c r="G1316" s="1">
        <v>150719</v>
      </c>
      <c r="H1316" s="1">
        <v>148113</v>
      </c>
      <c r="I1316" s="1">
        <v>414716</v>
      </c>
      <c r="J1316" s="1">
        <v>2800</v>
      </c>
    </row>
    <row r="1317" spans="1:10" x14ac:dyDescent="0.3">
      <c r="A1317" t="s">
        <v>67</v>
      </c>
      <c r="B1317" t="s">
        <v>19</v>
      </c>
      <c r="C1317" t="s">
        <v>11</v>
      </c>
      <c r="D1317" t="s">
        <v>41</v>
      </c>
      <c r="E1317">
        <v>86</v>
      </c>
      <c r="F1317">
        <v>119</v>
      </c>
      <c r="G1317" s="1">
        <v>207000</v>
      </c>
      <c r="H1317" s="1">
        <v>202800</v>
      </c>
      <c r="I1317" s="1">
        <v>667212</v>
      </c>
      <c r="J1317" s="1">
        <v>3290</v>
      </c>
    </row>
    <row r="1318" spans="1:10" x14ac:dyDescent="0.3">
      <c r="A1318" t="s">
        <v>67</v>
      </c>
      <c r="B1318" t="s">
        <v>20</v>
      </c>
      <c r="C1318" t="s">
        <v>11</v>
      </c>
      <c r="D1318" t="s">
        <v>41</v>
      </c>
      <c r="E1318">
        <v>86</v>
      </c>
      <c r="F1318">
        <v>119</v>
      </c>
      <c r="G1318" s="1">
        <v>193800</v>
      </c>
      <c r="H1318" s="1">
        <v>193190</v>
      </c>
      <c r="I1318" s="1">
        <v>637527</v>
      </c>
      <c r="J1318" s="1">
        <v>3300</v>
      </c>
    </row>
    <row r="1319" spans="1:10" x14ac:dyDescent="0.3">
      <c r="A1319" t="s">
        <v>67</v>
      </c>
      <c r="B1319" t="s">
        <v>21</v>
      </c>
      <c r="C1319" t="s">
        <v>11</v>
      </c>
      <c r="D1319" t="s">
        <v>41</v>
      </c>
      <c r="E1319">
        <v>86</v>
      </c>
      <c r="F1319">
        <v>119</v>
      </c>
      <c r="G1319" s="1">
        <v>251000</v>
      </c>
      <c r="H1319" s="1">
        <v>251000</v>
      </c>
      <c r="I1319" s="1">
        <v>828300</v>
      </c>
      <c r="J1319" s="1">
        <v>3300</v>
      </c>
    </row>
    <row r="1320" spans="1:10" x14ac:dyDescent="0.3">
      <c r="A1320" t="s">
        <v>67</v>
      </c>
      <c r="B1320" t="s">
        <v>22</v>
      </c>
      <c r="C1320" t="s">
        <v>11</v>
      </c>
      <c r="D1320" t="s">
        <v>41</v>
      </c>
      <c r="E1320">
        <v>86</v>
      </c>
      <c r="F1320">
        <v>119</v>
      </c>
      <c r="G1320" s="1">
        <v>251000</v>
      </c>
      <c r="H1320" s="1">
        <v>251000</v>
      </c>
      <c r="I1320" s="1">
        <v>853400</v>
      </c>
      <c r="J1320" s="1">
        <v>3400</v>
      </c>
    </row>
    <row r="1321" spans="1:10" x14ac:dyDescent="0.3">
      <c r="A1321" t="s">
        <v>67</v>
      </c>
      <c r="B1321" t="s">
        <v>23</v>
      </c>
      <c r="C1321" t="s">
        <v>11</v>
      </c>
      <c r="D1321" t="s">
        <v>41</v>
      </c>
      <c r="E1321">
        <v>86</v>
      </c>
      <c r="F1321">
        <v>119</v>
      </c>
      <c r="G1321" s="1">
        <v>259000</v>
      </c>
      <c r="H1321" s="1">
        <v>259000</v>
      </c>
      <c r="I1321" s="1">
        <v>751100</v>
      </c>
      <c r="J1321" s="1">
        <v>2900</v>
      </c>
    </row>
    <row r="1322" spans="1:10" x14ac:dyDescent="0.3">
      <c r="A1322" t="s">
        <v>67</v>
      </c>
      <c r="B1322" t="s">
        <v>24</v>
      </c>
      <c r="C1322" t="s">
        <v>11</v>
      </c>
      <c r="D1322" t="s">
        <v>41</v>
      </c>
      <c r="E1322">
        <v>86</v>
      </c>
      <c r="F1322">
        <v>119</v>
      </c>
      <c r="G1322" s="1">
        <v>242300</v>
      </c>
      <c r="H1322" s="1">
        <v>233000</v>
      </c>
      <c r="I1322" s="1">
        <v>559200</v>
      </c>
      <c r="J1322" s="1">
        <v>2400</v>
      </c>
    </row>
    <row r="1323" spans="1:10" x14ac:dyDescent="0.3">
      <c r="A1323" t="s">
        <v>67</v>
      </c>
      <c r="B1323" t="s">
        <v>25</v>
      </c>
      <c r="C1323" t="s">
        <v>11</v>
      </c>
      <c r="D1323" t="s">
        <v>41</v>
      </c>
      <c r="E1323">
        <v>86</v>
      </c>
      <c r="F1323">
        <v>119</v>
      </c>
      <c r="G1323" s="1">
        <v>319600</v>
      </c>
      <c r="H1323" s="1">
        <v>246090</v>
      </c>
      <c r="I1323" s="1">
        <v>285464</v>
      </c>
      <c r="J1323" s="1">
        <v>1160</v>
      </c>
    </row>
    <row r="1324" spans="1:10" x14ac:dyDescent="0.3">
      <c r="A1324" t="s">
        <v>67</v>
      </c>
      <c r="B1324" t="s">
        <v>21</v>
      </c>
      <c r="C1324" t="s">
        <v>11</v>
      </c>
      <c r="D1324" t="s">
        <v>42</v>
      </c>
      <c r="E1324">
        <v>86</v>
      </c>
      <c r="F1324">
        <v>126</v>
      </c>
      <c r="G1324" s="1">
        <v>3500</v>
      </c>
      <c r="H1324" s="1">
        <v>3500</v>
      </c>
      <c r="I1324" s="1">
        <v>8750</v>
      </c>
      <c r="J1324" s="1">
        <v>2500</v>
      </c>
    </row>
    <row r="1325" spans="1:10" x14ac:dyDescent="0.3">
      <c r="A1325" t="s">
        <v>67</v>
      </c>
      <c r="B1325" t="s">
        <v>23</v>
      </c>
      <c r="C1325" t="s">
        <v>11</v>
      </c>
      <c r="D1325" t="s">
        <v>42</v>
      </c>
      <c r="E1325">
        <v>86</v>
      </c>
      <c r="F1325">
        <v>126</v>
      </c>
      <c r="G1325" s="1">
        <v>6500</v>
      </c>
      <c r="H1325" s="1">
        <v>6500</v>
      </c>
      <c r="I1325" s="1">
        <v>9750</v>
      </c>
      <c r="J1325" s="1">
        <v>1500</v>
      </c>
    </row>
    <row r="1326" spans="1:10" x14ac:dyDescent="0.3">
      <c r="A1326" t="s">
        <v>67</v>
      </c>
      <c r="B1326" t="s">
        <v>24</v>
      </c>
      <c r="C1326" t="s">
        <v>11</v>
      </c>
      <c r="D1326" t="s">
        <v>42</v>
      </c>
      <c r="E1326">
        <v>86</v>
      </c>
      <c r="F1326">
        <v>126</v>
      </c>
      <c r="G1326" s="1">
        <v>6500</v>
      </c>
      <c r="H1326" s="1">
        <v>6495</v>
      </c>
      <c r="I1326" s="1">
        <v>22733</v>
      </c>
      <c r="J1326" s="1">
        <v>3500</v>
      </c>
    </row>
    <row r="1327" spans="1:10" x14ac:dyDescent="0.3">
      <c r="A1327" t="s">
        <v>67</v>
      </c>
      <c r="B1327" t="s">
        <v>25</v>
      </c>
      <c r="C1327" t="s">
        <v>11</v>
      </c>
      <c r="D1327" t="s">
        <v>42</v>
      </c>
      <c r="E1327">
        <v>86</v>
      </c>
      <c r="F1327">
        <v>126</v>
      </c>
      <c r="G1327" s="1">
        <v>7150</v>
      </c>
      <c r="H1327" s="1">
        <v>7050</v>
      </c>
      <c r="I1327" s="1">
        <v>17625</v>
      </c>
      <c r="J1327" s="1">
        <v>2500</v>
      </c>
    </row>
    <row r="1328" spans="1:10" x14ac:dyDescent="0.3">
      <c r="A1328" t="s">
        <v>67</v>
      </c>
      <c r="B1328" t="s">
        <v>15</v>
      </c>
      <c r="C1328" t="s">
        <v>11</v>
      </c>
      <c r="D1328" t="s">
        <v>43</v>
      </c>
      <c r="E1328">
        <v>86</v>
      </c>
      <c r="F1328">
        <v>133</v>
      </c>
      <c r="G1328" s="1">
        <v>5225</v>
      </c>
      <c r="H1328" s="1">
        <v>5115</v>
      </c>
      <c r="I1328" s="1">
        <v>12276</v>
      </c>
      <c r="J1328" s="1">
        <v>2400</v>
      </c>
    </row>
    <row r="1329" spans="1:10" x14ac:dyDescent="0.3">
      <c r="A1329" t="s">
        <v>67</v>
      </c>
      <c r="B1329" t="s">
        <v>16</v>
      </c>
      <c r="C1329" t="s">
        <v>11</v>
      </c>
      <c r="D1329" t="s">
        <v>43</v>
      </c>
      <c r="E1329">
        <v>86</v>
      </c>
      <c r="F1329">
        <v>133</v>
      </c>
      <c r="G1329" s="1">
        <v>27936</v>
      </c>
      <c r="H1329" s="1">
        <v>27936</v>
      </c>
      <c r="I1329" s="1">
        <v>81014</v>
      </c>
      <c r="J1329" s="1">
        <v>2900</v>
      </c>
    </row>
    <row r="1330" spans="1:10" x14ac:dyDescent="0.3">
      <c r="A1330" t="s">
        <v>67</v>
      </c>
      <c r="B1330" t="s">
        <v>17</v>
      </c>
      <c r="C1330" t="s">
        <v>11</v>
      </c>
      <c r="D1330" t="s">
        <v>43</v>
      </c>
      <c r="E1330">
        <v>86</v>
      </c>
      <c r="F1330">
        <v>133</v>
      </c>
      <c r="G1330" s="1">
        <v>12770</v>
      </c>
      <c r="H1330" s="1">
        <v>12770</v>
      </c>
      <c r="I1330" s="1">
        <v>44695</v>
      </c>
      <c r="J1330" s="1">
        <v>3500</v>
      </c>
    </row>
    <row r="1331" spans="1:10" x14ac:dyDescent="0.3">
      <c r="A1331" t="s">
        <v>67</v>
      </c>
      <c r="B1331" t="s">
        <v>18</v>
      </c>
      <c r="C1331" t="s">
        <v>11</v>
      </c>
      <c r="D1331" t="s">
        <v>43</v>
      </c>
      <c r="E1331">
        <v>86</v>
      </c>
      <c r="F1331">
        <v>133</v>
      </c>
      <c r="G1331" s="1">
        <v>9303</v>
      </c>
      <c r="H1331" s="1">
        <v>9303</v>
      </c>
      <c r="I1331" s="1">
        <v>27908</v>
      </c>
      <c r="J1331" s="1">
        <v>3000</v>
      </c>
    </row>
    <row r="1332" spans="1:10" x14ac:dyDescent="0.3">
      <c r="A1332" t="s">
        <v>67</v>
      </c>
      <c r="B1332" t="s">
        <v>19</v>
      </c>
      <c r="C1332" t="s">
        <v>11</v>
      </c>
      <c r="D1332" t="s">
        <v>43</v>
      </c>
      <c r="E1332">
        <v>86</v>
      </c>
      <c r="F1332">
        <v>133</v>
      </c>
      <c r="G1332" s="1">
        <v>39500</v>
      </c>
      <c r="H1332" s="1">
        <v>39500</v>
      </c>
      <c r="I1332" s="1">
        <v>138250</v>
      </c>
      <c r="J1332" s="1">
        <v>3500</v>
      </c>
    </row>
    <row r="1333" spans="1:10" x14ac:dyDescent="0.3">
      <c r="A1333" t="s">
        <v>67</v>
      </c>
      <c r="B1333" t="s">
        <v>20</v>
      </c>
      <c r="C1333" t="s">
        <v>11</v>
      </c>
      <c r="D1333" t="s">
        <v>43</v>
      </c>
      <c r="E1333">
        <v>86</v>
      </c>
      <c r="F1333">
        <v>133</v>
      </c>
      <c r="G1333" s="1">
        <v>30000</v>
      </c>
      <c r="H1333" s="1">
        <v>30000</v>
      </c>
      <c r="I1333" s="1">
        <v>90000</v>
      </c>
      <c r="J1333" s="1">
        <v>3000</v>
      </c>
    </row>
    <row r="1334" spans="1:10" x14ac:dyDescent="0.3">
      <c r="A1334" t="s">
        <v>67</v>
      </c>
      <c r="B1334" t="s">
        <v>21</v>
      </c>
      <c r="C1334" t="s">
        <v>11</v>
      </c>
      <c r="D1334" t="s">
        <v>43</v>
      </c>
      <c r="E1334">
        <v>86</v>
      </c>
      <c r="F1334">
        <v>133</v>
      </c>
      <c r="G1334" s="1">
        <v>30000</v>
      </c>
      <c r="H1334" s="1">
        <v>30000</v>
      </c>
      <c r="I1334" s="1">
        <v>90000</v>
      </c>
      <c r="J1334" s="1">
        <v>3000</v>
      </c>
    </row>
    <row r="1335" spans="1:10" x14ac:dyDescent="0.3">
      <c r="A1335" t="s">
        <v>67</v>
      </c>
      <c r="B1335" t="s">
        <v>22</v>
      </c>
      <c r="C1335" t="s">
        <v>11</v>
      </c>
      <c r="D1335" t="s">
        <v>43</v>
      </c>
      <c r="E1335">
        <v>86</v>
      </c>
      <c r="F1335">
        <v>133</v>
      </c>
      <c r="G1335" s="1">
        <v>35000</v>
      </c>
      <c r="H1335" s="1">
        <v>35000</v>
      </c>
      <c r="I1335" s="1">
        <v>87500</v>
      </c>
      <c r="J1335" s="1">
        <v>2500</v>
      </c>
    </row>
    <row r="1336" spans="1:10" x14ac:dyDescent="0.3">
      <c r="A1336" t="s">
        <v>67</v>
      </c>
      <c r="B1336" t="s">
        <v>23</v>
      </c>
      <c r="C1336" t="s">
        <v>11</v>
      </c>
      <c r="D1336" t="s">
        <v>43</v>
      </c>
      <c r="E1336">
        <v>86</v>
      </c>
      <c r="F1336">
        <v>133</v>
      </c>
      <c r="G1336" s="1">
        <v>35000</v>
      </c>
      <c r="H1336" s="1">
        <v>35000</v>
      </c>
      <c r="I1336" s="1">
        <v>52500</v>
      </c>
      <c r="J1336" s="1">
        <v>1500</v>
      </c>
    </row>
    <row r="1337" spans="1:10" x14ac:dyDescent="0.3">
      <c r="A1337" t="s">
        <v>67</v>
      </c>
      <c r="B1337" t="s">
        <v>24</v>
      </c>
      <c r="C1337" t="s">
        <v>11</v>
      </c>
      <c r="D1337" t="s">
        <v>43</v>
      </c>
      <c r="E1337">
        <v>86</v>
      </c>
      <c r="F1337">
        <v>133</v>
      </c>
      <c r="G1337" s="1">
        <v>35000</v>
      </c>
      <c r="H1337" s="1">
        <v>34961</v>
      </c>
      <c r="I1337" s="1">
        <v>136348</v>
      </c>
      <c r="J1337" s="1">
        <v>3900</v>
      </c>
    </row>
    <row r="1338" spans="1:10" x14ac:dyDescent="0.3">
      <c r="A1338" t="s">
        <v>67</v>
      </c>
      <c r="B1338" t="s">
        <v>25</v>
      </c>
      <c r="C1338" t="s">
        <v>11</v>
      </c>
      <c r="D1338" t="s">
        <v>43</v>
      </c>
      <c r="E1338">
        <v>86</v>
      </c>
      <c r="F1338">
        <v>133</v>
      </c>
      <c r="G1338" s="1">
        <v>38500</v>
      </c>
      <c r="H1338" s="1">
        <v>38350</v>
      </c>
      <c r="I1338" s="1">
        <v>101628</v>
      </c>
      <c r="J1338" s="1">
        <v>2650</v>
      </c>
    </row>
    <row r="1339" spans="1:10" x14ac:dyDescent="0.3">
      <c r="A1339" t="s">
        <v>67</v>
      </c>
      <c r="B1339" t="s">
        <v>21</v>
      </c>
      <c r="C1339" t="s">
        <v>11</v>
      </c>
      <c r="D1339" t="s">
        <v>58</v>
      </c>
      <c r="E1339">
        <v>86</v>
      </c>
      <c r="F1339">
        <v>140</v>
      </c>
      <c r="G1339" s="1">
        <v>3200</v>
      </c>
      <c r="H1339" s="1">
        <v>3200</v>
      </c>
      <c r="I1339" s="1">
        <v>8960</v>
      </c>
      <c r="J1339" s="1">
        <v>2800</v>
      </c>
    </row>
    <row r="1340" spans="1:10" x14ac:dyDescent="0.3">
      <c r="A1340" t="s">
        <v>67</v>
      </c>
      <c r="B1340" t="s">
        <v>23</v>
      </c>
      <c r="C1340" t="s">
        <v>11</v>
      </c>
      <c r="D1340" t="s">
        <v>58</v>
      </c>
      <c r="E1340">
        <v>86</v>
      </c>
      <c r="F1340">
        <v>140</v>
      </c>
      <c r="G1340" s="1">
        <v>2500</v>
      </c>
      <c r="H1340" s="1">
        <v>2500</v>
      </c>
      <c r="I1340" s="1">
        <v>3750</v>
      </c>
      <c r="J1340" s="1">
        <v>1500</v>
      </c>
    </row>
    <row r="1341" spans="1:10" x14ac:dyDescent="0.3">
      <c r="A1341" t="s">
        <v>67</v>
      </c>
      <c r="B1341" t="s">
        <v>24</v>
      </c>
      <c r="C1341" t="s">
        <v>11</v>
      </c>
      <c r="D1341" t="s">
        <v>58</v>
      </c>
      <c r="E1341">
        <v>86</v>
      </c>
      <c r="F1341">
        <v>140</v>
      </c>
      <c r="G1341" s="1">
        <v>2500</v>
      </c>
      <c r="H1341" s="1">
        <v>2497</v>
      </c>
      <c r="I1341" s="1">
        <v>8740</v>
      </c>
      <c r="J1341" s="1">
        <v>3500</v>
      </c>
    </row>
    <row r="1342" spans="1:10" x14ac:dyDescent="0.3">
      <c r="A1342" t="s">
        <v>67</v>
      </c>
      <c r="B1342" t="s">
        <v>25</v>
      </c>
      <c r="C1342" t="s">
        <v>11</v>
      </c>
      <c r="D1342" t="s">
        <v>58</v>
      </c>
      <c r="E1342">
        <v>86</v>
      </c>
      <c r="F1342">
        <v>140</v>
      </c>
      <c r="G1342" s="1">
        <v>2750</v>
      </c>
      <c r="H1342" s="1">
        <v>2698</v>
      </c>
      <c r="I1342" s="1">
        <v>6745</v>
      </c>
      <c r="J1342" s="1">
        <v>2500</v>
      </c>
    </row>
    <row r="1343" spans="1:10" x14ac:dyDescent="0.3">
      <c r="A1343" t="s">
        <v>67</v>
      </c>
      <c r="B1343" t="s">
        <v>15</v>
      </c>
      <c r="C1343" t="s">
        <v>11</v>
      </c>
      <c r="D1343" t="s">
        <v>44</v>
      </c>
      <c r="E1343">
        <v>86</v>
      </c>
      <c r="F1343">
        <v>147</v>
      </c>
      <c r="G1343" s="1">
        <v>4575</v>
      </c>
      <c r="H1343" s="1">
        <v>4575</v>
      </c>
      <c r="I1343" s="1">
        <v>9150</v>
      </c>
      <c r="J1343" s="1">
        <v>2000</v>
      </c>
    </row>
    <row r="1344" spans="1:10" x14ac:dyDescent="0.3">
      <c r="A1344" t="s">
        <v>67</v>
      </c>
      <c r="B1344" t="s">
        <v>16</v>
      </c>
      <c r="C1344" t="s">
        <v>11</v>
      </c>
      <c r="D1344" t="s">
        <v>44</v>
      </c>
      <c r="E1344">
        <v>86</v>
      </c>
      <c r="F1344">
        <v>147</v>
      </c>
      <c r="G1344" s="1">
        <v>14800</v>
      </c>
      <c r="H1344" s="1">
        <v>14800</v>
      </c>
      <c r="I1344" s="1">
        <v>35520</v>
      </c>
      <c r="J1344" s="1">
        <v>2400</v>
      </c>
    </row>
    <row r="1345" spans="1:10" x14ac:dyDescent="0.3">
      <c r="A1345" t="s">
        <v>67</v>
      </c>
      <c r="B1345" t="s">
        <v>17</v>
      </c>
      <c r="C1345" t="s">
        <v>11</v>
      </c>
      <c r="D1345" t="s">
        <v>44</v>
      </c>
      <c r="E1345">
        <v>86</v>
      </c>
      <c r="F1345">
        <v>147</v>
      </c>
      <c r="G1345" s="1">
        <v>8500</v>
      </c>
      <c r="H1345" s="1">
        <v>8500</v>
      </c>
      <c r="I1345" s="1">
        <v>29750</v>
      </c>
      <c r="J1345" s="1">
        <v>3500</v>
      </c>
    </row>
    <row r="1346" spans="1:10" x14ac:dyDescent="0.3">
      <c r="A1346" t="s">
        <v>67</v>
      </c>
      <c r="B1346" t="s">
        <v>18</v>
      </c>
      <c r="C1346" t="s">
        <v>11</v>
      </c>
      <c r="D1346" t="s">
        <v>44</v>
      </c>
      <c r="E1346">
        <v>86</v>
      </c>
      <c r="F1346">
        <v>147</v>
      </c>
      <c r="G1346" s="1">
        <v>192</v>
      </c>
      <c r="H1346" s="1">
        <v>192</v>
      </c>
      <c r="I1346" s="1">
        <v>575</v>
      </c>
      <c r="J1346" s="1">
        <v>2995</v>
      </c>
    </row>
    <row r="1347" spans="1:10" x14ac:dyDescent="0.3">
      <c r="A1347" t="s">
        <v>67</v>
      </c>
      <c r="B1347" t="s">
        <v>19</v>
      </c>
      <c r="C1347" t="s">
        <v>11</v>
      </c>
      <c r="D1347" t="s">
        <v>44</v>
      </c>
      <c r="E1347">
        <v>86</v>
      </c>
      <c r="F1347">
        <v>147</v>
      </c>
      <c r="G1347" s="1">
        <v>11700</v>
      </c>
      <c r="H1347" s="1">
        <v>11700</v>
      </c>
      <c r="I1347" s="1">
        <v>40950</v>
      </c>
      <c r="J1347" s="1">
        <v>3500</v>
      </c>
    </row>
    <row r="1348" spans="1:10" x14ac:dyDescent="0.3">
      <c r="A1348" t="s">
        <v>67</v>
      </c>
      <c r="B1348" t="s">
        <v>20</v>
      </c>
      <c r="C1348" t="s">
        <v>11</v>
      </c>
      <c r="D1348" t="s">
        <v>44</v>
      </c>
      <c r="E1348">
        <v>86</v>
      </c>
      <c r="F1348">
        <v>147</v>
      </c>
      <c r="G1348" s="1">
        <v>4000</v>
      </c>
      <c r="H1348" s="1">
        <v>4000</v>
      </c>
      <c r="I1348" s="1">
        <v>12000</v>
      </c>
      <c r="J1348" s="1">
        <v>3000</v>
      </c>
    </row>
    <row r="1349" spans="1:10" x14ac:dyDescent="0.3">
      <c r="A1349" t="s">
        <v>67</v>
      </c>
      <c r="B1349" t="s">
        <v>21</v>
      </c>
      <c r="C1349" t="s">
        <v>11</v>
      </c>
      <c r="D1349" t="s">
        <v>44</v>
      </c>
      <c r="E1349">
        <v>86</v>
      </c>
      <c r="F1349">
        <v>147</v>
      </c>
      <c r="G1349" s="1">
        <v>4000</v>
      </c>
      <c r="H1349" s="1">
        <v>4000</v>
      </c>
      <c r="I1349" s="1">
        <v>12000</v>
      </c>
      <c r="J1349" s="1">
        <v>3000</v>
      </c>
    </row>
    <row r="1350" spans="1:10" x14ac:dyDescent="0.3">
      <c r="A1350" t="s">
        <v>67</v>
      </c>
      <c r="B1350" t="s">
        <v>22</v>
      </c>
      <c r="C1350" t="s">
        <v>11</v>
      </c>
      <c r="D1350" t="s">
        <v>44</v>
      </c>
      <c r="E1350">
        <v>86</v>
      </c>
      <c r="F1350">
        <v>147</v>
      </c>
      <c r="G1350" s="1">
        <v>4500</v>
      </c>
      <c r="H1350" s="1">
        <v>4500</v>
      </c>
      <c r="I1350" s="1">
        <v>11250</v>
      </c>
      <c r="J1350" s="1">
        <v>2500</v>
      </c>
    </row>
    <row r="1351" spans="1:10" x14ac:dyDescent="0.3">
      <c r="A1351" t="s">
        <v>67</v>
      </c>
      <c r="B1351" t="s">
        <v>23</v>
      </c>
      <c r="C1351" t="s">
        <v>11</v>
      </c>
      <c r="D1351" t="s">
        <v>44</v>
      </c>
      <c r="E1351">
        <v>86</v>
      </c>
      <c r="F1351">
        <v>147</v>
      </c>
      <c r="G1351" s="1">
        <v>4500</v>
      </c>
      <c r="H1351" s="1">
        <v>4500</v>
      </c>
      <c r="I1351" s="1">
        <v>6750</v>
      </c>
      <c r="J1351" s="1">
        <v>1500</v>
      </c>
    </row>
    <row r="1352" spans="1:10" x14ac:dyDescent="0.3">
      <c r="A1352" t="s">
        <v>67</v>
      </c>
      <c r="B1352" t="s">
        <v>24</v>
      </c>
      <c r="C1352" t="s">
        <v>11</v>
      </c>
      <c r="D1352" t="s">
        <v>44</v>
      </c>
      <c r="E1352">
        <v>86</v>
      </c>
      <c r="F1352">
        <v>147</v>
      </c>
      <c r="G1352" s="1">
        <v>4500</v>
      </c>
      <c r="H1352" s="1">
        <v>4497</v>
      </c>
      <c r="I1352" s="1">
        <v>15740</v>
      </c>
      <c r="J1352" s="1">
        <v>3500</v>
      </c>
    </row>
    <row r="1353" spans="1:10" x14ac:dyDescent="0.3">
      <c r="A1353" t="s">
        <v>67</v>
      </c>
      <c r="B1353" t="s">
        <v>25</v>
      </c>
      <c r="C1353" t="s">
        <v>11</v>
      </c>
      <c r="D1353" t="s">
        <v>44</v>
      </c>
      <c r="E1353">
        <v>86</v>
      </c>
      <c r="F1353">
        <v>147</v>
      </c>
      <c r="G1353" s="1">
        <v>49500</v>
      </c>
      <c r="H1353" s="1">
        <v>49402</v>
      </c>
      <c r="I1353" s="1">
        <v>130915</v>
      </c>
      <c r="J1353" s="1">
        <v>2650</v>
      </c>
    </row>
    <row r="1354" spans="1:10" x14ac:dyDescent="0.3">
      <c r="A1354" t="s">
        <v>67</v>
      </c>
      <c r="B1354" t="s">
        <v>15</v>
      </c>
      <c r="C1354" t="s">
        <v>11</v>
      </c>
      <c r="D1354" t="s">
        <v>51</v>
      </c>
      <c r="E1354">
        <v>86</v>
      </c>
      <c r="F1354">
        <v>154</v>
      </c>
      <c r="G1354" s="1">
        <v>45250</v>
      </c>
      <c r="H1354" s="1">
        <v>39820</v>
      </c>
      <c r="I1354" s="1">
        <v>95568</v>
      </c>
      <c r="J1354" s="1">
        <v>2400</v>
      </c>
    </row>
    <row r="1355" spans="1:10" x14ac:dyDescent="0.3">
      <c r="A1355" t="s">
        <v>67</v>
      </c>
      <c r="B1355" t="s">
        <v>16</v>
      </c>
      <c r="C1355" t="s">
        <v>11</v>
      </c>
      <c r="D1355" t="s">
        <v>51</v>
      </c>
      <c r="E1355">
        <v>86</v>
      </c>
      <c r="F1355">
        <v>154</v>
      </c>
      <c r="G1355" s="1">
        <v>47625</v>
      </c>
      <c r="H1355" s="1">
        <v>43815</v>
      </c>
      <c r="I1355" s="1">
        <v>100775</v>
      </c>
      <c r="J1355" s="1">
        <v>2300</v>
      </c>
    </row>
    <row r="1356" spans="1:10" x14ac:dyDescent="0.3">
      <c r="A1356" t="s">
        <v>67</v>
      </c>
      <c r="B1356" t="s">
        <v>17</v>
      </c>
      <c r="C1356" t="s">
        <v>11</v>
      </c>
      <c r="D1356" t="s">
        <v>51</v>
      </c>
      <c r="E1356">
        <v>86</v>
      </c>
      <c r="F1356">
        <v>154</v>
      </c>
      <c r="G1356" s="1">
        <v>19827</v>
      </c>
      <c r="H1356" s="1">
        <v>19710</v>
      </c>
      <c r="I1356" s="1">
        <v>67014</v>
      </c>
      <c r="J1356" s="1">
        <v>3400</v>
      </c>
    </row>
    <row r="1357" spans="1:10" x14ac:dyDescent="0.3">
      <c r="A1357" t="s">
        <v>67</v>
      </c>
      <c r="B1357" t="s">
        <v>18</v>
      </c>
      <c r="C1357" t="s">
        <v>11</v>
      </c>
      <c r="D1357" t="s">
        <v>51</v>
      </c>
      <c r="E1357">
        <v>86</v>
      </c>
      <c r="F1357">
        <v>154</v>
      </c>
      <c r="G1357" s="1">
        <v>21600</v>
      </c>
      <c r="H1357" s="1">
        <v>20142</v>
      </c>
      <c r="I1357" s="1">
        <v>32227</v>
      </c>
      <c r="J1357" s="1">
        <v>1600</v>
      </c>
    </row>
    <row r="1358" spans="1:10" x14ac:dyDescent="0.3">
      <c r="A1358" t="s">
        <v>67</v>
      </c>
      <c r="B1358" t="s">
        <v>19</v>
      </c>
      <c r="C1358" t="s">
        <v>11</v>
      </c>
      <c r="D1358" t="s">
        <v>51</v>
      </c>
      <c r="E1358">
        <v>86</v>
      </c>
      <c r="F1358">
        <v>154</v>
      </c>
      <c r="G1358" s="1">
        <v>36000</v>
      </c>
      <c r="H1358" s="1">
        <v>35060</v>
      </c>
      <c r="I1358" s="1">
        <v>108686</v>
      </c>
      <c r="J1358" s="1">
        <v>3100</v>
      </c>
    </row>
    <row r="1359" spans="1:10" x14ac:dyDescent="0.3">
      <c r="A1359" t="s">
        <v>67</v>
      </c>
      <c r="B1359" t="s">
        <v>20</v>
      </c>
      <c r="C1359" t="s">
        <v>11</v>
      </c>
      <c r="D1359" t="s">
        <v>51</v>
      </c>
      <c r="E1359">
        <v>86</v>
      </c>
      <c r="F1359">
        <v>154</v>
      </c>
      <c r="G1359" s="1">
        <v>8200</v>
      </c>
      <c r="H1359" s="1">
        <v>7890</v>
      </c>
      <c r="I1359" s="1">
        <v>24459</v>
      </c>
      <c r="J1359" s="1">
        <v>3100</v>
      </c>
    </row>
    <row r="1360" spans="1:10" x14ac:dyDescent="0.3">
      <c r="A1360" t="s">
        <v>67</v>
      </c>
      <c r="B1360" t="s">
        <v>21</v>
      </c>
      <c r="C1360" t="s">
        <v>11</v>
      </c>
      <c r="D1360" t="s">
        <v>51</v>
      </c>
      <c r="E1360">
        <v>86</v>
      </c>
      <c r="F1360">
        <v>154</v>
      </c>
      <c r="G1360" s="1">
        <v>8100</v>
      </c>
      <c r="H1360" s="1">
        <v>8100</v>
      </c>
      <c r="I1360" s="1">
        <v>29970</v>
      </c>
      <c r="J1360" s="1">
        <v>3700</v>
      </c>
    </row>
    <row r="1361" spans="1:10" x14ac:dyDescent="0.3">
      <c r="A1361" t="s">
        <v>67</v>
      </c>
      <c r="B1361" t="s">
        <v>22</v>
      </c>
      <c r="C1361" t="s">
        <v>11</v>
      </c>
      <c r="D1361" t="s">
        <v>51</v>
      </c>
      <c r="E1361">
        <v>86</v>
      </c>
      <c r="F1361">
        <v>154</v>
      </c>
      <c r="G1361" s="1">
        <v>8100</v>
      </c>
      <c r="H1361" s="1">
        <v>8100</v>
      </c>
      <c r="I1361" s="1">
        <v>26730</v>
      </c>
      <c r="J1361" s="1">
        <v>3300</v>
      </c>
    </row>
    <row r="1362" spans="1:10" x14ac:dyDescent="0.3">
      <c r="A1362" t="s">
        <v>67</v>
      </c>
      <c r="B1362" t="s">
        <v>23</v>
      </c>
      <c r="C1362" t="s">
        <v>11</v>
      </c>
      <c r="D1362" t="s">
        <v>51</v>
      </c>
      <c r="E1362">
        <v>86</v>
      </c>
      <c r="F1362">
        <v>154</v>
      </c>
      <c r="G1362" s="1">
        <v>13900</v>
      </c>
      <c r="H1362" s="1">
        <v>13900</v>
      </c>
      <c r="I1362" s="1">
        <v>38920</v>
      </c>
      <c r="J1362" s="1">
        <v>2800</v>
      </c>
    </row>
    <row r="1363" spans="1:10" x14ac:dyDescent="0.3">
      <c r="A1363" t="s">
        <v>67</v>
      </c>
      <c r="B1363" t="s">
        <v>24</v>
      </c>
      <c r="C1363" t="s">
        <v>11</v>
      </c>
      <c r="D1363" t="s">
        <v>51</v>
      </c>
      <c r="E1363">
        <v>86</v>
      </c>
      <c r="F1363">
        <v>154</v>
      </c>
      <c r="G1363" s="1">
        <v>1180</v>
      </c>
      <c r="H1363" s="1">
        <v>1090</v>
      </c>
      <c r="I1363" s="1">
        <v>3161</v>
      </c>
      <c r="J1363" s="1">
        <v>2900</v>
      </c>
    </row>
    <row r="1364" spans="1:10" x14ac:dyDescent="0.3">
      <c r="A1364" t="s">
        <v>67</v>
      </c>
      <c r="B1364" t="s">
        <v>25</v>
      </c>
      <c r="C1364" t="s">
        <v>11</v>
      </c>
      <c r="D1364" t="s">
        <v>51</v>
      </c>
      <c r="E1364">
        <v>86</v>
      </c>
      <c r="F1364">
        <v>154</v>
      </c>
      <c r="G1364" s="1">
        <v>15900</v>
      </c>
      <c r="H1364" s="1">
        <v>14450</v>
      </c>
      <c r="I1364" s="1">
        <v>39738</v>
      </c>
      <c r="J1364" s="1">
        <v>2750</v>
      </c>
    </row>
    <row r="1365" spans="1:10" x14ac:dyDescent="0.3">
      <c r="A1365" t="s">
        <v>67</v>
      </c>
      <c r="B1365" t="s">
        <v>15</v>
      </c>
      <c r="C1365" t="s">
        <v>11</v>
      </c>
      <c r="D1365" t="s">
        <v>45</v>
      </c>
      <c r="E1365">
        <v>86</v>
      </c>
      <c r="F1365">
        <v>161</v>
      </c>
      <c r="G1365" s="1">
        <v>150</v>
      </c>
      <c r="H1365" s="1">
        <v>150</v>
      </c>
      <c r="I1365" s="1">
        <v>375</v>
      </c>
      <c r="J1365" s="1">
        <v>2500</v>
      </c>
    </row>
    <row r="1366" spans="1:10" x14ac:dyDescent="0.3">
      <c r="A1366" t="s">
        <v>67</v>
      </c>
      <c r="B1366" t="s">
        <v>16</v>
      </c>
      <c r="C1366" t="s">
        <v>11</v>
      </c>
      <c r="D1366" t="s">
        <v>45</v>
      </c>
      <c r="E1366">
        <v>86</v>
      </c>
      <c r="F1366">
        <v>161</v>
      </c>
      <c r="G1366" s="1">
        <v>290</v>
      </c>
      <c r="H1366" s="1">
        <v>290</v>
      </c>
      <c r="I1366" s="1">
        <v>783</v>
      </c>
      <c r="J1366" s="1">
        <v>2700</v>
      </c>
    </row>
    <row r="1367" spans="1:10" x14ac:dyDescent="0.3">
      <c r="A1367" t="s">
        <v>67</v>
      </c>
      <c r="B1367" t="s">
        <v>17</v>
      </c>
      <c r="C1367" t="s">
        <v>11</v>
      </c>
      <c r="D1367" t="s">
        <v>45</v>
      </c>
      <c r="E1367">
        <v>86</v>
      </c>
      <c r="F1367">
        <v>161</v>
      </c>
      <c r="G1367" s="1">
        <v>1100</v>
      </c>
      <c r="H1367" s="1">
        <v>1100</v>
      </c>
      <c r="I1367" s="1">
        <v>3850</v>
      </c>
      <c r="J1367" s="1">
        <v>3500</v>
      </c>
    </row>
    <row r="1368" spans="1:10" x14ac:dyDescent="0.3">
      <c r="A1368" t="s">
        <v>67</v>
      </c>
      <c r="B1368" t="s">
        <v>18</v>
      </c>
      <c r="C1368" t="s">
        <v>11</v>
      </c>
      <c r="D1368" t="s">
        <v>45</v>
      </c>
      <c r="E1368">
        <v>86</v>
      </c>
      <c r="F1368">
        <v>161</v>
      </c>
      <c r="G1368" s="1">
        <v>650</v>
      </c>
      <c r="H1368" s="1">
        <v>650</v>
      </c>
      <c r="I1368" s="1">
        <v>1950</v>
      </c>
      <c r="J1368" s="1">
        <v>3000</v>
      </c>
    </row>
    <row r="1369" spans="1:10" x14ac:dyDescent="0.3">
      <c r="A1369" t="s">
        <v>67</v>
      </c>
      <c r="B1369" t="s">
        <v>19</v>
      </c>
      <c r="C1369" t="s">
        <v>11</v>
      </c>
      <c r="D1369" t="s">
        <v>45</v>
      </c>
      <c r="E1369">
        <v>86</v>
      </c>
      <c r="F1369">
        <v>161</v>
      </c>
      <c r="G1369" s="1">
        <v>3500</v>
      </c>
      <c r="H1369" s="1">
        <v>3500</v>
      </c>
      <c r="I1369" s="1">
        <v>12180</v>
      </c>
      <c r="J1369" s="1">
        <v>3480</v>
      </c>
    </row>
    <row r="1370" spans="1:10" x14ac:dyDescent="0.3">
      <c r="A1370" t="s">
        <v>67</v>
      </c>
      <c r="B1370" t="s">
        <v>20</v>
      </c>
      <c r="C1370" t="s">
        <v>11</v>
      </c>
      <c r="D1370" t="s">
        <v>45</v>
      </c>
      <c r="E1370">
        <v>86</v>
      </c>
      <c r="F1370">
        <v>161</v>
      </c>
      <c r="G1370" s="1">
        <v>2000</v>
      </c>
      <c r="H1370" s="1">
        <v>2000</v>
      </c>
      <c r="I1370" s="1">
        <v>6000</v>
      </c>
      <c r="J1370" s="1">
        <v>3000</v>
      </c>
    </row>
    <row r="1371" spans="1:10" x14ac:dyDescent="0.3">
      <c r="A1371" t="s">
        <v>67</v>
      </c>
      <c r="B1371" t="s">
        <v>21</v>
      </c>
      <c r="C1371" t="s">
        <v>11</v>
      </c>
      <c r="D1371" t="s">
        <v>45</v>
      </c>
      <c r="E1371">
        <v>86</v>
      </c>
      <c r="F1371">
        <v>161</v>
      </c>
      <c r="G1371" s="1">
        <v>2000</v>
      </c>
      <c r="H1371" s="1">
        <v>2000</v>
      </c>
      <c r="I1371" s="1">
        <v>6000</v>
      </c>
      <c r="J1371" s="1">
        <v>3000</v>
      </c>
    </row>
    <row r="1372" spans="1:10" x14ac:dyDescent="0.3">
      <c r="A1372" t="s">
        <v>67</v>
      </c>
      <c r="B1372" t="s">
        <v>22</v>
      </c>
      <c r="C1372" t="s">
        <v>11</v>
      </c>
      <c r="D1372" t="s">
        <v>45</v>
      </c>
      <c r="E1372">
        <v>86</v>
      </c>
      <c r="F1372">
        <v>161</v>
      </c>
      <c r="G1372" s="1">
        <v>3500</v>
      </c>
      <c r="H1372" s="1">
        <v>3500</v>
      </c>
      <c r="I1372" s="1">
        <v>8750</v>
      </c>
      <c r="J1372" s="1">
        <v>2500</v>
      </c>
    </row>
    <row r="1373" spans="1:10" x14ac:dyDescent="0.3">
      <c r="A1373" t="s">
        <v>67</v>
      </c>
      <c r="B1373" t="s">
        <v>23</v>
      </c>
      <c r="C1373" t="s">
        <v>11</v>
      </c>
      <c r="D1373" t="s">
        <v>45</v>
      </c>
      <c r="E1373">
        <v>86</v>
      </c>
      <c r="F1373">
        <v>161</v>
      </c>
      <c r="G1373" s="1">
        <v>4000</v>
      </c>
      <c r="H1373" s="1">
        <v>4000</v>
      </c>
      <c r="I1373" s="1">
        <v>6000</v>
      </c>
      <c r="J1373" s="1">
        <v>1500</v>
      </c>
    </row>
    <row r="1374" spans="1:10" x14ac:dyDescent="0.3">
      <c r="A1374" t="s">
        <v>67</v>
      </c>
      <c r="B1374" t="s">
        <v>24</v>
      </c>
      <c r="C1374" t="s">
        <v>11</v>
      </c>
      <c r="D1374" t="s">
        <v>45</v>
      </c>
      <c r="E1374">
        <v>86</v>
      </c>
      <c r="F1374">
        <v>161</v>
      </c>
      <c r="G1374" s="1">
        <v>4000</v>
      </c>
      <c r="H1374" s="1">
        <v>3996</v>
      </c>
      <c r="I1374" s="1">
        <v>13986</v>
      </c>
      <c r="J1374" s="1">
        <v>3500</v>
      </c>
    </row>
    <row r="1375" spans="1:10" x14ac:dyDescent="0.3">
      <c r="A1375" t="s">
        <v>67</v>
      </c>
      <c r="B1375" t="s">
        <v>25</v>
      </c>
      <c r="C1375" t="s">
        <v>11</v>
      </c>
      <c r="D1375" t="s">
        <v>45</v>
      </c>
      <c r="E1375">
        <v>86</v>
      </c>
      <c r="F1375">
        <v>161</v>
      </c>
      <c r="G1375" s="1">
        <v>4400</v>
      </c>
      <c r="H1375" s="1">
        <v>4315</v>
      </c>
      <c r="I1375" s="1">
        <v>12298</v>
      </c>
      <c r="J1375" s="1">
        <v>2850</v>
      </c>
    </row>
    <row r="1376" spans="1:10" x14ac:dyDescent="0.3">
      <c r="A1376" t="s">
        <v>67</v>
      </c>
      <c r="B1376" t="s">
        <v>15</v>
      </c>
      <c r="C1376" t="s">
        <v>11</v>
      </c>
      <c r="D1376" t="s">
        <v>46</v>
      </c>
      <c r="E1376">
        <v>86</v>
      </c>
      <c r="F1376">
        <v>175</v>
      </c>
      <c r="G1376" s="1">
        <v>1525</v>
      </c>
      <c r="H1376" s="1">
        <v>1525</v>
      </c>
      <c r="I1376" s="1">
        <v>3813</v>
      </c>
      <c r="J1376" s="1">
        <v>2500</v>
      </c>
    </row>
    <row r="1377" spans="1:10" x14ac:dyDescent="0.3">
      <c r="A1377" t="s">
        <v>67</v>
      </c>
      <c r="B1377" t="s">
        <v>16</v>
      </c>
      <c r="C1377" t="s">
        <v>11</v>
      </c>
      <c r="D1377" t="s">
        <v>46</v>
      </c>
      <c r="E1377">
        <v>86</v>
      </c>
      <c r="F1377">
        <v>175</v>
      </c>
      <c r="G1377" s="1">
        <v>1500</v>
      </c>
      <c r="H1377" s="1">
        <v>1500</v>
      </c>
      <c r="I1377" s="1">
        <v>3600</v>
      </c>
      <c r="J1377" s="1">
        <v>2400</v>
      </c>
    </row>
    <row r="1378" spans="1:10" x14ac:dyDescent="0.3">
      <c r="A1378" t="s">
        <v>67</v>
      </c>
      <c r="B1378" t="s">
        <v>17</v>
      </c>
      <c r="C1378" t="s">
        <v>11</v>
      </c>
      <c r="D1378" t="s">
        <v>46</v>
      </c>
      <c r="E1378">
        <v>86</v>
      </c>
      <c r="F1378">
        <v>175</v>
      </c>
      <c r="G1378" s="1">
        <v>2500</v>
      </c>
      <c r="H1378" s="1">
        <v>2500</v>
      </c>
      <c r="I1378" s="1">
        <v>7000</v>
      </c>
      <c r="J1378" s="1">
        <v>2800</v>
      </c>
    </row>
    <row r="1379" spans="1:10" x14ac:dyDescent="0.3">
      <c r="A1379" t="s">
        <v>67</v>
      </c>
      <c r="B1379" t="s">
        <v>18</v>
      </c>
      <c r="C1379" t="s">
        <v>11</v>
      </c>
      <c r="D1379" t="s">
        <v>46</v>
      </c>
      <c r="E1379">
        <v>86</v>
      </c>
      <c r="F1379">
        <v>175</v>
      </c>
      <c r="G1379" s="1">
        <v>2500</v>
      </c>
      <c r="H1379" s="1">
        <v>2500</v>
      </c>
      <c r="I1379" s="1">
        <v>5000</v>
      </c>
      <c r="J1379" s="1">
        <v>2000</v>
      </c>
    </row>
    <row r="1380" spans="1:10" x14ac:dyDescent="0.3">
      <c r="A1380" t="s">
        <v>67</v>
      </c>
      <c r="B1380" t="s">
        <v>19</v>
      </c>
      <c r="C1380" t="s">
        <v>11</v>
      </c>
      <c r="D1380" t="s">
        <v>46</v>
      </c>
      <c r="E1380">
        <v>86</v>
      </c>
      <c r="F1380">
        <v>175</v>
      </c>
      <c r="G1380" s="1">
        <v>2000</v>
      </c>
      <c r="H1380" s="1">
        <v>2000</v>
      </c>
      <c r="I1380" s="1">
        <v>5800</v>
      </c>
      <c r="J1380" s="1">
        <v>2900</v>
      </c>
    </row>
    <row r="1381" spans="1:10" x14ac:dyDescent="0.3">
      <c r="A1381" t="s">
        <v>67</v>
      </c>
      <c r="B1381" t="s">
        <v>20</v>
      </c>
      <c r="C1381" t="s">
        <v>11</v>
      </c>
      <c r="D1381" t="s">
        <v>46</v>
      </c>
      <c r="E1381">
        <v>86</v>
      </c>
      <c r="F1381">
        <v>175</v>
      </c>
      <c r="G1381" s="1">
        <v>2000</v>
      </c>
      <c r="H1381" s="1">
        <v>2000</v>
      </c>
      <c r="I1381" s="1">
        <v>6000</v>
      </c>
      <c r="J1381" s="1">
        <v>3000</v>
      </c>
    </row>
    <row r="1382" spans="1:10" x14ac:dyDescent="0.3">
      <c r="A1382" t="s">
        <v>67</v>
      </c>
      <c r="B1382" t="s">
        <v>21</v>
      </c>
      <c r="C1382" t="s">
        <v>11</v>
      </c>
      <c r="D1382" t="s">
        <v>46</v>
      </c>
      <c r="E1382">
        <v>86</v>
      </c>
      <c r="F1382">
        <v>175</v>
      </c>
      <c r="G1382" s="1">
        <v>2500</v>
      </c>
      <c r="H1382" s="1">
        <v>2500</v>
      </c>
      <c r="I1382" s="1">
        <v>7500</v>
      </c>
      <c r="J1382" s="1">
        <v>3000</v>
      </c>
    </row>
    <row r="1383" spans="1:10" x14ac:dyDescent="0.3">
      <c r="A1383" t="s">
        <v>67</v>
      </c>
      <c r="B1383" t="s">
        <v>22</v>
      </c>
      <c r="C1383" t="s">
        <v>11</v>
      </c>
      <c r="D1383" t="s">
        <v>46</v>
      </c>
      <c r="E1383">
        <v>86</v>
      </c>
      <c r="F1383">
        <v>175</v>
      </c>
      <c r="G1383" s="1">
        <v>2000</v>
      </c>
      <c r="H1383" s="1">
        <v>2000</v>
      </c>
      <c r="I1383" s="1">
        <v>5000</v>
      </c>
      <c r="J1383" s="1">
        <v>2500</v>
      </c>
    </row>
    <row r="1384" spans="1:10" x14ac:dyDescent="0.3">
      <c r="A1384" t="s">
        <v>67</v>
      </c>
      <c r="B1384" t="s">
        <v>23</v>
      </c>
      <c r="C1384" t="s">
        <v>11</v>
      </c>
      <c r="D1384" t="s">
        <v>46</v>
      </c>
      <c r="E1384">
        <v>86</v>
      </c>
      <c r="F1384">
        <v>175</v>
      </c>
      <c r="G1384" s="1">
        <v>2000</v>
      </c>
      <c r="H1384" s="1">
        <v>2000</v>
      </c>
      <c r="I1384" s="1">
        <v>3000</v>
      </c>
      <c r="J1384" s="1">
        <v>1500</v>
      </c>
    </row>
    <row r="1385" spans="1:10" x14ac:dyDescent="0.3">
      <c r="A1385" t="s">
        <v>67</v>
      </c>
      <c r="B1385" t="s">
        <v>24</v>
      </c>
      <c r="C1385" t="s">
        <v>11</v>
      </c>
      <c r="D1385" t="s">
        <v>46</v>
      </c>
      <c r="E1385">
        <v>86</v>
      </c>
      <c r="F1385">
        <v>175</v>
      </c>
      <c r="G1385" s="1">
        <v>2000</v>
      </c>
      <c r="H1385" s="1">
        <v>1995</v>
      </c>
      <c r="I1385" s="1">
        <v>6983</v>
      </c>
      <c r="J1385" s="1">
        <v>3500</v>
      </c>
    </row>
    <row r="1386" spans="1:10" x14ac:dyDescent="0.3">
      <c r="A1386" t="s">
        <v>67</v>
      </c>
      <c r="B1386" t="s">
        <v>25</v>
      </c>
      <c r="C1386" t="s">
        <v>11</v>
      </c>
      <c r="D1386" t="s">
        <v>46</v>
      </c>
      <c r="E1386">
        <v>86</v>
      </c>
      <c r="F1386">
        <v>175</v>
      </c>
      <c r="G1386" s="1">
        <v>2200</v>
      </c>
      <c r="H1386" s="1">
        <v>2150</v>
      </c>
      <c r="I1386" s="1">
        <v>6020</v>
      </c>
      <c r="J1386" s="1">
        <v>2800</v>
      </c>
    </row>
    <row r="1387" spans="1:10" x14ac:dyDescent="0.3">
      <c r="A1387" t="s">
        <v>67</v>
      </c>
      <c r="B1387" t="s">
        <v>16</v>
      </c>
      <c r="C1387" t="s">
        <v>11</v>
      </c>
      <c r="D1387" t="s">
        <v>47</v>
      </c>
      <c r="E1387">
        <v>86</v>
      </c>
      <c r="F1387">
        <v>182</v>
      </c>
      <c r="G1387" s="1">
        <v>3000</v>
      </c>
      <c r="H1387" s="1">
        <v>3000</v>
      </c>
      <c r="I1387" s="1">
        <v>8700</v>
      </c>
      <c r="J1387" s="1">
        <v>2900</v>
      </c>
    </row>
    <row r="1388" spans="1:10" x14ac:dyDescent="0.3">
      <c r="A1388" t="s">
        <v>67</v>
      </c>
      <c r="B1388" t="s">
        <v>18</v>
      </c>
      <c r="C1388" t="s">
        <v>11</v>
      </c>
      <c r="D1388" t="s">
        <v>47</v>
      </c>
      <c r="E1388">
        <v>86</v>
      </c>
      <c r="F1388">
        <v>182</v>
      </c>
      <c r="G1388" s="1">
        <v>500</v>
      </c>
      <c r="H1388" s="1">
        <v>500</v>
      </c>
      <c r="I1388" s="1">
        <v>550</v>
      </c>
      <c r="J1388" s="1">
        <v>1100</v>
      </c>
    </row>
    <row r="1389" spans="1:10" x14ac:dyDescent="0.3">
      <c r="A1389" t="s">
        <v>67</v>
      </c>
      <c r="B1389" t="s">
        <v>19</v>
      </c>
      <c r="C1389" t="s">
        <v>11</v>
      </c>
      <c r="D1389" t="s">
        <v>47</v>
      </c>
      <c r="E1389">
        <v>86</v>
      </c>
      <c r="F1389">
        <v>182</v>
      </c>
      <c r="G1389" s="1">
        <v>550</v>
      </c>
      <c r="H1389" s="1">
        <v>550</v>
      </c>
      <c r="I1389" s="1">
        <v>1760</v>
      </c>
      <c r="J1389" s="1">
        <v>3200</v>
      </c>
    </row>
    <row r="1390" spans="1:10" x14ac:dyDescent="0.3">
      <c r="A1390" t="s">
        <v>67</v>
      </c>
      <c r="B1390" t="s">
        <v>20</v>
      </c>
      <c r="C1390" t="s">
        <v>11</v>
      </c>
      <c r="D1390" t="s">
        <v>47</v>
      </c>
      <c r="E1390">
        <v>86</v>
      </c>
      <c r="F1390">
        <v>182</v>
      </c>
      <c r="G1390" s="1">
        <v>800</v>
      </c>
      <c r="H1390" s="1">
        <v>620</v>
      </c>
      <c r="I1390" s="1">
        <v>1984</v>
      </c>
      <c r="J1390" s="1">
        <v>3200</v>
      </c>
    </row>
    <row r="1391" spans="1:10" x14ac:dyDescent="0.3">
      <c r="A1391" t="s">
        <v>67</v>
      </c>
      <c r="B1391" t="s">
        <v>21</v>
      </c>
      <c r="C1391" t="s">
        <v>11</v>
      </c>
      <c r="D1391" t="s">
        <v>47</v>
      </c>
      <c r="E1391">
        <v>86</v>
      </c>
      <c r="F1391">
        <v>182</v>
      </c>
      <c r="G1391" s="1">
        <v>800</v>
      </c>
      <c r="H1391" s="1">
        <v>800</v>
      </c>
      <c r="I1391" s="1">
        <v>2400</v>
      </c>
      <c r="J1391" s="1">
        <v>3000</v>
      </c>
    </row>
    <row r="1392" spans="1:10" x14ac:dyDescent="0.3">
      <c r="A1392" t="s">
        <v>67</v>
      </c>
      <c r="B1392" t="s">
        <v>22</v>
      </c>
      <c r="C1392" t="s">
        <v>11</v>
      </c>
      <c r="D1392" t="s">
        <v>47</v>
      </c>
      <c r="E1392">
        <v>86</v>
      </c>
      <c r="F1392">
        <v>182</v>
      </c>
      <c r="G1392" s="1">
        <v>800</v>
      </c>
      <c r="H1392" s="1">
        <v>800</v>
      </c>
      <c r="I1392" s="1">
        <v>2240</v>
      </c>
      <c r="J1392" s="1">
        <v>2800</v>
      </c>
    </row>
    <row r="1393" spans="1:10" x14ac:dyDescent="0.3">
      <c r="A1393" t="s">
        <v>67</v>
      </c>
      <c r="B1393" t="s">
        <v>23</v>
      </c>
      <c r="C1393" t="s">
        <v>11</v>
      </c>
      <c r="D1393" t="s">
        <v>47</v>
      </c>
      <c r="E1393">
        <v>86</v>
      </c>
      <c r="F1393">
        <v>182</v>
      </c>
      <c r="G1393" s="1">
        <v>800</v>
      </c>
      <c r="H1393" s="1">
        <v>800</v>
      </c>
      <c r="I1393" s="1">
        <v>2160</v>
      </c>
      <c r="J1393" s="1">
        <v>2700</v>
      </c>
    </row>
    <row r="1394" spans="1:10" x14ac:dyDescent="0.3">
      <c r="A1394" t="s">
        <v>67</v>
      </c>
      <c r="B1394" t="s">
        <v>24</v>
      </c>
      <c r="C1394" t="s">
        <v>11</v>
      </c>
      <c r="D1394" t="s">
        <v>47</v>
      </c>
      <c r="E1394">
        <v>86</v>
      </c>
      <c r="F1394">
        <v>182</v>
      </c>
      <c r="G1394" s="1">
        <v>900</v>
      </c>
      <c r="H1394" s="1">
        <v>830</v>
      </c>
      <c r="I1394" s="1">
        <v>2075</v>
      </c>
      <c r="J1394" s="1">
        <v>2500</v>
      </c>
    </row>
    <row r="1395" spans="1:10" x14ac:dyDescent="0.3">
      <c r="A1395" t="s">
        <v>67</v>
      </c>
      <c r="B1395" t="s">
        <v>25</v>
      </c>
      <c r="C1395" t="s">
        <v>11</v>
      </c>
      <c r="D1395" t="s">
        <v>47</v>
      </c>
      <c r="E1395">
        <v>86</v>
      </c>
      <c r="F1395">
        <v>182</v>
      </c>
      <c r="G1395" s="1">
        <v>1040</v>
      </c>
      <c r="H1395" s="1">
        <v>320</v>
      </c>
      <c r="I1395" s="1">
        <v>544</v>
      </c>
      <c r="J1395" s="1">
        <v>1700</v>
      </c>
    </row>
    <row r="1396" spans="1:10" x14ac:dyDescent="0.3">
      <c r="A1396" t="s">
        <v>67</v>
      </c>
      <c r="B1396" t="s">
        <v>15</v>
      </c>
      <c r="C1396" t="s">
        <v>11</v>
      </c>
      <c r="D1396" t="s">
        <v>48</v>
      </c>
      <c r="E1396">
        <v>86</v>
      </c>
      <c r="F1396">
        <v>189</v>
      </c>
      <c r="G1396" s="1">
        <v>2075</v>
      </c>
      <c r="H1396" s="1">
        <v>2075</v>
      </c>
      <c r="I1396" s="1">
        <v>5188</v>
      </c>
      <c r="J1396" s="1">
        <v>2500</v>
      </c>
    </row>
    <row r="1397" spans="1:10" x14ac:dyDescent="0.3">
      <c r="A1397" t="s">
        <v>67</v>
      </c>
      <c r="B1397" t="s">
        <v>17</v>
      </c>
      <c r="C1397" t="s">
        <v>11</v>
      </c>
      <c r="D1397" t="s">
        <v>48</v>
      </c>
      <c r="E1397">
        <v>86</v>
      </c>
      <c r="F1397">
        <v>189</v>
      </c>
      <c r="G1397" s="1">
        <v>1600</v>
      </c>
      <c r="H1397" s="1">
        <v>1600</v>
      </c>
      <c r="I1397" s="1">
        <v>5600</v>
      </c>
      <c r="J1397" s="1">
        <v>3500</v>
      </c>
    </row>
    <row r="1398" spans="1:10" x14ac:dyDescent="0.3">
      <c r="A1398" t="s">
        <v>67</v>
      </c>
      <c r="B1398" t="s">
        <v>18</v>
      </c>
      <c r="C1398" t="s">
        <v>11</v>
      </c>
      <c r="D1398" t="s">
        <v>48</v>
      </c>
      <c r="E1398">
        <v>86</v>
      </c>
      <c r="F1398">
        <v>189</v>
      </c>
      <c r="G1398" s="1">
        <v>1625</v>
      </c>
      <c r="H1398" s="1">
        <v>1625</v>
      </c>
      <c r="I1398" s="1">
        <v>4875</v>
      </c>
      <c r="J1398" s="1">
        <v>3000</v>
      </c>
    </row>
    <row r="1399" spans="1:10" x14ac:dyDescent="0.3">
      <c r="A1399" t="s">
        <v>67</v>
      </c>
      <c r="B1399" t="s">
        <v>19</v>
      </c>
      <c r="C1399" t="s">
        <v>11</v>
      </c>
      <c r="D1399" t="s">
        <v>48</v>
      </c>
      <c r="E1399">
        <v>86</v>
      </c>
      <c r="F1399">
        <v>189</v>
      </c>
      <c r="G1399" s="1">
        <v>4000</v>
      </c>
      <c r="H1399" s="1">
        <v>4000</v>
      </c>
      <c r="I1399" s="1">
        <v>14000</v>
      </c>
      <c r="J1399" s="1">
        <v>3500</v>
      </c>
    </row>
    <row r="1400" spans="1:10" x14ac:dyDescent="0.3">
      <c r="A1400" t="s">
        <v>67</v>
      </c>
      <c r="B1400" t="s">
        <v>20</v>
      </c>
      <c r="C1400" t="s">
        <v>11</v>
      </c>
      <c r="D1400" t="s">
        <v>48</v>
      </c>
      <c r="E1400">
        <v>86</v>
      </c>
      <c r="F1400">
        <v>189</v>
      </c>
      <c r="G1400" s="1">
        <v>2500</v>
      </c>
      <c r="H1400" s="1">
        <v>2500</v>
      </c>
      <c r="I1400" s="1">
        <v>7500</v>
      </c>
      <c r="J1400" s="1">
        <v>3000</v>
      </c>
    </row>
    <row r="1401" spans="1:10" x14ac:dyDescent="0.3">
      <c r="A1401" t="s">
        <v>67</v>
      </c>
      <c r="B1401" t="s">
        <v>21</v>
      </c>
      <c r="C1401" t="s">
        <v>11</v>
      </c>
      <c r="D1401" t="s">
        <v>48</v>
      </c>
      <c r="E1401">
        <v>86</v>
      </c>
      <c r="F1401">
        <v>189</v>
      </c>
      <c r="G1401" s="1">
        <v>2500</v>
      </c>
      <c r="H1401" s="1">
        <v>2500</v>
      </c>
      <c r="I1401" s="1">
        <v>7500</v>
      </c>
      <c r="J1401" s="1">
        <v>3000</v>
      </c>
    </row>
    <row r="1402" spans="1:10" x14ac:dyDescent="0.3">
      <c r="A1402" t="s">
        <v>67</v>
      </c>
      <c r="B1402" t="s">
        <v>22</v>
      </c>
      <c r="C1402" t="s">
        <v>11</v>
      </c>
      <c r="D1402" t="s">
        <v>48</v>
      </c>
      <c r="E1402">
        <v>86</v>
      </c>
      <c r="F1402">
        <v>189</v>
      </c>
      <c r="G1402" s="1">
        <v>2500</v>
      </c>
      <c r="H1402" s="1">
        <v>2500</v>
      </c>
      <c r="I1402" s="1">
        <v>6250</v>
      </c>
      <c r="J1402" s="1">
        <v>2500</v>
      </c>
    </row>
    <row r="1403" spans="1:10" x14ac:dyDescent="0.3">
      <c r="A1403" t="s">
        <v>67</v>
      </c>
      <c r="B1403" t="s">
        <v>23</v>
      </c>
      <c r="C1403" t="s">
        <v>11</v>
      </c>
      <c r="D1403" t="s">
        <v>48</v>
      </c>
      <c r="E1403">
        <v>86</v>
      </c>
      <c r="F1403">
        <v>189</v>
      </c>
      <c r="G1403" s="1">
        <v>2500</v>
      </c>
      <c r="H1403" s="1">
        <v>2500</v>
      </c>
      <c r="I1403" s="1">
        <v>3750</v>
      </c>
      <c r="J1403" s="1">
        <v>1500</v>
      </c>
    </row>
    <row r="1404" spans="1:10" x14ac:dyDescent="0.3">
      <c r="A1404" t="s">
        <v>67</v>
      </c>
      <c r="B1404" t="s">
        <v>24</v>
      </c>
      <c r="C1404" t="s">
        <v>11</v>
      </c>
      <c r="D1404" t="s">
        <v>48</v>
      </c>
      <c r="E1404">
        <v>86</v>
      </c>
      <c r="F1404">
        <v>189</v>
      </c>
      <c r="G1404" s="1">
        <v>2500</v>
      </c>
      <c r="H1404" s="1">
        <v>2497</v>
      </c>
      <c r="I1404" s="1">
        <v>8740</v>
      </c>
      <c r="J1404" s="1">
        <v>3500</v>
      </c>
    </row>
    <row r="1405" spans="1:10" x14ac:dyDescent="0.3">
      <c r="A1405" t="s">
        <v>67</v>
      </c>
      <c r="B1405" t="s">
        <v>25</v>
      </c>
      <c r="C1405" t="s">
        <v>11</v>
      </c>
      <c r="D1405" t="s">
        <v>48</v>
      </c>
      <c r="E1405">
        <v>86</v>
      </c>
      <c r="F1405">
        <v>189</v>
      </c>
      <c r="G1405" s="1">
        <v>2750</v>
      </c>
      <c r="H1405" s="1">
        <v>2680</v>
      </c>
      <c r="I1405" s="1">
        <v>5896</v>
      </c>
      <c r="J1405" s="1">
        <v>2200</v>
      </c>
    </row>
    <row r="1406" spans="1:10" x14ac:dyDescent="0.3">
      <c r="A1406" t="s">
        <v>68</v>
      </c>
      <c r="B1406" t="s">
        <v>16</v>
      </c>
      <c r="C1406" t="s">
        <v>11</v>
      </c>
      <c r="D1406" t="s">
        <v>12</v>
      </c>
      <c r="E1406">
        <v>86</v>
      </c>
      <c r="F1406">
        <v>7</v>
      </c>
      <c r="G1406" s="1">
        <v>2280</v>
      </c>
      <c r="H1406" s="1">
        <v>2280</v>
      </c>
      <c r="I1406" s="1">
        <v>5472</v>
      </c>
      <c r="J1406" s="1">
        <v>2400</v>
      </c>
    </row>
    <row r="1407" spans="1:10" x14ac:dyDescent="0.3">
      <c r="A1407" t="s">
        <v>68</v>
      </c>
      <c r="B1407" t="s">
        <v>17</v>
      </c>
      <c r="C1407" t="s">
        <v>11</v>
      </c>
      <c r="D1407" t="s">
        <v>12</v>
      </c>
      <c r="E1407">
        <v>86</v>
      </c>
      <c r="F1407">
        <v>7</v>
      </c>
      <c r="G1407" s="1">
        <v>9500</v>
      </c>
      <c r="H1407" s="1">
        <v>9500</v>
      </c>
      <c r="I1407" s="1">
        <v>34200</v>
      </c>
      <c r="J1407" s="1">
        <v>3600</v>
      </c>
    </row>
    <row r="1408" spans="1:10" x14ac:dyDescent="0.3">
      <c r="A1408" t="s">
        <v>68</v>
      </c>
      <c r="B1408" t="s">
        <v>18</v>
      </c>
      <c r="C1408" t="s">
        <v>11</v>
      </c>
      <c r="D1408" t="s">
        <v>12</v>
      </c>
      <c r="E1408">
        <v>86</v>
      </c>
      <c r="F1408">
        <v>7</v>
      </c>
      <c r="G1408" s="1">
        <v>9618</v>
      </c>
      <c r="H1408" s="1">
        <v>9618</v>
      </c>
      <c r="I1408" s="1">
        <v>15389</v>
      </c>
      <c r="J1408" s="1">
        <v>1600</v>
      </c>
    </row>
    <row r="1409" spans="1:10" x14ac:dyDescent="0.3">
      <c r="A1409" t="s">
        <v>68</v>
      </c>
      <c r="B1409" t="s">
        <v>19</v>
      </c>
      <c r="C1409" t="s">
        <v>11</v>
      </c>
      <c r="D1409" t="s">
        <v>12</v>
      </c>
      <c r="E1409">
        <v>86</v>
      </c>
      <c r="F1409">
        <v>7</v>
      </c>
      <c r="G1409" s="1">
        <v>5190</v>
      </c>
      <c r="H1409" s="1">
        <v>4690</v>
      </c>
      <c r="I1409" s="1">
        <v>10318</v>
      </c>
      <c r="J1409" s="1">
        <v>2200</v>
      </c>
    </row>
    <row r="1410" spans="1:10" x14ac:dyDescent="0.3">
      <c r="A1410" t="s">
        <v>68</v>
      </c>
      <c r="B1410" t="s">
        <v>20</v>
      </c>
      <c r="C1410" t="s">
        <v>11</v>
      </c>
      <c r="D1410" t="s">
        <v>12</v>
      </c>
      <c r="E1410">
        <v>86</v>
      </c>
      <c r="F1410">
        <v>7</v>
      </c>
      <c r="G1410" s="1">
        <v>14000</v>
      </c>
      <c r="H1410" s="1">
        <v>13915</v>
      </c>
      <c r="I1410" s="1">
        <v>41745</v>
      </c>
      <c r="J1410" s="1">
        <v>3000</v>
      </c>
    </row>
    <row r="1411" spans="1:10" x14ac:dyDescent="0.3">
      <c r="A1411" t="s">
        <v>68</v>
      </c>
      <c r="B1411" t="s">
        <v>21</v>
      </c>
      <c r="C1411" t="s">
        <v>11</v>
      </c>
      <c r="D1411" t="s">
        <v>12</v>
      </c>
      <c r="E1411">
        <v>86</v>
      </c>
      <c r="F1411">
        <v>7</v>
      </c>
      <c r="G1411" s="1">
        <v>14000</v>
      </c>
      <c r="H1411" s="1">
        <v>14000</v>
      </c>
      <c r="I1411" s="1">
        <v>44800</v>
      </c>
      <c r="J1411" s="1">
        <v>3200</v>
      </c>
    </row>
    <row r="1412" spans="1:10" x14ac:dyDescent="0.3">
      <c r="A1412" t="s">
        <v>68</v>
      </c>
      <c r="B1412" t="s">
        <v>22</v>
      </c>
      <c r="C1412" t="s">
        <v>11</v>
      </c>
      <c r="D1412" t="s">
        <v>12</v>
      </c>
      <c r="E1412">
        <v>86</v>
      </c>
      <c r="F1412">
        <v>7</v>
      </c>
      <c r="G1412" s="1">
        <v>14000</v>
      </c>
      <c r="H1412" s="1">
        <v>14000</v>
      </c>
      <c r="I1412" s="1">
        <v>39200</v>
      </c>
      <c r="J1412" s="1">
        <v>2800</v>
      </c>
    </row>
    <row r="1413" spans="1:10" x14ac:dyDescent="0.3">
      <c r="A1413" t="s">
        <v>68</v>
      </c>
      <c r="B1413" t="s">
        <v>23</v>
      </c>
      <c r="C1413" t="s">
        <v>11</v>
      </c>
      <c r="D1413" t="s">
        <v>12</v>
      </c>
      <c r="E1413">
        <v>86</v>
      </c>
      <c r="F1413">
        <v>7</v>
      </c>
      <c r="G1413" s="1">
        <v>10800</v>
      </c>
      <c r="H1413" s="1">
        <v>10800</v>
      </c>
      <c r="I1413" s="1">
        <v>22680</v>
      </c>
      <c r="J1413" s="1">
        <v>2100</v>
      </c>
    </row>
    <row r="1414" spans="1:10" x14ac:dyDescent="0.3">
      <c r="A1414" t="s">
        <v>68</v>
      </c>
      <c r="B1414" t="s">
        <v>24</v>
      </c>
      <c r="C1414" t="s">
        <v>11</v>
      </c>
      <c r="D1414" t="s">
        <v>12</v>
      </c>
      <c r="E1414">
        <v>86</v>
      </c>
      <c r="F1414">
        <v>7</v>
      </c>
      <c r="G1414" s="1">
        <v>11100</v>
      </c>
      <c r="H1414" s="1">
        <v>11100</v>
      </c>
      <c r="I1414" s="1">
        <v>25197</v>
      </c>
      <c r="J1414" s="1">
        <v>2270</v>
      </c>
    </row>
    <row r="1415" spans="1:10" x14ac:dyDescent="0.3">
      <c r="A1415" t="s">
        <v>68</v>
      </c>
      <c r="B1415" t="s">
        <v>25</v>
      </c>
      <c r="C1415" t="s">
        <v>11</v>
      </c>
      <c r="D1415" t="s">
        <v>12</v>
      </c>
      <c r="E1415">
        <v>86</v>
      </c>
      <c r="F1415">
        <v>7</v>
      </c>
      <c r="G1415" s="1">
        <v>12200</v>
      </c>
      <c r="H1415" s="1">
        <v>11620</v>
      </c>
      <c r="I1415" s="1">
        <v>26726</v>
      </c>
      <c r="J1415" s="1">
        <v>2300</v>
      </c>
    </row>
    <row r="1416" spans="1:10" x14ac:dyDescent="0.3">
      <c r="A1416" t="s">
        <v>68</v>
      </c>
      <c r="B1416" t="s">
        <v>15</v>
      </c>
      <c r="C1416" t="s">
        <v>11</v>
      </c>
      <c r="D1416" t="s">
        <v>26</v>
      </c>
      <c r="E1416">
        <v>86</v>
      </c>
      <c r="F1416">
        <v>14</v>
      </c>
      <c r="G1416" s="1">
        <v>7600</v>
      </c>
      <c r="H1416" s="1">
        <v>7520</v>
      </c>
      <c r="I1416" s="1">
        <v>19552</v>
      </c>
      <c r="J1416" s="1">
        <v>2600</v>
      </c>
    </row>
    <row r="1417" spans="1:10" x14ac:dyDescent="0.3">
      <c r="A1417" t="s">
        <v>68</v>
      </c>
      <c r="B1417" t="s">
        <v>16</v>
      </c>
      <c r="C1417" t="s">
        <v>11</v>
      </c>
      <c r="D1417" t="s">
        <v>26</v>
      </c>
      <c r="E1417">
        <v>86</v>
      </c>
      <c r="F1417">
        <v>14</v>
      </c>
      <c r="G1417" s="1">
        <v>12986</v>
      </c>
      <c r="H1417" s="1">
        <v>12986</v>
      </c>
      <c r="I1417" s="1">
        <v>37661</v>
      </c>
      <c r="J1417" s="1">
        <v>2900</v>
      </c>
    </row>
    <row r="1418" spans="1:10" x14ac:dyDescent="0.3">
      <c r="A1418" t="s">
        <v>68</v>
      </c>
      <c r="B1418" t="s">
        <v>17</v>
      </c>
      <c r="C1418" t="s">
        <v>11</v>
      </c>
      <c r="D1418" t="s">
        <v>26</v>
      </c>
      <c r="E1418">
        <v>86</v>
      </c>
      <c r="F1418">
        <v>14</v>
      </c>
      <c r="G1418" s="1">
        <v>8360</v>
      </c>
      <c r="H1418" s="1">
        <v>8360</v>
      </c>
      <c r="I1418" s="1">
        <v>32604</v>
      </c>
      <c r="J1418" s="1">
        <v>3900</v>
      </c>
    </row>
    <row r="1419" spans="1:10" x14ac:dyDescent="0.3">
      <c r="A1419" t="s">
        <v>68</v>
      </c>
      <c r="B1419" t="s">
        <v>18</v>
      </c>
      <c r="C1419" t="s">
        <v>11</v>
      </c>
      <c r="D1419" t="s">
        <v>26</v>
      </c>
      <c r="E1419">
        <v>86</v>
      </c>
      <c r="F1419">
        <v>14</v>
      </c>
      <c r="G1419" s="1">
        <v>19997</v>
      </c>
      <c r="H1419" s="1">
        <v>19997</v>
      </c>
      <c r="I1419" s="1">
        <v>65992</v>
      </c>
      <c r="J1419" s="1">
        <v>3300</v>
      </c>
    </row>
    <row r="1420" spans="1:10" x14ac:dyDescent="0.3">
      <c r="A1420" t="s">
        <v>68</v>
      </c>
      <c r="B1420" t="s">
        <v>19</v>
      </c>
      <c r="C1420" t="s">
        <v>11</v>
      </c>
      <c r="D1420" t="s">
        <v>26</v>
      </c>
      <c r="E1420">
        <v>86</v>
      </c>
      <c r="F1420">
        <v>14</v>
      </c>
      <c r="G1420" s="1">
        <v>34800</v>
      </c>
      <c r="H1420" s="1">
        <v>34200</v>
      </c>
      <c r="I1420" s="1">
        <v>91075</v>
      </c>
      <c r="J1420" s="1">
        <v>2663</v>
      </c>
    </row>
    <row r="1421" spans="1:10" x14ac:dyDescent="0.3">
      <c r="A1421" t="s">
        <v>68</v>
      </c>
      <c r="B1421" t="s">
        <v>20</v>
      </c>
      <c r="C1421" t="s">
        <v>11</v>
      </c>
      <c r="D1421" t="s">
        <v>26</v>
      </c>
      <c r="E1421">
        <v>86</v>
      </c>
      <c r="F1421">
        <v>14</v>
      </c>
      <c r="G1421" s="1">
        <v>44950</v>
      </c>
      <c r="H1421" s="1">
        <v>44370</v>
      </c>
      <c r="I1421" s="1">
        <v>137547</v>
      </c>
      <c r="J1421" s="1">
        <v>3100</v>
      </c>
    </row>
    <row r="1422" spans="1:10" x14ac:dyDescent="0.3">
      <c r="A1422" t="s">
        <v>68</v>
      </c>
      <c r="B1422" t="s">
        <v>21</v>
      </c>
      <c r="C1422" t="s">
        <v>11</v>
      </c>
      <c r="D1422" t="s">
        <v>26</v>
      </c>
      <c r="E1422">
        <v>86</v>
      </c>
      <c r="F1422">
        <v>14</v>
      </c>
      <c r="G1422" s="1">
        <v>27950</v>
      </c>
      <c r="H1422" s="1">
        <v>27950</v>
      </c>
      <c r="I1422" s="1">
        <v>89440</v>
      </c>
      <c r="J1422" s="1">
        <v>3200</v>
      </c>
    </row>
    <row r="1423" spans="1:10" x14ac:dyDescent="0.3">
      <c r="A1423" t="s">
        <v>68</v>
      </c>
      <c r="B1423" t="s">
        <v>22</v>
      </c>
      <c r="C1423" t="s">
        <v>11</v>
      </c>
      <c r="D1423" t="s">
        <v>26</v>
      </c>
      <c r="E1423">
        <v>86</v>
      </c>
      <c r="F1423">
        <v>14</v>
      </c>
      <c r="G1423" s="1">
        <v>25155</v>
      </c>
      <c r="H1423" s="1">
        <v>25155</v>
      </c>
      <c r="I1423" s="1">
        <v>80496</v>
      </c>
      <c r="J1423" s="1">
        <v>3200</v>
      </c>
    </row>
    <row r="1424" spans="1:10" x14ac:dyDescent="0.3">
      <c r="A1424" t="s">
        <v>68</v>
      </c>
      <c r="B1424" t="s">
        <v>23</v>
      </c>
      <c r="C1424" t="s">
        <v>11</v>
      </c>
      <c r="D1424" t="s">
        <v>26</v>
      </c>
      <c r="E1424">
        <v>86</v>
      </c>
      <c r="F1424">
        <v>14</v>
      </c>
      <c r="G1424" s="1">
        <v>18155</v>
      </c>
      <c r="H1424" s="1">
        <v>18155</v>
      </c>
      <c r="I1424" s="1">
        <v>47203</v>
      </c>
      <c r="J1424" s="1">
        <v>2600</v>
      </c>
    </row>
    <row r="1425" spans="1:10" x14ac:dyDescent="0.3">
      <c r="A1425" t="s">
        <v>68</v>
      </c>
      <c r="B1425" t="s">
        <v>24</v>
      </c>
      <c r="C1425" t="s">
        <v>11</v>
      </c>
      <c r="D1425" t="s">
        <v>26</v>
      </c>
      <c r="E1425">
        <v>86</v>
      </c>
      <c r="F1425">
        <v>14</v>
      </c>
      <c r="G1425" s="1">
        <v>12500</v>
      </c>
      <c r="H1425" s="1">
        <v>12500</v>
      </c>
      <c r="I1425" s="1">
        <v>18750</v>
      </c>
      <c r="J1425" s="1">
        <v>1500</v>
      </c>
    </row>
    <row r="1426" spans="1:10" x14ac:dyDescent="0.3">
      <c r="A1426" t="s">
        <v>68</v>
      </c>
      <c r="B1426" t="s">
        <v>25</v>
      </c>
      <c r="C1426" t="s">
        <v>11</v>
      </c>
      <c r="D1426" t="s">
        <v>26</v>
      </c>
      <c r="E1426">
        <v>86</v>
      </c>
      <c r="F1426">
        <v>14</v>
      </c>
      <c r="G1426" s="1">
        <v>13700</v>
      </c>
      <c r="H1426" s="1">
        <v>9860</v>
      </c>
      <c r="I1426" s="1">
        <v>6902</v>
      </c>
      <c r="J1426" s="1">
        <v>700</v>
      </c>
    </row>
    <row r="1427" spans="1:10" x14ac:dyDescent="0.3">
      <c r="A1427" t="s">
        <v>68</v>
      </c>
      <c r="B1427" t="s">
        <v>15</v>
      </c>
      <c r="C1427" t="s">
        <v>11</v>
      </c>
      <c r="D1427" t="s">
        <v>29</v>
      </c>
      <c r="E1427">
        <v>86</v>
      </c>
      <c r="F1427">
        <v>35</v>
      </c>
      <c r="G1427" s="1">
        <v>2375</v>
      </c>
      <c r="H1427" s="1">
        <v>2375</v>
      </c>
      <c r="I1427" s="1">
        <v>5937</v>
      </c>
      <c r="J1427" s="1">
        <v>2500</v>
      </c>
    </row>
    <row r="1428" spans="1:10" x14ac:dyDescent="0.3">
      <c r="A1428" t="s">
        <v>68</v>
      </c>
      <c r="B1428" t="s">
        <v>16</v>
      </c>
      <c r="C1428" t="s">
        <v>11</v>
      </c>
      <c r="D1428" t="s">
        <v>29</v>
      </c>
      <c r="E1428">
        <v>86</v>
      </c>
      <c r="F1428">
        <v>35</v>
      </c>
      <c r="G1428" s="1">
        <v>950</v>
      </c>
      <c r="H1428" s="1">
        <v>950</v>
      </c>
      <c r="I1428" s="1">
        <v>2090</v>
      </c>
      <c r="J1428" s="1">
        <v>2200</v>
      </c>
    </row>
    <row r="1429" spans="1:10" x14ac:dyDescent="0.3">
      <c r="A1429" t="s">
        <v>68</v>
      </c>
      <c r="B1429" t="s">
        <v>17</v>
      </c>
      <c r="C1429" t="s">
        <v>11</v>
      </c>
      <c r="D1429" t="s">
        <v>29</v>
      </c>
      <c r="E1429">
        <v>86</v>
      </c>
      <c r="F1429">
        <v>35</v>
      </c>
      <c r="G1429" s="1">
        <v>950</v>
      </c>
      <c r="H1429" s="1">
        <v>950</v>
      </c>
      <c r="I1429" s="1">
        <v>2850</v>
      </c>
      <c r="J1429" s="1">
        <v>3000</v>
      </c>
    </row>
    <row r="1430" spans="1:10" x14ac:dyDescent="0.3">
      <c r="A1430" t="s">
        <v>68</v>
      </c>
      <c r="B1430" t="s">
        <v>18</v>
      </c>
      <c r="C1430" t="s">
        <v>11</v>
      </c>
      <c r="D1430" t="s">
        <v>29</v>
      </c>
      <c r="E1430">
        <v>86</v>
      </c>
      <c r="F1430">
        <v>35</v>
      </c>
      <c r="G1430" s="1">
        <v>2375</v>
      </c>
      <c r="H1430" s="1">
        <v>2375</v>
      </c>
      <c r="I1430" s="1">
        <v>5937</v>
      </c>
      <c r="J1430" s="1">
        <v>2500</v>
      </c>
    </row>
    <row r="1431" spans="1:10" x14ac:dyDescent="0.3">
      <c r="A1431" t="s">
        <v>68</v>
      </c>
      <c r="B1431" t="s">
        <v>20</v>
      </c>
      <c r="C1431" t="s">
        <v>11</v>
      </c>
      <c r="D1431" t="s">
        <v>29</v>
      </c>
      <c r="E1431">
        <v>86</v>
      </c>
      <c r="F1431">
        <v>35</v>
      </c>
      <c r="G1431" s="1">
        <v>1000</v>
      </c>
      <c r="H1431" s="1">
        <v>1000</v>
      </c>
      <c r="I1431" s="1">
        <v>3000</v>
      </c>
      <c r="J1431" s="1">
        <v>3000</v>
      </c>
    </row>
    <row r="1432" spans="1:10" x14ac:dyDescent="0.3">
      <c r="A1432" t="s">
        <v>68</v>
      </c>
      <c r="B1432" t="s">
        <v>21</v>
      </c>
      <c r="C1432" t="s">
        <v>11</v>
      </c>
      <c r="D1432" t="s">
        <v>29</v>
      </c>
      <c r="E1432">
        <v>86</v>
      </c>
      <c r="F1432">
        <v>35</v>
      </c>
      <c r="G1432" s="1">
        <v>1000</v>
      </c>
      <c r="H1432" s="1">
        <v>1000</v>
      </c>
      <c r="I1432" s="1">
        <v>3000</v>
      </c>
      <c r="J1432" s="1">
        <v>3000</v>
      </c>
    </row>
    <row r="1433" spans="1:10" x14ac:dyDescent="0.3">
      <c r="A1433" t="s">
        <v>68</v>
      </c>
      <c r="B1433" t="s">
        <v>22</v>
      </c>
      <c r="C1433" t="s">
        <v>11</v>
      </c>
      <c r="D1433" t="s">
        <v>29</v>
      </c>
      <c r="E1433">
        <v>86</v>
      </c>
      <c r="F1433">
        <v>35</v>
      </c>
      <c r="G1433" s="1">
        <v>1000</v>
      </c>
      <c r="H1433" s="1">
        <v>1000</v>
      </c>
      <c r="I1433" s="1">
        <v>2500</v>
      </c>
      <c r="J1433" s="1">
        <v>2500</v>
      </c>
    </row>
    <row r="1434" spans="1:10" x14ac:dyDescent="0.3">
      <c r="A1434" t="s">
        <v>68</v>
      </c>
      <c r="B1434" t="s">
        <v>23</v>
      </c>
      <c r="C1434" t="s">
        <v>11</v>
      </c>
      <c r="D1434" t="s">
        <v>29</v>
      </c>
      <c r="E1434">
        <v>86</v>
      </c>
      <c r="F1434">
        <v>35</v>
      </c>
      <c r="G1434" s="1">
        <v>1000</v>
      </c>
      <c r="H1434" s="1">
        <v>1000</v>
      </c>
      <c r="I1434" s="1">
        <v>1500</v>
      </c>
      <c r="J1434" s="1">
        <v>1500</v>
      </c>
    </row>
    <row r="1435" spans="1:10" x14ac:dyDescent="0.3">
      <c r="A1435" t="s">
        <v>68</v>
      </c>
      <c r="B1435" t="s">
        <v>24</v>
      </c>
      <c r="C1435" t="s">
        <v>11</v>
      </c>
      <c r="D1435" t="s">
        <v>29</v>
      </c>
      <c r="E1435">
        <v>86</v>
      </c>
      <c r="F1435">
        <v>35</v>
      </c>
      <c r="G1435" s="1">
        <v>1000</v>
      </c>
      <c r="H1435" s="1">
        <v>1000</v>
      </c>
      <c r="I1435" s="1">
        <v>2900</v>
      </c>
      <c r="J1435" s="1">
        <v>2900</v>
      </c>
    </row>
    <row r="1436" spans="1:10" x14ac:dyDescent="0.3">
      <c r="A1436" t="s">
        <v>68</v>
      </c>
      <c r="B1436" t="s">
        <v>25</v>
      </c>
      <c r="C1436" t="s">
        <v>11</v>
      </c>
      <c r="D1436" t="s">
        <v>29</v>
      </c>
      <c r="E1436">
        <v>86</v>
      </c>
      <c r="F1436">
        <v>35</v>
      </c>
      <c r="G1436" s="1">
        <v>1200</v>
      </c>
      <c r="H1436" s="1">
        <v>1165</v>
      </c>
      <c r="I1436" s="1">
        <v>2447</v>
      </c>
      <c r="J1436" s="1">
        <v>2100</v>
      </c>
    </row>
    <row r="1437" spans="1:10" x14ac:dyDescent="0.3">
      <c r="A1437" t="s">
        <v>68</v>
      </c>
      <c r="B1437" t="s">
        <v>15</v>
      </c>
      <c r="C1437" t="s">
        <v>11</v>
      </c>
      <c r="D1437" t="s">
        <v>30</v>
      </c>
      <c r="E1437">
        <v>86</v>
      </c>
      <c r="F1437">
        <v>42</v>
      </c>
      <c r="G1437" s="1">
        <v>14250</v>
      </c>
      <c r="H1437" s="1">
        <v>10043</v>
      </c>
      <c r="I1437" s="1">
        <v>18077</v>
      </c>
      <c r="J1437" s="1">
        <v>1800</v>
      </c>
    </row>
    <row r="1438" spans="1:10" x14ac:dyDescent="0.3">
      <c r="A1438" t="s">
        <v>68</v>
      </c>
      <c r="B1438" t="s">
        <v>16</v>
      </c>
      <c r="C1438" t="s">
        <v>11</v>
      </c>
      <c r="D1438" t="s">
        <v>30</v>
      </c>
      <c r="E1438">
        <v>86</v>
      </c>
      <c r="F1438">
        <v>42</v>
      </c>
      <c r="G1438" s="1">
        <v>66196</v>
      </c>
      <c r="H1438" s="1">
        <v>60286</v>
      </c>
      <c r="I1438" s="1">
        <v>162771</v>
      </c>
      <c r="J1438" s="1">
        <v>2700</v>
      </c>
    </row>
    <row r="1439" spans="1:10" x14ac:dyDescent="0.3">
      <c r="A1439" t="s">
        <v>68</v>
      </c>
      <c r="B1439" t="s">
        <v>17</v>
      </c>
      <c r="C1439" t="s">
        <v>11</v>
      </c>
      <c r="D1439" t="s">
        <v>30</v>
      </c>
      <c r="E1439">
        <v>86</v>
      </c>
      <c r="F1439">
        <v>42</v>
      </c>
      <c r="G1439" s="1">
        <v>73530</v>
      </c>
      <c r="H1439" s="1">
        <v>72224</v>
      </c>
      <c r="I1439" s="1">
        <v>267227</v>
      </c>
      <c r="J1439" s="1">
        <v>3700</v>
      </c>
    </row>
    <row r="1440" spans="1:10" x14ac:dyDescent="0.3">
      <c r="A1440" t="s">
        <v>68</v>
      </c>
      <c r="B1440" t="s">
        <v>18</v>
      </c>
      <c r="C1440" t="s">
        <v>11</v>
      </c>
      <c r="D1440" t="s">
        <v>30</v>
      </c>
      <c r="E1440">
        <v>86</v>
      </c>
      <c r="F1440">
        <v>42</v>
      </c>
      <c r="G1440" s="1">
        <v>92701</v>
      </c>
      <c r="H1440" s="1">
        <v>92701</v>
      </c>
      <c r="I1440" s="1">
        <v>222482</v>
      </c>
      <c r="J1440" s="1">
        <v>2400</v>
      </c>
    </row>
    <row r="1441" spans="1:10" x14ac:dyDescent="0.3">
      <c r="A1441" t="s">
        <v>68</v>
      </c>
      <c r="B1441" t="s">
        <v>19</v>
      </c>
      <c r="C1441" t="s">
        <v>11</v>
      </c>
      <c r="D1441" t="s">
        <v>30</v>
      </c>
      <c r="E1441">
        <v>86</v>
      </c>
      <c r="F1441">
        <v>42</v>
      </c>
      <c r="G1441" s="1">
        <v>34800</v>
      </c>
      <c r="H1441" s="1">
        <v>30200</v>
      </c>
      <c r="I1441" s="1">
        <v>84560</v>
      </c>
      <c r="J1441" s="1">
        <v>2800</v>
      </c>
    </row>
    <row r="1442" spans="1:10" x14ac:dyDescent="0.3">
      <c r="A1442" t="s">
        <v>68</v>
      </c>
      <c r="B1442" t="s">
        <v>20</v>
      </c>
      <c r="C1442" t="s">
        <v>11</v>
      </c>
      <c r="D1442" t="s">
        <v>30</v>
      </c>
      <c r="E1442">
        <v>86</v>
      </c>
      <c r="F1442">
        <v>42</v>
      </c>
      <c r="G1442" s="1">
        <v>68500</v>
      </c>
      <c r="H1442" s="1">
        <v>68130</v>
      </c>
      <c r="I1442" s="1">
        <v>218016</v>
      </c>
      <c r="J1442" s="1">
        <v>3200</v>
      </c>
    </row>
    <row r="1443" spans="1:10" x14ac:dyDescent="0.3">
      <c r="A1443" t="s">
        <v>68</v>
      </c>
      <c r="B1443" t="s">
        <v>21</v>
      </c>
      <c r="C1443" t="s">
        <v>11</v>
      </c>
      <c r="D1443" t="s">
        <v>30</v>
      </c>
      <c r="E1443">
        <v>86</v>
      </c>
      <c r="F1443">
        <v>42</v>
      </c>
      <c r="G1443" s="1">
        <v>68500</v>
      </c>
      <c r="H1443" s="1">
        <v>68500</v>
      </c>
      <c r="I1443" s="1">
        <v>219200</v>
      </c>
      <c r="J1443" s="1">
        <v>3200</v>
      </c>
    </row>
    <row r="1444" spans="1:10" x14ac:dyDescent="0.3">
      <c r="A1444" t="s">
        <v>68</v>
      </c>
      <c r="B1444" t="s">
        <v>22</v>
      </c>
      <c r="C1444" t="s">
        <v>11</v>
      </c>
      <c r="D1444" t="s">
        <v>30</v>
      </c>
      <c r="E1444">
        <v>86</v>
      </c>
      <c r="F1444">
        <v>42</v>
      </c>
      <c r="G1444" s="1">
        <v>65075</v>
      </c>
      <c r="H1444" s="1">
        <v>65075</v>
      </c>
      <c r="I1444" s="1">
        <v>208240</v>
      </c>
      <c r="J1444" s="1">
        <v>3200</v>
      </c>
    </row>
    <row r="1445" spans="1:10" x14ac:dyDescent="0.3">
      <c r="A1445" t="s">
        <v>68</v>
      </c>
      <c r="B1445" t="s">
        <v>23</v>
      </c>
      <c r="C1445" t="s">
        <v>11</v>
      </c>
      <c r="D1445" t="s">
        <v>30</v>
      </c>
      <c r="E1445">
        <v>86</v>
      </c>
      <c r="F1445">
        <v>42</v>
      </c>
      <c r="G1445" s="1">
        <v>35850</v>
      </c>
      <c r="H1445" s="1">
        <v>35850</v>
      </c>
      <c r="I1445" s="1">
        <v>93210</v>
      </c>
      <c r="J1445" s="1">
        <v>2600</v>
      </c>
    </row>
    <row r="1446" spans="1:10" x14ac:dyDescent="0.3">
      <c r="A1446" t="s">
        <v>68</v>
      </c>
      <c r="B1446" t="s">
        <v>24</v>
      </c>
      <c r="C1446" t="s">
        <v>11</v>
      </c>
      <c r="D1446" t="s">
        <v>30</v>
      </c>
      <c r="E1446">
        <v>86</v>
      </c>
      <c r="F1446">
        <v>42</v>
      </c>
      <c r="G1446" s="1">
        <v>48000</v>
      </c>
      <c r="H1446" s="1">
        <v>48000</v>
      </c>
      <c r="I1446" s="1">
        <v>137280</v>
      </c>
      <c r="J1446" s="1">
        <v>2860</v>
      </c>
    </row>
    <row r="1447" spans="1:10" x14ac:dyDescent="0.3">
      <c r="A1447" t="s">
        <v>68</v>
      </c>
      <c r="B1447" t="s">
        <v>25</v>
      </c>
      <c r="C1447" t="s">
        <v>11</v>
      </c>
      <c r="D1447" t="s">
        <v>30</v>
      </c>
      <c r="E1447">
        <v>86</v>
      </c>
      <c r="F1447">
        <v>42</v>
      </c>
      <c r="G1447" s="1">
        <v>52300</v>
      </c>
      <c r="H1447" s="1">
        <v>48380</v>
      </c>
      <c r="I1447" s="1">
        <v>149978</v>
      </c>
      <c r="J1447" s="1">
        <v>3100</v>
      </c>
    </row>
    <row r="1448" spans="1:10" x14ac:dyDescent="0.3">
      <c r="A1448" t="s">
        <v>68</v>
      </c>
      <c r="B1448" t="s">
        <v>15</v>
      </c>
      <c r="C1448" t="s">
        <v>11</v>
      </c>
      <c r="D1448" t="s">
        <v>31</v>
      </c>
      <c r="E1448">
        <v>86</v>
      </c>
      <c r="F1448">
        <v>49</v>
      </c>
      <c r="G1448" s="1">
        <v>2375</v>
      </c>
      <c r="H1448" s="1">
        <v>2375</v>
      </c>
      <c r="I1448" s="1">
        <v>5937</v>
      </c>
      <c r="J1448" s="1">
        <v>2500</v>
      </c>
    </row>
    <row r="1449" spans="1:10" x14ac:dyDescent="0.3">
      <c r="A1449" t="s">
        <v>68</v>
      </c>
      <c r="B1449" t="s">
        <v>16</v>
      </c>
      <c r="C1449" t="s">
        <v>11</v>
      </c>
      <c r="D1449" t="s">
        <v>31</v>
      </c>
      <c r="E1449">
        <v>86</v>
      </c>
      <c r="F1449">
        <v>49</v>
      </c>
      <c r="G1449" s="1">
        <v>1235</v>
      </c>
      <c r="H1449" s="1">
        <v>1235</v>
      </c>
      <c r="I1449" s="1">
        <v>3334</v>
      </c>
      <c r="J1449" s="1">
        <v>2700</v>
      </c>
    </row>
    <row r="1450" spans="1:10" x14ac:dyDescent="0.3">
      <c r="A1450" t="s">
        <v>68</v>
      </c>
      <c r="B1450" t="s">
        <v>17</v>
      </c>
      <c r="C1450" t="s">
        <v>11</v>
      </c>
      <c r="D1450" t="s">
        <v>31</v>
      </c>
      <c r="E1450">
        <v>86</v>
      </c>
      <c r="F1450">
        <v>49</v>
      </c>
      <c r="G1450" s="1">
        <v>950</v>
      </c>
      <c r="H1450" s="1">
        <v>950</v>
      </c>
      <c r="I1450" s="1">
        <v>3325</v>
      </c>
      <c r="J1450" s="1">
        <v>3500</v>
      </c>
    </row>
    <row r="1451" spans="1:10" x14ac:dyDescent="0.3">
      <c r="A1451" t="s">
        <v>68</v>
      </c>
      <c r="B1451" t="s">
        <v>18</v>
      </c>
      <c r="C1451" t="s">
        <v>11</v>
      </c>
      <c r="D1451" t="s">
        <v>31</v>
      </c>
      <c r="E1451">
        <v>86</v>
      </c>
      <c r="F1451">
        <v>49</v>
      </c>
      <c r="G1451" s="1">
        <v>1900</v>
      </c>
      <c r="H1451" s="1">
        <v>1900</v>
      </c>
      <c r="I1451" s="1">
        <v>5320</v>
      </c>
      <c r="J1451" s="1">
        <v>2800</v>
      </c>
    </row>
    <row r="1452" spans="1:10" x14ac:dyDescent="0.3">
      <c r="A1452" t="s">
        <v>68</v>
      </c>
      <c r="B1452" t="s">
        <v>20</v>
      </c>
      <c r="C1452" t="s">
        <v>11</v>
      </c>
      <c r="D1452" t="s">
        <v>31</v>
      </c>
      <c r="E1452">
        <v>86</v>
      </c>
      <c r="F1452">
        <v>49</v>
      </c>
      <c r="G1452" s="1">
        <v>1000</v>
      </c>
      <c r="H1452" s="1">
        <v>1000</v>
      </c>
      <c r="I1452" s="1">
        <v>3000</v>
      </c>
      <c r="J1452" s="1">
        <v>3000</v>
      </c>
    </row>
    <row r="1453" spans="1:10" x14ac:dyDescent="0.3">
      <c r="A1453" t="s">
        <v>68</v>
      </c>
      <c r="B1453" t="s">
        <v>21</v>
      </c>
      <c r="C1453" t="s">
        <v>11</v>
      </c>
      <c r="D1453" t="s">
        <v>31</v>
      </c>
      <c r="E1453">
        <v>86</v>
      </c>
      <c r="F1453">
        <v>49</v>
      </c>
      <c r="G1453" s="1">
        <v>1000</v>
      </c>
      <c r="H1453" s="1">
        <v>1000</v>
      </c>
      <c r="I1453" s="1">
        <v>3000</v>
      </c>
      <c r="J1453" s="1">
        <v>3000</v>
      </c>
    </row>
    <row r="1454" spans="1:10" x14ac:dyDescent="0.3">
      <c r="A1454" t="s">
        <v>68</v>
      </c>
      <c r="B1454" t="s">
        <v>22</v>
      </c>
      <c r="C1454" t="s">
        <v>11</v>
      </c>
      <c r="D1454" t="s">
        <v>31</v>
      </c>
      <c r="E1454">
        <v>86</v>
      </c>
      <c r="F1454">
        <v>49</v>
      </c>
      <c r="G1454" s="1">
        <v>1000</v>
      </c>
      <c r="H1454" s="1">
        <v>1000</v>
      </c>
      <c r="I1454" s="1">
        <v>2500</v>
      </c>
      <c r="J1454" s="1">
        <v>2500</v>
      </c>
    </row>
    <row r="1455" spans="1:10" x14ac:dyDescent="0.3">
      <c r="A1455" t="s">
        <v>68</v>
      </c>
      <c r="B1455" t="s">
        <v>23</v>
      </c>
      <c r="C1455" t="s">
        <v>11</v>
      </c>
      <c r="D1455" t="s">
        <v>31</v>
      </c>
      <c r="E1455">
        <v>86</v>
      </c>
      <c r="F1455">
        <v>49</v>
      </c>
      <c r="G1455" s="1">
        <v>1000</v>
      </c>
      <c r="H1455" s="1">
        <v>1000</v>
      </c>
      <c r="I1455" s="1">
        <v>1500</v>
      </c>
      <c r="J1455" s="1">
        <v>1500</v>
      </c>
    </row>
    <row r="1456" spans="1:10" x14ac:dyDescent="0.3">
      <c r="A1456" t="s">
        <v>68</v>
      </c>
      <c r="B1456" t="s">
        <v>24</v>
      </c>
      <c r="C1456" t="s">
        <v>11</v>
      </c>
      <c r="D1456" t="s">
        <v>31</v>
      </c>
      <c r="E1456">
        <v>86</v>
      </c>
      <c r="F1456">
        <v>49</v>
      </c>
      <c r="G1456" s="1">
        <v>1000</v>
      </c>
      <c r="H1456" s="1">
        <v>1000</v>
      </c>
      <c r="I1456" s="1">
        <v>3000</v>
      </c>
      <c r="J1456" s="1">
        <v>3000</v>
      </c>
    </row>
    <row r="1457" spans="1:10" x14ac:dyDescent="0.3">
      <c r="A1457" t="s">
        <v>68</v>
      </c>
      <c r="B1457" t="s">
        <v>25</v>
      </c>
      <c r="C1457" t="s">
        <v>11</v>
      </c>
      <c r="D1457" t="s">
        <v>31</v>
      </c>
      <c r="E1457">
        <v>86</v>
      </c>
      <c r="F1457">
        <v>49</v>
      </c>
      <c r="G1457" s="1">
        <v>1200</v>
      </c>
      <c r="H1457" s="1">
        <v>1130</v>
      </c>
      <c r="I1457" s="1">
        <v>2825</v>
      </c>
      <c r="J1457" s="1">
        <v>2500</v>
      </c>
    </row>
    <row r="1458" spans="1:10" x14ac:dyDescent="0.3">
      <c r="A1458" t="s">
        <v>68</v>
      </c>
      <c r="B1458" t="s">
        <v>22</v>
      </c>
      <c r="C1458" t="s">
        <v>11</v>
      </c>
      <c r="D1458" t="s">
        <v>32</v>
      </c>
      <c r="E1458">
        <v>86</v>
      </c>
      <c r="F1458">
        <v>63</v>
      </c>
      <c r="G1458" s="1">
        <v>1000</v>
      </c>
      <c r="H1458" s="1">
        <v>1000</v>
      </c>
      <c r="I1458" s="1">
        <v>2500</v>
      </c>
      <c r="J1458" s="1">
        <v>2500</v>
      </c>
    </row>
    <row r="1459" spans="1:10" x14ac:dyDescent="0.3">
      <c r="A1459" t="s">
        <v>68</v>
      </c>
      <c r="B1459" t="s">
        <v>23</v>
      </c>
      <c r="C1459" t="s">
        <v>11</v>
      </c>
      <c r="D1459" t="s">
        <v>32</v>
      </c>
      <c r="E1459">
        <v>86</v>
      </c>
      <c r="F1459">
        <v>63</v>
      </c>
      <c r="G1459" s="1">
        <v>1000</v>
      </c>
      <c r="H1459" s="1">
        <v>1000</v>
      </c>
      <c r="I1459" s="1">
        <v>1500</v>
      </c>
      <c r="J1459" s="1">
        <v>1500</v>
      </c>
    </row>
    <row r="1460" spans="1:10" x14ac:dyDescent="0.3">
      <c r="A1460" t="s">
        <v>68</v>
      </c>
      <c r="B1460" t="s">
        <v>24</v>
      </c>
      <c r="C1460" t="s">
        <v>11</v>
      </c>
      <c r="D1460" t="s">
        <v>32</v>
      </c>
      <c r="E1460">
        <v>86</v>
      </c>
      <c r="F1460">
        <v>63</v>
      </c>
      <c r="G1460" s="1">
        <v>1000</v>
      </c>
      <c r="H1460" s="1">
        <v>1000</v>
      </c>
      <c r="I1460" s="1">
        <v>3100</v>
      </c>
      <c r="J1460" s="1">
        <v>3100</v>
      </c>
    </row>
    <row r="1461" spans="1:10" x14ac:dyDescent="0.3">
      <c r="A1461" t="s">
        <v>68</v>
      </c>
      <c r="B1461" t="s">
        <v>25</v>
      </c>
      <c r="C1461" t="s">
        <v>11</v>
      </c>
      <c r="D1461" t="s">
        <v>32</v>
      </c>
      <c r="E1461">
        <v>86</v>
      </c>
      <c r="F1461">
        <v>63</v>
      </c>
      <c r="G1461" s="1">
        <v>1200</v>
      </c>
      <c r="H1461" s="1">
        <v>1150</v>
      </c>
      <c r="I1461" s="1">
        <v>2875</v>
      </c>
      <c r="J1461" s="1">
        <v>2500</v>
      </c>
    </row>
    <row r="1462" spans="1:10" x14ac:dyDescent="0.3">
      <c r="A1462" t="s">
        <v>68</v>
      </c>
      <c r="B1462" t="s">
        <v>19</v>
      </c>
      <c r="C1462" t="s">
        <v>11</v>
      </c>
      <c r="D1462" t="s">
        <v>33</v>
      </c>
      <c r="E1462">
        <v>86</v>
      </c>
      <c r="F1462">
        <v>56</v>
      </c>
      <c r="G1462" s="1">
        <v>1800</v>
      </c>
      <c r="H1462" s="1">
        <v>1800</v>
      </c>
      <c r="I1462" s="1">
        <v>4860</v>
      </c>
      <c r="J1462" s="1">
        <v>2700</v>
      </c>
    </row>
    <row r="1463" spans="1:10" x14ac:dyDescent="0.3">
      <c r="A1463" t="s">
        <v>68</v>
      </c>
      <c r="B1463" t="s">
        <v>20</v>
      </c>
      <c r="C1463" t="s">
        <v>11</v>
      </c>
      <c r="D1463" t="s">
        <v>33</v>
      </c>
      <c r="E1463">
        <v>86</v>
      </c>
      <c r="F1463">
        <v>56</v>
      </c>
      <c r="G1463" s="1">
        <v>1220</v>
      </c>
      <c r="H1463" s="1">
        <v>1140</v>
      </c>
      <c r="I1463" s="1">
        <v>3420</v>
      </c>
      <c r="J1463" s="1">
        <v>3000</v>
      </c>
    </row>
    <row r="1464" spans="1:10" x14ac:dyDescent="0.3">
      <c r="A1464" t="s">
        <v>68</v>
      </c>
      <c r="B1464" t="s">
        <v>21</v>
      </c>
      <c r="C1464" t="s">
        <v>11</v>
      </c>
      <c r="D1464" t="s">
        <v>33</v>
      </c>
      <c r="E1464">
        <v>86</v>
      </c>
      <c r="F1464">
        <v>56</v>
      </c>
      <c r="G1464" s="1">
        <v>700</v>
      </c>
      <c r="H1464" s="1">
        <v>700</v>
      </c>
      <c r="I1464" s="1">
        <v>2100</v>
      </c>
      <c r="J1464" s="1">
        <v>3000</v>
      </c>
    </row>
    <row r="1465" spans="1:10" x14ac:dyDescent="0.3">
      <c r="A1465" t="s">
        <v>68</v>
      </c>
      <c r="B1465" t="s">
        <v>22</v>
      </c>
      <c r="C1465" t="s">
        <v>11</v>
      </c>
      <c r="D1465" t="s">
        <v>33</v>
      </c>
      <c r="E1465">
        <v>86</v>
      </c>
      <c r="F1465">
        <v>56</v>
      </c>
      <c r="G1465" s="1">
        <v>700</v>
      </c>
      <c r="H1465" s="1">
        <v>700</v>
      </c>
      <c r="I1465" s="1">
        <v>2030</v>
      </c>
      <c r="J1465" s="1">
        <v>2900</v>
      </c>
    </row>
    <row r="1466" spans="1:10" x14ac:dyDescent="0.3">
      <c r="A1466" t="s">
        <v>68</v>
      </c>
      <c r="B1466" t="s">
        <v>23</v>
      </c>
      <c r="C1466" t="s">
        <v>11</v>
      </c>
      <c r="D1466" t="s">
        <v>33</v>
      </c>
      <c r="E1466">
        <v>86</v>
      </c>
      <c r="F1466">
        <v>56</v>
      </c>
      <c r="G1466" s="1">
        <v>700</v>
      </c>
      <c r="H1466" s="1">
        <v>700</v>
      </c>
      <c r="I1466" s="1">
        <v>1680</v>
      </c>
      <c r="J1466" s="1">
        <v>2400</v>
      </c>
    </row>
    <row r="1467" spans="1:10" x14ac:dyDescent="0.3">
      <c r="A1467" t="s">
        <v>68</v>
      </c>
      <c r="B1467" t="s">
        <v>24</v>
      </c>
      <c r="C1467" t="s">
        <v>11</v>
      </c>
      <c r="D1467" t="s">
        <v>33</v>
      </c>
      <c r="E1467">
        <v>86</v>
      </c>
      <c r="F1467">
        <v>56</v>
      </c>
      <c r="G1467" s="1">
        <v>1100</v>
      </c>
      <c r="H1467" s="1">
        <v>1100</v>
      </c>
      <c r="I1467" s="1">
        <v>2222</v>
      </c>
      <c r="J1467" s="1">
        <v>2020</v>
      </c>
    </row>
    <row r="1468" spans="1:10" x14ac:dyDescent="0.3">
      <c r="A1468" t="s">
        <v>68</v>
      </c>
      <c r="B1468" t="s">
        <v>25</v>
      </c>
      <c r="C1468" t="s">
        <v>11</v>
      </c>
      <c r="D1468" t="s">
        <v>33</v>
      </c>
      <c r="E1468">
        <v>86</v>
      </c>
      <c r="F1468">
        <v>56</v>
      </c>
      <c r="G1468" s="1">
        <v>1300</v>
      </c>
      <c r="H1468" s="1">
        <v>1020</v>
      </c>
      <c r="I1468" s="1">
        <v>1020</v>
      </c>
      <c r="J1468" s="1">
        <v>1000</v>
      </c>
    </row>
    <row r="1469" spans="1:10" x14ac:dyDescent="0.3">
      <c r="A1469" t="s">
        <v>68</v>
      </c>
      <c r="B1469" t="s">
        <v>15</v>
      </c>
      <c r="C1469" t="s">
        <v>11</v>
      </c>
      <c r="D1469" t="s">
        <v>34</v>
      </c>
      <c r="E1469">
        <v>86</v>
      </c>
      <c r="F1469">
        <v>70</v>
      </c>
      <c r="G1469" s="1">
        <v>475</v>
      </c>
      <c r="H1469" s="1">
        <v>475</v>
      </c>
      <c r="I1469" s="1">
        <v>855</v>
      </c>
      <c r="J1469" s="1">
        <v>1800</v>
      </c>
    </row>
    <row r="1470" spans="1:10" x14ac:dyDescent="0.3">
      <c r="A1470" t="s">
        <v>68</v>
      </c>
      <c r="B1470" t="s">
        <v>21</v>
      </c>
      <c r="C1470" t="s">
        <v>11</v>
      </c>
      <c r="D1470" t="s">
        <v>34</v>
      </c>
      <c r="E1470">
        <v>86</v>
      </c>
      <c r="F1470">
        <v>70</v>
      </c>
      <c r="G1470" s="1">
        <v>500</v>
      </c>
      <c r="H1470" s="1">
        <v>500</v>
      </c>
      <c r="I1470" s="1">
        <v>1500</v>
      </c>
      <c r="J1470" s="1">
        <v>3000</v>
      </c>
    </row>
    <row r="1471" spans="1:10" x14ac:dyDescent="0.3">
      <c r="A1471" t="s">
        <v>68</v>
      </c>
      <c r="B1471" t="s">
        <v>22</v>
      </c>
      <c r="C1471" t="s">
        <v>11</v>
      </c>
      <c r="D1471" t="s">
        <v>34</v>
      </c>
      <c r="E1471">
        <v>86</v>
      </c>
      <c r="F1471">
        <v>70</v>
      </c>
      <c r="G1471" s="1">
        <v>2500</v>
      </c>
      <c r="H1471" s="1">
        <v>2500</v>
      </c>
      <c r="I1471" s="1">
        <v>6250</v>
      </c>
      <c r="J1471" s="1">
        <v>2500</v>
      </c>
    </row>
    <row r="1472" spans="1:10" x14ac:dyDescent="0.3">
      <c r="A1472" t="s">
        <v>68</v>
      </c>
      <c r="B1472" t="s">
        <v>23</v>
      </c>
      <c r="C1472" t="s">
        <v>11</v>
      </c>
      <c r="D1472" t="s">
        <v>34</v>
      </c>
      <c r="E1472">
        <v>86</v>
      </c>
      <c r="F1472">
        <v>70</v>
      </c>
      <c r="G1472" s="1">
        <v>2500</v>
      </c>
      <c r="H1472" s="1">
        <v>2500</v>
      </c>
      <c r="I1472" s="1">
        <v>3750</v>
      </c>
      <c r="J1472" s="1">
        <v>1500</v>
      </c>
    </row>
    <row r="1473" spans="1:10" x14ac:dyDescent="0.3">
      <c r="A1473" t="s">
        <v>68</v>
      </c>
      <c r="B1473" t="s">
        <v>24</v>
      </c>
      <c r="C1473" t="s">
        <v>11</v>
      </c>
      <c r="D1473" t="s">
        <v>34</v>
      </c>
      <c r="E1473">
        <v>86</v>
      </c>
      <c r="F1473">
        <v>70</v>
      </c>
      <c r="G1473" s="1">
        <v>2500</v>
      </c>
      <c r="H1473" s="1">
        <v>2490</v>
      </c>
      <c r="I1473" s="1">
        <v>7470</v>
      </c>
      <c r="J1473" s="1">
        <v>3000</v>
      </c>
    </row>
    <row r="1474" spans="1:10" x14ac:dyDescent="0.3">
      <c r="A1474" t="s">
        <v>68</v>
      </c>
      <c r="B1474" t="s">
        <v>25</v>
      </c>
      <c r="C1474" t="s">
        <v>11</v>
      </c>
      <c r="D1474" t="s">
        <v>34</v>
      </c>
      <c r="E1474">
        <v>86</v>
      </c>
      <c r="F1474">
        <v>70</v>
      </c>
      <c r="G1474" s="1">
        <v>2750</v>
      </c>
      <c r="H1474" s="1">
        <v>2672</v>
      </c>
      <c r="I1474" s="1">
        <v>6146</v>
      </c>
      <c r="J1474" s="1">
        <v>2300</v>
      </c>
    </row>
    <row r="1475" spans="1:10" x14ac:dyDescent="0.3">
      <c r="A1475" t="s">
        <v>68</v>
      </c>
      <c r="B1475" t="s">
        <v>15</v>
      </c>
      <c r="C1475" t="s">
        <v>11</v>
      </c>
      <c r="D1475" t="s">
        <v>35</v>
      </c>
      <c r="E1475">
        <v>86</v>
      </c>
      <c r="F1475">
        <v>77</v>
      </c>
      <c r="G1475" s="1">
        <v>18050</v>
      </c>
      <c r="H1475" s="1">
        <v>12913</v>
      </c>
      <c r="I1475" s="1">
        <v>29699</v>
      </c>
      <c r="J1475" s="1">
        <v>2300</v>
      </c>
    </row>
    <row r="1476" spans="1:10" x14ac:dyDescent="0.3">
      <c r="A1476" t="s">
        <v>68</v>
      </c>
      <c r="B1476" t="s">
        <v>16</v>
      </c>
      <c r="C1476" t="s">
        <v>11</v>
      </c>
      <c r="D1476" t="s">
        <v>35</v>
      </c>
      <c r="E1476">
        <v>86</v>
      </c>
      <c r="F1476">
        <v>77</v>
      </c>
      <c r="G1476" s="1">
        <v>83951</v>
      </c>
      <c r="H1476" s="1">
        <v>75556</v>
      </c>
      <c r="I1476" s="1">
        <v>204002</v>
      </c>
      <c r="J1476" s="1">
        <v>2700</v>
      </c>
    </row>
    <row r="1477" spans="1:10" x14ac:dyDescent="0.3">
      <c r="A1477" t="s">
        <v>68</v>
      </c>
      <c r="B1477" t="s">
        <v>17</v>
      </c>
      <c r="C1477" t="s">
        <v>11</v>
      </c>
      <c r="D1477" t="s">
        <v>35</v>
      </c>
      <c r="E1477">
        <v>86</v>
      </c>
      <c r="F1477">
        <v>77</v>
      </c>
      <c r="G1477" s="1">
        <v>80750</v>
      </c>
      <c r="H1477" s="1">
        <v>79388</v>
      </c>
      <c r="I1477" s="1">
        <v>309614</v>
      </c>
      <c r="J1477" s="1">
        <v>3900</v>
      </c>
    </row>
    <row r="1478" spans="1:10" x14ac:dyDescent="0.3">
      <c r="A1478" t="s">
        <v>68</v>
      </c>
      <c r="B1478" t="s">
        <v>18</v>
      </c>
      <c r="C1478" t="s">
        <v>11</v>
      </c>
      <c r="D1478" t="s">
        <v>35</v>
      </c>
      <c r="E1478">
        <v>86</v>
      </c>
      <c r="F1478">
        <v>77</v>
      </c>
      <c r="G1478" s="1">
        <v>159068</v>
      </c>
      <c r="H1478" s="1">
        <v>159068</v>
      </c>
      <c r="I1478" s="1">
        <v>429484</v>
      </c>
      <c r="J1478" s="1">
        <v>2700</v>
      </c>
    </row>
    <row r="1479" spans="1:10" x14ac:dyDescent="0.3">
      <c r="A1479" t="s">
        <v>68</v>
      </c>
      <c r="B1479" t="s">
        <v>19</v>
      </c>
      <c r="C1479" t="s">
        <v>11</v>
      </c>
      <c r="D1479" t="s">
        <v>35</v>
      </c>
      <c r="E1479">
        <v>86</v>
      </c>
      <c r="F1479">
        <v>77</v>
      </c>
      <c r="G1479" s="1">
        <v>61000</v>
      </c>
      <c r="H1479" s="1">
        <v>57800</v>
      </c>
      <c r="I1479" s="1">
        <v>158950</v>
      </c>
      <c r="J1479" s="1">
        <v>2750</v>
      </c>
    </row>
    <row r="1480" spans="1:10" x14ac:dyDescent="0.3">
      <c r="A1480" t="s">
        <v>68</v>
      </c>
      <c r="B1480" t="s">
        <v>20</v>
      </c>
      <c r="C1480" t="s">
        <v>11</v>
      </c>
      <c r="D1480" t="s">
        <v>35</v>
      </c>
      <c r="E1480">
        <v>86</v>
      </c>
      <c r="F1480">
        <v>77</v>
      </c>
      <c r="G1480" s="1">
        <v>128210</v>
      </c>
      <c r="H1480" s="1">
        <v>127920</v>
      </c>
      <c r="I1480" s="1">
        <v>409344</v>
      </c>
      <c r="J1480" s="1">
        <v>3200</v>
      </c>
    </row>
    <row r="1481" spans="1:10" x14ac:dyDescent="0.3">
      <c r="A1481" t="s">
        <v>68</v>
      </c>
      <c r="B1481" t="s">
        <v>21</v>
      </c>
      <c r="C1481" t="s">
        <v>11</v>
      </c>
      <c r="D1481" t="s">
        <v>35</v>
      </c>
      <c r="E1481">
        <v>86</v>
      </c>
      <c r="F1481">
        <v>77</v>
      </c>
      <c r="G1481" s="1">
        <v>128000</v>
      </c>
      <c r="H1481" s="1">
        <v>128000</v>
      </c>
      <c r="I1481" s="1">
        <v>435200</v>
      </c>
      <c r="J1481" s="1">
        <v>3400</v>
      </c>
    </row>
    <row r="1482" spans="1:10" x14ac:dyDescent="0.3">
      <c r="A1482" t="s">
        <v>68</v>
      </c>
      <c r="B1482" t="s">
        <v>22</v>
      </c>
      <c r="C1482" t="s">
        <v>11</v>
      </c>
      <c r="D1482" t="s">
        <v>35</v>
      </c>
      <c r="E1482">
        <v>86</v>
      </c>
      <c r="F1482">
        <v>77</v>
      </c>
      <c r="G1482" s="1">
        <v>128000</v>
      </c>
      <c r="H1482" s="1">
        <v>128000</v>
      </c>
      <c r="I1482" s="1">
        <v>409600</v>
      </c>
      <c r="J1482" s="1">
        <v>3200</v>
      </c>
    </row>
    <row r="1483" spans="1:10" x14ac:dyDescent="0.3">
      <c r="A1483" t="s">
        <v>68</v>
      </c>
      <c r="B1483" t="s">
        <v>23</v>
      </c>
      <c r="C1483" t="s">
        <v>11</v>
      </c>
      <c r="D1483" t="s">
        <v>35</v>
      </c>
      <c r="E1483">
        <v>86</v>
      </c>
      <c r="F1483">
        <v>77</v>
      </c>
      <c r="G1483" s="1">
        <v>73500</v>
      </c>
      <c r="H1483" s="1">
        <v>73500</v>
      </c>
      <c r="I1483" s="1">
        <v>183750</v>
      </c>
      <c r="J1483" s="1">
        <v>2500</v>
      </c>
    </row>
    <row r="1484" spans="1:10" x14ac:dyDescent="0.3">
      <c r="A1484" t="s">
        <v>68</v>
      </c>
      <c r="B1484" t="s">
        <v>24</v>
      </c>
      <c r="C1484" t="s">
        <v>11</v>
      </c>
      <c r="D1484" t="s">
        <v>35</v>
      </c>
      <c r="E1484">
        <v>86</v>
      </c>
      <c r="F1484">
        <v>77</v>
      </c>
      <c r="G1484" s="1">
        <v>86400</v>
      </c>
      <c r="H1484" s="1">
        <v>86400</v>
      </c>
      <c r="I1484" s="1">
        <v>241920</v>
      </c>
      <c r="J1484" s="1">
        <v>2800</v>
      </c>
    </row>
    <row r="1485" spans="1:10" x14ac:dyDescent="0.3">
      <c r="A1485" t="s">
        <v>68</v>
      </c>
      <c r="B1485" t="s">
        <v>25</v>
      </c>
      <c r="C1485" t="s">
        <v>11</v>
      </c>
      <c r="D1485" t="s">
        <v>35</v>
      </c>
      <c r="E1485">
        <v>86</v>
      </c>
      <c r="F1485">
        <v>77</v>
      </c>
      <c r="G1485" s="1">
        <v>94250</v>
      </c>
      <c r="H1485" s="1">
        <v>90020</v>
      </c>
      <c r="I1485" s="1">
        <v>279062</v>
      </c>
      <c r="J1485" s="1">
        <v>3100</v>
      </c>
    </row>
    <row r="1486" spans="1:10" x14ac:dyDescent="0.3">
      <c r="A1486" t="s">
        <v>68</v>
      </c>
      <c r="B1486" t="s">
        <v>15</v>
      </c>
      <c r="C1486" t="s">
        <v>11</v>
      </c>
      <c r="D1486" t="s">
        <v>36</v>
      </c>
      <c r="E1486">
        <v>86</v>
      </c>
      <c r="F1486">
        <v>84</v>
      </c>
      <c r="G1486" s="1">
        <v>475</v>
      </c>
      <c r="H1486" s="1">
        <v>475</v>
      </c>
      <c r="I1486" s="1">
        <v>1187</v>
      </c>
      <c r="J1486" s="1">
        <v>2499</v>
      </c>
    </row>
    <row r="1487" spans="1:10" x14ac:dyDescent="0.3">
      <c r="A1487" t="s">
        <v>68</v>
      </c>
      <c r="B1487" t="s">
        <v>17</v>
      </c>
      <c r="C1487" t="s">
        <v>11</v>
      </c>
      <c r="D1487" t="s">
        <v>36</v>
      </c>
      <c r="E1487">
        <v>86</v>
      </c>
      <c r="F1487">
        <v>84</v>
      </c>
      <c r="G1487" s="1">
        <v>2375</v>
      </c>
      <c r="H1487" s="1">
        <v>2375</v>
      </c>
      <c r="I1487" s="1">
        <v>7125</v>
      </c>
      <c r="J1487" s="1">
        <v>3000</v>
      </c>
    </row>
    <row r="1488" spans="1:10" x14ac:dyDescent="0.3">
      <c r="A1488" t="s">
        <v>68</v>
      </c>
      <c r="B1488" t="s">
        <v>18</v>
      </c>
      <c r="C1488" t="s">
        <v>11</v>
      </c>
      <c r="D1488" t="s">
        <v>36</v>
      </c>
      <c r="E1488">
        <v>86</v>
      </c>
      <c r="F1488">
        <v>84</v>
      </c>
      <c r="G1488" s="1">
        <v>2375</v>
      </c>
      <c r="H1488" s="1">
        <v>2375</v>
      </c>
      <c r="I1488" s="1">
        <v>5937</v>
      </c>
      <c r="J1488" s="1">
        <v>2500</v>
      </c>
    </row>
    <row r="1489" spans="1:10" x14ac:dyDescent="0.3">
      <c r="A1489" t="s">
        <v>68</v>
      </c>
      <c r="B1489" t="s">
        <v>20</v>
      </c>
      <c r="C1489" t="s">
        <v>11</v>
      </c>
      <c r="D1489" t="s">
        <v>36</v>
      </c>
      <c r="E1489">
        <v>86</v>
      </c>
      <c r="F1489">
        <v>84</v>
      </c>
      <c r="G1489" s="1">
        <v>1500</v>
      </c>
      <c r="H1489" s="1">
        <v>1500</v>
      </c>
      <c r="I1489" s="1">
        <v>4500</v>
      </c>
      <c r="J1489" s="1">
        <v>3000</v>
      </c>
    </row>
    <row r="1490" spans="1:10" x14ac:dyDescent="0.3">
      <c r="A1490" t="s">
        <v>68</v>
      </c>
      <c r="B1490" t="s">
        <v>21</v>
      </c>
      <c r="C1490" t="s">
        <v>11</v>
      </c>
      <c r="D1490" t="s">
        <v>36</v>
      </c>
      <c r="E1490">
        <v>86</v>
      </c>
      <c r="F1490">
        <v>84</v>
      </c>
      <c r="G1490" s="1">
        <v>1500</v>
      </c>
      <c r="H1490" s="1">
        <v>1500</v>
      </c>
      <c r="I1490" s="1">
        <v>4500</v>
      </c>
      <c r="J1490" s="1">
        <v>3000</v>
      </c>
    </row>
    <row r="1491" spans="1:10" x14ac:dyDescent="0.3">
      <c r="A1491" t="s">
        <v>68</v>
      </c>
      <c r="B1491" t="s">
        <v>22</v>
      </c>
      <c r="C1491" t="s">
        <v>11</v>
      </c>
      <c r="D1491" t="s">
        <v>36</v>
      </c>
      <c r="E1491">
        <v>86</v>
      </c>
      <c r="F1491">
        <v>84</v>
      </c>
      <c r="G1491" s="1">
        <v>4000</v>
      </c>
      <c r="H1491" s="1">
        <v>4000</v>
      </c>
      <c r="I1491" s="1">
        <v>10000</v>
      </c>
      <c r="J1491" s="1">
        <v>2500</v>
      </c>
    </row>
    <row r="1492" spans="1:10" x14ac:dyDescent="0.3">
      <c r="A1492" t="s">
        <v>68</v>
      </c>
      <c r="B1492" t="s">
        <v>23</v>
      </c>
      <c r="C1492" t="s">
        <v>11</v>
      </c>
      <c r="D1492" t="s">
        <v>36</v>
      </c>
      <c r="E1492">
        <v>86</v>
      </c>
      <c r="F1492">
        <v>84</v>
      </c>
      <c r="G1492" s="1">
        <v>4000</v>
      </c>
      <c r="H1492" s="1">
        <v>4000</v>
      </c>
      <c r="I1492" s="1">
        <v>6000</v>
      </c>
      <c r="J1492" s="1">
        <v>1500</v>
      </c>
    </row>
    <row r="1493" spans="1:10" x14ac:dyDescent="0.3">
      <c r="A1493" t="s">
        <v>68</v>
      </c>
      <c r="B1493" t="s">
        <v>24</v>
      </c>
      <c r="C1493" t="s">
        <v>11</v>
      </c>
      <c r="D1493" t="s">
        <v>36</v>
      </c>
      <c r="E1493">
        <v>86</v>
      </c>
      <c r="F1493">
        <v>84</v>
      </c>
      <c r="G1493" s="1">
        <v>5000</v>
      </c>
      <c r="H1493" s="1">
        <v>4980</v>
      </c>
      <c r="I1493" s="1">
        <v>14940</v>
      </c>
      <c r="J1493" s="1">
        <v>3000</v>
      </c>
    </row>
    <row r="1494" spans="1:10" x14ac:dyDescent="0.3">
      <c r="A1494" t="s">
        <v>68</v>
      </c>
      <c r="B1494" t="s">
        <v>25</v>
      </c>
      <c r="C1494" t="s">
        <v>11</v>
      </c>
      <c r="D1494" t="s">
        <v>36</v>
      </c>
      <c r="E1494">
        <v>86</v>
      </c>
      <c r="F1494">
        <v>84</v>
      </c>
      <c r="G1494" s="1">
        <v>4400</v>
      </c>
      <c r="H1494" s="1">
        <v>4308</v>
      </c>
      <c r="I1494" s="1">
        <v>10770</v>
      </c>
      <c r="J1494" s="1">
        <v>2500</v>
      </c>
    </row>
    <row r="1495" spans="1:10" x14ac:dyDescent="0.3">
      <c r="A1495" t="s">
        <v>68</v>
      </c>
      <c r="B1495" t="s">
        <v>15</v>
      </c>
      <c r="C1495" t="s">
        <v>11</v>
      </c>
      <c r="D1495" t="s">
        <v>37</v>
      </c>
      <c r="E1495">
        <v>86</v>
      </c>
      <c r="F1495">
        <v>91</v>
      </c>
      <c r="G1495" s="1">
        <v>23750</v>
      </c>
      <c r="H1495" s="1">
        <v>23373</v>
      </c>
      <c r="I1495" s="1">
        <v>63107</v>
      </c>
      <c r="J1495" s="1">
        <v>2700</v>
      </c>
    </row>
    <row r="1496" spans="1:10" x14ac:dyDescent="0.3">
      <c r="A1496" t="s">
        <v>68</v>
      </c>
      <c r="B1496" t="s">
        <v>16</v>
      </c>
      <c r="C1496" t="s">
        <v>11</v>
      </c>
      <c r="D1496" t="s">
        <v>37</v>
      </c>
      <c r="E1496">
        <v>86</v>
      </c>
      <c r="F1496">
        <v>91</v>
      </c>
      <c r="G1496" s="1">
        <v>32604</v>
      </c>
      <c r="H1496" s="1">
        <v>32604</v>
      </c>
      <c r="I1496" s="1">
        <v>94552</v>
      </c>
      <c r="J1496" s="1">
        <v>2900</v>
      </c>
    </row>
    <row r="1497" spans="1:10" x14ac:dyDescent="0.3">
      <c r="A1497" t="s">
        <v>68</v>
      </c>
      <c r="B1497" t="s">
        <v>17</v>
      </c>
      <c r="C1497" t="s">
        <v>11</v>
      </c>
      <c r="D1497" t="s">
        <v>37</v>
      </c>
      <c r="E1497">
        <v>86</v>
      </c>
      <c r="F1497">
        <v>91</v>
      </c>
      <c r="G1497" s="1">
        <v>42623</v>
      </c>
      <c r="H1497" s="1">
        <v>42623</v>
      </c>
      <c r="I1497" s="1">
        <v>149179</v>
      </c>
      <c r="J1497" s="1">
        <v>3500</v>
      </c>
    </row>
    <row r="1498" spans="1:10" x14ac:dyDescent="0.3">
      <c r="A1498" t="s">
        <v>68</v>
      </c>
      <c r="B1498" t="s">
        <v>18</v>
      </c>
      <c r="C1498" t="s">
        <v>11</v>
      </c>
      <c r="D1498" t="s">
        <v>37</v>
      </c>
      <c r="E1498">
        <v>86</v>
      </c>
      <c r="F1498">
        <v>91</v>
      </c>
      <c r="G1498" s="1">
        <v>52326</v>
      </c>
      <c r="H1498" s="1">
        <v>52326</v>
      </c>
      <c r="I1498" s="1">
        <v>156978</v>
      </c>
      <c r="J1498" s="1">
        <v>3000</v>
      </c>
    </row>
    <row r="1499" spans="1:10" x14ac:dyDescent="0.3">
      <c r="A1499" t="s">
        <v>68</v>
      </c>
      <c r="B1499" t="s">
        <v>19</v>
      </c>
      <c r="C1499" t="s">
        <v>11</v>
      </c>
      <c r="D1499" t="s">
        <v>37</v>
      </c>
      <c r="E1499">
        <v>86</v>
      </c>
      <c r="F1499">
        <v>91</v>
      </c>
      <c r="G1499" s="1">
        <v>19500</v>
      </c>
      <c r="H1499" s="1">
        <v>19500</v>
      </c>
      <c r="I1499" s="1">
        <v>68250</v>
      </c>
      <c r="J1499" s="1">
        <v>3500</v>
      </c>
    </row>
    <row r="1500" spans="1:10" x14ac:dyDescent="0.3">
      <c r="A1500" t="s">
        <v>68</v>
      </c>
      <c r="B1500" t="s">
        <v>20</v>
      </c>
      <c r="C1500" t="s">
        <v>11</v>
      </c>
      <c r="D1500" t="s">
        <v>37</v>
      </c>
      <c r="E1500">
        <v>86</v>
      </c>
      <c r="F1500">
        <v>91</v>
      </c>
      <c r="G1500" s="1">
        <v>41700</v>
      </c>
      <c r="H1500" s="1">
        <v>41700</v>
      </c>
      <c r="I1500" s="1">
        <v>125100</v>
      </c>
      <c r="J1500" s="1">
        <v>3000</v>
      </c>
    </row>
    <row r="1501" spans="1:10" x14ac:dyDescent="0.3">
      <c r="A1501" t="s">
        <v>68</v>
      </c>
      <c r="B1501" t="s">
        <v>21</v>
      </c>
      <c r="C1501" t="s">
        <v>11</v>
      </c>
      <c r="D1501" t="s">
        <v>37</v>
      </c>
      <c r="E1501">
        <v>86</v>
      </c>
      <c r="F1501">
        <v>91</v>
      </c>
      <c r="G1501" s="1">
        <v>41600</v>
      </c>
      <c r="H1501" s="1">
        <v>41600</v>
      </c>
      <c r="I1501" s="1">
        <v>145600</v>
      </c>
      <c r="J1501" s="1">
        <v>3500</v>
      </c>
    </row>
    <row r="1502" spans="1:10" x14ac:dyDescent="0.3">
      <c r="A1502" t="s">
        <v>68</v>
      </c>
      <c r="B1502" t="s">
        <v>22</v>
      </c>
      <c r="C1502" t="s">
        <v>11</v>
      </c>
      <c r="D1502" t="s">
        <v>37</v>
      </c>
      <c r="E1502">
        <v>86</v>
      </c>
      <c r="F1502">
        <v>91</v>
      </c>
      <c r="G1502" s="1">
        <v>42000</v>
      </c>
      <c r="H1502" s="1">
        <v>42000</v>
      </c>
      <c r="I1502" s="1">
        <v>105000</v>
      </c>
      <c r="J1502" s="1">
        <v>2500</v>
      </c>
    </row>
    <row r="1503" spans="1:10" x14ac:dyDescent="0.3">
      <c r="A1503" t="s">
        <v>68</v>
      </c>
      <c r="B1503" t="s">
        <v>23</v>
      </c>
      <c r="C1503" t="s">
        <v>11</v>
      </c>
      <c r="D1503" t="s">
        <v>37</v>
      </c>
      <c r="E1503">
        <v>86</v>
      </c>
      <c r="F1503">
        <v>91</v>
      </c>
      <c r="G1503" s="1">
        <v>40000</v>
      </c>
      <c r="H1503" s="1">
        <v>40000</v>
      </c>
      <c r="I1503" s="1">
        <v>80000</v>
      </c>
      <c r="J1503" s="1">
        <v>2000</v>
      </c>
    </row>
    <row r="1504" spans="1:10" x14ac:dyDescent="0.3">
      <c r="A1504" t="s">
        <v>68</v>
      </c>
      <c r="B1504" t="s">
        <v>24</v>
      </c>
      <c r="C1504" t="s">
        <v>11</v>
      </c>
      <c r="D1504" t="s">
        <v>37</v>
      </c>
      <c r="E1504">
        <v>86</v>
      </c>
      <c r="F1504">
        <v>91</v>
      </c>
      <c r="G1504" s="1">
        <v>40000</v>
      </c>
      <c r="H1504" s="1">
        <v>39950</v>
      </c>
      <c r="I1504" s="1">
        <v>135830</v>
      </c>
      <c r="J1504" s="1">
        <v>3400</v>
      </c>
    </row>
    <row r="1505" spans="1:10" x14ac:dyDescent="0.3">
      <c r="A1505" t="s">
        <v>68</v>
      </c>
      <c r="B1505" t="s">
        <v>25</v>
      </c>
      <c r="C1505" t="s">
        <v>11</v>
      </c>
      <c r="D1505" t="s">
        <v>37</v>
      </c>
      <c r="E1505">
        <v>86</v>
      </c>
      <c r="F1505">
        <v>91</v>
      </c>
      <c r="G1505" s="1">
        <v>44000</v>
      </c>
      <c r="H1505" s="1">
        <v>43850</v>
      </c>
      <c r="I1505" s="1">
        <v>118395</v>
      </c>
      <c r="J1505" s="1">
        <v>2700</v>
      </c>
    </row>
    <row r="1506" spans="1:10" x14ac:dyDescent="0.3">
      <c r="A1506" t="s">
        <v>68</v>
      </c>
      <c r="B1506" t="s">
        <v>15</v>
      </c>
      <c r="C1506" t="s">
        <v>11</v>
      </c>
      <c r="D1506" t="s">
        <v>38</v>
      </c>
      <c r="E1506">
        <v>86</v>
      </c>
      <c r="F1506">
        <v>98</v>
      </c>
      <c r="G1506" s="1">
        <v>9500</v>
      </c>
      <c r="H1506" s="1">
        <v>9414</v>
      </c>
      <c r="I1506" s="1">
        <v>27300</v>
      </c>
      <c r="J1506" s="1">
        <v>2900</v>
      </c>
    </row>
    <row r="1507" spans="1:10" x14ac:dyDescent="0.3">
      <c r="A1507" t="s">
        <v>68</v>
      </c>
      <c r="B1507" t="s">
        <v>16</v>
      </c>
      <c r="C1507" t="s">
        <v>11</v>
      </c>
      <c r="D1507" t="s">
        <v>38</v>
      </c>
      <c r="E1507">
        <v>86</v>
      </c>
      <c r="F1507">
        <v>98</v>
      </c>
      <c r="G1507" s="1">
        <v>7296</v>
      </c>
      <c r="H1507" s="1">
        <v>6500</v>
      </c>
      <c r="I1507" s="1">
        <v>16900</v>
      </c>
      <c r="J1507" s="1">
        <v>2600</v>
      </c>
    </row>
    <row r="1508" spans="1:10" x14ac:dyDescent="0.3">
      <c r="A1508" t="s">
        <v>68</v>
      </c>
      <c r="B1508" t="s">
        <v>17</v>
      </c>
      <c r="C1508" t="s">
        <v>11</v>
      </c>
      <c r="D1508" t="s">
        <v>38</v>
      </c>
      <c r="E1508">
        <v>86</v>
      </c>
      <c r="F1508">
        <v>98</v>
      </c>
      <c r="G1508" s="1">
        <v>14250</v>
      </c>
      <c r="H1508" s="1">
        <v>14195</v>
      </c>
      <c r="I1508" s="1">
        <v>49682</v>
      </c>
      <c r="J1508" s="1">
        <v>3500</v>
      </c>
    </row>
    <row r="1509" spans="1:10" x14ac:dyDescent="0.3">
      <c r="A1509" t="s">
        <v>68</v>
      </c>
      <c r="B1509" t="s">
        <v>18</v>
      </c>
      <c r="C1509" t="s">
        <v>11</v>
      </c>
      <c r="D1509" t="s">
        <v>38</v>
      </c>
      <c r="E1509">
        <v>86</v>
      </c>
      <c r="F1509">
        <v>98</v>
      </c>
      <c r="G1509" s="1">
        <v>15865</v>
      </c>
      <c r="H1509" s="1">
        <v>15637</v>
      </c>
      <c r="I1509" s="1">
        <v>32838</v>
      </c>
      <c r="J1509" s="1">
        <v>2100</v>
      </c>
    </row>
    <row r="1510" spans="1:10" x14ac:dyDescent="0.3">
      <c r="A1510" t="s">
        <v>68</v>
      </c>
      <c r="B1510" t="s">
        <v>19</v>
      </c>
      <c r="C1510" t="s">
        <v>11</v>
      </c>
      <c r="D1510" t="s">
        <v>38</v>
      </c>
      <c r="E1510">
        <v>86</v>
      </c>
      <c r="F1510">
        <v>98</v>
      </c>
      <c r="G1510" s="1">
        <v>16950</v>
      </c>
      <c r="H1510" s="1">
        <v>16550</v>
      </c>
      <c r="I1510" s="1">
        <v>43858</v>
      </c>
      <c r="J1510" s="1">
        <v>2650</v>
      </c>
    </row>
    <row r="1511" spans="1:10" x14ac:dyDescent="0.3">
      <c r="A1511" t="s">
        <v>68</v>
      </c>
      <c r="B1511" t="s">
        <v>20</v>
      </c>
      <c r="C1511" t="s">
        <v>11</v>
      </c>
      <c r="D1511" t="s">
        <v>38</v>
      </c>
      <c r="E1511">
        <v>86</v>
      </c>
      <c r="F1511">
        <v>98</v>
      </c>
      <c r="G1511" s="1">
        <v>27500</v>
      </c>
      <c r="H1511" s="1">
        <v>27260</v>
      </c>
      <c r="I1511" s="1">
        <v>87232</v>
      </c>
      <c r="J1511" s="1">
        <v>3200</v>
      </c>
    </row>
    <row r="1512" spans="1:10" x14ac:dyDescent="0.3">
      <c r="A1512" t="s">
        <v>68</v>
      </c>
      <c r="B1512" t="s">
        <v>21</v>
      </c>
      <c r="C1512" t="s">
        <v>11</v>
      </c>
      <c r="D1512" t="s">
        <v>38</v>
      </c>
      <c r="E1512">
        <v>86</v>
      </c>
      <c r="F1512">
        <v>98</v>
      </c>
      <c r="G1512" s="1">
        <v>16000</v>
      </c>
      <c r="H1512" s="1">
        <v>16000</v>
      </c>
      <c r="I1512" s="1">
        <v>51200</v>
      </c>
      <c r="J1512" s="1">
        <v>3200</v>
      </c>
    </row>
    <row r="1513" spans="1:10" x14ac:dyDescent="0.3">
      <c r="A1513" t="s">
        <v>68</v>
      </c>
      <c r="B1513" t="s">
        <v>22</v>
      </c>
      <c r="C1513" t="s">
        <v>11</v>
      </c>
      <c r="D1513" t="s">
        <v>38</v>
      </c>
      <c r="E1513">
        <v>86</v>
      </c>
      <c r="F1513">
        <v>98</v>
      </c>
      <c r="G1513" s="1">
        <v>14400</v>
      </c>
      <c r="H1513" s="1">
        <v>14400</v>
      </c>
      <c r="I1513" s="1">
        <v>44640</v>
      </c>
      <c r="J1513" s="1">
        <v>3100</v>
      </c>
    </row>
    <row r="1514" spans="1:10" x14ac:dyDescent="0.3">
      <c r="A1514" t="s">
        <v>68</v>
      </c>
      <c r="B1514" t="s">
        <v>23</v>
      </c>
      <c r="C1514" t="s">
        <v>11</v>
      </c>
      <c r="D1514" t="s">
        <v>38</v>
      </c>
      <c r="E1514">
        <v>86</v>
      </c>
      <c r="F1514">
        <v>98</v>
      </c>
      <c r="G1514" s="1">
        <v>9405</v>
      </c>
      <c r="H1514" s="1">
        <v>9405</v>
      </c>
      <c r="I1514" s="1">
        <v>23513</v>
      </c>
      <c r="J1514" s="1">
        <v>2500</v>
      </c>
    </row>
    <row r="1515" spans="1:10" x14ac:dyDescent="0.3">
      <c r="A1515" t="s">
        <v>68</v>
      </c>
      <c r="B1515" t="s">
        <v>24</v>
      </c>
      <c r="C1515" t="s">
        <v>11</v>
      </c>
      <c r="D1515" t="s">
        <v>38</v>
      </c>
      <c r="E1515">
        <v>86</v>
      </c>
      <c r="F1515">
        <v>98</v>
      </c>
      <c r="G1515" s="1">
        <v>11300</v>
      </c>
      <c r="H1515" s="1">
        <v>11300</v>
      </c>
      <c r="I1515" s="1">
        <v>31188</v>
      </c>
      <c r="J1515" s="1">
        <v>2760</v>
      </c>
    </row>
    <row r="1516" spans="1:10" x14ac:dyDescent="0.3">
      <c r="A1516" t="s">
        <v>68</v>
      </c>
      <c r="B1516" t="s">
        <v>25</v>
      </c>
      <c r="C1516" t="s">
        <v>11</v>
      </c>
      <c r="D1516" t="s">
        <v>38</v>
      </c>
      <c r="E1516">
        <v>86</v>
      </c>
      <c r="F1516">
        <v>98</v>
      </c>
      <c r="G1516" s="1">
        <v>12400</v>
      </c>
      <c r="H1516" s="1">
        <v>11430</v>
      </c>
      <c r="I1516" s="1">
        <v>22860</v>
      </c>
      <c r="J1516" s="1">
        <v>2000</v>
      </c>
    </row>
    <row r="1517" spans="1:10" x14ac:dyDescent="0.3">
      <c r="A1517" t="s">
        <v>68</v>
      </c>
      <c r="B1517" t="s">
        <v>18</v>
      </c>
      <c r="C1517" t="s">
        <v>11</v>
      </c>
      <c r="D1517" t="s">
        <v>39</v>
      </c>
      <c r="E1517">
        <v>86</v>
      </c>
      <c r="F1517">
        <v>105</v>
      </c>
      <c r="G1517" s="1">
        <v>1140</v>
      </c>
      <c r="H1517" s="1">
        <v>1140</v>
      </c>
      <c r="I1517" s="1">
        <v>2850</v>
      </c>
      <c r="J1517" s="1">
        <v>2500</v>
      </c>
    </row>
    <row r="1518" spans="1:10" x14ac:dyDescent="0.3">
      <c r="A1518" t="s">
        <v>68</v>
      </c>
      <c r="B1518" t="s">
        <v>20</v>
      </c>
      <c r="C1518" t="s">
        <v>11</v>
      </c>
      <c r="D1518" t="s">
        <v>39</v>
      </c>
      <c r="E1518">
        <v>86</v>
      </c>
      <c r="F1518">
        <v>105</v>
      </c>
      <c r="G1518" s="1">
        <v>1000</v>
      </c>
      <c r="H1518" s="1">
        <v>1000</v>
      </c>
      <c r="I1518" s="1">
        <v>3000</v>
      </c>
      <c r="J1518" s="1">
        <v>3000</v>
      </c>
    </row>
    <row r="1519" spans="1:10" x14ac:dyDescent="0.3">
      <c r="A1519" t="s">
        <v>68</v>
      </c>
      <c r="B1519" t="s">
        <v>21</v>
      </c>
      <c r="C1519" t="s">
        <v>11</v>
      </c>
      <c r="D1519" t="s">
        <v>39</v>
      </c>
      <c r="E1519">
        <v>86</v>
      </c>
      <c r="F1519">
        <v>105</v>
      </c>
      <c r="G1519" s="1">
        <v>1000</v>
      </c>
      <c r="H1519" s="1">
        <v>1000</v>
      </c>
      <c r="I1519" s="1">
        <v>3000</v>
      </c>
      <c r="J1519" s="1">
        <v>3000</v>
      </c>
    </row>
    <row r="1520" spans="1:10" x14ac:dyDescent="0.3">
      <c r="A1520" t="s">
        <v>68</v>
      </c>
      <c r="B1520" t="s">
        <v>22</v>
      </c>
      <c r="C1520" t="s">
        <v>11</v>
      </c>
      <c r="D1520" t="s">
        <v>39</v>
      </c>
      <c r="E1520">
        <v>86</v>
      </c>
      <c r="F1520">
        <v>105</v>
      </c>
      <c r="G1520" s="1">
        <v>1000</v>
      </c>
      <c r="H1520" s="1">
        <v>1000</v>
      </c>
      <c r="I1520" s="1">
        <v>2500</v>
      </c>
      <c r="J1520" s="1">
        <v>2500</v>
      </c>
    </row>
    <row r="1521" spans="1:10" x14ac:dyDescent="0.3">
      <c r="A1521" t="s">
        <v>68</v>
      </c>
      <c r="B1521" t="s">
        <v>23</v>
      </c>
      <c r="C1521" t="s">
        <v>11</v>
      </c>
      <c r="D1521" t="s">
        <v>39</v>
      </c>
      <c r="E1521">
        <v>86</v>
      </c>
      <c r="F1521">
        <v>105</v>
      </c>
      <c r="G1521" s="1">
        <v>1000</v>
      </c>
      <c r="H1521" s="1">
        <v>1000</v>
      </c>
      <c r="I1521" s="1">
        <v>1500</v>
      </c>
      <c r="J1521" s="1">
        <v>1500</v>
      </c>
    </row>
    <row r="1522" spans="1:10" x14ac:dyDescent="0.3">
      <c r="A1522" t="s">
        <v>68</v>
      </c>
      <c r="B1522" t="s">
        <v>24</v>
      </c>
      <c r="C1522" t="s">
        <v>11</v>
      </c>
      <c r="D1522" t="s">
        <v>39</v>
      </c>
      <c r="E1522">
        <v>86</v>
      </c>
      <c r="F1522">
        <v>105</v>
      </c>
      <c r="G1522" s="1">
        <v>1000</v>
      </c>
      <c r="H1522" s="1">
        <v>975</v>
      </c>
      <c r="I1522" s="1">
        <v>3315</v>
      </c>
      <c r="J1522" s="1">
        <v>3400</v>
      </c>
    </row>
    <row r="1523" spans="1:10" x14ac:dyDescent="0.3">
      <c r="A1523" t="s">
        <v>68</v>
      </c>
      <c r="B1523" t="s">
        <v>25</v>
      </c>
      <c r="C1523" t="s">
        <v>11</v>
      </c>
      <c r="D1523" t="s">
        <v>39</v>
      </c>
      <c r="E1523">
        <v>86</v>
      </c>
      <c r="F1523">
        <v>105</v>
      </c>
      <c r="G1523" s="1">
        <v>1200</v>
      </c>
      <c r="H1523" s="1">
        <v>1150</v>
      </c>
      <c r="I1523" s="1">
        <v>2875</v>
      </c>
      <c r="J1523" s="1">
        <v>2500</v>
      </c>
    </row>
    <row r="1524" spans="1:10" x14ac:dyDescent="0.3">
      <c r="A1524" t="s">
        <v>68</v>
      </c>
      <c r="B1524" t="s">
        <v>15</v>
      </c>
      <c r="C1524" t="s">
        <v>11</v>
      </c>
      <c r="D1524" t="s">
        <v>40</v>
      </c>
      <c r="E1524">
        <v>86</v>
      </c>
      <c r="F1524">
        <v>112</v>
      </c>
      <c r="G1524" s="1">
        <v>2375</v>
      </c>
      <c r="H1524" s="1">
        <v>2316</v>
      </c>
      <c r="I1524" s="1">
        <v>5557</v>
      </c>
      <c r="J1524" s="1">
        <v>2399</v>
      </c>
    </row>
    <row r="1525" spans="1:10" x14ac:dyDescent="0.3">
      <c r="A1525" t="s">
        <v>68</v>
      </c>
      <c r="B1525" t="s">
        <v>16</v>
      </c>
      <c r="C1525" t="s">
        <v>11</v>
      </c>
      <c r="D1525" t="s">
        <v>40</v>
      </c>
      <c r="E1525">
        <v>86</v>
      </c>
      <c r="F1525">
        <v>112</v>
      </c>
      <c r="G1525" s="1">
        <v>2850</v>
      </c>
      <c r="H1525" s="1">
        <v>2850</v>
      </c>
      <c r="I1525" s="1">
        <v>7695</v>
      </c>
      <c r="J1525" s="1">
        <v>2700</v>
      </c>
    </row>
    <row r="1526" spans="1:10" x14ac:dyDescent="0.3">
      <c r="A1526" t="s">
        <v>68</v>
      </c>
      <c r="B1526" t="s">
        <v>17</v>
      </c>
      <c r="C1526" t="s">
        <v>11</v>
      </c>
      <c r="D1526" t="s">
        <v>40</v>
      </c>
      <c r="E1526">
        <v>86</v>
      </c>
      <c r="F1526">
        <v>112</v>
      </c>
      <c r="G1526" s="1">
        <v>4750</v>
      </c>
      <c r="H1526" s="1">
        <v>4750</v>
      </c>
      <c r="I1526" s="1">
        <v>16625</v>
      </c>
      <c r="J1526" s="1">
        <v>3500</v>
      </c>
    </row>
    <row r="1527" spans="1:10" x14ac:dyDescent="0.3">
      <c r="A1527" t="s">
        <v>68</v>
      </c>
      <c r="B1527" t="s">
        <v>18</v>
      </c>
      <c r="C1527" t="s">
        <v>11</v>
      </c>
      <c r="D1527" t="s">
        <v>40</v>
      </c>
      <c r="E1527">
        <v>86</v>
      </c>
      <c r="F1527">
        <v>112</v>
      </c>
      <c r="G1527" s="1">
        <v>6650</v>
      </c>
      <c r="H1527" s="1">
        <v>6650</v>
      </c>
      <c r="I1527" s="1">
        <v>9975</v>
      </c>
      <c r="J1527" s="1">
        <v>1500</v>
      </c>
    </row>
    <row r="1528" spans="1:10" x14ac:dyDescent="0.3">
      <c r="A1528" t="s">
        <v>68</v>
      </c>
      <c r="B1528" t="s">
        <v>19</v>
      </c>
      <c r="C1528" t="s">
        <v>11</v>
      </c>
      <c r="D1528" t="s">
        <v>40</v>
      </c>
      <c r="E1528">
        <v>86</v>
      </c>
      <c r="F1528">
        <v>112</v>
      </c>
      <c r="G1528" s="1">
        <v>3000</v>
      </c>
      <c r="H1528" s="1">
        <v>3000</v>
      </c>
      <c r="I1528" s="1">
        <v>10527</v>
      </c>
      <c r="J1528" s="1">
        <v>3509</v>
      </c>
    </row>
    <row r="1529" spans="1:10" x14ac:dyDescent="0.3">
      <c r="A1529" t="s">
        <v>68</v>
      </c>
      <c r="B1529" t="s">
        <v>20</v>
      </c>
      <c r="C1529" t="s">
        <v>11</v>
      </c>
      <c r="D1529" t="s">
        <v>40</v>
      </c>
      <c r="E1529">
        <v>86</v>
      </c>
      <c r="F1529">
        <v>112</v>
      </c>
      <c r="G1529" s="1">
        <v>3000</v>
      </c>
      <c r="H1529" s="1">
        <v>3000</v>
      </c>
      <c r="I1529" s="1">
        <v>9000</v>
      </c>
      <c r="J1529" s="1">
        <v>3000</v>
      </c>
    </row>
    <row r="1530" spans="1:10" x14ac:dyDescent="0.3">
      <c r="A1530" t="s">
        <v>68</v>
      </c>
      <c r="B1530" t="s">
        <v>21</v>
      </c>
      <c r="C1530" t="s">
        <v>11</v>
      </c>
      <c r="D1530" t="s">
        <v>40</v>
      </c>
      <c r="E1530">
        <v>86</v>
      </c>
      <c r="F1530">
        <v>112</v>
      </c>
      <c r="G1530" s="1">
        <v>3000</v>
      </c>
      <c r="H1530" s="1">
        <v>3000</v>
      </c>
      <c r="I1530" s="1">
        <v>9000</v>
      </c>
      <c r="J1530" s="1">
        <v>3000</v>
      </c>
    </row>
    <row r="1531" spans="1:10" x14ac:dyDescent="0.3">
      <c r="A1531" t="s">
        <v>68</v>
      </c>
      <c r="B1531" t="s">
        <v>22</v>
      </c>
      <c r="C1531" t="s">
        <v>11</v>
      </c>
      <c r="D1531" t="s">
        <v>40</v>
      </c>
      <c r="E1531">
        <v>86</v>
      </c>
      <c r="F1531">
        <v>112</v>
      </c>
      <c r="G1531" s="1">
        <v>3000</v>
      </c>
      <c r="H1531" s="1">
        <v>3000</v>
      </c>
      <c r="I1531" s="1">
        <v>7500</v>
      </c>
      <c r="J1531" s="1">
        <v>2500</v>
      </c>
    </row>
    <row r="1532" spans="1:10" x14ac:dyDescent="0.3">
      <c r="A1532" t="s">
        <v>68</v>
      </c>
      <c r="B1532" t="s">
        <v>23</v>
      </c>
      <c r="C1532" t="s">
        <v>11</v>
      </c>
      <c r="D1532" t="s">
        <v>40</v>
      </c>
      <c r="E1532">
        <v>86</v>
      </c>
      <c r="F1532">
        <v>112</v>
      </c>
      <c r="G1532" s="1">
        <v>3000</v>
      </c>
      <c r="H1532" s="1">
        <v>3000</v>
      </c>
      <c r="I1532" s="1">
        <v>4500</v>
      </c>
      <c r="J1532" s="1">
        <v>1500</v>
      </c>
    </row>
    <row r="1533" spans="1:10" x14ac:dyDescent="0.3">
      <c r="A1533" t="s">
        <v>68</v>
      </c>
      <c r="B1533" t="s">
        <v>24</v>
      </c>
      <c r="C1533" t="s">
        <v>11</v>
      </c>
      <c r="D1533" t="s">
        <v>40</v>
      </c>
      <c r="E1533">
        <v>86</v>
      </c>
      <c r="F1533">
        <v>112</v>
      </c>
      <c r="G1533" s="1">
        <v>3000</v>
      </c>
      <c r="H1533" s="1">
        <v>2940</v>
      </c>
      <c r="I1533" s="1">
        <v>9996</v>
      </c>
      <c r="J1533" s="1">
        <v>3400</v>
      </c>
    </row>
    <row r="1534" spans="1:10" x14ac:dyDescent="0.3">
      <c r="A1534" t="s">
        <v>68</v>
      </c>
      <c r="B1534" t="s">
        <v>25</v>
      </c>
      <c r="C1534" t="s">
        <v>11</v>
      </c>
      <c r="D1534" t="s">
        <v>40</v>
      </c>
      <c r="E1534">
        <v>86</v>
      </c>
      <c r="F1534">
        <v>112</v>
      </c>
      <c r="G1534" s="1">
        <v>3300</v>
      </c>
      <c r="H1534" s="1">
        <v>3210</v>
      </c>
      <c r="I1534" s="1">
        <v>8025</v>
      </c>
      <c r="J1534" s="1">
        <v>2500</v>
      </c>
    </row>
    <row r="1535" spans="1:10" x14ac:dyDescent="0.3">
      <c r="A1535" t="s">
        <v>68</v>
      </c>
      <c r="B1535" t="s">
        <v>15</v>
      </c>
      <c r="C1535" t="s">
        <v>11</v>
      </c>
      <c r="D1535" t="s">
        <v>41</v>
      </c>
      <c r="E1535">
        <v>86</v>
      </c>
      <c r="F1535">
        <v>119</v>
      </c>
      <c r="G1535" s="1">
        <v>23750</v>
      </c>
      <c r="H1535" s="1">
        <v>23512</v>
      </c>
      <c r="I1535" s="1">
        <v>61132</v>
      </c>
      <c r="J1535" s="1">
        <v>2600</v>
      </c>
    </row>
    <row r="1536" spans="1:10" x14ac:dyDescent="0.3">
      <c r="A1536" t="s">
        <v>68</v>
      </c>
      <c r="B1536" t="s">
        <v>16</v>
      </c>
      <c r="C1536" t="s">
        <v>11</v>
      </c>
      <c r="D1536" t="s">
        <v>41</v>
      </c>
      <c r="E1536">
        <v>86</v>
      </c>
      <c r="F1536">
        <v>119</v>
      </c>
      <c r="G1536" s="1">
        <v>7362</v>
      </c>
      <c r="H1536" s="1">
        <v>7236</v>
      </c>
      <c r="I1536" s="1">
        <v>18812</v>
      </c>
      <c r="J1536" s="1">
        <v>2600</v>
      </c>
    </row>
    <row r="1537" spans="1:10" x14ac:dyDescent="0.3">
      <c r="A1537" t="s">
        <v>68</v>
      </c>
      <c r="B1537" t="s">
        <v>17</v>
      </c>
      <c r="C1537" t="s">
        <v>11</v>
      </c>
      <c r="D1537" t="s">
        <v>41</v>
      </c>
      <c r="E1537">
        <v>86</v>
      </c>
      <c r="F1537">
        <v>119</v>
      </c>
      <c r="G1537" s="1">
        <v>17765</v>
      </c>
      <c r="H1537" s="1">
        <v>17736</v>
      </c>
      <c r="I1537" s="1">
        <v>63849</v>
      </c>
      <c r="J1537" s="1">
        <v>3600</v>
      </c>
    </row>
    <row r="1538" spans="1:10" x14ac:dyDescent="0.3">
      <c r="A1538" t="s">
        <v>68</v>
      </c>
      <c r="B1538" t="s">
        <v>18</v>
      </c>
      <c r="C1538" t="s">
        <v>11</v>
      </c>
      <c r="D1538" t="s">
        <v>41</v>
      </c>
      <c r="E1538">
        <v>86</v>
      </c>
      <c r="F1538">
        <v>119</v>
      </c>
      <c r="G1538" s="1">
        <v>89281</v>
      </c>
      <c r="H1538" s="1">
        <v>87737</v>
      </c>
      <c r="I1538" s="1">
        <v>245664</v>
      </c>
      <c r="J1538" s="1">
        <v>2800</v>
      </c>
    </row>
    <row r="1539" spans="1:10" x14ac:dyDescent="0.3">
      <c r="A1539" t="s">
        <v>68</v>
      </c>
      <c r="B1539" t="s">
        <v>19</v>
      </c>
      <c r="C1539" t="s">
        <v>11</v>
      </c>
      <c r="D1539" t="s">
        <v>41</v>
      </c>
      <c r="E1539">
        <v>86</v>
      </c>
      <c r="F1539">
        <v>119</v>
      </c>
      <c r="G1539" s="1">
        <v>63000</v>
      </c>
      <c r="H1539" s="1">
        <v>62200</v>
      </c>
      <c r="I1539" s="1">
        <v>166634</v>
      </c>
      <c r="J1539" s="1">
        <v>2679</v>
      </c>
    </row>
    <row r="1540" spans="1:10" x14ac:dyDescent="0.3">
      <c r="A1540" t="s">
        <v>68</v>
      </c>
      <c r="B1540" t="s">
        <v>20</v>
      </c>
      <c r="C1540" t="s">
        <v>11</v>
      </c>
      <c r="D1540" t="s">
        <v>41</v>
      </c>
      <c r="E1540">
        <v>86</v>
      </c>
      <c r="F1540">
        <v>119</v>
      </c>
      <c r="G1540" s="1">
        <v>93800</v>
      </c>
      <c r="H1540" s="1">
        <v>93075</v>
      </c>
      <c r="I1540" s="1">
        <v>288533</v>
      </c>
      <c r="J1540" s="1">
        <v>3100</v>
      </c>
    </row>
    <row r="1541" spans="1:10" x14ac:dyDescent="0.3">
      <c r="A1541" t="s">
        <v>68</v>
      </c>
      <c r="B1541" t="s">
        <v>21</v>
      </c>
      <c r="C1541" t="s">
        <v>11</v>
      </c>
      <c r="D1541" t="s">
        <v>41</v>
      </c>
      <c r="E1541">
        <v>86</v>
      </c>
      <c r="F1541">
        <v>119</v>
      </c>
      <c r="G1541" s="1">
        <v>44000</v>
      </c>
      <c r="H1541" s="1">
        <v>44000</v>
      </c>
      <c r="I1541" s="1">
        <v>149600</v>
      </c>
      <c r="J1541" s="1">
        <v>3400</v>
      </c>
    </row>
    <row r="1542" spans="1:10" x14ac:dyDescent="0.3">
      <c r="A1542" t="s">
        <v>68</v>
      </c>
      <c r="B1542" t="s">
        <v>22</v>
      </c>
      <c r="C1542" t="s">
        <v>11</v>
      </c>
      <c r="D1542" t="s">
        <v>41</v>
      </c>
      <c r="E1542">
        <v>86</v>
      </c>
      <c r="F1542">
        <v>119</v>
      </c>
      <c r="G1542" s="1">
        <v>39600</v>
      </c>
      <c r="H1542" s="1">
        <v>39600</v>
      </c>
      <c r="I1542" s="1">
        <v>122760</v>
      </c>
      <c r="J1542" s="1">
        <v>3100</v>
      </c>
    </row>
    <row r="1543" spans="1:10" x14ac:dyDescent="0.3">
      <c r="A1543" t="s">
        <v>68</v>
      </c>
      <c r="B1543" t="s">
        <v>23</v>
      </c>
      <c r="C1543" t="s">
        <v>11</v>
      </c>
      <c r="D1543" t="s">
        <v>41</v>
      </c>
      <c r="E1543">
        <v>86</v>
      </c>
      <c r="F1543">
        <v>119</v>
      </c>
      <c r="G1543" s="1">
        <v>31600</v>
      </c>
      <c r="H1543" s="1">
        <v>31600</v>
      </c>
      <c r="I1543" s="1">
        <v>79000</v>
      </c>
      <c r="J1543" s="1">
        <v>2500</v>
      </c>
    </row>
    <row r="1544" spans="1:10" x14ac:dyDescent="0.3">
      <c r="A1544" t="s">
        <v>68</v>
      </c>
      <c r="B1544" t="s">
        <v>24</v>
      </c>
      <c r="C1544" t="s">
        <v>11</v>
      </c>
      <c r="D1544" t="s">
        <v>41</v>
      </c>
      <c r="E1544">
        <v>86</v>
      </c>
      <c r="F1544">
        <v>119</v>
      </c>
      <c r="G1544" s="1">
        <v>33000</v>
      </c>
      <c r="H1544" s="1">
        <v>33000</v>
      </c>
      <c r="I1544" s="1">
        <v>57420</v>
      </c>
      <c r="J1544" s="1">
        <v>1740</v>
      </c>
    </row>
    <row r="1545" spans="1:10" x14ac:dyDescent="0.3">
      <c r="A1545" t="s">
        <v>68</v>
      </c>
      <c r="B1545" t="s">
        <v>25</v>
      </c>
      <c r="C1545" t="s">
        <v>11</v>
      </c>
      <c r="D1545" t="s">
        <v>41</v>
      </c>
      <c r="E1545">
        <v>86</v>
      </c>
      <c r="F1545">
        <v>119</v>
      </c>
      <c r="G1545" s="1">
        <v>35800</v>
      </c>
      <c r="H1545" s="1">
        <v>27510</v>
      </c>
      <c r="I1545" s="1">
        <v>24759</v>
      </c>
      <c r="J1545" s="1">
        <v>900</v>
      </c>
    </row>
    <row r="1546" spans="1:10" x14ac:dyDescent="0.3">
      <c r="A1546" t="s">
        <v>68</v>
      </c>
      <c r="B1546" t="s">
        <v>15</v>
      </c>
      <c r="C1546" t="s">
        <v>11</v>
      </c>
      <c r="D1546" t="s">
        <v>43</v>
      </c>
      <c r="E1546">
        <v>86</v>
      </c>
      <c r="F1546">
        <v>133</v>
      </c>
      <c r="G1546" s="1">
        <v>32775</v>
      </c>
      <c r="H1546" s="1">
        <v>32085</v>
      </c>
      <c r="I1546" s="1">
        <v>77004</v>
      </c>
      <c r="J1546" s="1">
        <v>2400</v>
      </c>
    </row>
    <row r="1547" spans="1:10" x14ac:dyDescent="0.3">
      <c r="A1547" t="s">
        <v>68</v>
      </c>
      <c r="B1547" t="s">
        <v>16</v>
      </c>
      <c r="C1547" t="s">
        <v>11</v>
      </c>
      <c r="D1547" t="s">
        <v>43</v>
      </c>
      <c r="E1547">
        <v>86</v>
      </c>
      <c r="F1547">
        <v>133</v>
      </c>
      <c r="G1547" s="1">
        <v>13471</v>
      </c>
      <c r="H1547" s="1">
        <v>13471</v>
      </c>
      <c r="I1547" s="1">
        <v>39066</v>
      </c>
      <c r="J1547" s="1">
        <v>2900</v>
      </c>
    </row>
    <row r="1548" spans="1:10" x14ac:dyDescent="0.3">
      <c r="A1548" t="s">
        <v>68</v>
      </c>
      <c r="B1548" t="s">
        <v>17</v>
      </c>
      <c r="C1548" t="s">
        <v>11</v>
      </c>
      <c r="D1548" t="s">
        <v>43</v>
      </c>
      <c r="E1548">
        <v>86</v>
      </c>
      <c r="F1548">
        <v>133</v>
      </c>
      <c r="G1548" s="1">
        <v>22230</v>
      </c>
      <c r="H1548" s="1">
        <v>22230</v>
      </c>
      <c r="I1548" s="1">
        <v>77805</v>
      </c>
      <c r="J1548" s="1">
        <v>3500</v>
      </c>
    </row>
    <row r="1549" spans="1:10" x14ac:dyDescent="0.3">
      <c r="A1549" t="s">
        <v>68</v>
      </c>
      <c r="B1549" t="s">
        <v>18</v>
      </c>
      <c r="C1549" t="s">
        <v>11</v>
      </c>
      <c r="D1549" t="s">
        <v>43</v>
      </c>
      <c r="E1549">
        <v>86</v>
      </c>
      <c r="F1549">
        <v>133</v>
      </c>
      <c r="G1549" s="1">
        <v>25697</v>
      </c>
      <c r="H1549" s="1">
        <v>25697</v>
      </c>
      <c r="I1549" s="1">
        <v>77092</v>
      </c>
      <c r="J1549" s="1">
        <v>3000</v>
      </c>
    </row>
    <row r="1550" spans="1:10" x14ac:dyDescent="0.3">
      <c r="A1550" t="s">
        <v>68</v>
      </c>
      <c r="B1550" t="s">
        <v>19</v>
      </c>
      <c r="C1550" t="s">
        <v>11</v>
      </c>
      <c r="D1550" t="s">
        <v>43</v>
      </c>
      <c r="E1550">
        <v>86</v>
      </c>
      <c r="F1550">
        <v>133</v>
      </c>
      <c r="G1550" s="1">
        <v>10000</v>
      </c>
      <c r="H1550" s="1">
        <v>10000</v>
      </c>
      <c r="I1550" s="1">
        <v>35000</v>
      </c>
      <c r="J1550" s="1">
        <v>3500</v>
      </c>
    </row>
    <row r="1551" spans="1:10" x14ac:dyDescent="0.3">
      <c r="A1551" t="s">
        <v>68</v>
      </c>
      <c r="B1551" t="s">
        <v>20</v>
      </c>
      <c r="C1551" t="s">
        <v>11</v>
      </c>
      <c r="D1551" t="s">
        <v>43</v>
      </c>
      <c r="E1551">
        <v>86</v>
      </c>
      <c r="F1551">
        <v>133</v>
      </c>
      <c r="G1551" s="1">
        <v>28100</v>
      </c>
      <c r="H1551" s="1">
        <v>28100</v>
      </c>
      <c r="I1551" s="1">
        <v>84300</v>
      </c>
      <c r="J1551" s="1">
        <v>3000</v>
      </c>
    </row>
    <row r="1552" spans="1:10" x14ac:dyDescent="0.3">
      <c r="A1552" t="s">
        <v>68</v>
      </c>
      <c r="B1552" t="s">
        <v>21</v>
      </c>
      <c r="C1552" t="s">
        <v>11</v>
      </c>
      <c r="D1552" t="s">
        <v>43</v>
      </c>
      <c r="E1552">
        <v>86</v>
      </c>
      <c r="F1552">
        <v>133</v>
      </c>
      <c r="G1552" s="1">
        <v>28100</v>
      </c>
      <c r="H1552" s="1">
        <v>28100</v>
      </c>
      <c r="I1552" s="1">
        <v>84300</v>
      </c>
      <c r="J1552" s="1">
        <v>3000</v>
      </c>
    </row>
    <row r="1553" spans="1:10" x14ac:dyDescent="0.3">
      <c r="A1553" t="s">
        <v>68</v>
      </c>
      <c r="B1553" t="s">
        <v>22</v>
      </c>
      <c r="C1553" t="s">
        <v>11</v>
      </c>
      <c r="D1553" t="s">
        <v>43</v>
      </c>
      <c r="E1553">
        <v>86</v>
      </c>
      <c r="F1553">
        <v>133</v>
      </c>
      <c r="G1553" s="1">
        <v>26500</v>
      </c>
      <c r="H1553" s="1">
        <v>26500</v>
      </c>
      <c r="I1553" s="1">
        <v>66250</v>
      </c>
      <c r="J1553" s="1">
        <v>2500</v>
      </c>
    </row>
    <row r="1554" spans="1:10" x14ac:dyDescent="0.3">
      <c r="A1554" t="s">
        <v>68</v>
      </c>
      <c r="B1554" t="s">
        <v>23</v>
      </c>
      <c r="C1554" t="s">
        <v>11</v>
      </c>
      <c r="D1554" t="s">
        <v>43</v>
      </c>
      <c r="E1554">
        <v>86</v>
      </c>
      <c r="F1554">
        <v>133</v>
      </c>
      <c r="G1554" s="1">
        <v>26500</v>
      </c>
      <c r="H1554" s="1">
        <v>26500</v>
      </c>
      <c r="I1554" s="1">
        <v>47700</v>
      </c>
      <c r="J1554" s="1">
        <v>1800</v>
      </c>
    </row>
    <row r="1555" spans="1:10" x14ac:dyDescent="0.3">
      <c r="A1555" t="s">
        <v>68</v>
      </c>
      <c r="B1555" t="s">
        <v>24</v>
      </c>
      <c r="C1555" t="s">
        <v>11</v>
      </c>
      <c r="D1555" t="s">
        <v>43</v>
      </c>
      <c r="E1555">
        <v>86</v>
      </c>
      <c r="F1555">
        <v>133</v>
      </c>
      <c r="G1555" s="1">
        <v>26500</v>
      </c>
      <c r="H1555" s="1">
        <v>26485</v>
      </c>
      <c r="I1555" s="1">
        <v>103292</v>
      </c>
      <c r="J1555" s="1">
        <v>3900</v>
      </c>
    </row>
    <row r="1556" spans="1:10" x14ac:dyDescent="0.3">
      <c r="A1556" t="s">
        <v>68</v>
      </c>
      <c r="B1556" t="s">
        <v>25</v>
      </c>
      <c r="C1556" t="s">
        <v>11</v>
      </c>
      <c r="D1556" t="s">
        <v>43</v>
      </c>
      <c r="E1556">
        <v>86</v>
      </c>
      <c r="F1556">
        <v>133</v>
      </c>
      <c r="G1556" s="1">
        <v>29150</v>
      </c>
      <c r="H1556" s="1">
        <v>28990</v>
      </c>
      <c r="I1556" s="1">
        <v>86680</v>
      </c>
      <c r="J1556" s="1">
        <v>2990</v>
      </c>
    </row>
    <row r="1557" spans="1:10" x14ac:dyDescent="0.3">
      <c r="A1557" t="s">
        <v>68</v>
      </c>
      <c r="B1557" t="s">
        <v>15</v>
      </c>
      <c r="C1557" t="s">
        <v>11</v>
      </c>
      <c r="D1557" t="s">
        <v>44</v>
      </c>
      <c r="E1557">
        <v>86</v>
      </c>
      <c r="F1557">
        <v>147</v>
      </c>
      <c r="G1557" s="1">
        <v>1425</v>
      </c>
      <c r="H1557" s="1">
        <v>1425</v>
      </c>
      <c r="I1557" s="1">
        <v>2850</v>
      </c>
      <c r="J1557" s="1">
        <v>2000</v>
      </c>
    </row>
    <row r="1558" spans="1:10" x14ac:dyDescent="0.3">
      <c r="A1558" t="s">
        <v>68</v>
      </c>
      <c r="B1558" t="s">
        <v>16</v>
      </c>
      <c r="C1558" t="s">
        <v>11</v>
      </c>
      <c r="D1558" t="s">
        <v>44</v>
      </c>
      <c r="E1558">
        <v>86</v>
      </c>
      <c r="F1558">
        <v>147</v>
      </c>
      <c r="G1558" s="1">
        <v>950</v>
      </c>
      <c r="H1558" s="1">
        <v>950</v>
      </c>
      <c r="I1558" s="1">
        <v>2280</v>
      </c>
      <c r="J1558" s="1">
        <v>2400</v>
      </c>
    </row>
    <row r="1559" spans="1:10" x14ac:dyDescent="0.3">
      <c r="A1559" t="s">
        <v>68</v>
      </c>
      <c r="B1559" t="s">
        <v>17</v>
      </c>
      <c r="C1559" t="s">
        <v>11</v>
      </c>
      <c r="D1559" t="s">
        <v>44</v>
      </c>
      <c r="E1559">
        <v>86</v>
      </c>
      <c r="F1559">
        <v>147</v>
      </c>
      <c r="G1559" s="1">
        <v>1500</v>
      </c>
      <c r="H1559" s="1">
        <v>1500</v>
      </c>
      <c r="I1559" s="1">
        <v>5250</v>
      </c>
      <c r="J1559" s="1">
        <v>3500</v>
      </c>
    </row>
    <row r="1560" spans="1:10" x14ac:dyDescent="0.3">
      <c r="A1560" t="s">
        <v>68</v>
      </c>
      <c r="B1560" t="s">
        <v>18</v>
      </c>
      <c r="C1560" t="s">
        <v>11</v>
      </c>
      <c r="D1560" t="s">
        <v>44</v>
      </c>
      <c r="E1560">
        <v>86</v>
      </c>
      <c r="F1560">
        <v>147</v>
      </c>
      <c r="G1560" s="1">
        <v>11808</v>
      </c>
      <c r="H1560" s="1">
        <v>11808</v>
      </c>
      <c r="I1560" s="1">
        <v>35425</v>
      </c>
      <c r="J1560" s="1">
        <v>3000</v>
      </c>
    </row>
    <row r="1561" spans="1:10" x14ac:dyDescent="0.3">
      <c r="A1561" t="s">
        <v>68</v>
      </c>
      <c r="B1561" t="s">
        <v>19</v>
      </c>
      <c r="C1561" t="s">
        <v>11</v>
      </c>
      <c r="D1561" t="s">
        <v>44</v>
      </c>
      <c r="E1561">
        <v>86</v>
      </c>
      <c r="F1561">
        <v>147</v>
      </c>
      <c r="G1561" s="1">
        <v>3000</v>
      </c>
      <c r="H1561" s="1">
        <v>3000</v>
      </c>
      <c r="I1561" s="1">
        <v>10500</v>
      </c>
      <c r="J1561" s="1">
        <v>3500</v>
      </c>
    </row>
    <row r="1562" spans="1:10" x14ac:dyDescent="0.3">
      <c r="A1562" t="s">
        <v>68</v>
      </c>
      <c r="B1562" t="s">
        <v>20</v>
      </c>
      <c r="C1562" t="s">
        <v>11</v>
      </c>
      <c r="D1562" t="s">
        <v>44</v>
      </c>
      <c r="E1562">
        <v>86</v>
      </c>
      <c r="F1562">
        <v>147</v>
      </c>
      <c r="G1562" s="1">
        <v>11000</v>
      </c>
      <c r="H1562" s="1">
        <v>11000</v>
      </c>
      <c r="I1562" s="1">
        <v>33000</v>
      </c>
      <c r="J1562" s="1">
        <v>3000</v>
      </c>
    </row>
    <row r="1563" spans="1:10" x14ac:dyDescent="0.3">
      <c r="A1563" t="s">
        <v>68</v>
      </c>
      <c r="B1563" t="s">
        <v>21</v>
      </c>
      <c r="C1563" t="s">
        <v>11</v>
      </c>
      <c r="D1563" t="s">
        <v>44</v>
      </c>
      <c r="E1563">
        <v>86</v>
      </c>
      <c r="F1563">
        <v>147</v>
      </c>
      <c r="G1563" s="1">
        <v>11000</v>
      </c>
      <c r="H1563" s="1">
        <v>11000</v>
      </c>
      <c r="I1563" s="1">
        <v>33000</v>
      </c>
      <c r="J1563" s="1">
        <v>3000</v>
      </c>
    </row>
    <row r="1564" spans="1:10" x14ac:dyDescent="0.3">
      <c r="A1564" t="s">
        <v>68</v>
      </c>
      <c r="B1564" t="s">
        <v>22</v>
      </c>
      <c r="C1564" t="s">
        <v>11</v>
      </c>
      <c r="D1564" t="s">
        <v>44</v>
      </c>
      <c r="E1564">
        <v>86</v>
      </c>
      <c r="F1564">
        <v>147</v>
      </c>
      <c r="G1564" s="1">
        <v>11000</v>
      </c>
      <c r="H1564" s="1">
        <v>11000</v>
      </c>
      <c r="I1564" s="1">
        <v>27500</v>
      </c>
      <c r="J1564" s="1">
        <v>2500</v>
      </c>
    </row>
    <row r="1565" spans="1:10" x14ac:dyDescent="0.3">
      <c r="A1565" t="s">
        <v>68</v>
      </c>
      <c r="B1565" t="s">
        <v>23</v>
      </c>
      <c r="C1565" t="s">
        <v>11</v>
      </c>
      <c r="D1565" t="s">
        <v>44</v>
      </c>
      <c r="E1565">
        <v>86</v>
      </c>
      <c r="F1565">
        <v>147</v>
      </c>
      <c r="G1565" s="1">
        <v>11000</v>
      </c>
      <c r="H1565" s="1">
        <v>11000</v>
      </c>
      <c r="I1565" s="1">
        <v>16500</v>
      </c>
      <c r="J1565" s="1">
        <v>1500</v>
      </c>
    </row>
    <row r="1566" spans="1:10" x14ac:dyDescent="0.3">
      <c r="A1566" t="s">
        <v>68</v>
      </c>
      <c r="B1566" t="s">
        <v>24</v>
      </c>
      <c r="C1566" t="s">
        <v>11</v>
      </c>
      <c r="D1566" t="s">
        <v>44</v>
      </c>
      <c r="E1566">
        <v>86</v>
      </c>
      <c r="F1566">
        <v>147</v>
      </c>
      <c r="G1566" s="1">
        <v>11000</v>
      </c>
      <c r="H1566" s="1">
        <v>10974</v>
      </c>
      <c r="I1566" s="1">
        <v>37970</v>
      </c>
      <c r="J1566" s="1">
        <v>3460</v>
      </c>
    </row>
    <row r="1567" spans="1:10" x14ac:dyDescent="0.3">
      <c r="A1567" t="s">
        <v>68</v>
      </c>
      <c r="B1567" t="s">
        <v>25</v>
      </c>
      <c r="C1567" t="s">
        <v>11</v>
      </c>
      <c r="D1567" t="s">
        <v>44</v>
      </c>
      <c r="E1567">
        <v>86</v>
      </c>
      <c r="F1567">
        <v>147</v>
      </c>
      <c r="G1567" s="1">
        <v>12100</v>
      </c>
      <c r="H1567" s="1">
        <v>12000</v>
      </c>
      <c r="I1567" s="1">
        <v>30120</v>
      </c>
      <c r="J1567" s="1">
        <v>2510</v>
      </c>
    </row>
    <row r="1568" spans="1:10" x14ac:dyDescent="0.3">
      <c r="A1568" t="s">
        <v>68</v>
      </c>
      <c r="B1568" t="s">
        <v>15</v>
      </c>
      <c r="C1568" t="s">
        <v>11</v>
      </c>
      <c r="D1568" t="s">
        <v>51</v>
      </c>
      <c r="E1568">
        <v>86</v>
      </c>
      <c r="F1568">
        <v>154</v>
      </c>
      <c r="G1568" s="1">
        <v>4750</v>
      </c>
      <c r="H1568" s="1">
        <v>4180</v>
      </c>
      <c r="I1568" s="1">
        <v>10032</v>
      </c>
      <c r="J1568" s="1">
        <v>2400</v>
      </c>
    </row>
    <row r="1569" spans="1:10" x14ac:dyDescent="0.3">
      <c r="A1569" t="s">
        <v>68</v>
      </c>
      <c r="B1569" t="s">
        <v>16</v>
      </c>
      <c r="C1569" t="s">
        <v>11</v>
      </c>
      <c r="D1569" t="s">
        <v>51</v>
      </c>
      <c r="E1569">
        <v>86</v>
      </c>
      <c r="F1569">
        <v>154</v>
      </c>
      <c r="G1569" s="1">
        <v>2375</v>
      </c>
      <c r="H1569" s="1">
        <v>2185</v>
      </c>
      <c r="I1569" s="1">
        <v>5025</v>
      </c>
      <c r="J1569" s="1">
        <v>2300</v>
      </c>
    </row>
    <row r="1570" spans="1:10" x14ac:dyDescent="0.3">
      <c r="A1570" t="s">
        <v>68</v>
      </c>
      <c r="B1570" t="s">
        <v>17</v>
      </c>
      <c r="C1570" t="s">
        <v>11</v>
      </c>
      <c r="D1570" t="s">
        <v>51</v>
      </c>
      <c r="E1570">
        <v>86</v>
      </c>
      <c r="F1570">
        <v>154</v>
      </c>
      <c r="G1570" s="1">
        <v>2203</v>
      </c>
      <c r="H1570" s="1">
        <v>2190</v>
      </c>
      <c r="I1570" s="1">
        <v>7446</v>
      </c>
      <c r="J1570" s="1">
        <v>3400</v>
      </c>
    </row>
    <row r="1571" spans="1:10" x14ac:dyDescent="0.3">
      <c r="A1571" t="s">
        <v>68</v>
      </c>
      <c r="B1571" t="s">
        <v>18</v>
      </c>
      <c r="C1571" t="s">
        <v>11</v>
      </c>
      <c r="D1571" t="s">
        <v>51</v>
      </c>
      <c r="E1571">
        <v>86</v>
      </c>
      <c r="F1571">
        <v>154</v>
      </c>
      <c r="G1571" s="1">
        <v>2400</v>
      </c>
      <c r="H1571" s="1">
        <v>2238</v>
      </c>
      <c r="I1571" s="1">
        <v>3581</v>
      </c>
      <c r="J1571" s="1">
        <v>1600</v>
      </c>
    </row>
    <row r="1572" spans="1:10" x14ac:dyDescent="0.3">
      <c r="A1572" t="s">
        <v>68</v>
      </c>
      <c r="B1572" t="s">
        <v>19</v>
      </c>
      <c r="C1572" t="s">
        <v>11</v>
      </c>
      <c r="D1572" t="s">
        <v>51</v>
      </c>
      <c r="E1572">
        <v>86</v>
      </c>
      <c r="F1572">
        <v>154</v>
      </c>
      <c r="G1572" s="1">
        <v>6860</v>
      </c>
      <c r="H1572" s="1">
        <v>6760</v>
      </c>
      <c r="I1572" s="1">
        <v>17576</v>
      </c>
      <c r="J1572" s="1">
        <v>2600</v>
      </c>
    </row>
    <row r="1573" spans="1:10" x14ac:dyDescent="0.3">
      <c r="A1573" t="s">
        <v>68</v>
      </c>
      <c r="B1573" t="s">
        <v>20</v>
      </c>
      <c r="C1573" t="s">
        <v>11</v>
      </c>
      <c r="D1573" t="s">
        <v>51</v>
      </c>
      <c r="E1573">
        <v>86</v>
      </c>
      <c r="F1573">
        <v>154</v>
      </c>
      <c r="G1573" s="1">
        <v>9100</v>
      </c>
      <c r="H1573" s="1">
        <v>8790</v>
      </c>
      <c r="I1573" s="1">
        <v>28128</v>
      </c>
      <c r="J1573" s="1">
        <v>3200</v>
      </c>
    </row>
    <row r="1574" spans="1:10" x14ac:dyDescent="0.3">
      <c r="A1574" t="s">
        <v>68</v>
      </c>
      <c r="B1574" t="s">
        <v>21</v>
      </c>
      <c r="C1574" t="s">
        <v>11</v>
      </c>
      <c r="D1574" t="s">
        <v>51</v>
      </c>
      <c r="E1574">
        <v>86</v>
      </c>
      <c r="F1574">
        <v>154</v>
      </c>
      <c r="G1574" s="1">
        <v>9100</v>
      </c>
      <c r="H1574" s="1">
        <v>9100</v>
      </c>
      <c r="I1574" s="1">
        <v>29120</v>
      </c>
      <c r="J1574" s="1">
        <v>3200</v>
      </c>
    </row>
    <row r="1575" spans="1:10" x14ac:dyDescent="0.3">
      <c r="A1575" t="s">
        <v>68</v>
      </c>
      <c r="B1575" t="s">
        <v>22</v>
      </c>
      <c r="C1575" t="s">
        <v>11</v>
      </c>
      <c r="D1575" t="s">
        <v>51</v>
      </c>
      <c r="E1575">
        <v>86</v>
      </c>
      <c r="F1575">
        <v>154</v>
      </c>
      <c r="G1575" s="1">
        <v>8190</v>
      </c>
      <c r="H1575" s="1">
        <v>8190</v>
      </c>
      <c r="I1575" s="1">
        <v>25389</v>
      </c>
      <c r="J1575" s="1">
        <v>3100</v>
      </c>
    </row>
    <row r="1576" spans="1:10" x14ac:dyDescent="0.3">
      <c r="A1576" t="s">
        <v>68</v>
      </c>
      <c r="B1576" t="s">
        <v>23</v>
      </c>
      <c r="C1576" t="s">
        <v>11</v>
      </c>
      <c r="D1576" t="s">
        <v>51</v>
      </c>
      <c r="E1576">
        <v>86</v>
      </c>
      <c r="F1576">
        <v>154</v>
      </c>
      <c r="G1576" s="1">
        <v>7490</v>
      </c>
      <c r="H1576" s="1">
        <v>7490</v>
      </c>
      <c r="I1576" s="1">
        <v>17976</v>
      </c>
      <c r="J1576" s="1">
        <v>2400</v>
      </c>
    </row>
    <row r="1577" spans="1:10" x14ac:dyDescent="0.3">
      <c r="A1577" t="s">
        <v>68</v>
      </c>
      <c r="B1577" t="s">
        <v>24</v>
      </c>
      <c r="C1577" t="s">
        <v>11</v>
      </c>
      <c r="D1577" t="s">
        <v>51</v>
      </c>
      <c r="E1577">
        <v>86</v>
      </c>
      <c r="F1577">
        <v>154</v>
      </c>
      <c r="G1577" s="1">
        <v>9600</v>
      </c>
      <c r="H1577" s="1">
        <v>9600</v>
      </c>
      <c r="I1577" s="1">
        <v>24432</v>
      </c>
      <c r="J1577" s="1">
        <v>2545</v>
      </c>
    </row>
    <row r="1578" spans="1:10" x14ac:dyDescent="0.3">
      <c r="A1578" t="s">
        <v>68</v>
      </c>
      <c r="B1578" t="s">
        <v>25</v>
      </c>
      <c r="C1578" t="s">
        <v>11</v>
      </c>
      <c r="D1578" t="s">
        <v>51</v>
      </c>
      <c r="E1578">
        <v>86</v>
      </c>
      <c r="F1578">
        <v>154</v>
      </c>
      <c r="G1578" s="1">
        <v>10250</v>
      </c>
      <c r="H1578" s="1">
        <v>9340</v>
      </c>
      <c r="I1578" s="1">
        <v>23350</v>
      </c>
      <c r="J1578" s="1">
        <v>2500</v>
      </c>
    </row>
    <row r="1579" spans="1:10" x14ac:dyDescent="0.3">
      <c r="A1579" t="s">
        <v>68</v>
      </c>
      <c r="B1579" t="s">
        <v>15</v>
      </c>
      <c r="C1579" t="s">
        <v>11</v>
      </c>
      <c r="D1579" t="s">
        <v>45</v>
      </c>
      <c r="E1579">
        <v>86</v>
      </c>
      <c r="F1579">
        <v>161</v>
      </c>
      <c r="G1579" s="1">
        <v>2850</v>
      </c>
      <c r="H1579" s="1">
        <v>2850</v>
      </c>
      <c r="I1579" s="1">
        <v>7125</v>
      </c>
      <c r="J1579" s="1">
        <v>2500</v>
      </c>
    </row>
    <row r="1580" spans="1:10" x14ac:dyDescent="0.3">
      <c r="A1580" t="s">
        <v>68</v>
      </c>
      <c r="B1580" t="s">
        <v>16</v>
      </c>
      <c r="C1580" t="s">
        <v>11</v>
      </c>
      <c r="D1580" t="s">
        <v>45</v>
      </c>
      <c r="E1580">
        <v>86</v>
      </c>
      <c r="F1580">
        <v>161</v>
      </c>
      <c r="G1580" s="1">
        <v>1710</v>
      </c>
      <c r="H1580" s="1">
        <v>1710</v>
      </c>
      <c r="I1580" s="1">
        <v>4617</v>
      </c>
      <c r="J1580" s="1">
        <v>2700</v>
      </c>
    </row>
    <row r="1581" spans="1:10" x14ac:dyDescent="0.3">
      <c r="A1581" t="s">
        <v>68</v>
      </c>
      <c r="B1581" t="s">
        <v>17</v>
      </c>
      <c r="C1581" t="s">
        <v>11</v>
      </c>
      <c r="D1581" t="s">
        <v>45</v>
      </c>
      <c r="E1581">
        <v>86</v>
      </c>
      <c r="F1581">
        <v>161</v>
      </c>
      <c r="G1581" s="1">
        <v>1900</v>
      </c>
      <c r="H1581" s="1">
        <v>1900</v>
      </c>
      <c r="I1581" s="1">
        <v>6650</v>
      </c>
      <c r="J1581" s="1">
        <v>3500</v>
      </c>
    </row>
    <row r="1582" spans="1:10" x14ac:dyDescent="0.3">
      <c r="A1582" t="s">
        <v>68</v>
      </c>
      <c r="B1582" t="s">
        <v>18</v>
      </c>
      <c r="C1582" t="s">
        <v>11</v>
      </c>
      <c r="D1582" t="s">
        <v>45</v>
      </c>
      <c r="E1582">
        <v>86</v>
      </c>
      <c r="F1582">
        <v>161</v>
      </c>
      <c r="G1582" s="1">
        <v>2850</v>
      </c>
      <c r="H1582" s="1">
        <v>2850</v>
      </c>
      <c r="I1582" s="1">
        <v>8550</v>
      </c>
      <c r="J1582" s="1">
        <v>3000</v>
      </c>
    </row>
    <row r="1583" spans="1:10" x14ac:dyDescent="0.3">
      <c r="A1583" t="s">
        <v>68</v>
      </c>
      <c r="B1583" t="s">
        <v>20</v>
      </c>
      <c r="C1583" t="s">
        <v>11</v>
      </c>
      <c r="D1583" t="s">
        <v>45</v>
      </c>
      <c r="E1583">
        <v>86</v>
      </c>
      <c r="F1583">
        <v>161</v>
      </c>
      <c r="G1583" s="1">
        <v>2000</v>
      </c>
      <c r="H1583" s="1">
        <v>2000</v>
      </c>
      <c r="I1583" s="1">
        <v>6000</v>
      </c>
      <c r="J1583" s="1">
        <v>3000</v>
      </c>
    </row>
    <row r="1584" spans="1:10" x14ac:dyDescent="0.3">
      <c r="A1584" t="s">
        <v>68</v>
      </c>
      <c r="B1584" t="s">
        <v>21</v>
      </c>
      <c r="C1584" t="s">
        <v>11</v>
      </c>
      <c r="D1584" t="s">
        <v>45</v>
      </c>
      <c r="E1584">
        <v>86</v>
      </c>
      <c r="F1584">
        <v>161</v>
      </c>
      <c r="G1584" s="1">
        <v>2000</v>
      </c>
      <c r="H1584" s="1">
        <v>2000</v>
      </c>
      <c r="I1584" s="1">
        <v>6000</v>
      </c>
      <c r="J1584" s="1">
        <v>3000</v>
      </c>
    </row>
    <row r="1585" spans="1:10" x14ac:dyDescent="0.3">
      <c r="A1585" t="s">
        <v>68</v>
      </c>
      <c r="B1585" t="s">
        <v>22</v>
      </c>
      <c r="C1585" t="s">
        <v>11</v>
      </c>
      <c r="D1585" t="s">
        <v>45</v>
      </c>
      <c r="E1585">
        <v>86</v>
      </c>
      <c r="F1585">
        <v>161</v>
      </c>
      <c r="G1585" s="1">
        <v>1000</v>
      </c>
      <c r="H1585" s="1">
        <v>1000</v>
      </c>
      <c r="I1585" s="1">
        <v>2500</v>
      </c>
      <c r="J1585" s="1">
        <v>2500</v>
      </c>
    </row>
    <row r="1586" spans="1:10" x14ac:dyDescent="0.3">
      <c r="A1586" t="s">
        <v>68</v>
      </c>
      <c r="B1586" t="s">
        <v>23</v>
      </c>
      <c r="C1586" t="s">
        <v>11</v>
      </c>
      <c r="D1586" t="s">
        <v>45</v>
      </c>
      <c r="E1586">
        <v>86</v>
      </c>
      <c r="F1586">
        <v>161</v>
      </c>
      <c r="G1586" s="1">
        <v>1000</v>
      </c>
      <c r="H1586" s="1">
        <v>1000</v>
      </c>
      <c r="I1586" s="1">
        <v>1500</v>
      </c>
      <c r="J1586" s="1">
        <v>1500</v>
      </c>
    </row>
    <row r="1587" spans="1:10" x14ac:dyDescent="0.3">
      <c r="A1587" t="s">
        <v>68</v>
      </c>
      <c r="B1587" t="s">
        <v>24</v>
      </c>
      <c r="C1587" t="s">
        <v>11</v>
      </c>
      <c r="D1587" t="s">
        <v>45</v>
      </c>
      <c r="E1587">
        <v>86</v>
      </c>
      <c r="F1587">
        <v>161</v>
      </c>
      <c r="G1587" s="1">
        <v>1000</v>
      </c>
      <c r="H1587" s="1">
        <v>997</v>
      </c>
      <c r="I1587" s="1">
        <v>3450</v>
      </c>
      <c r="J1587" s="1">
        <v>3460</v>
      </c>
    </row>
    <row r="1588" spans="1:10" x14ac:dyDescent="0.3">
      <c r="A1588" t="s">
        <v>68</v>
      </c>
      <c r="B1588" t="s">
        <v>25</v>
      </c>
      <c r="C1588" t="s">
        <v>11</v>
      </c>
      <c r="D1588" t="s">
        <v>45</v>
      </c>
      <c r="E1588">
        <v>86</v>
      </c>
      <c r="F1588">
        <v>161</v>
      </c>
      <c r="G1588" s="1">
        <v>1100</v>
      </c>
      <c r="H1588" s="1">
        <v>1020</v>
      </c>
      <c r="I1588" s="1">
        <v>2856</v>
      </c>
      <c r="J1588" s="1">
        <v>2800</v>
      </c>
    </row>
    <row r="1589" spans="1:10" x14ac:dyDescent="0.3">
      <c r="A1589" t="s">
        <v>68</v>
      </c>
      <c r="B1589" t="s">
        <v>15</v>
      </c>
      <c r="C1589" t="s">
        <v>11</v>
      </c>
      <c r="D1589" t="s">
        <v>46</v>
      </c>
      <c r="E1589">
        <v>86</v>
      </c>
      <c r="F1589">
        <v>175</v>
      </c>
      <c r="G1589" s="1">
        <v>475</v>
      </c>
      <c r="H1589" s="1">
        <v>475</v>
      </c>
      <c r="I1589" s="1">
        <v>1187</v>
      </c>
      <c r="J1589" s="1">
        <v>2499</v>
      </c>
    </row>
    <row r="1590" spans="1:10" x14ac:dyDescent="0.3">
      <c r="A1590" t="s">
        <v>68</v>
      </c>
      <c r="B1590" t="s">
        <v>22</v>
      </c>
      <c r="C1590" t="s">
        <v>11</v>
      </c>
      <c r="D1590" t="s">
        <v>46</v>
      </c>
      <c r="E1590">
        <v>86</v>
      </c>
      <c r="F1590">
        <v>175</v>
      </c>
      <c r="G1590" s="1">
        <v>4000</v>
      </c>
      <c r="H1590" s="1">
        <v>4000</v>
      </c>
      <c r="I1590" s="1">
        <v>10000</v>
      </c>
      <c r="J1590" s="1">
        <v>2500</v>
      </c>
    </row>
    <row r="1591" spans="1:10" x14ac:dyDescent="0.3">
      <c r="A1591" t="s">
        <v>68</v>
      </c>
      <c r="B1591" t="s">
        <v>23</v>
      </c>
      <c r="C1591" t="s">
        <v>11</v>
      </c>
      <c r="D1591" t="s">
        <v>46</v>
      </c>
      <c r="E1591">
        <v>86</v>
      </c>
      <c r="F1591">
        <v>175</v>
      </c>
      <c r="G1591" s="1">
        <v>6000</v>
      </c>
      <c r="H1591" s="1">
        <v>6000</v>
      </c>
      <c r="I1591" s="1">
        <v>9000</v>
      </c>
      <c r="J1591" s="1">
        <v>1500</v>
      </c>
    </row>
    <row r="1592" spans="1:10" x14ac:dyDescent="0.3">
      <c r="A1592" t="s">
        <v>68</v>
      </c>
      <c r="B1592" t="s">
        <v>24</v>
      </c>
      <c r="C1592" t="s">
        <v>11</v>
      </c>
      <c r="D1592" t="s">
        <v>46</v>
      </c>
      <c r="E1592">
        <v>86</v>
      </c>
      <c r="F1592">
        <v>175</v>
      </c>
      <c r="G1592" s="1">
        <v>6000</v>
      </c>
      <c r="H1592" s="1">
        <v>5996</v>
      </c>
      <c r="I1592" s="1">
        <v>20746</v>
      </c>
      <c r="J1592" s="1">
        <v>3460</v>
      </c>
    </row>
    <row r="1593" spans="1:10" x14ac:dyDescent="0.3">
      <c r="A1593" t="s">
        <v>68</v>
      </c>
      <c r="B1593" t="s">
        <v>25</v>
      </c>
      <c r="C1593" t="s">
        <v>11</v>
      </c>
      <c r="D1593" t="s">
        <v>46</v>
      </c>
      <c r="E1593">
        <v>86</v>
      </c>
      <c r="F1593">
        <v>175</v>
      </c>
      <c r="G1593" s="1">
        <v>6600</v>
      </c>
      <c r="H1593" s="1">
        <v>6450</v>
      </c>
      <c r="I1593" s="1">
        <v>16125</v>
      </c>
      <c r="J1593" s="1">
        <v>2500</v>
      </c>
    </row>
    <row r="1594" spans="1:10" x14ac:dyDescent="0.3">
      <c r="A1594" t="s">
        <v>68</v>
      </c>
      <c r="B1594" t="s">
        <v>15</v>
      </c>
      <c r="C1594" t="s">
        <v>11</v>
      </c>
      <c r="D1594" t="s">
        <v>48</v>
      </c>
      <c r="E1594">
        <v>86</v>
      </c>
      <c r="F1594">
        <v>189</v>
      </c>
      <c r="G1594" s="1">
        <v>1425</v>
      </c>
      <c r="H1594" s="1">
        <v>1425</v>
      </c>
      <c r="I1594" s="1">
        <v>3562</v>
      </c>
      <c r="J1594" s="1">
        <v>2500</v>
      </c>
    </row>
    <row r="1595" spans="1:10" x14ac:dyDescent="0.3">
      <c r="A1595" t="s">
        <v>68</v>
      </c>
      <c r="B1595" t="s">
        <v>17</v>
      </c>
      <c r="C1595" t="s">
        <v>11</v>
      </c>
      <c r="D1595" t="s">
        <v>48</v>
      </c>
      <c r="E1595">
        <v>86</v>
      </c>
      <c r="F1595">
        <v>189</v>
      </c>
      <c r="G1595" s="1">
        <v>1900</v>
      </c>
      <c r="H1595" s="1">
        <v>1900</v>
      </c>
      <c r="I1595" s="1">
        <v>6650</v>
      </c>
      <c r="J1595" s="1">
        <v>3500</v>
      </c>
    </row>
    <row r="1596" spans="1:10" x14ac:dyDescent="0.3">
      <c r="A1596" t="s">
        <v>68</v>
      </c>
      <c r="B1596" t="s">
        <v>18</v>
      </c>
      <c r="C1596" t="s">
        <v>11</v>
      </c>
      <c r="D1596" t="s">
        <v>48</v>
      </c>
      <c r="E1596">
        <v>86</v>
      </c>
      <c r="F1596">
        <v>189</v>
      </c>
      <c r="G1596" s="1">
        <v>2375</v>
      </c>
      <c r="H1596" s="1">
        <v>2375</v>
      </c>
      <c r="I1596" s="1">
        <v>7125</v>
      </c>
      <c r="J1596" s="1">
        <v>3000</v>
      </c>
    </row>
    <row r="1597" spans="1:10" x14ac:dyDescent="0.3">
      <c r="A1597" t="s">
        <v>68</v>
      </c>
      <c r="B1597" t="s">
        <v>20</v>
      </c>
      <c r="C1597" t="s">
        <v>11</v>
      </c>
      <c r="D1597" t="s">
        <v>48</v>
      </c>
      <c r="E1597">
        <v>86</v>
      </c>
      <c r="F1597">
        <v>189</v>
      </c>
      <c r="G1597" s="1">
        <v>1500</v>
      </c>
      <c r="H1597" s="1">
        <v>1500</v>
      </c>
      <c r="I1597" s="1">
        <v>4500</v>
      </c>
      <c r="J1597" s="1">
        <v>3000</v>
      </c>
    </row>
    <row r="1598" spans="1:10" x14ac:dyDescent="0.3">
      <c r="A1598" t="s">
        <v>68</v>
      </c>
      <c r="B1598" t="s">
        <v>21</v>
      </c>
      <c r="C1598" t="s">
        <v>11</v>
      </c>
      <c r="D1598" t="s">
        <v>48</v>
      </c>
      <c r="E1598">
        <v>86</v>
      </c>
      <c r="F1598">
        <v>189</v>
      </c>
      <c r="G1598" s="1">
        <v>1500</v>
      </c>
      <c r="H1598" s="1">
        <v>1500</v>
      </c>
      <c r="I1598" s="1">
        <v>4500</v>
      </c>
      <c r="J1598" s="1">
        <v>3000</v>
      </c>
    </row>
    <row r="1599" spans="1:10" x14ac:dyDescent="0.3">
      <c r="A1599" t="s">
        <v>68</v>
      </c>
      <c r="B1599" t="s">
        <v>22</v>
      </c>
      <c r="C1599" t="s">
        <v>11</v>
      </c>
      <c r="D1599" t="s">
        <v>48</v>
      </c>
      <c r="E1599">
        <v>86</v>
      </c>
      <c r="F1599">
        <v>189</v>
      </c>
      <c r="G1599" s="1">
        <v>1500</v>
      </c>
      <c r="H1599" s="1">
        <v>1500</v>
      </c>
      <c r="I1599" s="1">
        <v>3750</v>
      </c>
      <c r="J1599" s="1">
        <v>2500</v>
      </c>
    </row>
    <row r="1600" spans="1:10" x14ac:dyDescent="0.3">
      <c r="A1600" t="s">
        <v>68</v>
      </c>
      <c r="B1600" t="s">
        <v>23</v>
      </c>
      <c r="C1600" t="s">
        <v>11</v>
      </c>
      <c r="D1600" t="s">
        <v>48</v>
      </c>
      <c r="E1600">
        <v>86</v>
      </c>
      <c r="F1600">
        <v>189</v>
      </c>
      <c r="G1600" s="1">
        <v>1500</v>
      </c>
      <c r="H1600" s="1">
        <v>1500</v>
      </c>
      <c r="I1600" s="1">
        <v>2250</v>
      </c>
      <c r="J1600" s="1">
        <v>1500</v>
      </c>
    </row>
    <row r="1601" spans="1:10" x14ac:dyDescent="0.3">
      <c r="A1601" t="s">
        <v>68</v>
      </c>
      <c r="B1601" t="s">
        <v>24</v>
      </c>
      <c r="C1601" t="s">
        <v>11</v>
      </c>
      <c r="D1601" t="s">
        <v>48</v>
      </c>
      <c r="E1601">
        <v>86</v>
      </c>
      <c r="F1601">
        <v>189</v>
      </c>
      <c r="G1601" s="1">
        <v>1500</v>
      </c>
      <c r="H1601" s="1">
        <v>1497</v>
      </c>
      <c r="I1601" s="1">
        <v>5240</v>
      </c>
      <c r="J1601" s="1">
        <v>3500</v>
      </c>
    </row>
    <row r="1602" spans="1:10" x14ac:dyDescent="0.3">
      <c r="A1602" t="s">
        <v>68</v>
      </c>
      <c r="B1602" t="s">
        <v>25</v>
      </c>
      <c r="C1602" t="s">
        <v>11</v>
      </c>
      <c r="D1602" t="s">
        <v>48</v>
      </c>
      <c r="E1602">
        <v>86</v>
      </c>
      <c r="F1602">
        <v>189</v>
      </c>
      <c r="G1602" s="1">
        <v>1650</v>
      </c>
      <c r="H1602" s="1">
        <v>1600</v>
      </c>
      <c r="I1602" s="1">
        <v>3360</v>
      </c>
      <c r="J1602" s="1">
        <v>2100</v>
      </c>
    </row>
    <row r="1603" spans="1:10" x14ac:dyDescent="0.3">
      <c r="A1603" t="s">
        <v>69</v>
      </c>
      <c r="B1603" t="s">
        <v>15</v>
      </c>
      <c r="C1603" t="s">
        <v>11</v>
      </c>
      <c r="D1603" t="s">
        <v>12</v>
      </c>
      <c r="E1603">
        <v>86</v>
      </c>
      <c r="F1603">
        <v>7</v>
      </c>
      <c r="G1603" s="1">
        <v>46500</v>
      </c>
      <c r="H1603" s="1">
        <v>37500</v>
      </c>
      <c r="I1603" s="1">
        <v>86250</v>
      </c>
      <c r="J1603" s="1">
        <v>2300</v>
      </c>
    </row>
    <row r="1604" spans="1:10" x14ac:dyDescent="0.3">
      <c r="A1604" t="s">
        <v>69</v>
      </c>
      <c r="B1604" t="s">
        <v>16</v>
      </c>
      <c r="C1604" t="s">
        <v>11</v>
      </c>
      <c r="D1604" t="s">
        <v>12</v>
      </c>
      <c r="E1604">
        <v>86</v>
      </c>
      <c r="F1604">
        <v>7</v>
      </c>
      <c r="G1604" s="1">
        <v>55000</v>
      </c>
      <c r="H1604" s="1">
        <v>55000</v>
      </c>
      <c r="I1604" s="1">
        <v>132000</v>
      </c>
      <c r="J1604" s="1">
        <v>2400</v>
      </c>
    </row>
    <row r="1605" spans="1:10" x14ac:dyDescent="0.3">
      <c r="A1605" t="s">
        <v>69</v>
      </c>
      <c r="B1605" t="s">
        <v>17</v>
      </c>
      <c r="C1605" t="s">
        <v>11</v>
      </c>
      <c r="D1605" t="s">
        <v>12</v>
      </c>
      <c r="E1605">
        <v>86</v>
      </c>
      <c r="F1605">
        <v>7</v>
      </c>
      <c r="G1605" s="1">
        <v>13740</v>
      </c>
      <c r="H1605" s="1">
        <v>13740</v>
      </c>
      <c r="I1605" s="1">
        <v>49464</v>
      </c>
      <c r="J1605" s="1">
        <v>3600</v>
      </c>
    </row>
    <row r="1606" spans="1:10" x14ac:dyDescent="0.3">
      <c r="A1606" t="s">
        <v>69</v>
      </c>
      <c r="B1606" t="s">
        <v>18</v>
      </c>
      <c r="C1606" t="s">
        <v>11</v>
      </c>
      <c r="D1606" t="s">
        <v>12</v>
      </c>
      <c r="E1606">
        <v>86</v>
      </c>
      <c r="F1606">
        <v>7</v>
      </c>
      <c r="G1606" s="1">
        <v>13740</v>
      </c>
      <c r="H1606" s="1">
        <v>13740</v>
      </c>
      <c r="I1606" s="1">
        <v>21984</v>
      </c>
      <c r="J1606" s="1">
        <v>1600</v>
      </c>
    </row>
    <row r="1607" spans="1:10" x14ac:dyDescent="0.3">
      <c r="A1607" t="s">
        <v>69</v>
      </c>
      <c r="B1607" t="s">
        <v>19</v>
      </c>
      <c r="C1607" t="s">
        <v>11</v>
      </c>
      <c r="D1607" t="s">
        <v>12</v>
      </c>
      <c r="E1607">
        <v>86</v>
      </c>
      <c r="F1607">
        <v>7</v>
      </c>
      <c r="G1607" s="1">
        <v>17297</v>
      </c>
      <c r="H1607" s="1">
        <v>15457</v>
      </c>
      <c r="I1607" s="1">
        <v>44449</v>
      </c>
      <c r="J1607" s="1">
        <v>2876</v>
      </c>
    </row>
    <row r="1608" spans="1:10" x14ac:dyDescent="0.3">
      <c r="A1608" t="s">
        <v>69</v>
      </c>
      <c r="B1608" t="s">
        <v>20</v>
      </c>
      <c r="C1608" t="s">
        <v>11</v>
      </c>
      <c r="D1608" t="s">
        <v>12</v>
      </c>
      <c r="E1608">
        <v>86</v>
      </c>
      <c r="F1608">
        <v>7</v>
      </c>
      <c r="G1608" s="1">
        <v>30500</v>
      </c>
      <c r="H1608" s="1">
        <v>30295</v>
      </c>
      <c r="I1608" s="1">
        <v>97437</v>
      </c>
      <c r="J1608" s="1">
        <v>3216</v>
      </c>
    </row>
    <row r="1609" spans="1:10" x14ac:dyDescent="0.3">
      <c r="A1609" t="s">
        <v>69</v>
      </c>
      <c r="B1609" t="s">
        <v>21</v>
      </c>
      <c r="C1609" t="s">
        <v>11</v>
      </c>
      <c r="D1609" t="s">
        <v>12</v>
      </c>
      <c r="E1609">
        <v>86</v>
      </c>
      <c r="F1609">
        <v>7</v>
      </c>
      <c r="G1609" s="1">
        <v>30500</v>
      </c>
      <c r="H1609" s="1">
        <v>30500</v>
      </c>
      <c r="I1609" s="1">
        <v>94300</v>
      </c>
      <c r="J1609" s="1">
        <v>3092</v>
      </c>
    </row>
    <row r="1610" spans="1:10" x14ac:dyDescent="0.3">
      <c r="A1610" t="s">
        <v>69</v>
      </c>
      <c r="B1610" t="s">
        <v>22</v>
      </c>
      <c r="C1610" t="s">
        <v>11</v>
      </c>
      <c r="D1610" t="s">
        <v>12</v>
      </c>
      <c r="E1610">
        <v>86</v>
      </c>
      <c r="F1610">
        <v>7</v>
      </c>
      <c r="G1610" s="1">
        <v>30500</v>
      </c>
      <c r="H1610" s="1">
        <v>30500</v>
      </c>
      <c r="I1610" s="1">
        <v>85400</v>
      </c>
      <c r="J1610" s="1">
        <v>2800</v>
      </c>
    </row>
    <row r="1611" spans="1:10" x14ac:dyDescent="0.3">
      <c r="A1611" t="s">
        <v>69</v>
      </c>
      <c r="B1611" t="s">
        <v>23</v>
      </c>
      <c r="C1611" t="s">
        <v>11</v>
      </c>
      <c r="D1611" t="s">
        <v>12</v>
      </c>
      <c r="E1611">
        <v>86</v>
      </c>
      <c r="F1611">
        <v>7</v>
      </c>
      <c r="G1611" s="1">
        <v>30500</v>
      </c>
      <c r="H1611" s="1">
        <v>30500</v>
      </c>
      <c r="I1611" s="1">
        <v>73900</v>
      </c>
      <c r="J1611" s="1">
        <v>2423</v>
      </c>
    </row>
    <row r="1612" spans="1:10" x14ac:dyDescent="0.3">
      <c r="A1612" t="s">
        <v>69</v>
      </c>
      <c r="B1612" t="s">
        <v>24</v>
      </c>
      <c r="C1612" t="s">
        <v>11</v>
      </c>
      <c r="D1612" t="s">
        <v>12</v>
      </c>
      <c r="E1612">
        <v>86</v>
      </c>
      <c r="F1612">
        <v>7</v>
      </c>
      <c r="G1612" s="1">
        <v>30100</v>
      </c>
      <c r="H1612" s="1">
        <v>29650</v>
      </c>
      <c r="I1612" s="1">
        <v>69717</v>
      </c>
      <c r="J1612" s="1">
        <v>2351</v>
      </c>
    </row>
    <row r="1613" spans="1:10" x14ac:dyDescent="0.3">
      <c r="A1613" t="s">
        <v>69</v>
      </c>
      <c r="B1613" t="s">
        <v>25</v>
      </c>
      <c r="C1613" t="s">
        <v>11</v>
      </c>
      <c r="D1613" t="s">
        <v>12</v>
      </c>
      <c r="E1613">
        <v>86</v>
      </c>
      <c r="F1613">
        <v>7</v>
      </c>
      <c r="G1613" s="1">
        <v>38300</v>
      </c>
      <c r="H1613" s="1">
        <v>36760</v>
      </c>
      <c r="I1613" s="1">
        <v>87062</v>
      </c>
      <c r="J1613" s="1">
        <v>2368</v>
      </c>
    </row>
    <row r="1614" spans="1:10" x14ac:dyDescent="0.3">
      <c r="A1614" t="s">
        <v>69</v>
      </c>
      <c r="B1614" t="s">
        <v>15</v>
      </c>
      <c r="C1614" t="s">
        <v>11</v>
      </c>
      <c r="D1614" t="s">
        <v>26</v>
      </c>
      <c r="E1614">
        <v>86</v>
      </c>
      <c r="F1614">
        <v>14</v>
      </c>
      <c r="G1614" s="1">
        <v>95000</v>
      </c>
      <c r="H1614" s="1">
        <v>94000</v>
      </c>
      <c r="I1614" s="1">
        <v>244400</v>
      </c>
      <c r="J1614" s="1">
        <v>2600</v>
      </c>
    </row>
    <row r="1615" spans="1:10" x14ac:dyDescent="0.3">
      <c r="A1615" t="s">
        <v>69</v>
      </c>
      <c r="B1615" t="s">
        <v>16</v>
      </c>
      <c r="C1615" t="s">
        <v>11</v>
      </c>
      <c r="D1615" t="s">
        <v>26</v>
      </c>
      <c r="E1615">
        <v>86</v>
      </c>
      <c r="F1615">
        <v>14</v>
      </c>
      <c r="G1615" s="1">
        <v>116000</v>
      </c>
      <c r="H1615" s="1">
        <v>116000</v>
      </c>
      <c r="I1615" s="1">
        <v>336400</v>
      </c>
      <c r="J1615" s="1">
        <v>2900</v>
      </c>
    </row>
    <row r="1616" spans="1:10" x14ac:dyDescent="0.3">
      <c r="A1616" t="s">
        <v>69</v>
      </c>
      <c r="B1616" t="s">
        <v>17</v>
      </c>
      <c r="C1616" t="s">
        <v>11</v>
      </c>
      <c r="D1616" t="s">
        <v>26</v>
      </c>
      <c r="E1616">
        <v>86</v>
      </c>
      <c r="F1616">
        <v>14</v>
      </c>
      <c r="G1616" s="1">
        <v>68080</v>
      </c>
      <c r="H1616" s="1">
        <v>68080</v>
      </c>
      <c r="I1616" s="1">
        <v>265512</v>
      </c>
      <c r="J1616" s="1">
        <v>3900</v>
      </c>
    </row>
    <row r="1617" spans="1:10" x14ac:dyDescent="0.3">
      <c r="A1617" t="s">
        <v>69</v>
      </c>
      <c r="B1617" t="s">
        <v>18</v>
      </c>
      <c r="C1617" t="s">
        <v>11</v>
      </c>
      <c r="D1617" t="s">
        <v>26</v>
      </c>
      <c r="E1617">
        <v>86</v>
      </c>
      <c r="F1617">
        <v>14</v>
      </c>
      <c r="G1617" s="1">
        <v>69000</v>
      </c>
      <c r="H1617" s="1">
        <v>69000</v>
      </c>
      <c r="I1617" s="1">
        <v>227700</v>
      </c>
      <c r="J1617" s="1">
        <v>3300</v>
      </c>
    </row>
    <row r="1618" spans="1:10" x14ac:dyDescent="0.3">
      <c r="A1618" t="s">
        <v>69</v>
      </c>
      <c r="B1618" t="s">
        <v>19</v>
      </c>
      <c r="C1618" t="s">
        <v>11</v>
      </c>
      <c r="D1618" t="s">
        <v>26</v>
      </c>
      <c r="E1618">
        <v>86</v>
      </c>
      <c r="F1618">
        <v>14</v>
      </c>
      <c r="G1618" s="1">
        <v>114800</v>
      </c>
      <c r="H1618" s="1">
        <v>110800</v>
      </c>
      <c r="I1618" s="1">
        <v>342323</v>
      </c>
      <c r="J1618" s="1">
        <v>3090</v>
      </c>
    </row>
    <row r="1619" spans="1:10" x14ac:dyDescent="0.3">
      <c r="A1619" t="s">
        <v>69</v>
      </c>
      <c r="B1619" t="s">
        <v>20</v>
      </c>
      <c r="C1619" t="s">
        <v>11</v>
      </c>
      <c r="D1619" t="s">
        <v>26</v>
      </c>
      <c r="E1619">
        <v>86</v>
      </c>
      <c r="F1619">
        <v>14</v>
      </c>
      <c r="G1619" s="1">
        <v>124150</v>
      </c>
      <c r="H1619" s="1">
        <v>123360</v>
      </c>
      <c r="I1619" s="1">
        <v>421911</v>
      </c>
      <c r="J1619" s="1">
        <v>3420</v>
      </c>
    </row>
    <row r="1620" spans="1:10" x14ac:dyDescent="0.3">
      <c r="A1620" t="s">
        <v>69</v>
      </c>
      <c r="B1620" t="s">
        <v>21</v>
      </c>
      <c r="C1620" t="s">
        <v>11</v>
      </c>
      <c r="D1620" t="s">
        <v>26</v>
      </c>
      <c r="E1620">
        <v>86</v>
      </c>
      <c r="F1620">
        <v>14</v>
      </c>
      <c r="G1620" s="1">
        <v>124150</v>
      </c>
      <c r="H1620" s="1">
        <v>124150</v>
      </c>
      <c r="I1620" s="1">
        <v>387660</v>
      </c>
      <c r="J1620" s="1">
        <v>3123</v>
      </c>
    </row>
    <row r="1621" spans="1:10" x14ac:dyDescent="0.3">
      <c r="A1621" t="s">
        <v>69</v>
      </c>
      <c r="B1621" t="s">
        <v>22</v>
      </c>
      <c r="C1621" t="s">
        <v>11</v>
      </c>
      <c r="D1621" t="s">
        <v>26</v>
      </c>
      <c r="E1621">
        <v>86</v>
      </c>
      <c r="F1621">
        <v>14</v>
      </c>
      <c r="G1621" s="1">
        <v>121355</v>
      </c>
      <c r="H1621" s="1">
        <v>121355</v>
      </c>
      <c r="I1621" s="1">
        <v>397956</v>
      </c>
      <c r="J1621" s="1">
        <v>3279</v>
      </c>
    </row>
    <row r="1622" spans="1:10" x14ac:dyDescent="0.3">
      <c r="A1622" t="s">
        <v>69</v>
      </c>
      <c r="B1622" t="s">
        <v>23</v>
      </c>
      <c r="C1622" t="s">
        <v>11</v>
      </c>
      <c r="D1622" t="s">
        <v>26</v>
      </c>
      <c r="E1622">
        <v>86</v>
      </c>
      <c r="F1622">
        <v>14</v>
      </c>
      <c r="G1622" s="1">
        <v>122455</v>
      </c>
      <c r="H1622" s="1">
        <v>122455</v>
      </c>
      <c r="I1622" s="1">
        <v>334028</v>
      </c>
      <c r="J1622" s="1">
        <v>2728</v>
      </c>
    </row>
    <row r="1623" spans="1:10" x14ac:dyDescent="0.3">
      <c r="A1623" t="s">
        <v>69</v>
      </c>
      <c r="B1623" t="s">
        <v>24</v>
      </c>
      <c r="C1623" t="s">
        <v>11</v>
      </c>
      <c r="D1623" t="s">
        <v>26</v>
      </c>
      <c r="E1623">
        <v>86</v>
      </c>
      <c r="F1623">
        <v>14</v>
      </c>
      <c r="G1623" s="1">
        <v>117500</v>
      </c>
      <c r="H1623" s="1">
        <v>112780</v>
      </c>
      <c r="I1623" s="1">
        <v>199254</v>
      </c>
      <c r="J1623" s="1">
        <v>1767</v>
      </c>
    </row>
    <row r="1624" spans="1:10" x14ac:dyDescent="0.3">
      <c r="A1624" t="s">
        <v>69</v>
      </c>
      <c r="B1624" t="s">
        <v>25</v>
      </c>
      <c r="C1624" t="s">
        <v>11</v>
      </c>
      <c r="D1624" t="s">
        <v>26</v>
      </c>
      <c r="E1624">
        <v>86</v>
      </c>
      <c r="F1624">
        <v>14</v>
      </c>
      <c r="G1624" s="1">
        <v>143930</v>
      </c>
      <c r="H1624" s="1">
        <v>103626</v>
      </c>
      <c r="I1624" s="1">
        <v>72538</v>
      </c>
      <c r="J1624" s="1">
        <v>700</v>
      </c>
    </row>
    <row r="1625" spans="1:10" x14ac:dyDescent="0.3">
      <c r="A1625" t="s">
        <v>69</v>
      </c>
      <c r="B1625" t="s">
        <v>23</v>
      </c>
      <c r="C1625" t="s">
        <v>11</v>
      </c>
      <c r="D1625" t="s">
        <v>27</v>
      </c>
      <c r="E1625">
        <v>86</v>
      </c>
      <c r="F1625">
        <v>21</v>
      </c>
      <c r="G1625" s="1">
        <v>500</v>
      </c>
      <c r="H1625" s="1">
        <v>500</v>
      </c>
      <c r="I1625" s="1">
        <v>750</v>
      </c>
      <c r="J1625" s="1">
        <v>1500</v>
      </c>
    </row>
    <row r="1626" spans="1:10" x14ac:dyDescent="0.3">
      <c r="A1626" t="s">
        <v>69</v>
      </c>
      <c r="B1626" t="s">
        <v>24</v>
      </c>
      <c r="C1626" t="s">
        <v>11</v>
      </c>
      <c r="D1626" t="s">
        <v>27</v>
      </c>
      <c r="E1626">
        <v>86</v>
      </c>
      <c r="F1626">
        <v>21</v>
      </c>
      <c r="G1626" s="1">
        <v>500</v>
      </c>
      <c r="H1626" s="1">
        <v>500</v>
      </c>
      <c r="I1626" s="1">
        <v>1520</v>
      </c>
      <c r="J1626" s="1">
        <v>3040</v>
      </c>
    </row>
    <row r="1627" spans="1:10" x14ac:dyDescent="0.3">
      <c r="A1627" t="s">
        <v>69</v>
      </c>
      <c r="B1627" t="s">
        <v>25</v>
      </c>
      <c r="C1627" t="s">
        <v>11</v>
      </c>
      <c r="D1627" t="s">
        <v>27</v>
      </c>
      <c r="E1627">
        <v>86</v>
      </c>
      <c r="F1627">
        <v>21</v>
      </c>
      <c r="G1627" s="1">
        <v>575</v>
      </c>
      <c r="H1627" s="1">
        <v>540</v>
      </c>
      <c r="I1627" s="1">
        <v>1188</v>
      </c>
      <c r="J1627" s="1">
        <v>2200</v>
      </c>
    </row>
    <row r="1628" spans="1:10" x14ac:dyDescent="0.3">
      <c r="A1628" t="s">
        <v>69</v>
      </c>
      <c r="B1628" t="s">
        <v>15</v>
      </c>
      <c r="C1628" t="s">
        <v>11</v>
      </c>
      <c r="D1628" t="s">
        <v>28</v>
      </c>
      <c r="E1628">
        <v>86</v>
      </c>
      <c r="F1628">
        <v>28</v>
      </c>
      <c r="G1628" s="1">
        <v>3500</v>
      </c>
      <c r="H1628" s="1">
        <v>2500</v>
      </c>
      <c r="I1628" s="1">
        <v>5000</v>
      </c>
      <c r="J1628" s="1">
        <v>2000</v>
      </c>
    </row>
    <row r="1629" spans="1:10" x14ac:dyDescent="0.3">
      <c r="A1629" t="s">
        <v>69</v>
      </c>
      <c r="B1629" t="s">
        <v>16</v>
      </c>
      <c r="C1629" t="s">
        <v>11</v>
      </c>
      <c r="D1629" t="s">
        <v>28</v>
      </c>
      <c r="E1629">
        <v>86</v>
      </c>
      <c r="F1629">
        <v>28</v>
      </c>
      <c r="G1629" s="1">
        <v>3500</v>
      </c>
      <c r="H1629" s="1">
        <v>3500</v>
      </c>
      <c r="I1629" s="1">
        <v>7350</v>
      </c>
      <c r="J1629" s="1">
        <v>2100</v>
      </c>
    </row>
    <row r="1630" spans="1:10" x14ac:dyDescent="0.3">
      <c r="A1630" t="s">
        <v>69</v>
      </c>
      <c r="B1630" t="s">
        <v>17</v>
      </c>
      <c r="C1630" t="s">
        <v>11</v>
      </c>
      <c r="D1630" t="s">
        <v>28</v>
      </c>
      <c r="E1630">
        <v>86</v>
      </c>
      <c r="F1630">
        <v>28</v>
      </c>
      <c r="G1630" s="1">
        <v>3500</v>
      </c>
      <c r="H1630" s="1">
        <v>3380</v>
      </c>
      <c r="I1630" s="1">
        <v>11492</v>
      </c>
      <c r="J1630" s="1">
        <v>3400</v>
      </c>
    </row>
    <row r="1631" spans="1:10" x14ac:dyDescent="0.3">
      <c r="A1631" t="s">
        <v>69</v>
      </c>
      <c r="B1631" t="s">
        <v>18</v>
      </c>
      <c r="C1631" t="s">
        <v>11</v>
      </c>
      <c r="D1631" t="s">
        <v>28</v>
      </c>
      <c r="E1631">
        <v>86</v>
      </c>
      <c r="F1631">
        <v>28</v>
      </c>
      <c r="G1631" s="1">
        <v>50</v>
      </c>
      <c r="H1631" s="1">
        <v>50</v>
      </c>
      <c r="I1631" s="1">
        <v>140</v>
      </c>
      <c r="J1631" s="1">
        <v>2800</v>
      </c>
    </row>
    <row r="1632" spans="1:10" x14ac:dyDescent="0.3">
      <c r="A1632" t="s">
        <v>69</v>
      </c>
      <c r="B1632" t="s">
        <v>19</v>
      </c>
      <c r="C1632" t="s">
        <v>11</v>
      </c>
      <c r="D1632" t="s">
        <v>28</v>
      </c>
      <c r="E1632">
        <v>86</v>
      </c>
      <c r="F1632">
        <v>28</v>
      </c>
      <c r="G1632" s="1">
        <v>3500</v>
      </c>
      <c r="H1632" s="1">
        <v>3380</v>
      </c>
      <c r="I1632" s="1">
        <v>10478</v>
      </c>
      <c r="J1632" s="1">
        <v>3100</v>
      </c>
    </row>
    <row r="1633" spans="1:10" x14ac:dyDescent="0.3">
      <c r="A1633" t="s">
        <v>69</v>
      </c>
      <c r="B1633" t="s">
        <v>20</v>
      </c>
      <c r="C1633" t="s">
        <v>11</v>
      </c>
      <c r="D1633" t="s">
        <v>28</v>
      </c>
      <c r="E1633">
        <v>86</v>
      </c>
      <c r="F1633">
        <v>28</v>
      </c>
      <c r="G1633" s="1">
        <v>3600</v>
      </c>
      <c r="H1633" s="1">
        <v>3600</v>
      </c>
      <c r="I1633" s="1">
        <v>10800</v>
      </c>
      <c r="J1633" s="1">
        <v>3000</v>
      </c>
    </row>
    <row r="1634" spans="1:10" x14ac:dyDescent="0.3">
      <c r="A1634" t="s">
        <v>69</v>
      </c>
      <c r="B1634" t="s">
        <v>21</v>
      </c>
      <c r="C1634" t="s">
        <v>11</v>
      </c>
      <c r="D1634" t="s">
        <v>28</v>
      </c>
      <c r="E1634">
        <v>86</v>
      </c>
      <c r="F1634">
        <v>28</v>
      </c>
      <c r="G1634" s="1">
        <v>3600</v>
      </c>
      <c r="H1634" s="1">
        <v>3600</v>
      </c>
      <c r="I1634" s="1">
        <v>11520</v>
      </c>
      <c r="J1634" s="1">
        <v>3200</v>
      </c>
    </row>
    <row r="1635" spans="1:10" x14ac:dyDescent="0.3">
      <c r="A1635" t="s">
        <v>69</v>
      </c>
      <c r="B1635" t="s">
        <v>22</v>
      </c>
      <c r="C1635" t="s">
        <v>11</v>
      </c>
      <c r="D1635" t="s">
        <v>28</v>
      </c>
      <c r="E1635">
        <v>86</v>
      </c>
      <c r="F1635">
        <v>28</v>
      </c>
      <c r="G1635" s="1">
        <v>3600</v>
      </c>
      <c r="H1635" s="1">
        <v>3600</v>
      </c>
      <c r="I1635" s="1">
        <v>10440</v>
      </c>
      <c r="J1635" s="1">
        <v>2900</v>
      </c>
    </row>
    <row r="1636" spans="1:10" x14ac:dyDescent="0.3">
      <c r="A1636" t="s">
        <v>69</v>
      </c>
      <c r="B1636" t="s">
        <v>23</v>
      </c>
      <c r="C1636" t="s">
        <v>11</v>
      </c>
      <c r="D1636" t="s">
        <v>28</v>
      </c>
      <c r="E1636">
        <v>86</v>
      </c>
      <c r="F1636">
        <v>28</v>
      </c>
      <c r="G1636" s="1">
        <v>5600</v>
      </c>
      <c r="H1636" s="1">
        <v>5600</v>
      </c>
      <c r="I1636" s="1">
        <v>14392</v>
      </c>
      <c r="J1636" s="1">
        <v>2570</v>
      </c>
    </row>
    <row r="1637" spans="1:10" x14ac:dyDescent="0.3">
      <c r="A1637" t="s">
        <v>69</v>
      </c>
      <c r="B1637" t="s">
        <v>24</v>
      </c>
      <c r="C1637" t="s">
        <v>11</v>
      </c>
      <c r="D1637" t="s">
        <v>28</v>
      </c>
      <c r="E1637">
        <v>86</v>
      </c>
      <c r="F1637">
        <v>28</v>
      </c>
      <c r="G1637" s="1">
        <v>4800</v>
      </c>
      <c r="H1637" s="1">
        <v>4680</v>
      </c>
      <c r="I1637" s="1">
        <v>11326</v>
      </c>
      <c r="J1637" s="1">
        <v>2420</v>
      </c>
    </row>
    <row r="1638" spans="1:10" x14ac:dyDescent="0.3">
      <c r="A1638" t="s">
        <v>69</v>
      </c>
      <c r="B1638" t="s">
        <v>25</v>
      </c>
      <c r="C1638" t="s">
        <v>11</v>
      </c>
      <c r="D1638" t="s">
        <v>28</v>
      </c>
      <c r="E1638">
        <v>86</v>
      </c>
      <c r="F1638">
        <v>28</v>
      </c>
      <c r="G1638" s="1">
        <v>5850</v>
      </c>
      <c r="H1638" s="1">
        <v>5640</v>
      </c>
      <c r="I1638" s="1">
        <v>10152</v>
      </c>
      <c r="J1638" s="1">
        <v>1800</v>
      </c>
    </row>
    <row r="1639" spans="1:10" x14ac:dyDescent="0.3">
      <c r="A1639" t="s">
        <v>69</v>
      </c>
      <c r="B1639" t="s">
        <v>15</v>
      </c>
      <c r="C1639" t="s">
        <v>11</v>
      </c>
      <c r="D1639" t="s">
        <v>29</v>
      </c>
      <c r="E1639">
        <v>86</v>
      </c>
      <c r="F1639">
        <v>35</v>
      </c>
      <c r="G1639" s="1">
        <v>4000</v>
      </c>
      <c r="H1639" s="1">
        <v>4000</v>
      </c>
      <c r="I1639" s="1">
        <v>10000</v>
      </c>
      <c r="J1639" s="1">
        <v>2500</v>
      </c>
    </row>
    <row r="1640" spans="1:10" x14ac:dyDescent="0.3">
      <c r="A1640" t="s">
        <v>69</v>
      </c>
      <c r="B1640" t="s">
        <v>16</v>
      </c>
      <c r="C1640" t="s">
        <v>11</v>
      </c>
      <c r="D1640" t="s">
        <v>29</v>
      </c>
      <c r="E1640">
        <v>86</v>
      </c>
      <c r="F1640">
        <v>35</v>
      </c>
      <c r="G1640" s="1">
        <v>4000</v>
      </c>
      <c r="H1640" s="1">
        <v>4000</v>
      </c>
      <c r="I1640" s="1">
        <v>8800</v>
      </c>
      <c r="J1640" s="1">
        <v>2200</v>
      </c>
    </row>
    <row r="1641" spans="1:10" x14ac:dyDescent="0.3">
      <c r="A1641" t="s">
        <v>69</v>
      </c>
      <c r="B1641" t="s">
        <v>17</v>
      </c>
      <c r="C1641" t="s">
        <v>11</v>
      </c>
      <c r="D1641" t="s">
        <v>29</v>
      </c>
      <c r="E1641">
        <v>86</v>
      </c>
      <c r="F1641">
        <v>35</v>
      </c>
      <c r="G1641" s="1">
        <v>4000</v>
      </c>
      <c r="H1641" s="1">
        <v>4000</v>
      </c>
      <c r="I1641" s="1">
        <v>12000</v>
      </c>
      <c r="J1641" s="1">
        <v>3000</v>
      </c>
    </row>
    <row r="1642" spans="1:10" x14ac:dyDescent="0.3">
      <c r="A1642" t="s">
        <v>69</v>
      </c>
      <c r="B1642" t="s">
        <v>18</v>
      </c>
      <c r="C1642" t="s">
        <v>11</v>
      </c>
      <c r="D1642" t="s">
        <v>29</v>
      </c>
      <c r="E1642">
        <v>86</v>
      </c>
      <c r="F1642">
        <v>35</v>
      </c>
      <c r="G1642" s="1">
        <v>4000</v>
      </c>
      <c r="H1642" s="1">
        <v>4000</v>
      </c>
      <c r="I1642" s="1">
        <v>10000</v>
      </c>
      <c r="J1642" s="1">
        <v>2500</v>
      </c>
    </row>
    <row r="1643" spans="1:10" x14ac:dyDescent="0.3">
      <c r="A1643" t="s">
        <v>69</v>
      </c>
      <c r="B1643" t="s">
        <v>19</v>
      </c>
      <c r="C1643" t="s">
        <v>11</v>
      </c>
      <c r="D1643" t="s">
        <v>29</v>
      </c>
      <c r="E1643">
        <v>86</v>
      </c>
      <c r="F1643">
        <v>35</v>
      </c>
      <c r="G1643" s="1">
        <v>4600</v>
      </c>
      <c r="H1643" s="1">
        <v>4600</v>
      </c>
      <c r="I1643" s="1">
        <v>13800</v>
      </c>
      <c r="J1643" s="1">
        <v>3000</v>
      </c>
    </row>
    <row r="1644" spans="1:10" x14ac:dyDescent="0.3">
      <c r="A1644" t="s">
        <v>69</v>
      </c>
      <c r="B1644" t="s">
        <v>20</v>
      </c>
      <c r="C1644" t="s">
        <v>11</v>
      </c>
      <c r="D1644" t="s">
        <v>29</v>
      </c>
      <c r="E1644">
        <v>86</v>
      </c>
      <c r="F1644">
        <v>35</v>
      </c>
      <c r="G1644" s="1">
        <v>4000</v>
      </c>
      <c r="H1644" s="1">
        <v>4000</v>
      </c>
      <c r="I1644" s="1">
        <v>12000</v>
      </c>
      <c r="J1644" s="1">
        <v>3000</v>
      </c>
    </row>
    <row r="1645" spans="1:10" x14ac:dyDescent="0.3">
      <c r="A1645" t="s">
        <v>69</v>
      </c>
      <c r="B1645" t="s">
        <v>21</v>
      </c>
      <c r="C1645" t="s">
        <v>11</v>
      </c>
      <c r="D1645" t="s">
        <v>29</v>
      </c>
      <c r="E1645">
        <v>86</v>
      </c>
      <c r="F1645">
        <v>35</v>
      </c>
      <c r="G1645" s="1">
        <v>4000</v>
      </c>
      <c r="H1645" s="1">
        <v>4000</v>
      </c>
      <c r="I1645" s="1">
        <v>12000</v>
      </c>
      <c r="J1645" s="1">
        <v>3000</v>
      </c>
    </row>
    <row r="1646" spans="1:10" x14ac:dyDescent="0.3">
      <c r="A1646" t="s">
        <v>69</v>
      </c>
      <c r="B1646" t="s">
        <v>22</v>
      </c>
      <c r="C1646" t="s">
        <v>11</v>
      </c>
      <c r="D1646" t="s">
        <v>29</v>
      </c>
      <c r="E1646">
        <v>86</v>
      </c>
      <c r="F1646">
        <v>35</v>
      </c>
      <c r="G1646" s="1">
        <v>4500</v>
      </c>
      <c r="H1646" s="1">
        <v>4500</v>
      </c>
      <c r="I1646" s="1">
        <v>11250</v>
      </c>
      <c r="J1646" s="1">
        <v>2500</v>
      </c>
    </row>
    <row r="1647" spans="1:10" x14ac:dyDescent="0.3">
      <c r="A1647" t="s">
        <v>69</v>
      </c>
      <c r="B1647" t="s">
        <v>23</v>
      </c>
      <c r="C1647" t="s">
        <v>11</v>
      </c>
      <c r="D1647" t="s">
        <v>29</v>
      </c>
      <c r="E1647">
        <v>86</v>
      </c>
      <c r="F1647">
        <v>35</v>
      </c>
      <c r="G1647" s="1">
        <v>5000</v>
      </c>
      <c r="H1647" s="1">
        <v>5000</v>
      </c>
      <c r="I1647" s="1">
        <v>7500</v>
      </c>
      <c r="J1647" s="1">
        <v>1500</v>
      </c>
    </row>
    <row r="1648" spans="1:10" x14ac:dyDescent="0.3">
      <c r="A1648" t="s">
        <v>69</v>
      </c>
      <c r="B1648" t="s">
        <v>24</v>
      </c>
      <c r="C1648" t="s">
        <v>11</v>
      </c>
      <c r="D1648" t="s">
        <v>29</v>
      </c>
      <c r="E1648">
        <v>86</v>
      </c>
      <c r="F1648">
        <v>35</v>
      </c>
      <c r="G1648" s="1">
        <v>5000</v>
      </c>
      <c r="H1648" s="1">
        <v>5000</v>
      </c>
      <c r="I1648" s="1">
        <v>15048</v>
      </c>
      <c r="J1648" s="1">
        <v>3010</v>
      </c>
    </row>
    <row r="1649" spans="1:10" x14ac:dyDescent="0.3">
      <c r="A1649" t="s">
        <v>69</v>
      </c>
      <c r="B1649" t="s">
        <v>25</v>
      </c>
      <c r="C1649" t="s">
        <v>11</v>
      </c>
      <c r="D1649" t="s">
        <v>29</v>
      </c>
      <c r="E1649">
        <v>86</v>
      </c>
      <c r="F1649">
        <v>35</v>
      </c>
      <c r="G1649" s="1">
        <v>5800</v>
      </c>
      <c r="H1649" s="1">
        <v>5715</v>
      </c>
      <c r="I1649" s="1">
        <v>15187</v>
      </c>
      <c r="J1649" s="1">
        <v>2657</v>
      </c>
    </row>
    <row r="1650" spans="1:10" x14ac:dyDescent="0.3">
      <c r="A1650" t="s">
        <v>69</v>
      </c>
      <c r="B1650" t="s">
        <v>15</v>
      </c>
      <c r="C1650" t="s">
        <v>11</v>
      </c>
      <c r="D1650" t="s">
        <v>30</v>
      </c>
      <c r="E1650">
        <v>86</v>
      </c>
      <c r="F1650">
        <v>42</v>
      </c>
      <c r="G1650" s="1">
        <v>105000</v>
      </c>
      <c r="H1650" s="1">
        <v>74000</v>
      </c>
      <c r="I1650" s="1">
        <v>133200</v>
      </c>
      <c r="J1650" s="1">
        <v>1800</v>
      </c>
    </row>
    <row r="1651" spans="1:10" x14ac:dyDescent="0.3">
      <c r="A1651" t="s">
        <v>69</v>
      </c>
      <c r="B1651" t="s">
        <v>16</v>
      </c>
      <c r="C1651" t="s">
        <v>11</v>
      </c>
      <c r="D1651" t="s">
        <v>30</v>
      </c>
      <c r="E1651">
        <v>86</v>
      </c>
      <c r="F1651">
        <v>42</v>
      </c>
      <c r="G1651" s="1">
        <v>112000</v>
      </c>
      <c r="H1651" s="1">
        <v>102000</v>
      </c>
      <c r="I1651" s="1">
        <v>275400</v>
      </c>
      <c r="J1651" s="1">
        <v>2700</v>
      </c>
    </row>
    <row r="1652" spans="1:10" x14ac:dyDescent="0.3">
      <c r="A1652" t="s">
        <v>69</v>
      </c>
      <c r="B1652" t="s">
        <v>17</v>
      </c>
      <c r="C1652" t="s">
        <v>11</v>
      </c>
      <c r="D1652" t="s">
        <v>30</v>
      </c>
      <c r="E1652">
        <v>86</v>
      </c>
      <c r="F1652">
        <v>42</v>
      </c>
      <c r="G1652" s="1">
        <v>103000</v>
      </c>
      <c r="H1652" s="1">
        <v>101170</v>
      </c>
      <c r="I1652" s="1">
        <v>374329</v>
      </c>
      <c r="J1652" s="1">
        <v>3700</v>
      </c>
    </row>
    <row r="1653" spans="1:10" x14ac:dyDescent="0.3">
      <c r="A1653" t="s">
        <v>69</v>
      </c>
      <c r="B1653" t="s">
        <v>18</v>
      </c>
      <c r="C1653" t="s">
        <v>11</v>
      </c>
      <c r="D1653" t="s">
        <v>30</v>
      </c>
      <c r="E1653">
        <v>86</v>
      </c>
      <c r="F1653">
        <v>42</v>
      </c>
      <c r="G1653" s="1">
        <v>104000</v>
      </c>
      <c r="H1653" s="1">
        <v>104000</v>
      </c>
      <c r="I1653" s="1">
        <v>249600</v>
      </c>
      <c r="J1653" s="1">
        <v>2400</v>
      </c>
    </row>
    <row r="1654" spans="1:10" x14ac:dyDescent="0.3">
      <c r="A1654" t="s">
        <v>69</v>
      </c>
      <c r="B1654" t="s">
        <v>19</v>
      </c>
      <c r="C1654" t="s">
        <v>11</v>
      </c>
      <c r="D1654" t="s">
        <v>30</v>
      </c>
      <c r="E1654">
        <v>86</v>
      </c>
      <c r="F1654">
        <v>42</v>
      </c>
      <c r="G1654" s="1">
        <v>114800</v>
      </c>
      <c r="H1654" s="1">
        <v>99450</v>
      </c>
      <c r="I1654" s="1">
        <v>313085</v>
      </c>
      <c r="J1654" s="1">
        <v>3148</v>
      </c>
    </row>
    <row r="1655" spans="1:10" x14ac:dyDescent="0.3">
      <c r="A1655" t="s">
        <v>69</v>
      </c>
      <c r="B1655" t="s">
        <v>20</v>
      </c>
      <c r="C1655" t="s">
        <v>11</v>
      </c>
      <c r="D1655" t="s">
        <v>30</v>
      </c>
      <c r="E1655">
        <v>86</v>
      </c>
      <c r="F1655">
        <v>42</v>
      </c>
      <c r="G1655" s="1">
        <v>117500</v>
      </c>
      <c r="H1655" s="1">
        <v>116700</v>
      </c>
      <c r="I1655" s="1">
        <v>378297</v>
      </c>
      <c r="J1655" s="1">
        <v>3242</v>
      </c>
    </row>
    <row r="1656" spans="1:10" x14ac:dyDescent="0.3">
      <c r="A1656" t="s">
        <v>69</v>
      </c>
      <c r="B1656" t="s">
        <v>21</v>
      </c>
      <c r="C1656" t="s">
        <v>11</v>
      </c>
      <c r="D1656" t="s">
        <v>30</v>
      </c>
      <c r="E1656">
        <v>86</v>
      </c>
      <c r="F1656">
        <v>42</v>
      </c>
      <c r="G1656" s="1">
        <v>117500</v>
      </c>
      <c r="H1656" s="1">
        <v>117500</v>
      </c>
      <c r="I1656" s="1">
        <v>410300</v>
      </c>
      <c r="J1656" s="1">
        <v>3492</v>
      </c>
    </row>
    <row r="1657" spans="1:10" x14ac:dyDescent="0.3">
      <c r="A1657" t="s">
        <v>69</v>
      </c>
      <c r="B1657" t="s">
        <v>22</v>
      </c>
      <c r="C1657" t="s">
        <v>11</v>
      </c>
      <c r="D1657" t="s">
        <v>30</v>
      </c>
      <c r="E1657">
        <v>86</v>
      </c>
      <c r="F1657">
        <v>42</v>
      </c>
      <c r="G1657" s="1">
        <v>114075</v>
      </c>
      <c r="H1657" s="1">
        <v>114075</v>
      </c>
      <c r="I1657" s="1">
        <v>365040</v>
      </c>
      <c r="J1657" s="1">
        <v>3200</v>
      </c>
    </row>
    <row r="1658" spans="1:10" x14ac:dyDescent="0.3">
      <c r="A1658" t="s">
        <v>69</v>
      </c>
      <c r="B1658" t="s">
        <v>23</v>
      </c>
      <c r="C1658" t="s">
        <v>11</v>
      </c>
      <c r="D1658" t="s">
        <v>30</v>
      </c>
      <c r="E1658">
        <v>86</v>
      </c>
      <c r="F1658">
        <v>42</v>
      </c>
      <c r="G1658" s="1">
        <v>125250</v>
      </c>
      <c r="H1658" s="1">
        <v>125250</v>
      </c>
      <c r="I1658" s="1">
        <v>343530</v>
      </c>
      <c r="J1658" s="1">
        <v>2743</v>
      </c>
    </row>
    <row r="1659" spans="1:10" x14ac:dyDescent="0.3">
      <c r="A1659" t="s">
        <v>69</v>
      </c>
      <c r="B1659" t="s">
        <v>24</v>
      </c>
      <c r="C1659" t="s">
        <v>11</v>
      </c>
      <c r="D1659" t="s">
        <v>30</v>
      </c>
      <c r="E1659">
        <v>86</v>
      </c>
      <c r="F1659">
        <v>42</v>
      </c>
      <c r="G1659" s="1">
        <v>135500</v>
      </c>
      <c r="H1659" s="1">
        <v>134600</v>
      </c>
      <c r="I1659" s="1">
        <v>388420</v>
      </c>
      <c r="J1659" s="1">
        <v>2886</v>
      </c>
    </row>
    <row r="1660" spans="1:10" x14ac:dyDescent="0.3">
      <c r="A1660" t="s">
        <v>69</v>
      </c>
      <c r="B1660" t="s">
        <v>25</v>
      </c>
      <c r="C1660" t="s">
        <v>11</v>
      </c>
      <c r="D1660" t="s">
        <v>30</v>
      </c>
      <c r="E1660">
        <v>86</v>
      </c>
      <c r="F1660">
        <v>42</v>
      </c>
      <c r="G1660" s="1">
        <v>158000</v>
      </c>
      <c r="H1660" s="1">
        <v>150210</v>
      </c>
      <c r="I1660" s="1">
        <v>493145</v>
      </c>
      <c r="J1660" s="1">
        <v>3283</v>
      </c>
    </row>
    <row r="1661" spans="1:10" x14ac:dyDescent="0.3">
      <c r="A1661" t="s">
        <v>69</v>
      </c>
      <c r="B1661" t="s">
        <v>15</v>
      </c>
      <c r="C1661" t="s">
        <v>11</v>
      </c>
      <c r="D1661" t="s">
        <v>31</v>
      </c>
      <c r="E1661">
        <v>86</v>
      </c>
      <c r="F1661">
        <v>49</v>
      </c>
      <c r="G1661" s="1">
        <v>4000</v>
      </c>
      <c r="H1661" s="1">
        <v>4000</v>
      </c>
      <c r="I1661" s="1">
        <v>10000</v>
      </c>
      <c r="J1661" s="1">
        <v>2500</v>
      </c>
    </row>
    <row r="1662" spans="1:10" x14ac:dyDescent="0.3">
      <c r="A1662" t="s">
        <v>69</v>
      </c>
      <c r="B1662" t="s">
        <v>16</v>
      </c>
      <c r="C1662" t="s">
        <v>11</v>
      </c>
      <c r="D1662" t="s">
        <v>31</v>
      </c>
      <c r="E1662">
        <v>86</v>
      </c>
      <c r="F1662">
        <v>49</v>
      </c>
      <c r="G1662" s="1">
        <v>3000</v>
      </c>
      <c r="H1662" s="1">
        <v>3000</v>
      </c>
      <c r="I1662" s="1">
        <v>8100</v>
      </c>
      <c r="J1662" s="1">
        <v>2700</v>
      </c>
    </row>
    <row r="1663" spans="1:10" x14ac:dyDescent="0.3">
      <c r="A1663" t="s">
        <v>69</v>
      </c>
      <c r="B1663" t="s">
        <v>17</v>
      </c>
      <c r="C1663" t="s">
        <v>11</v>
      </c>
      <c r="D1663" t="s">
        <v>31</v>
      </c>
      <c r="E1663">
        <v>86</v>
      </c>
      <c r="F1663">
        <v>49</v>
      </c>
      <c r="G1663" s="1">
        <v>3500</v>
      </c>
      <c r="H1663" s="1">
        <v>3500</v>
      </c>
      <c r="I1663" s="1">
        <v>12250</v>
      </c>
      <c r="J1663" s="1">
        <v>3500</v>
      </c>
    </row>
    <row r="1664" spans="1:10" x14ac:dyDescent="0.3">
      <c r="A1664" t="s">
        <v>69</v>
      </c>
      <c r="B1664" t="s">
        <v>18</v>
      </c>
      <c r="C1664" t="s">
        <v>11</v>
      </c>
      <c r="D1664" t="s">
        <v>31</v>
      </c>
      <c r="E1664">
        <v>86</v>
      </c>
      <c r="F1664">
        <v>49</v>
      </c>
      <c r="G1664" s="1">
        <v>4000</v>
      </c>
      <c r="H1664" s="1">
        <v>4000</v>
      </c>
      <c r="I1664" s="1">
        <v>11200</v>
      </c>
      <c r="J1664" s="1">
        <v>2800</v>
      </c>
    </row>
    <row r="1665" spans="1:10" x14ac:dyDescent="0.3">
      <c r="A1665" t="s">
        <v>69</v>
      </c>
      <c r="B1665" t="s">
        <v>19</v>
      </c>
      <c r="C1665" t="s">
        <v>11</v>
      </c>
      <c r="D1665" t="s">
        <v>31</v>
      </c>
      <c r="E1665">
        <v>86</v>
      </c>
      <c r="F1665">
        <v>49</v>
      </c>
      <c r="G1665" s="1">
        <v>4000</v>
      </c>
      <c r="H1665" s="1">
        <v>4000</v>
      </c>
      <c r="I1665" s="1">
        <v>14000</v>
      </c>
      <c r="J1665" s="1">
        <v>3500</v>
      </c>
    </row>
    <row r="1666" spans="1:10" x14ac:dyDescent="0.3">
      <c r="A1666" t="s">
        <v>69</v>
      </c>
      <c r="B1666" t="s">
        <v>20</v>
      </c>
      <c r="C1666" t="s">
        <v>11</v>
      </c>
      <c r="D1666" t="s">
        <v>31</v>
      </c>
      <c r="E1666">
        <v>86</v>
      </c>
      <c r="F1666">
        <v>49</v>
      </c>
      <c r="G1666" s="1">
        <v>4000</v>
      </c>
      <c r="H1666" s="1">
        <v>4000</v>
      </c>
      <c r="I1666" s="1">
        <v>12000</v>
      </c>
      <c r="J1666" s="1">
        <v>3000</v>
      </c>
    </row>
    <row r="1667" spans="1:10" x14ac:dyDescent="0.3">
      <c r="A1667" t="s">
        <v>69</v>
      </c>
      <c r="B1667" t="s">
        <v>21</v>
      </c>
      <c r="C1667" t="s">
        <v>11</v>
      </c>
      <c r="D1667" t="s">
        <v>31</v>
      </c>
      <c r="E1667">
        <v>86</v>
      </c>
      <c r="F1667">
        <v>49</v>
      </c>
      <c r="G1667" s="1">
        <v>4000</v>
      </c>
      <c r="H1667" s="1">
        <v>4000</v>
      </c>
      <c r="I1667" s="1">
        <v>12000</v>
      </c>
      <c r="J1667" s="1">
        <v>3000</v>
      </c>
    </row>
    <row r="1668" spans="1:10" x14ac:dyDescent="0.3">
      <c r="A1668" t="s">
        <v>69</v>
      </c>
      <c r="B1668" t="s">
        <v>22</v>
      </c>
      <c r="C1668" t="s">
        <v>11</v>
      </c>
      <c r="D1668" t="s">
        <v>31</v>
      </c>
      <c r="E1668">
        <v>86</v>
      </c>
      <c r="F1668">
        <v>49</v>
      </c>
      <c r="G1668" s="1">
        <v>4500</v>
      </c>
      <c r="H1668" s="1">
        <v>4500</v>
      </c>
      <c r="I1668" s="1">
        <v>11250</v>
      </c>
      <c r="J1668" s="1">
        <v>2500</v>
      </c>
    </row>
    <row r="1669" spans="1:10" x14ac:dyDescent="0.3">
      <c r="A1669" t="s">
        <v>69</v>
      </c>
      <c r="B1669" t="s">
        <v>23</v>
      </c>
      <c r="C1669" t="s">
        <v>11</v>
      </c>
      <c r="D1669" t="s">
        <v>31</v>
      </c>
      <c r="E1669">
        <v>86</v>
      </c>
      <c r="F1669">
        <v>49</v>
      </c>
      <c r="G1669" s="1">
        <v>5000</v>
      </c>
      <c r="H1669" s="1">
        <v>5000</v>
      </c>
      <c r="I1669" s="1">
        <v>7500</v>
      </c>
      <c r="J1669" s="1">
        <v>1500</v>
      </c>
    </row>
    <row r="1670" spans="1:10" x14ac:dyDescent="0.3">
      <c r="A1670" t="s">
        <v>69</v>
      </c>
      <c r="B1670" t="s">
        <v>24</v>
      </c>
      <c r="C1670" t="s">
        <v>11</v>
      </c>
      <c r="D1670" t="s">
        <v>31</v>
      </c>
      <c r="E1670">
        <v>86</v>
      </c>
      <c r="F1670">
        <v>49</v>
      </c>
      <c r="G1670" s="1">
        <v>5000</v>
      </c>
      <c r="H1670" s="1">
        <v>4990</v>
      </c>
      <c r="I1670" s="1">
        <v>15162</v>
      </c>
      <c r="J1670" s="1">
        <v>3038</v>
      </c>
    </row>
    <row r="1671" spans="1:10" x14ac:dyDescent="0.3">
      <c r="A1671" t="s">
        <v>69</v>
      </c>
      <c r="B1671" t="s">
        <v>25</v>
      </c>
      <c r="C1671" t="s">
        <v>11</v>
      </c>
      <c r="D1671" t="s">
        <v>31</v>
      </c>
      <c r="E1671">
        <v>86</v>
      </c>
      <c r="F1671">
        <v>49</v>
      </c>
      <c r="G1671" s="1">
        <v>5800</v>
      </c>
      <c r="H1671" s="1">
        <v>5660</v>
      </c>
      <c r="I1671" s="1">
        <v>13244</v>
      </c>
      <c r="J1671" s="1">
        <v>2340</v>
      </c>
    </row>
    <row r="1672" spans="1:10" x14ac:dyDescent="0.3">
      <c r="A1672" t="s">
        <v>69</v>
      </c>
      <c r="B1672" t="s">
        <v>15</v>
      </c>
      <c r="C1672" t="s">
        <v>11</v>
      </c>
      <c r="D1672" t="s">
        <v>32</v>
      </c>
      <c r="E1672">
        <v>86</v>
      </c>
      <c r="F1672">
        <v>63</v>
      </c>
      <c r="G1672" s="1">
        <v>5000</v>
      </c>
      <c r="H1672" s="1">
        <v>5000</v>
      </c>
      <c r="I1672" s="1">
        <v>10000</v>
      </c>
      <c r="J1672" s="1">
        <v>2000</v>
      </c>
    </row>
    <row r="1673" spans="1:10" x14ac:dyDescent="0.3">
      <c r="A1673" t="s">
        <v>69</v>
      </c>
      <c r="B1673" t="s">
        <v>16</v>
      </c>
      <c r="C1673" t="s">
        <v>11</v>
      </c>
      <c r="D1673" t="s">
        <v>32</v>
      </c>
      <c r="E1673">
        <v>86</v>
      </c>
      <c r="F1673">
        <v>63</v>
      </c>
      <c r="G1673" s="1">
        <v>5000</v>
      </c>
      <c r="H1673" s="1">
        <v>5000</v>
      </c>
      <c r="I1673" s="1">
        <v>10500</v>
      </c>
      <c r="J1673" s="1">
        <v>2100</v>
      </c>
    </row>
    <row r="1674" spans="1:10" x14ac:dyDescent="0.3">
      <c r="A1674" t="s">
        <v>69</v>
      </c>
      <c r="B1674" t="s">
        <v>17</v>
      </c>
      <c r="C1674" t="s">
        <v>11</v>
      </c>
      <c r="D1674" t="s">
        <v>32</v>
      </c>
      <c r="E1674">
        <v>86</v>
      </c>
      <c r="F1674">
        <v>63</v>
      </c>
      <c r="G1674" s="1">
        <v>6000</v>
      </c>
      <c r="H1674" s="1">
        <v>6000</v>
      </c>
      <c r="I1674" s="1">
        <v>16800</v>
      </c>
      <c r="J1674" s="1">
        <v>2800</v>
      </c>
    </row>
    <row r="1675" spans="1:10" x14ac:dyDescent="0.3">
      <c r="A1675" t="s">
        <v>69</v>
      </c>
      <c r="B1675" t="s">
        <v>18</v>
      </c>
      <c r="C1675" t="s">
        <v>11</v>
      </c>
      <c r="D1675" t="s">
        <v>32</v>
      </c>
      <c r="E1675">
        <v>86</v>
      </c>
      <c r="F1675">
        <v>63</v>
      </c>
      <c r="G1675" s="1">
        <v>6000</v>
      </c>
      <c r="H1675" s="1">
        <v>6000</v>
      </c>
      <c r="I1675" s="1">
        <v>15000</v>
      </c>
      <c r="J1675" s="1">
        <v>2500</v>
      </c>
    </row>
    <row r="1676" spans="1:10" x14ac:dyDescent="0.3">
      <c r="A1676" t="s">
        <v>69</v>
      </c>
      <c r="B1676" t="s">
        <v>19</v>
      </c>
      <c r="C1676" t="s">
        <v>11</v>
      </c>
      <c r="D1676" t="s">
        <v>32</v>
      </c>
      <c r="E1676">
        <v>86</v>
      </c>
      <c r="F1676">
        <v>63</v>
      </c>
      <c r="G1676" s="1">
        <v>5000</v>
      </c>
      <c r="H1676" s="1">
        <v>5000</v>
      </c>
      <c r="I1676" s="1">
        <v>17500</v>
      </c>
      <c r="J1676" s="1">
        <v>3500</v>
      </c>
    </row>
    <row r="1677" spans="1:10" x14ac:dyDescent="0.3">
      <c r="A1677" t="s">
        <v>69</v>
      </c>
      <c r="B1677" t="s">
        <v>20</v>
      </c>
      <c r="C1677" t="s">
        <v>11</v>
      </c>
      <c r="D1677" t="s">
        <v>32</v>
      </c>
      <c r="E1677">
        <v>86</v>
      </c>
      <c r="F1677">
        <v>63</v>
      </c>
      <c r="G1677" s="1">
        <v>5000</v>
      </c>
      <c r="H1677" s="1">
        <v>5000</v>
      </c>
      <c r="I1677" s="1">
        <v>15000</v>
      </c>
      <c r="J1677" s="1">
        <v>3000</v>
      </c>
    </row>
    <row r="1678" spans="1:10" x14ac:dyDescent="0.3">
      <c r="A1678" t="s">
        <v>69</v>
      </c>
      <c r="B1678" t="s">
        <v>21</v>
      </c>
      <c r="C1678" t="s">
        <v>11</v>
      </c>
      <c r="D1678" t="s">
        <v>32</v>
      </c>
      <c r="E1678">
        <v>86</v>
      </c>
      <c r="F1678">
        <v>63</v>
      </c>
      <c r="G1678" s="1">
        <v>5500</v>
      </c>
      <c r="H1678" s="1">
        <v>5500</v>
      </c>
      <c r="I1678" s="1">
        <v>16500</v>
      </c>
      <c r="J1678" s="1">
        <v>3000</v>
      </c>
    </row>
    <row r="1679" spans="1:10" x14ac:dyDescent="0.3">
      <c r="A1679" t="s">
        <v>69</v>
      </c>
      <c r="B1679" t="s">
        <v>22</v>
      </c>
      <c r="C1679" t="s">
        <v>11</v>
      </c>
      <c r="D1679" t="s">
        <v>32</v>
      </c>
      <c r="E1679">
        <v>86</v>
      </c>
      <c r="F1679">
        <v>63</v>
      </c>
      <c r="G1679" s="1">
        <v>6500</v>
      </c>
      <c r="H1679" s="1">
        <v>6500</v>
      </c>
      <c r="I1679" s="1">
        <v>16250</v>
      </c>
      <c r="J1679" s="1">
        <v>2500</v>
      </c>
    </row>
    <row r="1680" spans="1:10" x14ac:dyDescent="0.3">
      <c r="A1680" t="s">
        <v>69</v>
      </c>
      <c r="B1680" t="s">
        <v>23</v>
      </c>
      <c r="C1680" t="s">
        <v>11</v>
      </c>
      <c r="D1680" t="s">
        <v>32</v>
      </c>
      <c r="E1680">
        <v>86</v>
      </c>
      <c r="F1680">
        <v>63</v>
      </c>
      <c r="G1680" s="1">
        <v>7000</v>
      </c>
      <c r="H1680" s="1">
        <v>7000</v>
      </c>
      <c r="I1680" s="1">
        <v>10500</v>
      </c>
      <c r="J1680" s="1">
        <v>1500</v>
      </c>
    </row>
    <row r="1681" spans="1:10" x14ac:dyDescent="0.3">
      <c r="A1681" t="s">
        <v>69</v>
      </c>
      <c r="B1681" t="s">
        <v>24</v>
      </c>
      <c r="C1681" t="s">
        <v>11</v>
      </c>
      <c r="D1681" t="s">
        <v>32</v>
      </c>
      <c r="E1681">
        <v>86</v>
      </c>
      <c r="F1681">
        <v>63</v>
      </c>
      <c r="G1681" s="1">
        <v>7000</v>
      </c>
      <c r="H1681" s="1">
        <v>6990</v>
      </c>
      <c r="I1681" s="1">
        <v>21429</v>
      </c>
      <c r="J1681" s="1">
        <v>3066</v>
      </c>
    </row>
    <row r="1682" spans="1:10" x14ac:dyDescent="0.3">
      <c r="A1682" t="s">
        <v>69</v>
      </c>
      <c r="B1682" t="s">
        <v>25</v>
      </c>
      <c r="C1682" t="s">
        <v>11</v>
      </c>
      <c r="D1682" t="s">
        <v>32</v>
      </c>
      <c r="E1682">
        <v>86</v>
      </c>
      <c r="F1682">
        <v>63</v>
      </c>
      <c r="G1682" s="1">
        <v>8100</v>
      </c>
      <c r="H1682" s="1">
        <v>7970</v>
      </c>
      <c r="I1682" s="1">
        <v>18561</v>
      </c>
      <c r="J1682" s="1">
        <v>2329</v>
      </c>
    </row>
    <row r="1683" spans="1:10" x14ac:dyDescent="0.3">
      <c r="A1683" t="s">
        <v>69</v>
      </c>
      <c r="B1683" t="s">
        <v>15</v>
      </c>
      <c r="C1683" t="s">
        <v>11</v>
      </c>
      <c r="D1683" t="s">
        <v>33</v>
      </c>
      <c r="E1683">
        <v>86</v>
      </c>
      <c r="F1683">
        <v>56</v>
      </c>
      <c r="G1683" s="1">
        <v>8500</v>
      </c>
      <c r="H1683" s="1">
        <v>8000</v>
      </c>
      <c r="I1683" s="1">
        <v>19200</v>
      </c>
      <c r="J1683" s="1">
        <v>2400</v>
      </c>
    </row>
    <row r="1684" spans="1:10" x14ac:dyDescent="0.3">
      <c r="A1684" t="s">
        <v>69</v>
      </c>
      <c r="B1684" t="s">
        <v>16</v>
      </c>
      <c r="C1684" t="s">
        <v>11</v>
      </c>
      <c r="D1684" t="s">
        <v>33</v>
      </c>
      <c r="E1684">
        <v>86</v>
      </c>
      <c r="F1684">
        <v>56</v>
      </c>
      <c r="G1684" s="1">
        <v>8500</v>
      </c>
      <c r="H1684" s="1">
        <v>8500</v>
      </c>
      <c r="I1684" s="1">
        <v>18700</v>
      </c>
      <c r="J1684" s="1">
        <v>2200</v>
      </c>
    </row>
    <row r="1685" spans="1:10" x14ac:dyDescent="0.3">
      <c r="A1685" t="s">
        <v>69</v>
      </c>
      <c r="B1685" t="s">
        <v>17</v>
      </c>
      <c r="C1685" t="s">
        <v>11</v>
      </c>
      <c r="D1685" t="s">
        <v>33</v>
      </c>
      <c r="E1685">
        <v>86</v>
      </c>
      <c r="F1685">
        <v>56</v>
      </c>
      <c r="G1685" s="1">
        <v>8500</v>
      </c>
      <c r="H1685" s="1">
        <v>8370</v>
      </c>
      <c r="I1685" s="1">
        <v>25947</v>
      </c>
      <c r="J1685" s="1">
        <v>3100</v>
      </c>
    </row>
    <row r="1686" spans="1:10" x14ac:dyDescent="0.3">
      <c r="A1686" t="s">
        <v>69</v>
      </c>
      <c r="B1686" t="s">
        <v>18</v>
      </c>
      <c r="C1686" t="s">
        <v>11</v>
      </c>
      <c r="D1686" t="s">
        <v>33</v>
      </c>
      <c r="E1686">
        <v>86</v>
      </c>
      <c r="F1686">
        <v>56</v>
      </c>
      <c r="G1686" s="1">
        <v>8500</v>
      </c>
      <c r="H1686" s="1">
        <v>8370</v>
      </c>
      <c r="I1686" s="1">
        <v>22599</v>
      </c>
      <c r="J1686" s="1">
        <v>2700</v>
      </c>
    </row>
    <row r="1687" spans="1:10" x14ac:dyDescent="0.3">
      <c r="A1687" t="s">
        <v>69</v>
      </c>
      <c r="B1687" t="s">
        <v>19</v>
      </c>
      <c r="C1687" t="s">
        <v>11</v>
      </c>
      <c r="D1687" t="s">
        <v>33</v>
      </c>
      <c r="E1687">
        <v>86</v>
      </c>
      <c r="F1687">
        <v>56</v>
      </c>
      <c r="G1687" s="1">
        <v>8415</v>
      </c>
      <c r="H1687" s="1">
        <v>8205</v>
      </c>
      <c r="I1687" s="1">
        <v>24075</v>
      </c>
      <c r="J1687" s="1">
        <v>2934</v>
      </c>
    </row>
    <row r="1688" spans="1:10" x14ac:dyDescent="0.3">
      <c r="A1688" t="s">
        <v>69</v>
      </c>
      <c r="B1688" t="s">
        <v>20</v>
      </c>
      <c r="C1688" t="s">
        <v>11</v>
      </c>
      <c r="D1688" t="s">
        <v>33</v>
      </c>
      <c r="E1688">
        <v>86</v>
      </c>
      <c r="F1688">
        <v>56</v>
      </c>
      <c r="G1688" s="1">
        <v>8020</v>
      </c>
      <c r="H1688" s="1">
        <v>7810</v>
      </c>
      <c r="I1688" s="1">
        <v>24764</v>
      </c>
      <c r="J1688" s="1">
        <v>3171</v>
      </c>
    </row>
    <row r="1689" spans="1:10" x14ac:dyDescent="0.3">
      <c r="A1689" t="s">
        <v>69</v>
      </c>
      <c r="B1689" t="s">
        <v>21</v>
      </c>
      <c r="C1689" t="s">
        <v>11</v>
      </c>
      <c r="D1689" t="s">
        <v>33</v>
      </c>
      <c r="E1689">
        <v>86</v>
      </c>
      <c r="F1689">
        <v>56</v>
      </c>
      <c r="G1689" s="1">
        <v>10200</v>
      </c>
      <c r="H1689" s="1">
        <v>10200</v>
      </c>
      <c r="I1689" s="1">
        <v>30600</v>
      </c>
      <c r="J1689" s="1">
        <v>3000</v>
      </c>
    </row>
    <row r="1690" spans="1:10" x14ac:dyDescent="0.3">
      <c r="A1690" t="s">
        <v>69</v>
      </c>
      <c r="B1690" t="s">
        <v>22</v>
      </c>
      <c r="C1690" t="s">
        <v>11</v>
      </c>
      <c r="D1690" t="s">
        <v>33</v>
      </c>
      <c r="E1690">
        <v>86</v>
      </c>
      <c r="F1690">
        <v>56</v>
      </c>
      <c r="G1690" s="1">
        <v>10200</v>
      </c>
      <c r="H1690" s="1">
        <v>10200</v>
      </c>
      <c r="I1690" s="1">
        <v>30530</v>
      </c>
      <c r="J1690" s="1">
        <v>2993</v>
      </c>
    </row>
    <row r="1691" spans="1:10" x14ac:dyDescent="0.3">
      <c r="A1691" t="s">
        <v>69</v>
      </c>
      <c r="B1691" t="s">
        <v>23</v>
      </c>
      <c r="C1691" t="s">
        <v>11</v>
      </c>
      <c r="D1691" t="s">
        <v>33</v>
      </c>
      <c r="E1691">
        <v>86</v>
      </c>
      <c r="F1691">
        <v>56</v>
      </c>
      <c r="G1691" s="1">
        <v>20200</v>
      </c>
      <c r="H1691" s="1">
        <v>20200</v>
      </c>
      <c r="I1691" s="1">
        <v>51795</v>
      </c>
      <c r="J1691" s="1">
        <v>2564</v>
      </c>
    </row>
    <row r="1692" spans="1:10" x14ac:dyDescent="0.3">
      <c r="A1692" t="s">
        <v>69</v>
      </c>
      <c r="B1692" t="s">
        <v>24</v>
      </c>
      <c r="C1692" t="s">
        <v>11</v>
      </c>
      <c r="D1692" t="s">
        <v>33</v>
      </c>
      <c r="E1692">
        <v>86</v>
      </c>
      <c r="F1692">
        <v>56</v>
      </c>
      <c r="G1692" s="1">
        <v>22400</v>
      </c>
      <c r="H1692" s="1">
        <v>22220</v>
      </c>
      <c r="I1692" s="1">
        <v>50798</v>
      </c>
      <c r="J1692" s="1">
        <v>2286</v>
      </c>
    </row>
    <row r="1693" spans="1:10" x14ac:dyDescent="0.3">
      <c r="A1693" t="s">
        <v>69</v>
      </c>
      <c r="B1693" t="s">
        <v>25</v>
      </c>
      <c r="C1693" t="s">
        <v>11</v>
      </c>
      <c r="D1693" t="s">
        <v>33</v>
      </c>
      <c r="E1693">
        <v>86</v>
      </c>
      <c r="F1693">
        <v>56</v>
      </c>
      <c r="G1693" s="1">
        <v>26650</v>
      </c>
      <c r="H1693" s="1">
        <v>20140</v>
      </c>
      <c r="I1693" s="1">
        <v>22052</v>
      </c>
      <c r="J1693" s="1">
        <v>1095</v>
      </c>
    </row>
    <row r="1694" spans="1:10" x14ac:dyDescent="0.3">
      <c r="A1694" t="s">
        <v>69</v>
      </c>
      <c r="B1694" t="s">
        <v>15</v>
      </c>
      <c r="C1694" t="s">
        <v>11</v>
      </c>
      <c r="D1694" t="s">
        <v>34</v>
      </c>
      <c r="E1694">
        <v>86</v>
      </c>
      <c r="F1694">
        <v>70</v>
      </c>
      <c r="G1694" s="1">
        <v>500</v>
      </c>
      <c r="H1694" s="1">
        <v>500</v>
      </c>
      <c r="I1694" s="1">
        <v>900</v>
      </c>
      <c r="J1694" s="1">
        <v>1800</v>
      </c>
    </row>
    <row r="1695" spans="1:10" x14ac:dyDescent="0.3">
      <c r="A1695" t="s">
        <v>69</v>
      </c>
      <c r="B1695" t="s">
        <v>16</v>
      </c>
      <c r="C1695" t="s">
        <v>11</v>
      </c>
      <c r="D1695" t="s">
        <v>34</v>
      </c>
      <c r="E1695">
        <v>86</v>
      </c>
      <c r="F1695">
        <v>70</v>
      </c>
      <c r="G1695" s="1">
        <v>500</v>
      </c>
      <c r="H1695" s="1">
        <v>500</v>
      </c>
      <c r="I1695" s="1">
        <v>850</v>
      </c>
      <c r="J1695" s="1">
        <v>1700</v>
      </c>
    </row>
    <row r="1696" spans="1:10" x14ac:dyDescent="0.3">
      <c r="A1696" t="s">
        <v>69</v>
      </c>
      <c r="B1696" t="s">
        <v>17</v>
      </c>
      <c r="C1696" t="s">
        <v>11</v>
      </c>
      <c r="D1696" t="s">
        <v>34</v>
      </c>
      <c r="E1696">
        <v>86</v>
      </c>
      <c r="F1696">
        <v>70</v>
      </c>
      <c r="G1696" s="1">
        <v>1000</v>
      </c>
      <c r="H1696" s="1">
        <v>1000</v>
      </c>
      <c r="I1696" s="1">
        <v>2800</v>
      </c>
      <c r="J1696" s="1">
        <v>2800</v>
      </c>
    </row>
    <row r="1697" spans="1:10" x14ac:dyDescent="0.3">
      <c r="A1697" t="s">
        <v>69</v>
      </c>
      <c r="B1697" t="s">
        <v>18</v>
      </c>
      <c r="C1697" t="s">
        <v>11</v>
      </c>
      <c r="D1697" t="s">
        <v>34</v>
      </c>
      <c r="E1697">
        <v>86</v>
      </c>
      <c r="F1697">
        <v>70</v>
      </c>
      <c r="G1697" s="1">
        <v>1000</v>
      </c>
      <c r="H1697" s="1">
        <v>1000</v>
      </c>
      <c r="I1697" s="1">
        <v>2000</v>
      </c>
      <c r="J1697" s="1">
        <v>2000</v>
      </c>
    </row>
    <row r="1698" spans="1:10" x14ac:dyDescent="0.3">
      <c r="A1698" t="s">
        <v>69</v>
      </c>
      <c r="B1698" t="s">
        <v>19</v>
      </c>
      <c r="C1698" t="s">
        <v>11</v>
      </c>
      <c r="D1698" t="s">
        <v>34</v>
      </c>
      <c r="E1698">
        <v>86</v>
      </c>
      <c r="F1698">
        <v>70</v>
      </c>
      <c r="G1698" s="1">
        <v>1500</v>
      </c>
      <c r="H1698" s="1">
        <v>1500</v>
      </c>
      <c r="I1698" s="1">
        <v>4350</v>
      </c>
      <c r="J1698" s="1">
        <v>2900</v>
      </c>
    </row>
    <row r="1699" spans="1:10" x14ac:dyDescent="0.3">
      <c r="A1699" t="s">
        <v>69</v>
      </c>
      <c r="B1699" t="s">
        <v>20</v>
      </c>
      <c r="C1699" t="s">
        <v>11</v>
      </c>
      <c r="D1699" t="s">
        <v>34</v>
      </c>
      <c r="E1699">
        <v>86</v>
      </c>
      <c r="F1699">
        <v>70</v>
      </c>
      <c r="G1699" s="1">
        <v>1500</v>
      </c>
      <c r="H1699" s="1">
        <v>1500</v>
      </c>
      <c r="I1699" s="1">
        <v>4500</v>
      </c>
      <c r="J1699" s="1">
        <v>3000</v>
      </c>
    </row>
    <row r="1700" spans="1:10" x14ac:dyDescent="0.3">
      <c r="A1700" t="s">
        <v>69</v>
      </c>
      <c r="B1700" t="s">
        <v>21</v>
      </c>
      <c r="C1700" t="s">
        <v>11</v>
      </c>
      <c r="D1700" t="s">
        <v>34</v>
      </c>
      <c r="E1700">
        <v>86</v>
      </c>
      <c r="F1700">
        <v>70</v>
      </c>
      <c r="G1700" s="1">
        <v>1500</v>
      </c>
      <c r="H1700" s="1">
        <v>1500</v>
      </c>
      <c r="I1700" s="1">
        <v>4500</v>
      </c>
      <c r="J1700" s="1">
        <v>3000</v>
      </c>
    </row>
    <row r="1701" spans="1:10" x14ac:dyDescent="0.3">
      <c r="A1701" t="s">
        <v>69</v>
      </c>
      <c r="B1701" t="s">
        <v>22</v>
      </c>
      <c r="C1701" t="s">
        <v>11</v>
      </c>
      <c r="D1701" t="s">
        <v>34</v>
      </c>
      <c r="E1701">
        <v>86</v>
      </c>
      <c r="F1701">
        <v>70</v>
      </c>
      <c r="G1701" s="1">
        <v>3500</v>
      </c>
      <c r="H1701" s="1">
        <v>3500</v>
      </c>
      <c r="I1701" s="1">
        <v>8750</v>
      </c>
      <c r="J1701" s="1">
        <v>2500</v>
      </c>
    </row>
    <row r="1702" spans="1:10" x14ac:dyDescent="0.3">
      <c r="A1702" t="s">
        <v>69</v>
      </c>
      <c r="B1702" t="s">
        <v>23</v>
      </c>
      <c r="C1702" t="s">
        <v>11</v>
      </c>
      <c r="D1702" t="s">
        <v>34</v>
      </c>
      <c r="E1702">
        <v>86</v>
      </c>
      <c r="F1702">
        <v>70</v>
      </c>
      <c r="G1702" s="1">
        <v>4500</v>
      </c>
      <c r="H1702" s="1">
        <v>4500</v>
      </c>
      <c r="I1702" s="1">
        <v>6750</v>
      </c>
      <c r="J1702" s="1">
        <v>1500</v>
      </c>
    </row>
    <row r="1703" spans="1:10" x14ac:dyDescent="0.3">
      <c r="A1703" t="s">
        <v>69</v>
      </c>
      <c r="B1703" t="s">
        <v>24</v>
      </c>
      <c r="C1703" t="s">
        <v>11</v>
      </c>
      <c r="D1703" t="s">
        <v>34</v>
      </c>
      <c r="E1703">
        <v>86</v>
      </c>
      <c r="F1703">
        <v>70</v>
      </c>
      <c r="G1703" s="1">
        <v>4500</v>
      </c>
      <c r="H1703" s="1">
        <v>4470</v>
      </c>
      <c r="I1703" s="1">
        <v>13608</v>
      </c>
      <c r="J1703" s="1">
        <v>3044</v>
      </c>
    </row>
    <row r="1704" spans="1:10" x14ac:dyDescent="0.3">
      <c r="A1704" t="s">
        <v>69</v>
      </c>
      <c r="B1704" t="s">
        <v>25</v>
      </c>
      <c r="C1704" t="s">
        <v>11</v>
      </c>
      <c r="D1704" t="s">
        <v>34</v>
      </c>
      <c r="E1704">
        <v>86</v>
      </c>
      <c r="F1704">
        <v>70</v>
      </c>
      <c r="G1704" s="1">
        <v>4950</v>
      </c>
      <c r="H1704" s="1">
        <v>4800</v>
      </c>
      <c r="I1704" s="1">
        <v>11040</v>
      </c>
      <c r="J1704" s="1">
        <v>2300</v>
      </c>
    </row>
    <row r="1705" spans="1:10" x14ac:dyDescent="0.3">
      <c r="A1705" t="s">
        <v>69</v>
      </c>
      <c r="B1705" t="s">
        <v>15</v>
      </c>
      <c r="C1705" t="s">
        <v>11</v>
      </c>
      <c r="D1705" t="s">
        <v>35</v>
      </c>
      <c r="E1705">
        <v>86</v>
      </c>
      <c r="F1705">
        <v>77</v>
      </c>
      <c r="G1705" s="1">
        <v>130000</v>
      </c>
      <c r="H1705" s="1">
        <v>93000</v>
      </c>
      <c r="I1705" s="1">
        <v>213900</v>
      </c>
      <c r="J1705" s="1">
        <v>2300</v>
      </c>
    </row>
    <row r="1706" spans="1:10" x14ac:dyDescent="0.3">
      <c r="A1706" t="s">
        <v>69</v>
      </c>
      <c r="B1706" t="s">
        <v>16</v>
      </c>
      <c r="C1706" t="s">
        <v>11</v>
      </c>
      <c r="D1706" t="s">
        <v>35</v>
      </c>
      <c r="E1706">
        <v>86</v>
      </c>
      <c r="F1706">
        <v>77</v>
      </c>
      <c r="G1706" s="1">
        <v>140000</v>
      </c>
      <c r="H1706" s="1">
        <v>126000</v>
      </c>
      <c r="I1706" s="1">
        <v>340200</v>
      </c>
      <c r="J1706" s="1">
        <v>2700</v>
      </c>
    </row>
    <row r="1707" spans="1:10" x14ac:dyDescent="0.3">
      <c r="A1707" t="s">
        <v>69</v>
      </c>
      <c r="B1707" t="s">
        <v>17</v>
      </c>
      <c r="C1707" t="s">
        <v>11</v>
      </c>
      <c r="D1707" t="s">
        <v>35</v>
      </c>
      <c r="E1707">
        <v>86</v>
      </c>
      <c r="F1707">
        <v>77</v>
      </c>
      <c r="G1707" s="1">
        <v>193300</v>
      </c>
      <c r="H1707" s="1">
        <v>190040</v>
      </c>
      <c r="I1707" s="1">
        <v>741156</v>
      </c>
      <c r="J1707" s="1">
        <v>3900</v>
      </c>
    </row>
    <row r="1708" spans="1:10" x14ac:dyDescent="0.3">
      <c r="A1708" t="s">
        <v>69</v>
      </c>
      <c r="B1708" t="s">
        <v>18</v>
      </c>
      <c r="C1708" t="s">
        <v>11</v>
      </c>
      <c r="D1708" t="s">
        <v>35</v>
      </c>
      <c r="E1708">
        <v>86</v>
      </c>
      <c r="F1708">
        <v>77</v>
      </c>
      <c r="G1708" s="1">
        <v>195000</v>
      </c>
      <c r="H1708" s="1">
        <v>195000</v>
      </c>
      <c r="I1708" s="1">
        <v>526500</v>
      </c>
      <c r="J1708" s="1">
        <v>2700</v>
      </c>
    </row>
    <row r="1709" spans="1:10" x14ac:dyDescent="0.3">
      <c r="A1709" t="s">
        <v>69</v>
      </c>
      <c r="B1709" t="s">
        <v>19</v>
      </c>
      <c r="C1709" t="s">
        <v>11</v>
      </c>
      <c r="D1709" t="s">
        <v>35</v>
      </c>
      <c r="E1709">
        <v>86</v>
      </c>
      <c r="F1709">
        <v>77</v>
      </c>
      <c r="G1709" s="1">
        <v>195000</v>
      </c>
      <c r="H1709" s="1">
        <v>174910</v>
      </c>
      <c r="I1709" s="1">
        <v>560169</v>
      </c>
      <c r="J1709" s="1">
        <v>3203</v>
      </c>
    </row>
    <row r="1710" spans="1:10" x14ac:dyDescent="0.3">
      <c r="A1710" t="s">
        <v>69</v>
      </c>
      <c r="B1710" t="s">
        <v>20</v>
      </c>
      <c r="C1710" t="s">
        <v>11</v>
      </c>
      <c r="D1710" t="s">
        <v>35</v>
      </c>
      <c r="E1710">
        <v>86</v>
      </c>
      <c r="F1710">
        <v>77</v>
      </c>
      <c r="G1710" s="1">
        <v>197510</v>
      </c>
      <c r="H1710" s="1">
        <v>196680</v>
      </c>
      <c r="I1710" s="1">
        <v>636252</v>
      </c>
      <c r="J1710" s="1">
        <v>3235</v>
      </c>
    </row>
    <row r="1711" spans="1:10" x14ac:dyDescent="0.3">
      <c r="A1711" t="s">
        <v>69</v>
      </c>
      <c r="B1711" t="s">
        <v>21</v>
      </c>
      <c r="C1711" t="s">
        <v>11</v>
      </c>
      <c r="D1711" t="s">
        <v>35</v>
      </c>
      <c r="E1711">
        <v>86</v>
      </c>
      <c r="F1711">
        <v>77</v>
      </c>
      <c r="G1711" s="1">
        <v>197300</v>
      </c>
      <c r="H1711" s="1">
        <v>197300</v>
      </c>
      <c r="I1711" s="1">
        <v>712400</v>
      </c>
      <c r="J1711" s="1">
        <v>3611</v>
      </c>
    </row>
    <row r="1712" spans="1:10" x14ac:dyDescent="0.3">
      <c r="A1712" t="s">
        <v>69</v>
      </c>
      <c r="B1712" t="s">
        <v>22</v>
      </c>
      <c r="C1712" t="s">
        <v>11</v>
      </c>
      <c r="D1712" t="s">
        <v>35</v>
      </c>
      <c r="E1712">
        <v>86</v>
      </c>
      <c r="F1712">
        <v>77</v>
      </c>
      <c r="G1712" s="1">
        <v>197300</v>
      </c>
      <c r="H1712" s="1">
        <v>197300</v>
      </c>
      <c r="I1712" s="1">
        <v>631360</v>
      </c>
      <c r="J1712" s="1">
        <v>3200</v>
      </c>
    </row>
    <row r="1713" spans="1:10" x14ac:dyDescent="0.3">
      <c r="A1713" t="s">
        <v>69</v>
      </c>
      <c r="B1713" t="s">
        <v>23</v>
      </c>
      <c r="C1713" t="s">
        <v>11</v>
      </c>
      <c r="D1713" t="s">
        <v>35</v>
      </c>
      <c r="E1713">
        <v>86</v>
      </c>
      <c r="F1713">
        <v>77</v>
      </c>
      <c r="G1713" s="1">
        <v>200800</v>
      </c>
      <c r="H1713" s="1">
        <v>200800</v>
      </c>
      <c r="I1713" s="1">
        <v>522368</v>
      </c>
      <c r="J1713" s="1">
        <v>2601</v>
      </c>
    </row>
    <row r="1714" spans="1:10" x14ac:dyDescent="0.3">
      <c r="A1714" t="s">
        <v>69</v>
      </c>
      <c r="B1714" t="s">
        <v>24</v>
      </c>
      <c r="C1714" t="s">
        <v>11</v>
      </c>
      <c r="D1714" t="s">
        <v>35</v>
      </c>
      <c r="E1714">
        <v>86</v>
      </c>
      <c r="F1714">
        <v>77</v>
      </c>
      <c r="G1714" s="1">
        <v>215400</v>
      </c>
      <c r="H1714" s="1">
        <v>214450</v>
      </c>
      <c r="I1714" s="1">
        <v>613265</v>
      </c>
      <c r="J1714" s="1">
        <v>2860</v>
      </c>
    </row>
    <row r="1715" spans="1:10" x14ac:dyDescent="0.3">
      <c r="A1715" t="s">
        <v>69</v>
      </c>
      <c r="B1715" t="s">
        <v>25</v>
      </c>
      <c r="C1715" t="s">
        <v>11</v>
      </c>
      <c r="D1715" t="s">
        <v>35</v>
      </c>
      <c r="E1715">
        <v>86</v>
      </c>
      <c r="F1715">
        <v>77</v>
      </c>
      <c r="G1715" s="1">
        <v>261150</v>
      </c>
      <c r="H1715" s="1">
        <v>251130</v>
      </c>
      <c r="I1715" s="1">
        <v>822003</v>
      </c>
      <c r="J1715" s="1">
        <v>3273</v>
      </c>
    </row>
    <row r="1716" spans="1:10" x14ac:dyDescent="0.3">
      <c r="A1716" t="s">
        <v>69</v>
      </c>
      <c r="B1716" t="s">
        <v>15</v>
      </c>
      <c r="C1716" t="s">
        <v>11</v>
      </c>
      <c r="D1716" t="s">
        <v>36</v>
      </c>
      <c r="E1716">
        <v>86</v>
      </c>
      <c r="F1716">
        <v>84</v>
      </c>
      <c r="G1716" s="1">
        <v>5000</v>
      </c>
      <c r="H1716" s="1">
        <v>5000</v>
      </c>
      <c r="I1716" s="1">
        <v>12500</v>
      </c>
      <c r="J1716" s="1">
        <v>2500</v>
      </c>
    </row>
    <row r="1717" spans="1:10" x14ac:dyDescent="0.3">
      <c r="A1717" t="s">
        <v>69</v>
      </c>
      <c r="B1717" t="s">
        <v>16</v>
      </c>
      <c r="C1717" t="s">
        <v>11</v>
      </c>
      <c r="D1717" t="s">
        <v>36</v>
      </c>
      <c r="E1717">
        <v>86</v>
      </c>
      <c r="F1717">
        <v>84</v>
      </c>
      <c r="G1717" s="1">
        <v>4000</v>
      </c>
      <c r="H1717" s="1">
        <v>4000</v>
      </c>
      <c r="I1717" s="1">
        <v>9600</v>
      </c>
      <c r="J1717" s="1">
        <v>2400</v>
      </c>
    </row>
    <row r="1718" spans="1:10" x14ac:dyDescent="0.3">
      <c r="A1718" t="s">
        <v>69</v>
      </c>
      <c r="B1718" t="s">
        <v>17</v>
      </c>
      <c r="C1718" t="s">
        <v>11</v>
      </c>
      <c r="D1718" t="s">
        <v>36</v>
      </c>
      <c r="E1718">
        <v>86</v>
      </c>
      <c r="F1718">
        <v>84</v>
      </c>
      <c r="G1718" s="1">
        <v>5000</v>
      </c>
      <c r="H1718" s="1">
        <v>5000</v>
      </c>
      <c r="I1718" s="1">
        <v>15000</v>
      </c>
      <c r="J1718" s="1">
        <v>3000</v>
      </c>
    </row>
    <row r="1719" spans="1:10" x14ac:dyDescent="0.3">
      <c r="A1719" t="s">
        <v>69</v>
      </c>
      <c r="B1719" t="s">
        <v>18</v>
      </c>
      <c r="C1719" t="s">
        <v>11</v>
      </c>
      <c r="D1719" t="s">
        <v>36</v>
      </c>
      <c r="E1719">
        <v>86</v>
      </c>
      <c r="F1719">
        <v>84</v>
      </c>
      <c r="G1719" s="1">
        <v>5000</v>
      </c>
      <c r="H1719" s="1">
        <v>5000</v>
      </c>
      <c r="I1719" s="1">
        <v>12500</v>
      </c>
      <c r="J1719" s="1">
        <v>2500</v>
      </c>
    </row>
    <row r="1720" spans="1:10" x14ac:dyDescent="0.3">
      <c r="A1720" t="s">
        <v>69</v>
      </c>
      <c r="B1720" t="s">
        <v>19</v>
      </c>
      <c r="C1720" t="s">
        <v>11</v>
      </c>
      <c r="D1720" t="s">
        <v>36</v>
      </c>
      <c r="E1720">
        <v>86</v>
      </c>
      <c r="F1720">
        <v>84</v>
      </c>
      <c r="G1720" s="1">
        <v>5000</v>
      </c>
      <c r="H1720" s="1">
        <v>5000</v>
      </c>
      <c r="I1720" s="1">
        <v>17500</v>
      </c>
      <c r="J1720" s="1">
        <v>3500</v>
      </c>
    </row>
    <row r="1721" spans="1:10" x14ac:dyDescent="0.3">
      <c r="A1721" t="s">
        <v>69</v>
      </c>
      <c r="B1721" t="s">
        <v>20</v>
      </c>
      <c r="C1721" t="s">
        <v>11</v>
      </c>
      <c r="D1721" t="s">
        <v>36</v>
      </c>
      <c r="E1721">
        <v>86</v>
      </c>
      <c r="F1721">
        <v>84</v>
      </c>
      <c r="G1721" s="1">
        <v>5000</v>
      </c>
      <c r="H1721" s="1">
        <v>5000</v>
      </c>
      <c r="I1721" s="1">
        <v>15000</v>
      </c>
      <c r="J1721" s="1">
        <v>3000</v>
      </c>
    </row>
    <row r="1722" spans="1:10" x14ac:dyDescent="0.3">
      <c r="A1722" t="s">
        <v>69</v>
      </c>
      <c r="B1722" t="s">
        <v>21</v>
      </c>
      <c r="C1722" t="s">
        <v>11</v>
      </c>
      <c r="D1722" t="s">
        <v>36</v>
      </c>
      <c r="E1722">
        <v>86</v>
      </c>
      <c r="F1722">
        <v>84</v>
      </c>
      <c r="G1722" s="1">
        <v>5000</v>
      </c>
      <c r="H1722" s="1">
        <v>5000</v>
      </c>
      <c r="I1722" s="1">
        <v>15000</v>
      </c>
      <c r="J1722" s="1">
        <v>3000</v>
      </c>
    </row>
    <row r="1723" spans="1:10" x14ac:dyDescent="0.3">
      <c r="A1723" t="s">
        <v>69</v>
      </c>
      <c r="B1723" t="s">
        <v>22</v>
      </c>
      <c r="C1723" t="s">
        <v>11</v>
      </c>
      <c r="D1723" t="s">
        <v>36</v>
      </c>
      <c r="E1723">
        <v>86</v>
      </c>
      <c r="F1723">
        <v>84</v>
      </c>
      <c r="G1723" s="1">
        <v>7500</v>
      </c>
      <c r="H1723" s="1">
        <v>7500</v>
      </c>
      <c r="I1723" s="1">
        <v>18750</v>
      </c>
      <c r="J1723" s="1">
        <v>2500</v>
      </c>
    </row>
    <row r="1724" spans="1:10" x14ac:dyDescent="0.3">
      <c r="A1724" t="s">
        <v>69</v>
      </c>
      <c r="B1724" t="s">
        <v>23</v>
      </c>
      <c r="C1724" t="s">
        <v>11</v>
      </c>
      <c r="D1724" t="s">
        <v>36</v>
      </c>
      <c r="E1724">
        <v>86</v>
      </c>
      <c r="F1724">
        <v>84</v>
      </c>
      <c r="G1724" s="1">
        <v>8000</v>
      </c>
      <c r="H1724" s="1">
        <v>8000</v>
      </c>
      <c r="I1724" s="1">
        <v>12000</v>
      </c>
      <c r="J1724" s="1">
        <v>1500</v>
      </c>
    </row>
    <row r="1725" spans="1:10" x14ac:dyDescent="0.3">
      <c r="A1725" t="s">
        <v>69</v>
      </c>
      <c r="B1725" t="s">
        <v>24</v>
      </c>
      <c r="C1725" t="s">
        <v>11</v>
      </c>
      <c r="D1725" t="s">
        <v>36</v>
      </c>
      <c r="E1725">
        <v>86</v>
      </c>
      <c r="F1725">
        <v>84</v>
      </c>
      <c r="G1725" s="1">
        <v>10000</v>
      </c>
      <c r="H1725" s="1">
        <v>9950</v>
      </c>
      <c r="I1725" s="1">
        <v>32832</v>
      </c>
      <c r="J1725" s="1">
        <v>3300</v>
      </c>
    </row>
    <row r="1726" spans="1:10" x14ac:dyDescent="0.3">
      <c r="A1726" t="s">
        <v>69</v>
      </c>
      <c r="B1726" t="s">
        <v>25</v>
      </c>
      <c r="C1726" t="s">
        <v>11</v>
      </c>
      <c r="D1726" t="s">
        <v>36</v>
      </c>
      <c r="E1726">
        <v>86</v>
      </c>
      <c r="F1726">
        <v>84</v>
      </c>
      <c r="G1726" s="1">
        <v>8800</v>
      </c>
      <c r="H1726" s="1">
        <v>8633</v>
      </c>
      <c r="I1726" s="1">
        <v>23313</v>
      </c>
      <c r="J1726" s="1">
        <v>2700</v>
      </c>
    </row>
    <row r="1727" spans="1:10" x14ac:dyDescent="0.3">
      <c r="A1727" t="s">
        <v>69</v>
      </c>
      <c r="B1727" t="s">
        <v>15</v>
      </c>
      <c r="C1727" t="s">
        <v>11</v>
      </c>
      <c r="D1727" t="s">
        <v>37</v>
      </c>
      <c r="E1727">
        <v>86</v>
      </c>
      <c r="F1727">
        <v>91</v>
      </c>
      <c r="G1727" s="1">
        <v>63000</v>
      </c>
      <c r="H1727" s="1">
        <v>62000</v>
      </c>
      <c r="I1727" s="1">
        <v>167400</v>
      </c>
      <c r="J1727" s="1">
        <v>2700</v>
      </c>
    </row>
    <row r="1728" spans="1:10" x14ac:dyDescent="0.3">
      <c r="A1728" t="s">
        <v>69</v>
      </c>
      <c r="B1728" t="s">
        <v>16</v>
      </c>
      <c r="C1728" t="s">
        <v>11</v>
      </c>
      <c r="D1728" t="s">
        <v>37</v>
      </c>
      <c r="E1728">
        <v>86</v>
      </c>
      <c r="F1728">
        <v>91</v>
      </c>
      <c r="G1728" s="1">
        <v>53915</v>
      </c>
      <c r="H1728" s="1">
        <v>53915</v>
      </c>
      <c r="I1728" s="1">
        <v>156354</v>
      </c>
      <c r="J1728" s="1">
        <v>2900</v>
      </c>
    </row>
    <row r="1729" spans="1:10" x14ac:dyDescent="0.3">
      <c r="A1729" t="s">
        <v>69</v>
      </c>
      <c r="B1729" t="s">
        <v>17</v>
      </c>
      <c r="C1729" t="s">
        <v>11</v>
      </c>
      <c r="D1729" t="s">
        <v>37</v>
      </c>
      <c r="E1729">
        <v>86</v>
      </c>
      <c r="F1729">
        <v>91</v>
      </c>
      <c r="G1729" s="1">
        <v>60000</v>
      </c>
      <c r="H1729" s="1">
        <v>60000</v>
      </c>
      <c r="I1729" s="1">
        <v>210000</v>
      </c>
      <c r="J1729" s="1">
        <v>3500</v>
      </c>
    </row>
    <row r="1730" spans="1:10" x14ac:dyDescent="0.3">
      <c r="A1730" t="s">
        <v>69</v>
      </c>
      <c r="B1730" t="s">
        <v>18</v>
      </c>
      <c r="C1730" t="s">
        <v>11</v>
      </c>
      <c r="D1730" t="s">
        <v>37</v>
      </c>
      <c r="E1730">
        <v>86</v>
      </c>
      <c r="F1730">
        <v>91</v>
      </c>
      <c r="G1730" s="1">
        <v>65000</v>
      </c>
      <c r="H1730" s="1">
        <v>65000</v>
      </c>
      <c r="I1730" s="1">
        <v>195000</v>
      </c>
      <c r="J1730" s="1">
        <v>3000</v>
      </c>
    </row>
    <row r="1731" spans="1:10" x14ac:dyDescent="0.3">
      <c r="A1731" t="s">
        <v>69</v>
      </c>
      <c r="B1731" t="s">
        <v>19</v>
      </c>
      <c r="C1731" t="s">
        <v>11</v>
      </c>
      <c r="D1731" t="s">
        <v>37</v>
      </c>
      <c r="E1731">
        <v>86</v>
      </c>
      <c r="F1731">
        <v>91</v>
      </c>
      <c r="G1731" s="1">
        <v>77500</v>
      </c>
      <c r="H1731" s="1">
        <v>77500</v>
      </c>
      <c r="I1731" s="1">
        <v>277050</v>
      </c>
      <c r="J1731" s="1">
        <v>3575</v>
      </c>
    </row>
    <row r="1732" spans="1:10" x14ac:dyDescent="0.3">
      <c r="A1732" t="s">
        <v>69</v>
      </c>
      <c r="B1732" t="s">
        <v>20</v>
      </c>
      <c r="C1732" t="s">
        <v>11</v>
      </c>
      <c r="D1732" t="s">
        <v>37</v>
      </c>
      <c r="E1732">
        <v>86</v>
      </c>
      <c r="F1732">
        <v>91</v>
      </c>
      <c r="G1732" s="1">
        <v>81700</v>
      </c>
      <c r="H1732" s="1">
        <v>81700</v>
      </c>
      <c r="I1732" s="1">
        <v>245100</v>
      </c>
      <c r="J1732" s="1">
        <v>3000</v>
      </c>
    </row>
    <row r="1733" spans="1:10" x14ac:dyDescent="0.3">
      <c r="A1733" t="s">
        <v>69</v>
      </c>
      <c r="B1733" t="s">
        <v>21</v>
      </c>
      <c r="C1733" t="s">
        <v>11</v>
      </c>
      <c r="D1733" t="s">
        <v>37</v>
      </c>
      <c r="E1733">
        <v>86</v>
      </c>
      <c r="F1733">
        <v>91</v>
      </c>
      <c r="G1733" s="1">
        <v>81600</v>
      </c>
      <c r="H1733" s="1">
        <v>81600</v>
      </c>
      <c r="I1733" s="1">
        <v>285600</v>
      </c>
      <c r="J1733" s="1">
        <v>3500</v>
      </c>
    </row>
    <row r="1734" spans="1:10" x14ac:dyDescent="0.3">
      <c r="A1734" t="s">
        <v>69</v>
      </c>
      <c r="B1734" t="s">
        <v>22</v>
      </c>
      <c r="C1734" t="s">
        <v>11</v>
      </c>
      <c r="D1734" t="s">
        <v>37</v>
      </c>
      <c r="E1734">
        <v>86</v>
      </c>
      <c r="F1734">
        <v>91</v>
      </c>
      <c r="G1734" s="1">
        <v>87000</v>
      </c>
      <c r="H1734" s="1">
        <v>87000</v>
      </c>
      <c r="I1734" s="1">
        <v>217500</v>
      </c>
      <c r="J1734" s="1">
        <v>2500</v>
      </c>
    </row>
    <row r="1735" spans="1:10" x14ac:dyDescent="0.3">
      <c r="A1735" t="s">
        <v>69</v>
      </c>
      <c r="B1735" t="s">
        <v>23</v>
      </c>
      <c r="C1735" t="s">
        <v>11</v>
      </c>
      <c r="D1735" t="s">
        <v>37</v>
      </c>
      <c r="E1735">
        <v>86</v>
      </c>
      <c r="F1735">
        <v>91</v>
      </c>
      <c r="G1735" s="1">
        <v>85000</v>
      </c>
      <c r="H1735" s="1">
        <v>85000</v>
      </c>
      <c r="I1735" s="1">
        <v>147500</v>
      </c>
      <c r="J1735" s="1">
        <v>1735</v>
      </c>
    </row>
    <row r="1736" spans="1:10" x14ac:dyDescent="0.3">
      <c r="A1736" t="s">
        <v>69</v>
      </c>
      <c r="B1736" t="s">
        <v>24</v>
      </c>
      <c r="C1736" t="s">
        <v>11</v>
      </c>
      <c r="D1736" t="s">
        <v>37</v>
      </c>
      <c r="E1736">
        <v>86</v>
      </c>
      <c r="F1736">
        <v>91</v>
      </c>
      <c r="G1736" s="1">
        <v>85000</v>
      </c>
      <c r="H1736" s="1">
        <v>84860</v>
      </c>
      <c r="I1736" s="1">
        <v>296069</v>
      </c>
      <c r="J1736" s="1">
        <v>3489</v>
      </c>
    </row>
    <row r="1737" spans="1:10" x14ac:dyDescent="0.3">
      <c r="A1737" t="s">
        <v>69</v>
      </c>
      <c r="B1737" t="s">
        <v>25</v>
      </c>
      <c r="C1737" t="s">
        <v>11</v>
      </c>
      <c r="D1737" t="s">
        <v>37</v>
      </c>
      <c r="E1737">
        <v>86</v>
      </c>
      <c r="F1737">
        <v>91</v>
      </c>
      <c r="G1737" s="1">
        <v>93500</v>
      </c>
      <c r="H1737" s="1">
        <v>93200</v>
      </c>
      <c r="I1737" s="1">
        <v>261510</v>
      </c>
      <c r="J1737" s="1">
        <v>2806</v>
      </c>
    </row>
    <row r="1738" spans="1:10" x14ac:dyDescent="0.3">
      <c r="A1738" t="s">
        <v>69</v>
      </c>
      <c r="B1738" t="s">
        <v>15</v>
      </c>
      <c r="C1738" t="s">
        <v>11</v>
      </c>
      <c r="D1738" t="s">
        <v>38</v>
      </c>
      <c r="E1738">
        <v>86</v>
      </c>
      <c r="F1738">
        <v>98</v>
      </c>
      <c r="G1738" s="1">
        <v>55000</v>
      </c>
      <c r="H1738" s="1">
        <v>54500</v>
      </c>
      <c r="I1738" s="1">
        <v>158050</v>
      </c>
      <c r="J1738" s="1">
        <v>2900</v>
      </c>
    </row>
    <row r="1739" spans="1:10" x14ac:dyDescent="0.3">
      <c r="A1739" t="s">
        <v>69</v>
      </c>
      <c r="B1739" t="s">
        <v>16</v>
      </c>
      <c r="C1739" t="s">
        <v>11</v>
      </c>
      <c r="D1739" t="s">
        <v>38</v>
      </c>
      <c r="E1739">
        <v>86</v>
      </c>
      <c r="F1739">
        <v>98</v>
      </c>
      <c r="G1739" s="1">
        <v>55000</v>
      </c>
      <c r="H1739" s="1">
        <v>49000</v>
      </c>
      <c r="I1739" s="1">
        <v>127400</v>
      </c>
      <c r="J1739" s="1">
        <v>2600</v>
      </c>
    </row>
    <row r="1740" spans="1:10" x14ac:dyDescent="0.3">
      <c r="A1740" t="s">
        <v>69</v>
      </c>
      <c r="B1740" t="s">
        <v>17</v>
      </c>
      <c r="C1740" t="s">
        <v>11</v>
      </c>
      <c r="D1740" t="s">
        <v>38</v>
      </c>
      <c r="E1740">
        <v>86</v>
      </c>
      <c r="F1740">
        <v>98</v>
      </c>
      <c r="G1740" s="1">
        <v>77640</v>
      </c>
      <c r="H1740" s="1">
        <v>77340</v>
      </c>
      <c r="I1740" s="1">
        <v>270690</v>
      </c>
      <c r="J1740" s="1">
        <v>3500</v>
      </c>
    </row>
    <row r="1741" spans="1:10" x14ac:dyDescent="0.3">
      <c r="A1741" t="s">
        <v>69</v>
      </c>
      <c r="B1741" t="s">
        <v>18</v>
      </c>
      <c r="C1741" t="s">
        <v>11</v>
      </c>
      <c r="D1741" t="s">
        <v>38</v>
      </c>
      <c r="E1741">
        <v>86</v>
      </c>
      <c r="F1741">
        <v>98</v>
      </c>
      <c r="G1741" s="1">
        <v>80000</v>
      </c>
      <c r="H1741" s="1">
        <v>78850</v>
      </c>
      <c r="I1741" s="1">
        <v>165585</v>
      </c>
      <c r="J1741" s="1">
        <v>2100</v>
      </c>
    </row>
    <row r="1742" spans="1:10" x14ac:dyDescent="0.3">
      <c r="A1742" t="s">
        <v>69</v>
      </c>
      <c r="B1742" t="s">
        <v>19</v>
      </c>
      <c r="C1742" t="s">
        <v>11</v>
      </c>
      <c r="D1742" t="s">
        <v>38</v>
      </c>
      <c r="E1742">
        <v>86</v>
      </c>
      <c r="F1742">
        <v>98</v>
      </c>
      <c r="G1742" s="1">
        <v>72750</v>
      </c>
      <c r="H1742" s="1">
        <v>71120</v>
      </c>
      <c r="I1742" s="1">
        <v>223939</v>
      </c>
      <c r="J1742" s="1">
        <v>3149</v>
      </c>
    </row>
    <row r="1743" spans="1:10" x14ac:dyDescent="0.3">
      <c r="A1743" t="s">
        <v>69</v>
      </c>
      <c r="B1743" t="s">
        <v>20</v>
      </c>
      <c r="C1743" t="s">
        <v>11</v>
      </c>
      <c r="D1743" t="s">
        <v>38</v>
      </c>
      <c r="E1743">
        <v>86</v>
      </c>
      <c r="F1743">
        <v>98</v>
      </c>
      <c r="G1743" s="1">
        <v>71500</v>
      </c>
      <c r="H1743" s="1">
        <v>70970</v>
      </c>
      <c r="I1743" s="1">
        <v>231475</v>
      </c>
      <c r="J1743" s="1">
        <v>3262</v>
      </c>
    </row>
    <row r="1744" spans="1:10" x14ac:dyDescent="0.3">
      <c r="A1744" t="s">
        <v>69</v>
      </c>
      <c r="B1744" t="s">
        <v>21</v>
      </c>
      <c r="C1744" t="s">
        <v>11</v>
      </c>
      <c r="D1744" t="s">
        <v>38</v>
      </c>
      <c r="E1744">
        <v>86</v>
      </c>
      <c r="F1744">
        <v>98</v>
      </c>
      <c r="G1744" s="1">
        <v>75500</v>
      </c>
      <c r="H1744" s="1">
        <v>75500</v>
      </c>
      <c r="I1744" s="1">
        <v>259450</v>
      </c>
      <c r="J1744" s="1">
        <v>3436</v>
      </c>
    </row>
    <row r="1745" spans="1:10" x14ac:dyDescent="0.3">
      <c r="A1745" t="s">
        <v>69</v>
      </c>
      <c r="B1745" t="s">
        <v>22</v>
      </c>
      <c r="C1745" t="s">
        <v>11</v>
      </c>
      <c r="D1745" t="s">
        <v>38</v>
      </c>
      <c r="E1745">
        <v>86</v>
      </c>
      <c r="F1745">
        <v>98</v>
      </c>
      <c r="G1745" s="1">
        <v>73900</v>
      </c>
      <c r="H1745" s="1">
        <v>73900</v>
      </c>
      <c r="I1745" s="1">
        <v>240990</v>
      </c>
      <c r="J1745" s="1">
        <v>3261</v>
      </c>
    </row>
    <row r="1746" spans="1:10" x14ac:dyDescent="0.3">
      <c r="A1746" t="s">
        <v>69</v>
      </c>
      <c r="B1746" t="s">
        <v>23</v>
      </c>
      <c r="C1746" t="s">
        <v>11</v>
      </c>
      <c r="D1746" t="s">
        <v>38</v>
      </c>
      <c r="E1746">
        <v>86</v>
      </c>
      <c r="F1746">
        <v>98</v>
      </c>
      <c r="G1746" s="1">
        <v>77905</v>
      </c>
      <c r="H1746" s="1">
        <v>77905</v>
      </c>
      <c r="I1746" s="1">
        <v>215313</v>
      </c>
      <c r="J1746" s="1">
        <v>2764</v>
      </c>
    </row>
    <row r="1747" spans="1:10" x14ac:dyDescent="0.3">
      <c r="A1747" t="s">
        <v>69</v>
      </c>
      <c r="B1747" t="s">
        <v>24</v>
      </c>
      <c r="C1747" t="s">
        <v>11</v>
      </c>
      <c r="D1747" t="s">
        <v>38</v>
      </c>
      <c r="E1747">
        <v>86</v>
      </c>
      <c r="F1747">
        <v>98</v>
      </c>
      <c r="G1747" s="1">
        <v>74500</v>
      </c>
      <c r="H1747" s="1">
        <v>74020</v>
      </c>
      <c r="I1747" s="1">
        <v>213076</v>
      </c>
      <c r="J1747" s="1">
        <v>2879</v>
      </c>
    </row>
    <row r="1748" spans="1:10" x14ac:dyDescent="0.3">
      <c r="A1748" t="s">
        <v>69</v>
      </c>
      <c r="B1748" t="s">
        <v>25</v>
      </c>
      <c r="C1748" t="s">
        <v>11</v>
      </c>
      <c r="D1748" t="s">
        <v>38</v>
      </c>
      <c r="E1748">
        <v>86</v>
      </c>
      <c r="F1748">
        <v>98</v>
      </c>
      <c r="G1748" s="1">
        <v>95500</v>
      </c>
      <c r="H1748" s="1">
        <v>89074</v>
      </c>
      <c r="I1748" s="1">
        <v>206100</v>
      </c>
      <c r="J1748" s="1">
        <v>2314</v>
      </c>
    </row>
    <row r="1749" spans="1:10" x14ac:dyDescent="0.3">
      <c r="A1749" t="s">
        <v>69</v>
      </c>
      <c r="B1749" t="s">
        <v>15</v>
      </c>
      <c r="C1749" t="s">
        <v>11</v>
      </c>
      <c r="D1749" t="s">
        <v>39</v>
      </c>
      <c r="E1749">
        <v>86</v>
      </c>
      <c r="F1749">
        <v>105</v>
      </c>
      <c r="G1749" s="1">
        <v>1500</v>
      </c>
      <c r="H1749" s="1">
        <v>1500</v>
      </c>
      <c r="I1749" s="1">
        <v>3300</v>
      </c>
      <c r="J1749" s="1">
        <v>2200</v>
      </c>
    </row>
    <row r="1750" spans="1:10" x14ac:dyDescent="0.3">
      <c r="A1750" t="s">
        <v>69</v>
      </c>
      <c r="B1750" t="s">
        <v>16</v>
      </c>
      <c r="C1750" t="s">
        <v>11</v>
      </c>
      <c r="D1750" t="s">
        <v>39</v>
      </c>
      <c r="E1750">
        <v>86</v>
      </c>
      <c r="F1750">
        <v>105</v>
      </c>
      <c r="G1750" s="1">
        <v>1500</v>
      </c>
      <c r="H1750" s="1">
        <v>1500</v>
      </c>
      <c r="I1750" s="1">
        <v>3600</v>
      </c>
      <c r="J1750" s="1">
        <v>2400</v>
      </c>
    </row>
    <row r="1751" spans="1:10" x14ac:dyDescent="0.3">
      <c r="A1751" t="s">
        <v>69</v>
      </c>
      <c r="B1751" t="s">
        <v>17</v>
      </c>
      <c r="C1751" t="s">
        <v>11</v>
      </c>
      <c r="D1751" t="s">
        <v>39</v>
      </c>
      <c r="E1751">
        <v>86</v>
      </c>
      <c r="F1751">
        <v>105</v>
      </c>
      <c r="G1751" s="1">
        <v>2000</v>
      </c>
      <c r="H1751" s="1">
        <v>2000</v>
      </c>
      <c r="I1751" s="1">
        <v>6000</v>
      </c>
      <c r="J1751" s="1">
        <v>3000</v>
      </c>
    </row>
    <row r="1752" spans="1:10" x14ac:dyDescent="0.3">
      <c r="A1752" t="s">
        <v>69</v>
      </c>
      <c r="B1752" t="s">
        <v>18</v>
      </c>
      <c r="C1752" t="s">
        <v>11</v>
      </c>
      <c r="D1752" t="s">
        <v>39</v>
      </c>
      <c r="E1752">
        <v>86</v>
      </c>
      <c r="F1752">
        <v>105</v>
      </c>
      <c r="G1752" s="1">
        <v>2500</v>
      </c>
      <c r="H1752" s="1">
        <v>2500</v>
      </c>
      <c r="I1752" s="1">
        <v>6250</v>
      </c>
      <c r="J1752" s="1">
        <v>2500</v>
      </c>
    </row>
    <row r="1753" spans="1:10" x14ac:dyDescent="0.3">
      <c r="A1753" t="s">
        <v>69</v>
      </c>
      <c r="B1753" t="s">
        <v>19</v>
      </c>
      <c r="C1753" t="s">
        <v>11</v>
      </c>
      <c r="D1753" t="s">
        <v>39</v>
      </c>
      <c r="E1753">
        <v>86</v>
      </c>
      <c r="F1753">
        <v>105</v>
      </c>
      <c r="G1753" s="1">
        <v>2500</v>
      </c>
      <c r="H1753" s="1">
        <v>2500</v>
      </c>
      <c r="I1753" s="1">
        <v>8750</v>
      </c>
      <c r="J1753" s="1">
        <v>3500</v>
      </c>
    </row>
    <row r="1754" spans="1:10" x14ac:dyDescent="0.3">
      <c r="A1754" t="s">
        <v>69</v>
      </c>
      <c r="B1754" t="s">
        <v>20</v>
      </c>
      <c r="C1754" t="s">
        <v>11</v>
      </c>
      <c r="D1754" t="s">
        <v>39</v>
      </c>
      <c r="E1754">
        <v>86</v>
      </c>
      <c r="F1754">
        <v>105</v>
      </c>
      <c r="G1754" s="1">
        <v>2500</v>
      </c>
      <c r="H1754" s="1">
        <v>2500</v>
      </c>
      <c r="I1754" s="1">
        <v>7500</v>
      </c>
      <c r="J1754" s="1">
        <v>3000</v>
      </c>
    </row>
    <row r="1755" spans="1:10" x14ac:dyDescent="0.3">
      <c r="A1755" t="s">
        <v>69</v>
      </c>
      <c r="B1755" t="s">
        <v>21</v>
      </c>
      <c r="C1755" t="s">
        <v>11</v>
      </c>
      <c r="D1755" t="s">
        <v>39</v>
      </c>
      <c r="E1755">
        <v>86</v>
      </c>
      <c r="F1755">
        <v>105</v>
      </c>
      <c r="G1755" s="1">
        <v>2500</v>
      </c>
      <c r="H1755" s="1">
        <v>2500</v>
      </c>
      <c r="I1755" s="1">
        <v>7500</v>
      </c>
      <c r="J1755" s="1">
        <v>3000</v>
      </c>
    </row>
    <row r="1756" spans="1:10" x14ac:dyDescent="0.3">
      <c r="A1756" t="s">
        <v>69</v>
      </c>
      <c r="B1756" t="s">
        <v>22</v>
      </c>
      <c r="C1756" t="s">
        <v>11</v>
      </c>
      <c r="D1756" t="s">
        <v>39</v>
      </c>
      <c r="E1756">
        <v>86</v>
      </c>
      <c r="F1756">
        <v>105</v>
      </c>
      <c r="G1756" s="1">
        <v>2500</v>
      </c>
      <c r="H1756" s="1">
        <v>2500</v>
      </c>
      <c r="I1756" s="1">
        <v>6250</v>
      </c>
      <c r="J1756" s="1">
        <v>2500</v>
      </c>
    </row>
    <row r="1757" spans="1:10" x14ac:dyDescent="0.3">
      <c r="A1757" t="s">
        <v>69</v>
      </c>
      <c r="B1757" t="s">
        <v>23</v>
      </c>
      <c r="C1757" t="s">
        <v>11</v>
      </c>
      <c r="D1757" t="s">
        <v>39</v>
      </c>
      <c r="E1757">
        <v>86</v>
      </c>
      <c r="F1757">
        <v>105</v>
      </c>
      <c r="G1757" s="1">
        <v>3000</v>
      </c>
      <c r="H1757" s="1">
        <v>3000</v>
      </c>
      <c r="I1757" s="1">
        <v>4500</v>
      </c>
      <c r="J1757" s="1">
        <v>1500</v>
      </c>
    </row>
    <row r="1758" spans="1:10" x14ac:dyDescent="0.3">
      <c r="A1758" t="s">
        <v>69</v>
      </c>
      <c r="B1758" t="s">
        <v>24</v>
      </c>
      <c r="C1758" t="s">
        <v>11</v>
      </c>
      <c r="D1758" t="s">
        <v>39</v>
      </c>
      <c r="E1758">
        <v>86</v>
      </c>
      <c r="F1758">
        <v>105</v>
      </c>
      <c r="G1758" s="1">
        <v>3000</v>
      </c>
      <c r="H1758" s="1">
        <v>2945</v>
      </c>
      <c r="I1758" s="1">
        <v>10348</v>
      </c>
      <c r="J1758" s="1">
        <v>3514</v>
      </c>
    </row>
    <row r="1759" spans="1:10" x14ac:dyDescent="0.3">
      <c r="A1759" t="s">
        <v>69</v>
      </c>
      <c r="B1759" t="s">
        <v>25</v>
      </c>
      <c r="C1759" t="s">
        <v>11</v>
      </c>
      <c r="D1759" t="s">
        <v>39</v>
      </c>
      <c r="E1759">
        <v>86</v>
      </c>
      <c r="F1759">
        <v>105</v>
      </c>
      <c r="G1759" s="1">
        <v>3400</v>
      </c>
      <c r="H1759" s="1">
        <v>3290</v>
      </c>
      <c r="I1759" s="1">
        <v>8867</v>
      </c>
      <c r="J1759" s="1">
        <v>2695</v>
      </c>
    </row>
    <row r="1760" spans="1:10" x14ac:dyDescent="0.3">
      <c r="A1760" t="s">
        <v>69</v>
      </c>
      <c r="B1760" t="s">
        <v>15</v>
      </c>
      <c r="C1760" t="s">
        <v>11</v>
      </c>
      <c r="D1760" t="s">
        <v>40</v>
      </c>
      <c r="E1760">
        <v>86</v>
      </c>
      <c r="F1760">
        <v>112</v>
      </c>
      <c r="G1760" s="1">
        <v>20000</v>
      </c>
      <c r="H1760" s="1">
        <v>19500</v>
      </c>
      <c r="I1760" s="1">
        <v>46800</v>
      </c>
      <c r="J1760" s="1">
        <v>2400</v>
      </c>
    </row>
    <row r="1761" spans="1:10" x14ac:dyDescent="0.3">
      <c r="A1761" t="s">
        <v>69</v>
      </c>
      <c r="B1761" t="s">
        <v>16</v>
      </c>
      <c r="C1761" t="s">
        <v>11</v>
      </c>
      <c r="D1761" t="s">
        <v>40</v>
      </c>
      <c r="E1761">
        <v>86</v>
      </c>
      <c r="F1761">
        <v>112</v>
      </c>
      <c r="G1761" s="1">
        <v>15000</v>
      </c>
      <c r="H1761" s="1">
        <v>15000</v>
      </c>
      <c r="I1761" s="1">
        <v>40500</v>
      </c>
      <c r="J1761" s="1">
        <v>2700</v>
      </c>
    </row>
    <row r="1762" spans="1:10" x14ac:dyDescent="0.3">
      <c r="A1762" t="s">
        <v>69</v>
      </c>
      <c r="B1762" t="s">
        <v>17</v>
      </c>
      <c r="C1762" t="s">
        <v>11</v>
      </c>
      <c r="D1762" t="s">
        <v>40</v>
      </c>
      <c r="E1762">
        <v>86</v>
      </c>
      <c r="F1762">
        <v>112</v>
      </c>
      <c r="G1762" s="1">
        <v>15000</v>
      </c>
      <c r="H1762" s="1">
        <v>15000</v>
      </c>
      <c r="I1762" s="1">
        <v>52500</v>
      </c>
      <c r="J1762" s="1">
        <v>3500</v>
      </c>
    </row>
    <row r="1763" spans="1:10" x14ac:dyDescent="0.3">
      <c r="A1763" t="s">
        <v>69</v>
      </c>
      <c r="B1763" t="s">
        <v>18</v>
      </c>
      <c r="C1763" t="s">
        <v>11</v>
      </c>
      <c r="D1763" t="s">
        <v>40</v>
      </c>
      <c r="E1763">
        <v>86</v>
      </c>
      <c r="F1763">
        <v>112</v>
      </c>
      <c r="G1763" s="1">
        <v>15000</v>
      </c>
      <c r="H1763" s="1">
        <v>15000</v>
      </c>
      <c r="I1763" s="1">
        <v>22500</v>
      </c>
      <c r="J1763" s="1">
        <v>1500</v>
      </c>
    </row>
    <row r="1764" spans="1:10" x14ac:dyDescent="0.3">
      <c r="A1764" t="s">
        <v>69</v>
      </c>
      <c r="B1764" t="s">
        <v>19</v>
      </c>
      <c r="C1764" t="s">
        <v>11</v>
      </c>
      <c r="D1764" t="s">
        <v>40</v>
      </c>
      <c r="E1764">
        <v>86</v>
      </c>
      <c r="F1764">
        <v>112</v>
      </c>
      <c r="G1764" s="1">
        <v>15000</v>
      </c>
      <c r="H1764" s="1">
        <v>15000</v>
      </c>
      <c r="I1764" s="1">
        <v>52527</v>
      </c>
      <c r="J1764" s="1">
        <v>3502</v>
      </c>
    </row>
    <row r="1765" spans="1:10" x14ac:dyDescent="0.3">
      <c r="A1765" t="s">
        <v>69</v>
      </c>
      <c r="B1765" t="s">
        <v>20</v>
      </c>
      <c r="C1765" t="s">
        <v>11</v>
      </c>
      <c r="D1765" t="s">
        <v>40</v>
      </c>
      <c r="E1765">
        <v>86</v>
      </c>
      <c r="F1765">
        <v>112</v>
      </c>
      <c r="G1765" s="1">
        <v>12000</v>
      </c>
      <c r="H1765" s="1">
        <v>12000</v>
      </c>
      <c r="I1765" s="1">
        <v>36000</v>
      </c>
      <c r="J1765" s="1">
        <v>3000</v>
      </c>
    </row>
    <row r="1766" spans="1:10" x14ac:dyDescent="0.3">
      <c r="A1766" t="s">
        <v>69</v>
      </c>
      <c r="B1766" t="s">
        <v>21</v>
      </c>
      <c r="C1766" t="s">
        <v>11</v>
      </c>
      <c r="D1766" t="s">
        <v>40</v>
      </c>
      <c r="E1766">
        <v>86</v>
      </c>
      <c r="F1766">
        <v>112</v>
      </c>
      <c r="G1766" s="1">
        <v>12000</v>
      </c>
      <c r="H1766" s="1">
        <v>12000</v>
      </c>
      <c r="I1766" s="1">
        <v>36000</v>
      </c>
      <c r="J1766" s="1">
        <v>3000</v>
      </c>
    </row>
    <row r="1767" spans="1:10" x14ac:dyDescent="0.3">
      <c r="A1767" t="s">
        <v>69</v>
      </c>
      <c r="B1767" t="s">
        <v>22</v>
      </c>
      <c r="C1767" t="s">
        <v>11</v>
      </c>
      <c r="D1767" t="s">
        <v>40</v>
      </c>
      <c r="E1767">
        <v>86</v>
      </c>
      <c r="F1767">
        <v>112</v>
      </c>
      <c r="G1767" s="1">
        <v>12000</v>
      </c>
      <c r="H1767" s="1">
        <v>12000</v>
      </c>
      <c r="I1767" s="1">
        <v>30000</v>
      </c>
      <c r="J1767" s="1">
        <v>2500</v>
      </c>
    </row>
    <row r="1768" spans="1:10" x14ac:dyDescent="0.3">
      <c r="A1768" t="s">
        <v>69</v>
      </c>
      <c r="B1768" t="s">
        <v>23</v>
      </c>
      <c r="C1768" t="s">
        <v>11</v>
      </c>
      <c r="D1768" t="s">
        <v>40</v>
      </c>
      <c r="E1768">
        <v>86</v>
      </c>
      <c r="F1768">
        <v>112</v>
      </c>
      <c r="G1768" s="1">
        <v>13000</v>
      </c>
      <c r="H1768" s="1">
        <v>13000</v>
      </c>
      <c r="I1768" s="1">
        <v>19500</v>
      </c>
      <c r="J1768" s="1">
        <v>1500</v>
      </c>
    </row>
    <row r="1769" spans="1:10" x14ac:dyDescent="0.3">
      <c r="A1769" t="s">
        <v>69</v>
      </c>
      <c r="B1769" t="s">
        <v>24</v>
      </c>
      <c r="C1769" t="s">
        <v>11</v>
      </c>
      <c r="D1769" t="s">
        <v>40</v>
      </c>
      <c r="E1769">
        <v>86</v>
      </c>
      <c r="F1769">
        <v>112</v>
      </c>
      <c r="G1769" s="1">
        <v>13000</v>
      </c>
      <c r="H1769" s="1">
        <v>12902</v>
      </c>
      <c r="I1769" s="1">
        <v>48848</v>
      </c>
      <c r="J1769" s="1">
        <v>3786</v>
      </c>
    </row>
    <row r="1770" spans="1:10" x14ac:dyDescent="0.3">
      <c r="A1770" t="s">
        <v>69</v>
      </c>
      <c r="B1770" t="s">
        <v>25</v>
      </c>
      <c r="C1770" t="s">
        <v>11</v>
      </c>
      <c r="D1770" t="s">
        <v>40</v>
      </c>
      <c r="E1770">
        <v>86</v>
      </c>
      <c r="F1770">
        <v>112</v>
      </c>
      <c r="G1770" s="1">
        <v>14300</v>
      </c>
      <c r="H1770" s="1">
        <v>14060</v>
      </c>
      <c r="I1770" s="1">
        <v>35150</v>
      </c>
      <c r="J1770" s="1">
        <v>2500</v>
      </c>
    </row>
    <row r="1771" spans="1:10" x14ac:dyDescent="0.3">
      <c r="A1771" t="s">
        <v>69</v>
      </c>
      <c r="B1771" t="s">
        <v>15</v>
      </c>
      <c r="C1771" t="s">
        <v>11</v>
      </c>
      <c r="D1771" t="s">
        <v>41</v>
      </c>
      <c r="E1771">
        <v>86</v>
      </c>
      <c r="F1771">
        <v>119</v>
      </c>
      <c r="G1771" s="1">
        <v>220000</v>
      </c>
      <c r="H1771" s="1">
        <v>217800</v>
      </c>
      <c r="I1771" s="1">
        <v>566280</v>
      </c>
      <c r="J1771" s="1">
        <v>2600</v>
      </c>
    </row>
    <row r="1772" spans="1:10" x14ac:dyDescent="0.3">
      <c r="A1772" t="s">
        <v>69</v>
      </c>
      <c r="B1772" t="s">
        <v>16</v>
      </c>
      <c r="C1772" t="s">
        <v>11</v>
      </c>
      <c r="D1772" t="s">
        <v>41</v>
      </c>
      <c r="E1772">
        <v>86</v>
      </c>
      <c r="F1772">
        <v>119</v>
      </c>
      <c r="G1772" s="1">
        <v>290000</v>
      </c>
      <c r="H1772" s="1">
        <v>285000</v>
      </c>
      <c r="I1772" s="1">
        <v>741000</v>
      </c>
      <c r="J1772" s="1">
        <v>2600</v>
      </c>
    </row>
    <row r="1773" spans="1:10" x14ac:dyDescent="0.3">
      <c r="A1773" t="s">
        <v>69</v>
      </c>
      <c r="B1773" t="s">
        <v>17</v>
      </c>
      <c r="C1773" t="s">
        <v>11</v>
      </c>
      <c r="D1773" t="s">
        <v>41</v>
      </c>
      <c r="E1773">
        <v>86</v>
      </c>
      <c r="F1773">
        <v>119</v>
      </c>
      <c r="G1773" s="1">
        <v>231550</v>
      </c>
      <c r="H1773" s="1">
        <v>231170</v>
      </c>
      <c r="I1773" s="1">
        <v>832212</v>
      </c>
      <c r="J1773" s="1">
        <v>3600</v>
      </c>
    </row>
    <row r="1774" spans="1:10" x14ac:dyDescent="0.3">
      <c r="A1774" t="s">
        <v>69</v>
      </c>
      <c r="B1774" t="s">
        <v>18</v>
      </c>
      <c r="C1774" t="s">
        <v>11</v>
      </c>
      <c r="D1774" t="s">
        <v>41</v>
      </c>
      <c r="E1774">
        <v>86</v>
      </c>
      <c r="F1774">
        <v>119</v>
      </c>
      <c r="G1774" s="1">
        <v>240000</v>
      </c>
      <c r="H1774" s="1">
        <v>235850</v>
      </c>
      <c r="I1774" s="1">
        <v>660380</v>
      </c>
      <c r="J1774" s="1">
        <v>2800</v>
      </c>
    </row>
    <row r="1775" spans="1:10" x14ac:dyDescent="0.3">
      <c r="A1775" t="s">
        <v>69</v>
      </c>
      <c r="B1775" t="s">
        <v>19</v>
      </c>
      <c r="C1775" t="s">
        <v>11</v>
      </c>
      <c r="D1775" t="s">
        <v>41</v>
      </c>
      <c r="E1775">
        <v>86</v>
      </c>
      <c r="F1775">
        <v>119</v>
      </c>
      <c r="G1775" s="1">
        <v>270000</v>
      </c>
      <c r="H1775" s="1">
        <v>265000</v>
      </c>
      <c r="I1775" s="1">
        <v>833846</v>
      </c>
      <c r="J1775" s="1">
        <v>3147</v>
      </c>
    </row>
    <row r="1776" spans="1:10" x14ac:dyDescent="0.3">
      <c r="A1776" t="s">
        <v>69</v>
      </c>
      <c r="B1776" t="s">
        <v>20</v>
      </c>
      <c r="C1776" t="s">
        <v>11</v>
      </c>
      <c r="D1776" t="s">
        <v>41</v>
      </c>
      <c r="E1776">
        <v>86</v>
      </c>
      <c r="F1776">
        <v>119</v>
      </c>
      <c r="G1776" s="1">
        <v>287600</v>
      </c>
      <c r="H1776" s="1">
        <v>286265</v>
      </c>
      <c r="I1776" s="1">
        <v>926060</v>
      </c>
      <c r="J1776" s="1">
        <v>3235</v>
      </c>
    </row>
    <row r="1777" spans="1:10" x14ac:dyDescent="0.3">
      <c r="A1777" t="s">
        <v>69</v>
      </c>
      <c r="B1777" t="s">
        <v>21</v>
      </c>
      <c r="C1777" t="s">
        <v>11</v>
      </c>
      <c r="D1777" t="s">
        <v>41</v>
      </c>
      <c r="E1777">
        <v>86</v>
      </c>
      <c r="F1777">
        <v>119</v>
      </c>
      <c r="G1777" s="1">
        <v>295000</v>
      </c>
      <c r="H1777" s="1">
        <v>295000</v>
      </c>
      <c r="I1777" s="1">
        <v>977900</v>
      </c>
      <c r="J1777" s="1">
        <v>3315</v>
      </c>
    </row>
    <row r="1778" spans="1:10" x14ac:dyDescent="0.3">
      <c r="A1778" t="s">
        <v>69</v>
      </c>
      <c r="B1778" t="s">
        <v>22</v>
      </c>
      <c r="C1778" t="s">
        <v>11</v>
      </c>
      <c r="D1778" t="s">
        <v>41</v>
      </c>
      <c r="E1778">
        <v>86</v>
      </c>
      <c r="F1778">
        <v>119</v>
      </c>
      <c r="G1778" s="1">
        <v>290600</v>
      </c>
      <c r="H1778" s="1">
        <v>290600</v>
      </c>
      <c r="I1778" s="1">
        <v>976160</v>
      </c>
      <c r="J1778" s="1">
        <v>3359</v>
      </c>
    </row>
    <row r="1779" spans="1:10" x14ac:dyDescent="0.3">
      <c r="A1779" t="s">
        <v>69</v>
      </c>
      <c r="B1779" t="s">
        <v>23</v>
      </c>
      <c r="C1779" t="s">
        <v>11</v>
      </c>
      <c r="D1779" t="s">
        <v>41</v>
      </c>
      <c r="E1779">
        <v>86</v>
      </c>
      <c r="F1779">
        <v>119</v>
      </c>
      <c r="G1779" s="1">
        <v>290600</v>
      </c>
      <c r="H1779" s="1">
        <v>290600</v>
      </c>
      <c r="I1779" s="1">
        <v>830100</v>
      </c>
      <c r="J1779" s="1">
        <v>2857</v>
      </c>
    </row>
    <row r="1780" spans="1:10" x14ac:dyDescent="0.3">
      <c r="A1780" t="s">
        <v>69</v>
      </c>
      <c r="B1780" t="s">
        <v>24</v>
      </c>
      <c r="C1780" t="s">
        <v>11</v>
      </c>
      <c r="D1780" t="s">
        <v>41</v>
      </c>
      <c r="E1780">
        <v>86</v>
      </c>
      <c r="F1780">
        <v>119</v>
      </c>
      <c r="G1780" s="1">
        <v>275300</v>
      </c>
      <c r="H1780" s="1">
        <v>266000</v>
      </c>
      <c r="I1780" s="1">
        <v>616620</v>
      </c>
      <c r="J1780" s="1">
        <v>2318</v>
      </c>
    </row>
    <row r="1781" spans="1:10" x14ac:dyDescent="0.3">
      <c r="A1781" t="s">
        <v>69</v>
      </c>
      <c r="B1781" t="s">
        <v>25</v>
      </c>
      <c r="C1781" t="s">
        <v>11</v>
      </c>
      <c r="D1781" t="s">
        <v>41</v>
      </c>
      <c r="E1781">
        <v>86</v>
      </c>
      <c r="F1781">
        <v>119</v>
      </c>
      <c r="G1781" s="1">
        <v>355400</v>
      </c>
      <c r="H1781" s="1">
        <v>273600</v>
      </c>
      <c r="I1781" s="1">
        <v>310223</v>
      </c>
      <c r="J1781" s="1">
        <v>1134</v>
      </c>
    </row>
    <row r="1782" spans="1:10" x14ac:dyDescent="0.3">
      <c r="A1782" t="s">
        <v>69</v>
      </c>
      <c r="B1782" t="s">
        <v>21</v>
      </c>
      <c r="C1782" t="s">
        <v>11</v>
      </c>
      <c r="D1782" t="s">
        <v>42</v>
      </c>
      <c r="E1782">
        <v>86</v>
      </c>
      <c r="F1782">
        <v>126</v>
      </c>
      <c r="G1782" s="1">
        <v>3500</v>
      </c>
      <c r="H1782" s="1">
        <v>3500</v>
      </c>
      <c r="I1782" s="1">
        <v>8750</v>
      </c>
      <c r="J1782" s="1">
        <v>2500</v>
      </c>
    </row>
    <row r="1783" spans="1:10" x14ac:dyDescent="0.3">
      <c r="A1783" t="s">
        <v>69</v>
      </c>
      <c r="B1783" t="s">
        <v>23</v>
      </c>
      <c r="C1783" t="s">
        <v>11</v>
      </c>
      <c r="D1783" t="s">
        <v>42</v>
      </c>
      <c r="E1783">
        <v>86</v>
      </c>
      <c r="F1783">
        <v>126</v>
      </c>
      <c r="G1783" s="1">
        <v>6500</v>
      </c>
      <c r="H1783" s="1">
        <v>6500</v>
      </c>
      <c r="I1783" s="1">
        <v>9750</v>
      </c>
      <c r="J1783" s="1">
        <v>1500</v>
      </c>
    </row>
    <row r="1784" spans="1:10" x14ac:dyDescent="0.3">
      <c r="A1784" t="s">
        <v>69</v>
      </c>
      <c r="B1784" t="s">
        <v>24</v>
      </c>
      <c r="C1784" t="s">
        <v>11</v>
      </c>
      <c r="D1784" t="s">
        <v>42</v>
      </c>
      <c r="E1784">
        <v>86</v>
      </c>
      <c r="F1784">
        <v>126</v>
      </c>
      <c r="G1784" s="1">
        <v>6500</v>
      </c>
      <c r="H1784" s="1">
        <v>6495</v>
      </c>
      <c r="I1784" s="1">
        <v>22733</v>
      </c>
      <c r="J1784" s="1">
        <v>3500</v>
      </c>
    </row>
    <row r="1785" spans="1:10" x14ac:dyDescent="0.3">
      <c r="A1785" t="s">
        <v>69</v>
      </c>
      <c r="B1785" t="s">
        <v>25</v>
      </c>
      <c r="C1785" t="s">
        <v>11</v>
      </c>
      <c r="D1785" t="s">
        <v>42</v>
      </c>
      <c r="E1785">
        <v>86</v>
      </c>
      <c r="F1785">
        <v>126</v>
      </c>
      <c r="G1785" s="1">
        <v>7150</v>
      </c>
      <c r="H1785" s="1">
        <v>7050</v>
      </c>
      <c r="I1785" s="1">
        <v>17625</v>
      </c>
      <c r="J1785" s="1">
        <v>2500</v>
      </c>
    </row>
    <row r="1786" spans="1:10" x14ac:dyDescent="0.3">
      <c r="A1786" t="s">
        <v>69</v>
      </c>
      <c r="B1786" t="s">
        <v>15</v>
      </c>
      <c r="C1786" t="s">
        <v>11</v>
      </c>
      <c r="D1786" t="s">
        <v>43</v>
      </c>
      <c r="E1786">
        <v>86</v>
      </c>
      <c r="F1786">
        <v>133</v>
      </c>
      <c r="G1786" s="1">
        <v>38000</v>
      </c>
      <c r="H1786" s="1">
        <v>37200</v>
      </c>
      <c r="I1786" s="1">
        <v>89280</v>
      </c>
      <c r="J1786" s="1">
        <v>2400</v>
      </c>
    </row>
    <row r="1787" spans="1:10" x14ac:dyDescent="0.3">
      <c r="A1787" t="s">
        <v>69</v>
      </c>
      <c r="B1787" t="s">
        <v>16</v>
      </c>
      <c r="C1787" t="s">
        <v>11</v>
      </c>
      <c r="D1787" t="s">
        <v>43</v>
      </c>
      <c r="E1787">
        <v>86</v>
      </c>
      <c r="F1787">
        <v>133</v>
      </c>
      <c r="G1787" s="1">
        <v>41407</v>
      </c>
      <c r="H1787" s="1">
        <v>41407</v>
      </c>
      <c r="I1787" s="1">
        <v>120080</v>
      </c>
      <c r="J1787" s="1">
        <v>2900</v>
      </c>
    </row>
    <row r="1788" spans="1:10" x14ac:dyDescent="0.3">
      <c r="A1788" t="s">
        <v>69</v>
      </c>
      <c r="B1788" t="s">
        <v>17</v>
      </c>
      <c r="C1788" t="s">
        <v>11</v>
      </c>
      <c r="D1788" t="s">
        <v>43</v>
      </c>
      <c r="E1788">
        <v>86</v>
      </c>
      <c r="F1788">
        <v>133</v>
      </c>
      <c r="G1788" s="1">
        <v>35000</v>
      </c>
      <c r="H1788" s="1">
        <v>35000</v>
      </c>
      <c r="I1788" s="1">
        <v>122500</v>
      </c>
      <c r="J1788" s="1">
        <v>3500</v>
      </c>
    </row>
    <row r="1789" spans="1:10" x14ac:dyDescent="0.3">
      <c r="A1789" t="s">
        <v>69</v>
      </c>
      <c r="B1789" t="s">
        <v>18</v>
      </c>
      <c r="C1789" t="s">
        <v>11</v>
      </c>
      <c r="D1789" t="s">
        <v>43</v>
      </c>
      <c r="E1789">
        <v>86</v>
      </c>
      <c r="F1789">
        <v>133</v>
      </c>
      <c r="G1789" s="1">
        <v>35000</v>
      </c>
      <c r="H1789" s="1">
        <v>35000</v>
      </c>
      <c r="I1789" s="1">
        <v>105000</v>
      </c>
      <c r="J1789" s="1">
        <v>3000</v>
      </c>
    </row>
    <row r="1790" spans="1:10" x14ac:dyDescent="0.3">
      <c r="A1790" t="s">
        <v>69</v>
      </c>
      <c r="B1790" t="s">
        <v>19</v>
      </c>
      <c r="C1790" t="s">
        <v>11</v>
      </c>
      <c r="D1790" t="s">
        <v>43</v>
      </c>
      <c r="E1790">
        <v>86</v>
      </c>
      <c r="F1790">
        <v>133</v>
      </c>
      <c r="G1790" s="1">
        <v>49500</v>
      </c>
      <c r="H1790" s="1">
        <v>49500</v>
      </c>
      <c r="I1790" s="1">
        <v>173250</v>
      </c>
      <c r="J1790" s="1">
        <v>3500</v>
      </c>
    </row>
    <row r="1791" spans="1:10" x14ac:dyDescent="0.3">
      <c r="A1791" t="s">
        <v>69</v>
      </c>
      <c r="B1791" t="s">
        <v>20</v>
      </c>
      <c r="C1791" t="s">
        <v>11</v>
      </c>
      <c r="D1791" t="s">
        <v>43</v>
      </c>
      <c r="E1791">
        <v>86</v>
      </c>
      <c r="F1791">
        <v>133</v>
      </c>
      <c r="G1791" s="1">
        <v>58100</v>
      </c>
      <c r="H1791" s="1">
        <v>58100</v>
      </c>
      <c r="I1791" s="1">
        <v>174300</v>
      </c>
      <c r="J1791" s="1">
        <v>3000</v>
      </c>
    </row>
    <row r="1792" spans="1:10" x14ac:dyDescent="0.3">
      <c r="A1792" t="s">
        <v>69</v>
      </c>
      <c r="B1792" t="s">
        <v>21</v>
      </c>
      <c r="C1792" t="s">
        <v>11</v>
      </c>
      <c r="D1792" t="s">
        <v>43</v>
      </c>
      <c r="E1792">
        <v>86</v>
      </c>
      <c r="F1792">
        <v>133</v>
      </c>
      <c r="G1792" s="1">
        <v>58100</v>
      </c>
      <c r="H1792" s="1">
        <v>58100</v>
      </c>
      <c r="I1792" s="1">
        <v>174300</v>
      </c>
      <c r="J1792" s="1">
        <v>3000</v>
      </c>
    </row>
    <row r="1793" spans="1:10" x14ac:dyDescent="0.3">
      <c r="A1793" t="s">
        <v>69</v>
      </c>
      <c r="B1793" t="s">
        <v>22</v>
      </c>
      <c r="C1793" t="s">
        <v>11</v>
      </c>
      <c r="D1793" t="s">
        <v>43</v>
      </c>
      <c r="E1793">
        <v>86</v>
      </c>
      <c r="F1793">
        <v>133</v>
      </c>
      <c r="G1793" s="1">
        <v>61500</v>
      </c>
      <c r="H1793" s="1">
        <v>61500</v>
      </c>
      <c r="I1793" s="1">
        <v>153750</v>
      </c>
      <c r="J1793" s="1">
        <v>2500</v>
      </c>
    </row>
    <row r="1794" spans="1:10" x14ac:dyDescent="0.3">
      <c r="A1794" t="s">
        <v>69</v>
      </c>
      <c r="B1794" t="s">
        <v>23</v>
      </c>
      <c r="C1794" t="s">
        <v>11</v>
      </c>
      <c r="D1794" t="s">
        <v>43</v>
      </c>
      <c r="E1794">
        <v>86</v>
      </c>
      <c r="F1794">
        <v>133</v>
      </c>
      <c r="G1794" s="1">
        <v>61500</v>
      </c>
      <c r="H1794" s="1">
        <v>61500</v>
      </c>
      <c r="I1794" s="1">
        <v>100200</v>
      </c>
      <c r="J1794" s="1">
        <v>1629</v>
      </c>
    </row>
    <row r="1795" spans="1:10" x14ac:dyDescent="0.3">
      <c r="A1795" t="s">
        <v>69</v>
      </c>
      <c r="B1795" t="s">
        <v>24</v>
      </c>
      <c r="C1795" t="s">
        <v>11</v>
      </c>
      <c r="D1795" t="s">
        <v>43</v>
      </c>
      <c r="E1795">
        <v>86</v>
      </c>
      <c r="F1795">
        <v>133</v>
      </c>
      <c r="G1795" s="1">
        <v>61500</v>
      </c>
      <c r="H1795" s="1">
        <v>61446</v>
      </c>
      <c r="I1795" s="1">
        <v>239639</v>
      </c>
      <c r="J1795" s="1">
        <v>3900</v>
      </c>
    </row>
    <row r="1796" spans="1:10" x14ac:dyDescent="0.3">
      <c r="A1796" t="s">
        <v>69</v>
      </c>
      <c r="B1796" t="s">
        <v>25</v>
      </c>
      <c r="C1796" t="s">
        <v>11</v>
      </c>
      <c r="D1796" t="s">
        <v>43</v>
      </c>
      <c r="E1796">
        <v>86</v>
      </c>
      <c r="F1796">
        <v>133</v>
      </c>
      <c r="G1796" s="1">
        <v>67650</v>
      </c>
      <c r="H1796" s="1">
        <v>67340</v>
      </c>
      <c r="I1796" s="1">
        <v>188308</v>
      </c>
      <c r="J1796" s="1">
        <v>2796</v>
      </c>
    </row>
    <row r="1797" spans="1:10" x14ac:dyDescent="0.3">
      <c r="A1797" t="s">
        <v>69</v>
      </c>
      <c r="B1797" t="s">
        <v>21</v>
      </c>
      <c r="C1797" t="s">
        <v>11</v>
      </c>
      <c r="D1797" t="s">
        <v>58</v>
      </c>
      <c r="E1797">
        <v>86</v>
      </c>
      <c r="F1797">
        <v>140</v>
      </c>
      <c r="G1797" s="1">
        <v>3200</v>
      </c>
      <c r="H1797" s="1">
        <v>3200</v>
      </c>
      <c r="I1797" s="1">
        <v>8960</v>
      </c>
      <c r="J1797" s="1">
        <v>2800</v>
      </c>
    </row>
    <row r="1798" spans="1:10" x14ac:dyDescent="0.3">
      <c r="A1798" t="s">
        <v>69</v>
      </c>
      <c r="B1798" t="s">
        <v>23</v>
      </c>
      <c r="C1798" t="s">
        <v>11</v>
      </c>
      <c r="D1798" t="s">
        <v>58</v>
      </c>
      <c r="E1798">
        <v>86</v>
      </c>
      <c r="F1798">
        <v>140</v>
      </c>
      <c r="G1798" s="1">
        <v>2500</v>
      </c>
      <c r="H1798" s="1">
        <v>2500</v>
      </c>
      <c r="I1798" s="1">
        <v>3750</v>
      </c>
      <c r="J1798" s="1">
        <v>1500</v>
      </c>
    </row>
    <row r="1799" spans="1:10" x14ac:dyDescent="0.3">
      <c r="A1799" t="s">
        <v>69</v>
      </c>
      <c r="B1799" t="s">
        <v>24</v>
      </c>
      <c r="C1799" t="s">
        <v>11</v>
      </c>
      <c r="D1799" t="s">
        <v>58</v>
      </c>
      <c r="E1799">
        <v>86</v>
      </c>
      <c r="F1799">
        <v>140</v>
      </c>
      <c r="G1799" s="1">
        <v>2500</v>
      </c>
      <c r="H1799" s="1">
        <v>2497</v>
      </c>
      <c r="I1799" s="1">
        <v>8740</v>
      </c>
      <c r="J1799" s="1">
        <v>3500</v>
      </c>
    </row>
    <row r="1800" spans="1:10" x14ac:dyDescent="0.3">
      <c r="A1800" t="s">
        <v>69</v>
      </c>
      <c r="B1800" t="s">
        <v>25</v>
      </c>
      <c r="C1800" t="s">
        <v>11</v>
      </c>
      <c r="D1800" t="s">
        <v>58</v>
      </c>
      <c r="E1800">
        <v>86</v>
      </c>
      <c r="F1800">
        <v>140</v>
      </c>
      <c r="G1800" s="1">
        <v>2750</v>
      </c>
      <c r="H1800" s="1">
        <v>2698</v>
      </c>
      <c r="I1800" s="1">
        <v>6745</v>
      </c>
      <c r="J1800" s="1">
        <v>2500</v>
      </c>
    </row>
    <row r="1801" spans="1:10" x14ac:dyDescent="0.3">
      <c r="A1801" t="s">
        <v>69</v>
      </c>
      <c r="B1801" t="s">
        <v>15</v>
      </c>
      <c r="C1801" t="s">
        <v>11</v>
      </c>
      <c r="D1801" t="s">
        <v>44</v>
      </c>
      <c r="E1801">
        <v>86</v>
      </c>
      <c r="F1801">
        <v>147</v>
      </c>
      <c r="G1801" s="1">
        <v>6000</v>
      </c>
      <c r="H1801" s="1">
        <v>6000</v>
      </c>
      <c r="I1801" s="1">
        <v>12000</v>
      </c>
      <c r="J1801" s="1">
        <v>2000</v>
      </c>
    </row>
    <row r="1802" spans="1:10" x14ac:dyDescent="0.3">
      <c r="A1802" t="s">
        <v>69</v>
      </c>
      <c r="B1802" t="s">
        <v>16</v>
      </c>
      <c r="C1802" t="s">
        <v>11</v>
      </c>
      <c r="D1802" t="s">
        <v>44</v>
      </c>
      <c r="E1802">
        <v>86</v>
      </c>
      <c r="F1802">
        <v>147</v>
      </c>
      <c r="G1802" s="1">
        <v>15750</v>
      </c>
      <c r="H1802" s="1">
        <v>15750</v>
      </c>
      <c r="I1802" s="1">
        <v>37800</v>
      </c>
      <c r="J1802" s="1">
        <v>2400</v>
      </c>
    </row>
    <row r="1803" spans="1:10" x14ac:dyDescent="0.3">
      <c r="A1803" t="s">
        <v>69</v>
      </c>
      <c r="B1803" t="s">
        <v>17</v>
      </c>
      <c r="C1803" t="s">
        <v>11</v>
      </c>
      <c r="D1803" t="s">
        <v>44</v>
      </c>
      <c r="E1803">
        <v>86</v>
      </c>
      <c r="F1803">
        <v>147</v>
      </c>
      <c r="G1803" s="1">
        <v>10000</v>
      </c>
      <c r="H1803" s="1">
        <v>10000</v>
      </c>
      <c r="I1803" s="1">
        <v>35000</v>
      </c>
      <c r="J1803" s="1">
        <v>3500</v>
      </c>
    </row>
    <row r="1804" spans="1:10" x14ac:dyDescent="0.3">
      <c r="A1804" t="s">
        <v>69</v>
      </c>
      <c r="B1804" t="s">
        <v>18</v>
      </c>
      <c r="C1804" t="s">
        <v>11</v>
      </c>
      <c r="D1804" t="s">
        <v>44</v>
      </c>
      <c r="E1804">
        <v>86</v>
      </c>
      <c r="F1804">
        <v>147</v>
      </c>
      <c r="G1804" s="1">
        <v>12000</v>
      </c>
      <c r="H1804" s="1">
        <v>12000</v>
      </c>
      <c r="I1804" s="1">
        <v>36000</v>
      </c>
      <c r="J1804" s="1">
        <v>3000</v>
      </c>
    </row>
    <row r="1805" spans="1:10" x14ac:dyDescent="0.3">
      <c r="A1805" t="s">
        <v>69</v>
      </c>
      <c r="B1805" t="s">
        <v>19</v>
      </c>
      <c r="C1805" t="s">
        <v>11</v>
      </c>
      <c r="D1805" t="s">
        <v>44</v>
      </c>
      <c r="E1805">
        <v>86</v>
      </c>
      <c r="F1805">
        <v>147</v>
      </c>
      <c r="G1805" s="1">
        <v>14700</v>
      </c>
      <c r="H1805" s="1">
        <v>14700</v>
      </c>
      <c r="I1805" s="1">
        <v>51450</v>
      </c>
      <c r="J1805" s="1">
        <v>3500</v>
      </c>
    </row>
    <row r="1806" spans="1:10" x14ac:dyDescent="0.3">
      <c r="A1806" t="s">
        <v>69</v>
      </c>
      <c r="B1806" t="s">
        <v>20</v>
      </c>
      <c r="C1806" t="s">
        <v>11</v>
      </c>
      <c r="D1806" t="s">
        <v>44</v>
      </c>
      <c r="E1806">
        <v>86</v>
      </c>
      <c r="F1806">
        <v>147</v>
      </c>
      <c r="G1806" s="1">
        <v>15000</v>
      </c>
      <c r="H1806" s="1">
        <v>15000</v>
      </c>
      <c r="I1806" s="1">
        <v>45000</v>
      </c>
      <c r="J1806" s="1">
        <v>3000</v>
      </c>
    </row>
    <row r="1807" spans="1:10" x14ac:dyDescent="0.3">
      <c r="A1807" t="s">
        <v>69</v>
      </c>
      <c r="B1807" t="s">
        <v>21</v>
      </c>
      <c r="C1807" t="s">
        <v>11</v>
      </c>
      <c r="D1807" t="s">
        <v>44</v>
      </c>
      <c r="E1807">
        <v>86</v>
      </c>
      <c r="F1807">
        <v>147</v>
      </c>
      <c r="G1807" s="1">
        <v>15000</v>
      </c>
      <c r="H1807" s="1">
        <v>15000</v>
      </c>
      <c r="I1807" s="1">
        <v>45000</v>
      </c>
      <c r="J1807" s="1">
        <v>3000</v>
      </c>
    </row>
    <row r="1808" spans="1:10" x14ac:dyDescent="0.3">
      <c r="A1808" t="s">
        <v>69</v>
      </c>
      <c r="B1808" t="s">
        <v>22</v>
      </c>
      <c r="C1808" t="s">
        <v>11</v>
      </c>
      <c r="D1808" t="s">
        <v>44</v>
      </c>
      <c r="E1808">
        <v>86</v>
      </c>
      <c r="F1808">
        <v>147</v>
      </c>
      <c r="G1808" s="1">
        <v>15500</v>
      </c>
      <c r="H1808" s="1">
        <v>15500</v>
      </c>
      <c r="I1808" s="1">
        <v>38750</v>
      </c>
      <c r="J1808" s="1">
        <v>2500</v>
      </c>
    </row>
    <row r="1809" spans="1:10" x14ac:dyDescent="0.3">
      <c r="A1809" t="s">
        <v>69</v>
      </c>
      <c r="B1809" t="s">
        <v>23</v>
      </c>
      <c r="C1809" t="s">
        <v>11</v>
      </c>
      <c r="D1809" t="s">
        <v>44</v>
      </c>
      <c r="E1809">
        <v>86</v>
      </c>
      <c r="F1809">
        <v>147</v>
      </c>
      <c r="G1809" s="1">
        <v>15500</v>
      </c>
      <c r="H1809" s="1">
        <v>15500</v>
      </c>
      <c r="I1809" s="1">
        <v>23250</v>
      </c>
      <c r="J1809" s="1">
        <v>1500</v>
      </c>
    </row>
    <row r="1810" spans="1:10" x14ac:dyDescent="0.3">
      <c r="A1810" t="s">
        <v>69</v>
      </c>
      <c r="B1810" t="s">
        <v>24</v>
      </c>
      <c r="C1810" t="s">
        <v>11</v>
      </c>
      <c r="D1810" t="s">
        <v>44</v>
      </c>
      <c r="E1810">
        <v>86</v>
      </c>
      <c r="F1810">
        <v>147</v>
      </c>
      <c r="G1810" s="1">
        <v>15500</v>
      </c>
      <c r="H1810" s="1">
        <v>15471</v>
      </c>
      <c r="I1810" s="1">
        <v>53710</v>
      </c>
      <c r="J1810" s="1">
        <v>3472</v>
      </c>
    </row>
    <row r="1811" spans="1:10" x14ac:dyDescent="0.3">
      <c r="A1811" t="s">
        <v>69</v>
      </c>
      <c r="B1811" t="s">
        <v>25</v>
      </c>
      <c r="C1811" t="s">
        <v>11</v>
      </c>
      <c r="D1811" t="s">
        <v>44</v>
      </c>
      <c r="E1811">
        <v>86</v>
      </c>
      <c r="F1811">
        <v>147</v>
      </c>
      <c r="G1811" s="1">
        <v>61600</v>
      </c>
      <c r="H1811" s="1">
        <v>61402</v>
      </c>
      <c r="I1811" s="1">
        <v>161035</v>
      </c>
      <c r="J1811" s="1">
        <v>2623</v>
      </c>
    </row>
    <row r="1812" spans="1:10" x14ac:dyDescent="0.3">
      <c r="A1812" t="s">
        <v>69</v>
      </c>
      <c r="B1812" t="s">
        <v>15</v>
      </c>
      <c r="C1812" t="s">
        <v>11</v>
      </c>
      <c r="D1812" t="s">
        <v>51</v>
      </c>
      <c r="E1812">
        <v>86</v>
      </c>
      <c r="F1812">
        <v>154</v>
      </c>
      <c r="G1812" s="1">
        <v>50000</v>
      </c>
      <c r="H1812" s="1">
        <v>44000</v>
      </c>
      <c r="I1812" s="1">
        <v>105600</v>
      </c>
      <c r="J1812" s="1">
        <v>2400</v>
      </c>
    </row>
    <row r="1813" spans="1:10" x14ac:dyDescent="0.3">
      <c r="A1813" t="s">
        <v>69</v>
      </c>
      <c r="B1813" t="s">
        <v>16</v>
      </c>
      <c r="C1813" t="s">
        <v>11</v>
      </c>
      <c r="D1813" t="s">
        <v>51</v>
      </c>
      <c r="E1813">
        <v>86</v>
      </c>
      <c r="F1813">
        <v>154</v>
      </c>
      <c r="G1813" s="1">
        <v>50000</v>
      </c>
      <c r="H1813" s="1">
        <v>46000</v>
      </c>
      <c r="I1813" s="1">
        <v>105800</v>
      </c>
      <c r="J1813" s="1">
        <v>2300</v>
      </c>
    </row>
    <row r="1814" spans="1:10" x14ac:dyDescent="0.3">
      <c r="A1814" t="s">
        <v>69</v>
      </c>
      <c r="B1814" t="s">
        <v>17</v>
      </c>
      <c r="C1814" t="s">
        <v>11</v>
      </c>
      <c r="D1814" t="s">
        <v>51</v>
      </c>
      <c r="E1814">
        <v>86</v>
      </c>
      <c r="F1814">
        <v>154</v>
      </c>
      <c r="G1814" s="1">
        <v>22030</v>
      </c>
      <c r="H1814" s="1">
        <v>21900</v>
      </c>
      <c r="I1814" s="1">
        <v>74460</v>
      </c>
      <c r="J1814" s="1">
        <v>3400</v>
      </c>
    </row>
    <row r="1815" spans="1:10" x14ac:dyDescent="0.3">
      <c r="A1815" t="s">
        <v>69</v>
      </c>
      <c r="B1815" t="s">
        <v>18</v>
      </c>
      <c r="C1815" t="s">
        <v>11</v>
      </c>
      <c r="D1815" t="s">
        <v>51</v>
      </c>
      <c r="E1815">
        <v>86</v>
      </c>
      <c r="F1815">
        <v>154</v>
      </c>
      <c r="G1815" s="1">
        <v>24000</v>
      </c>
      <c r="H1815" s="1">
        <v>22380</v>
      </c>
      <c r="I1815" s="1">
        <v>35808</v>
      </c>
      <c r="J1815" s="1">
        <v>1600</v>
      </c>
    </row>
    <row r="1816" spans="1:10" x14ac:dyDescent="0.3">
      <c r="A1816" t="s">
        <v>69</v>
      </c>
      <c r="B1816" t="s">
        <v>19</v>
      </c>
      <c r="C1816" t="s">
        <v>11</v>
      </c>
      <c r="D1816" t="s">
        <v>51</v>
      </c>
      <c r="E1816">
        <v>86</v>
      </c>
      <c r="F1816">
        <v>154</v>
      </c>
      <c r="G1816" s="1">
        <v>42860</v>
      </c>
      <c r="H1816" s="1">
        <v>41820</v>
      </c>
      <c r="I1816" s="1">
        <v>126262</v>
      </c>
      <c r="J1816" s="1">
        <v>3019</v>
      </c>
    </row>
    <row r="1817" spans="1:10" x14ac:dyDescent="0.3">
      <c r="A1817" t="s">
        <v>69</v>
      </c>
      <c r="B1817" t="s">
        <v>20</v>
      </c>
      <c r="C1817" t="s">
        <v>11</v>
      </c>
      <c r="D1817" t="s">
        <v>51</v>
      </c>
      <c r="E1817">
        <v>86</v>
      </c>
      <c r="F1817">
        <v>154</v>
      </c>
      <c r="G1817" s="1">
        <v>17300</v>
      </c>
      <c r="H1817" s="1">
        <v>16680</v>
      </c>
      <c r="I1817" s="1">
        <v>52587</v>
      </c>
      <c r="J1817" s="1">
        <v>3153</v>
      </c>
    </row>
    <row r="1818" spans="1:10" x14ac:dyDescent="0.3">
      <c r="A1818" t="s">
        <v>69</v>
      </c>
      <c r="B1818" t="s">
        <v>21</v>
      </c>
      <c r="C1818" t="s">
        <v>11</v>
      </c>
      <c r="D1818" t="s">
        <v>51</v>
      </c>
      <c r="E1818">
        <v>86</v>
      </c>
      <c r="F1818">
        <v>154</v>
      </c>
      <c r="G1818" s="1">
        <v>17200</v>
      </c>
      <c r="H1818" s="1">
        <v>17200</v>
      </c>
      <c r="I1818" s="1">
        <v>59090</v>
      </c>
      <c r="J1818" s="1">
        <v>3435</v>
      </c>
    </row>
    <row r="1819" spans="1:10" x14ac:dyDescent="0.3">
      <c r="A1819" t="s">
        <v>69</v>
      </c>
      <c r="B1819" t="s">
        <v>22</v>
      </c>
      <c r="C1819" t="s">
        <v>11</v>
      </c>
      <c r="D1819" t="s">
        <v>51</v>
      </c>
      <c r="E1819">
        <v>86</v>
      </c>
      <c r="F1819">
        <v>154</v>
      </c>
      <c r="G1819" s="1">
        <v>16290</v>
      </c>
      <c r="H1819" s="1">
        <v>16290</v>
      </c>
      <c r="I1819" s="1">
        <v>52119</v>
      </c>
      <c r="J1819" s="1">
        <v>3199</v>
      </c>
    </row>
    <row r="1820" spans="1:10" x14ac:dyDescent="0.3">
      <c r="A1820" t="s">
        <v>69</v>
      </c>
      <c r="B1820" t="s">
        <v>23</v>
      </c>
      <c r="C1820" t="s">
        <v>11</v>
      </c>
      <c r="D1820" t="s">
        <v>51</v>
      </c>
      <c r="E1820">
        <v>86</v>
      </c>
      <c r="F1820">
        <v>154</v>
      </c>
      <c r="G1820" s="1">
        <v>21390</v>
      </c>
      <c r="H1820" s="1">
        <v>21390</v>
      </c>
      <c r="I1820" s="1">
        <v>56896</v>
      </c>
      <c r="J1820" s="1">
        <v>2660</v>
      </c>
    </row>
    <row r="1821" spans="1:10" x14ac:dyDescent="0.3">
      <c r="A1821" t="s">
        <v>69</v>
      </c>
      <c r="B1821" t="s">
        <v>24</v>
      </c>
      <c r="C1821" t="s">
        <v>11</v>
      </c>
      <c r="D1821" t="s">
        <v>51</v>
      </c>
      <c r="E1821">
        <v>86</v>
      </c>
      <c r="F1821">
        <v>154</v>
      </c>
      <c r="G1821" s="1">
        <v>10780</v>
      </c>
      <c r="H1821" s="1">
        <v>10690</v>
      </c>
      <c r="I1821" s="1">
        <v>27593</v>
      </c>
      <c r="J1821" s="1">
        <v>2581</v>
      </c>
    </row>
    <row r="1822" spans="1:10" x14ac:dyDescent="0.3">
      <c r="A1822" t="s">
        <v>69</v>
      </c>
      <c r="B1822" t="s">
        <v>25</v>
      </c>
      <c r="C1822" t="s">
        <v>11</v>
      </c>
      <c r="D1822" t="s">
        <v>51</v>
      </c>
      <c r="E1822">
        <v>86</v>
      </c>
      <c r="F1822">
        <v>154</v>
      </c>
      <c r="G1822" s="1">
        <v>26150</v>
      </c>
      <c r="H1822" s="1">
        <v>23790</v>
      </c>
      <c r="I1822" s="1">
        <v>63088</v>
      </c>
      <c r="J1822" s="1">
        <v>2652</v>
      </c>
    </row>
    <row r="1823" spans="1:10" x14ac:dyDescent="0.3">
      <c r="A1823" t="s">
        <v>69</v>
      </c>
      <c r="B1823" t="s">
        <v>15</v>
      </c>
      <c r="C1823" t="s">
        <v>11</v>
      </c>
      <c r="D1823" t="s">
        <v>45</v>
      </c>
      <c r="E1823">
        <v>86</v>
      </c>
      <c r="F1823">
        <v>161</v>
      </c>
      <c r="G1823" s="1">
        <v>3000</v>
      </c>
      <c r="H1823" s="1">
        <v>3000</v>
      </c>
      <c r="I1823" s="1">
        <v>7500</v>
      </c>
      <c r="J1823" s="1">
        <v>2500</v>
      </c>
    </row>
    <row r="1824" spans="1:10" x14ac:dyDescent="0.3">
      <c r="A1824" t="s">
        <v>69</v>
      </c>
      <c r="B1824" t="s">
        <v>16</v>
      </c>
      <c r="C1824" t="s">
        <v>11</v>
      </c>
      <c r="D1824" t="s">
        <v>45</v>
      </c>
      <c r="E1824">
        <v>86</v>
      </c>
      <c r="F1824">
        <v>161</v>
      </c>
      <c r="G1824" s="1">
        <v>2000</v>
      </c>
      <c r="H1824" s="1">
        <v>2000</v>
      </c>
      <c r="I1824" s="1">
        <v>5400</v>
      </c>
      <c r="J1824" s="1">
        <v>2700</v>
      </c>
    </row>
    <row r="1825" spans="1:10" x14ac:dyDescent="0.3">
      <c r="A1825" t="s">
        <v>69</v>
      </c>
      <c r="B1825" t="s">
        <v>17</v>
      </c>
      <c r="C1825" t="s">
        <v>11</v>
      </c>
      <c r="D1825" t="s">
        <v>45</v>
      </c>
      <c r="E1825">
        <v>86</v>
      </c>
      <c r="F1825">
        <v>161</v>
      </c>
      <c r="G1825" s="1">
        <v>3000</v>
      </c>
      <c r="H1825" s="1">
        <v>3000</v>
      </c>
      <c r="I1825" s="1">
        <v>10500</v>
      </c>
      <c r="J1825" s="1">
        <v>3500</v>
      </c>
    </row>
    <row r="1826" spans="1:10" x14ac:dyDescent="0.3">
      <c r="A1826" t="s">
        <v>69</v>
      </c>
      <c r="B1826" t="s">
        <v>18</v>
      </c>
      <c r="C1826" t="s">
        <v>11</v>
      </c>
      <c r="D1826" t="s">
        <v>45</v>
      </c>
      <c r="E1826">
        <v>86</v>
      </c>
      <c r="F1826">
        <v>161</v>
      </c>
      <c r="G1826" s="1">
        <v>3500</v>
      </c>
      <c r="H1826" s="1">
        <v>3500</v>
      </c>
      <c r="I1826" s="1">
        <v>10500</v>
      </c>
      <c r="J1826" s="1">
        <v>3000</v>
      </c>
    </row>
    <row r="1827" spans="1:10" x14ac:dyDescent="0.3">
      <c r="A1827" t="s">
        <v>69</v>
      </c>
      <c r="B1827" t="s">
        <v>19</v>
      </c>
      <c r="C1827" t="s">
        <v>11</v>
      </c>
      <c r="D1827" t="s">
        <v>45</v>
      </c>
      <c r="E1827">
        <v>86</v>
      </c>
      <c r="F1827">
        <v>161</v>
      </c>
      <c r="G1827" s="1">
        <v>3500</v>
      </c>
      <c r="H1827" s="1">
        <v>3500</v>
      </c>
      <c r="I1827" s="1">
        <v>12180</v>
      </c>
      <c r="J1827" s="1">
        <v>3480</v>
      </c>
    </row>
    <row r="1828" spans="1:10" x14ac:dyDescent="0.3">
      <c r="A1828" t="s">
        <v>69</v>
      </c>
      <c r="B1828" t="s">
        <v>20</v>
      </c>
      <c r="C1828" t="s">
        <v>11</v>
      </c>
      <c r="D1828" t="s">
        <v>45</v>
      </c>
      <c r="E1828">
        <v>86</v>
      </c>
      <c r="F1828">
        <v>161</v>
      </c>
      <c r="G1828" s="1">
        <v>4000</v>
      </c>
      <c r="H1828" s="1">
        <v>4000</v>
      </c>
      <c r="I1828" s="1">
        <v>12000</v>
      </c>
      <c r="J1828" s="1">
        <v>3000</v>
      </c>
    </row>
    <row r="1829" spans="1:10" x14ac:dyDescent="0.3">
      <c r="A1829" t="s">
        <v>69</v>
      </c>
      <c r="B1829" t="s">
        <v>21</v>
      </c>
      <c r="C1829" t="s">
        <v>11</v>
      </c>
      <c r="D1829" t="s">
        <v>45</v>
      </c>
      <c r="E1829">
        <v>86</v>
      </c>
      <c r="F1829">
        <v>161</v>
      </c>
      <c r="G1829" s="1">
        <v>4000</v>
      </c>
      <c r="H1829" s="1">
        <v>4000</v>
      </c>
      <c r="I1829" s="1">
        <v>12000</v>
      </c>
      <c r="J1829" s="1">
        <v>3000</v>
      </c>
    </row>
    <row r="1830" spans="1:10" x14ac:dyDescent="0.3">
      <c r="A1830" t="s">
        <v>69</v>
      </c>
      <c r="B1830" t="s">
        <v>22</v>
      </c>
      <c r="C1830" t="s">
        <v>11</v>
      </c>
      <c r="D1830" t="s">
        <v>45</v>
      </c>
      <c r="E1830">
        <v>86</v>
      </c>
      <c r="F1830">
        <v>161</v>
      </c>
      <c r="G1830" s="1">
        <v>4500</v>
      </c>
      <c r="H1830" s="1">
        <v>4500</v>
      </c>
      <c r="I1830" s="1">
        <v>11250</v>
      </c>
      <c r="J1830" s="1">
        <v>2500</v>
      </c>
    </row>
    <row r="1831" spans="1:10" x14ac:dyDescent="0.3">
      <c r="A1831" t="s">
        <v>69</v>
      </c>
      <c r="B1831" t="s">
        <v>23</v>
      </c>
      <c r="C1831" t="s">
        <v>11</v>
      </c>
      <c r="D1831" t="s">
        <v>45</v>
      </c>
      <c r="E1831">
        <v>86</v>
      </c>
      <c r="F1831">
        <v>161</v>
      </c>
      <c r="G1831" s="1">
        <v>5000</v>
      </c>
      <c r="H1831" s="1">
        <v>5000</v>
      </c>
      <c r="I1831" s="1">
        <v>7500</v>
      </c>
      <c r="J1831" s="1">
        <v>1500</v>
      </c>
    </row>
    <row r="1832" spans="1:10" x14ac:dyDescent="0.3">
      <c r="A1832" t="s">
        <v>69</v>
      </c>
      <c r="B1832" t="s">
        <v>24</v>
      </c>
      <c r="C1832" t="s">
        <v>11</v>
      </c>
      <c r="D1832" t="s">
        <v>45</v>
      </c>
      <c r="E1832">
        <v>86</v>
      </c>
      <c r="F1832">
        <v>161</v>
      </c>
      <c r="G1832" s="1">
        <v>5000</v>
      </c>
      <c r="H1832" s="1">
        <v>4993</v>
      </c>
      <c r="I1832" s="1">
        <v>17436</v>
      </c>
      <c r="J1832" s="1">
        <v>3492</v>
      </c>
    </row>
    <row r="1833" spans="1:10" x14ac:dyDescent="0.3">
      <c r="A1833" t="s">
        <v>69</v>
      </c>
      <c r="B1833" t="s">
        <v>25</v>
      </c>
      <c r="C1833" t="s">
        <v>11</v>
      </c>
      <c r="D1833" t="s">
        <v>45</v>
      </c>
      <c r="E1833">
        <v>86</v>
      </c>
      <c r="F1833">
        <v>161</v>
      </c>
      <c r="G1833" s="1">
        <v>5500</v>
      </c>
      <c r="H1833" s="1">
        <v>5335</v>
      </c>
      <c r="I1833" s="1">
        <v>15154</v>
      </c>
      <c r="J1833" s="1">
        <v>2840</v>
      </c>
    </row>
    <row r="1834" spans="1:10" x14ac:dyDescent="0.3">
      <c r="A1834" t="s">
        <v>69</v>
      </c>
      <c r="B1834" t="s">
        <v>15</v>
      </c>
      <c r="C1834" t="s">
        <v>11</v>
      </c>
      <c r="D1834" t="s">
        <v>46</v>
      </c>
      <c r="E1834">
        <v>86</v>
      </c>
      <c r="F1834">
        <v>175</v>
      </c>
      <c r="G1834" s="1">
        <v>2000</v>
      </c>
      <c r="H1834" s="1">
        <v>2000</v>
      </c>
      <c r="I1834" s="1">
        <v>5000</v>
      </c>
      <c r="J1834" s="1">
        <v>2500</v>
      </c>
    </row>
    <row r="1835" spans="1:10" x14ac:dyDescent="0.3">
      <c r="A1835" t="s">
        <v>69</v>
      </c>
      <c r="B1835" t="s">
        <v>16</v>
      </c>
      <c r="C1835" t="s">
        <v>11</v>
      </c>
      <c r="D1835" t="s">
        <v>46</v>
      </c>
      <c r="E1835">
        <v>86</v>
      </c>
      <c r="F1835">
        <v>175</v>
      </c>
      <c r="G1835" s="1">
        <v>1500</v>
      </c>
      <c r="H1835" s="1">
        <v>1500</v>
      </c>
      <c r="I1835" s="1">
        <v>3600</v>
      </c>
      <c r="J1835" s="1">
        <v>2400</v>
      </c>
    </row>
    <row r="1836" spans="1:10" x14ac:dyDescent="0.3">
      <c r="A1836" t="s">
        <v>69</v>
      </c>
      <c r="B1836" t="s">
        <v>17</v>
      </c>
      <c r="C1836" t="s">
        <v>11</v>
      </c>
      <c r="D1836" t="s">
        <v>46</v>
      </c>
      <c r="E1836">
        <v>86</v>
      </c>
      <c r="F1836">
        <v>175</v>
      </c>
      <c r="G1836" s="1">
        <v>2500</v>
      </c>
      <c r="H1836" s="1">
        <v>2500</v>
      </c>
      <c r="I1836" s="1">
        <v>7000</v>
      </c>
      <c r="J1836" s="1">
        <v>2800</v>
      </c>
    </row>
    <row r="1837" spans="1:10" x14ac:dyDescent="0.3">
      <c r="A1837" t="s">
        <v>69</v>
      </c>
      <c r="B1837" t="s">
        <v>18</v>
      </c>
      <c r="C1837" t="s">
        <v>11</v>
      </c>
      <c r="D1837" t="s">
        <v>46</v>
      </c>
      <c r="E1837">
        <v>86</v>
      </c>
      <c r="F1837">
        <v>175</v>
      </c>
      <c r="G1837" s="1">
        <v>2500</v>
      </c>
      <c r="H1837" s="1">
        <v>2500</v>
      </c>
      <c r="I1837" s="1">
        <v>5000</v>
      </c>
      <c r="J1837" s="1">
        <v>2000</v>
      </c>
    </row>
    <row r="1838" spans="1:10" x14ac:dyDescent="0.3">
      <c r="A1838" t="s">
        <v>69</v>
      </c>
      <c r="B1838" t="s">
        <v>19</v>
      </c>
      <c r="C1838" t="s">
        <v>11</v>
      </c>
      <c r="D1838" t="s">
        <v>46</v>
      </c>
      <c r="E1838">
        <v>86</v>
      </c>
      <c r="F1838">
        <v>175</v>
      </c>
      <c r="G1838" s="1">
        <v>2000</v>
      </c>
      <c r="H1838" s="1">
        <v>2000</v>
      </c>
      <c r="I1838" s="1">
        <v>5800</v>
      </c>
      <c r="J1838" s="1">
        <v>2900</v>
      </c>
    </row>
    <row r="1839" spans="1:10" x14ac:dyDescent="0.3">
      <c r="A1839" t="s">
        <v>69</v>
      </c>
      <c r="B1839" t="s">
        <v>20</v>
      </c>
      <c r="C1839" t="s">
        <v>11</v>
      </c>
      <c r="D1839" t="s">
        <v>46</v>
      </c>
      <c r="E1839">
        <v>86</v>
      </c>
      <c r="F1839">
        <v>175</v>
      </c>
      <c r="G1839" s="1">
        <v>2000</v>
      </c>
      <c r="H1839" s="1">
        <v>2000</v>
      </c>
      <c r="I1839" s="1">
        <v>6000</v>
      </c>
      <c r="J1839" s="1">
        <v>3000</v>
      </c>
    </row>
    <row r="1840" spans="1:10" x14ac:dyDescent="0.3">
      <c r="A1840" t="s">
        <v>69</v>
      </c>
      <c r="B1840" t="s">
        <v>21</v>
      </c>
      <c r="C1840" t="s">
        <v>11</v>
      </c>
      <c r="D1840" t="s">
        <v>46</v>
      </c>
      <c r="E1840">
        <v>86</v>
      </c>
      <c r="F1840">
        <v>175</v>
      </c>
      <c r="G1840" s="1">
        <v>2500</v>
      </c>
      <c r="H1840" s="1">
        <v>2500</v>
      </c>
      <c r="I1840" s="1">
        <v>7500</v>
      </c>
      <c r="J1840" s="1">
        <v>3000</v>
      </c>
    </row>
    <row r="1841" spans="1:10" x14ac:dyDescent="0.3">
      <c r="A1841" t="s">
        <v>69</v>
      </c>
      <c r="B1841" t="s">
        <v>22</v>
      </c>
      <c r="C1841" t="s">
        <v>11</v>
      </c>
      <c r="D1841" t="s">
        <v>46</v>
      </c>
      <c r="E1841">
        <v>86</v>
      </c>
      <c r="F1841">
        <v>175</v>
      </c>
      <c r="G1841" s="1">
        <v>6000</v>
      </c>
      <c r="H1841" s="1">
        <v>6000</v>
      </c>
      <c r="I1841" s="1">
        <v>15000</v>
      </c>
      <c r="J1841" s="1">
        <v>2500</v>
      </c>
    </row>
    <row r="1842" spans="1:10" x14ac:dyDescent="0.3">
      <c r="A1842" t="s">
        <v>69</v>
      </c>
      <c r="B1842" t="s">
        <v>23</v>
      </c>
      <c r="C1842" t="s">
        <v>11</v>
      </c>
      <c r="D1842" t="s">
        <v>46</v>
      </c>
      <c r="E1842">
        <v>86</v>
      </c>
      <c r="F1842">
        <v>175</v>
      </c>
      <c r="G1842" s="1">
        <v>8000</v>
      </c>
      <c r="H1842" s="1">
        <v>8000</v>
      </c>
      <c r="I1842" s="1">
        <v>12000</v>
      </c>
      <c r="J1842" s="1">
        <v>1500</v>
      </c>
    </row>
    <row r="1843" spans="1:10" x14ac:dyDescent="0.3">
      <c r="A1843" t="s">
        <v>69</v>
      </c>
      <c r="B1843" t="s">
        <v>24</v>
      </c>
      <c r="C1843" t="s">
        <v>11</v>
      </c>
      <c r="D1843" t="s">
        <v>46</v>
      </c>
      <c r="E1843">
        <v>86</v>
      </c>
      <c r="F1843">
        <v>175</v>
      </c>
      <c r="G1843" s="1">
        <v>8000</v>
      </c>
      <c r="H1843" s="1">
        <v>7991</v>
      </c>
      <c r="I1843" s="1">
        <v>27729</v>
      </c>
      <c r="J1843" s="1">
        <v>3470</v>
      </c>
    </row>
    <row r="1844" spans="1:10" x14ac:dyDescent="0.3">
      <c r="A1844" t="s">
        <v>69</v>
      </c>
      <c r="B1844" t="s">
        <v>25</v>
      </c>
      <c r="C1844" t="s">
        <v>11</v>
      </c>
      <c r="D1844" t="s">
        <v>46</v>
      </c>
      <c r="E1844">
        <v>86</v>
      </c>
      <c r="F1844">
        <v>175</v>
      </c>
      <c r="G1844" s="1">
        <v>8800</v>
      </c>
      <c r="H1844" s="1">
        <v>8600</v>
      </c>
      <c r="I1844" s="1">
        <v>22145</v>
      </c>
      <c r="J1844" s="1">
        <v>2575</v>
      </c>
    </row>
    <row r="1845" spans="1:10" x14ac:dyDescent="0.3">
      <c r="A1845" t="s">
        <v>69</v>
      </c>
      <c r="B1845" t="s">
        <v>16</v>
      </c>
      <c r="C1845" t="s">
        <v>11</v>
      </c>
      <c r="D1845" t="s">
        <v>47</v>
      </c>
      <c r="E1845">
        <v>86</v>
      </c>
      <c r="F1845">
        <v>182</v>
      </c>
      <c r="G1845" s="1">
        <v>3000</v>
      </c>
      <c r="H1845" s="1">
        <v>3000</v>
      </c>
      <c r="I1845" s="1">
        <v>8700</v>
      </c>
      <c r="J1845" s="1">
        <v>2900</v>
      </c>
    </row>
    <row r="1846" spans="1:10" x14ac:dyDescent="0.3">
      <c r="A1846" t="s">
        <v>69</v>
      </c>
      <c r="B1846" t="s">
        <v>18</v>
      </c>
      <c r="C1846" t="s">
        <v>11</v>
      </c>
      <c r="D1846" t="s">
        <v>47</v>
      </c>
      <c r="E1846">
        <v>86</v>
      </c>
      <c r="F1846">
        <v>182</v>
      </c>
      <c r="G1846" s="1">
        <v>500</v>
      </c>
      <c r="H1846" s="1">
        <v>500</v>
      </c>
      <c r="I1846" s="1">
        <v>550</v>
      </c>
      <c r="J1846" s="1">
        <v>1100</v>
      </c>
    </row>
    <row r="1847" spans="1:10" x14ac:dyDescent="0.3">
      <c r="A1847" t="s">
        <v>69</v>
      </c>
      <c r="B1847" t="s">
        <v>19</v>
      </c>
      <c r="C1847" t="s">
        <v>11</v>
      </c>
      <c r="D1847" t="s">
        <v>47</v>
      </c>
      <c r="E1847">
        <v>86</v>
      </c>
      <c r="F1847">
        <v>182</v>
      </c>
      <c r="G1847" s="1">
        <v>550</v>
      </c>
      <c r="H1847" s="1">
        <v>550</v>
      </c>
      <c r="I1847" s="1">
        <v>1760</v>
      </c>
      <c r="J1847" s="1">
        <v>3200</v>
      </c>
    </row>
    <row r="1848" spans="1:10" x14ac:dyDescent="0.3">
      <c r="A1848" t="s">
        <v>69</v>
      </c>
      <c r="B1848" t="s">
        <v>20</v>
      </c>
      <c r="C1848" t="s">
        <v>11</v>
      </c>
      <c r="D1848" t="s">
        <v>47</v>
      </c>
      <c r="E1848">
        <v>86</v>
      </c>
      <c r="F1848">
        <v>182</v>
      </c>
      <c r="G1848" s="1">
        <v>800</v>
      </c>
      <c r="H1848" s="1">
        <v>620</v>
      </c>
      <c r="I1848" s="1">
        <v>1984</v>
      </c>
      <c r="J1848" s="1">
        <v>3200</v>
      </c>
    </row>
    <row r="1849" spans="1:10" x14ac:dyDescent="0.3">
      <c r="A1849" t="s">
        <v>69</v>
      </c>
      <c r="B1849" t="s">
        <v>21</v>
      </c>
      <c r="C1849" t="s">
        <v>11</v>
      </c>
      <c r="D1849" t="s">
        <v>47</v>
      </c>
      <c r="E1849">
        <v>86</v>
      </c>
      <c r="F1849">
        <v>182</v>
      </c>
      <c r="G1849" s="1">
        <v>800</v>
      </c>
      <c r="H1849" s="1">
        <v>800</v>
      </c>
      <c r="I1849" s="1">
        <v>2400</v>
      </c>
      <c r="J1849" s="1">
        <v>3000</v>
      </c>
    </row>
    <row r="1850" spans="1:10" x14ac:dyDescent="0.3">
      <c r="A1850" t="s">
        <v>69</v>
      </c>
      <c r="B1850" t="s">
        <v>22</v>
      </c>
      <c r="C1850" t="s">
        <v>11</v>
      </c>
      <c r="D1850" t="s">
        <v>47</v>
      </c>
      <c r="E1850">
        <v>86</v>
      </c>
      <c r="F1850">
        <v>182</v>
      </c>
      <c r="G1850" s="1">
        <v>800</v>
      </c>
      <c r="H1850" s="1">
        <v>800</v>
      </c>
      <c r="I1850" s="1">
        <v>2240</v>
      </c>
      <c r="J1850" s="1">
        <v>2800</v>
      </c>
    </row>
    <row r="1851" spans="1:10" x14ac:dyDescent="0.3">
      <c r="A1851" t="s">
        <v>69</v>
      </c>
      <c r="B1851" t="s">
        <v>23</v>
      </c>
      <c r="C1851" t="s">
        <v>11</v>
      </c>
      <c r="D1851" t="s">
        <v>47</v>
      </c>
      <c r="E1851">
        <v>86</v>
      </c>
      <c r="F1851">
        <v>182</v>
      </c>
      <c r="G1851" s="1">
        <v>800</v>
      </c>
      <c r="H1851" s="1">
        <v>800</v>
      </c>
      <c r="I1851" s="1">
        <v>2160</v>
      </c>
      <c r="J1851" s="1">
        <v>2700</v>
      </c>
    </row>
    <row r="1852" spans="1:10" x14ac:dyDescent="0.3">
      <c r="A1852" t="s">
        <v>69</v>
      </c>
      <c r="B1852" t="s">
        <v>24</v>
      </c>
      <c r="C1852" t="s">
        <v>11</v>
      </c>
      <c r="D1852" t="s">
        <v>47</v>
      </c>
      <c r="E1852">
        <v>86</v>
      </c>
      <c r="F1852">
        <v>182</v>
      </c>
      <c r="G1852" s="1">
        <v>900</v>
      </c>
      <c r="H1852" s="1">
        <v>830</v>
      </c>
      <c r="I1852" s="1">
        <v>2075</v>
      </c>
      <c r="J1852" s="1">
        <v>2500</v>
      </c>
    </row>
    <row r="1853" spans="1:10" x14ac:dyDescent="0.3">
      <c r="A1853" t="s">
        <v>69</v>
      </c>
      <c r="B1853" t="s">
        <v>25</v>
      </c>
      <c r="C1853" t="s">
        <v>11</v>
      </c>
      <c r="D1853" t="s">
        <v>47</v>
      </c>
      <c r="E1853">
        <v>86</v>
      </c>
      <c r="F1853">
        <v>182</v>
      </c>
      <c r="G1853" s="1">
        <v>1040</v>
      </c>
      <c r="H1853" s="1">
        <v>320</v>
      </c>
      <c r="I1853" s="1">
        <v>544</v>
      </c>
      <c r="J1853" s="1">
        <v>1700</v>
      </c>
    </row>
    <row r="1854" spans="1:10" x14ac:dyDescent="0.3">
      <c r="A1854" t="s">
        <v>69</v>
      </c>
      <c r="B1854" t="s">
        <v>15</v>
      </c>
      <c r="C1854" t="s">
        <v>11</v>
      </c>
      <c r="D1854" t="s">
        <v>48</v>
      </c>
      <c r="E1854">
        <v>86</v>
      </c>
      <c r="F1854">
        <v>189</v>
      </c>
      <c r="G1854" s="1">
        <v>3500</v>
      </c>
      <c r="H1854" s="1">
        <v>3500</v>
      </c>
      <c r="I1854" s="1">
        <v>8750</v>
      </c>
      <c r="J1854" s="1">
        <v>2500</v>
      </c>
    </row>
    <row r="1855" spans="1:10" x14ac:dyDescent="0.3">
      <c r="A1855" t="s">
        <v>69</v>
      </c>
      <c r="B1855" t="s">
        <v>17</v>
      </c>
      <c r="C1855" t="s">
        <v>11</v>
      </c>
      <c r="D1855" t="s">
        <v>48</v>
      </c>
      <c r="E1855">
        <v>86</v>
      </c>
      <c r="F1855">
        <v>189</v>
      </c>
      <c r="G1855" s="1">
        <v>3500</v>
      </c>
      <c r="H1855" s="1">
        <v>3500</v>
      </c>
      <c r="I1855" s="1">
        <v>12250</v>
      </c>
      <c r="J1855" s="1">
        <v>3500</v>
      </c>
    </row>
    <row r="1856" spans="1:10" x14ac:dyDescent="0.3">
      <c r="A1856" t="s">
        <v>69</v>
      </c>
      <c r="B1856" t="s">
        <v>18</v>
      </c>
      <c r="C1856" t="s">
        <v>11</v>
      </c>
      <c r="D1856" t="s">
        <v>48</v>
      </c>
      <c r="E1856">
        <v>86</v>
      </c>
      <c r="F1856">
        <v>189</v>
      </c>
      <c r="G1856" s="1">
        <v>4000</v>
      </c>
      <c r="H1856" s="1">
        <v>4000</v>
      </c>
      <c r="I1856" s="1">
        <v>12000</v>
      </c>
      <c r="J1856" s="1">
        <v>3000</v>
      </c>
    </row>
    <row r="1857" spans="1:10" x14ac:dyDescent="0.3">
      <c r="A1857" t="s">
        <v>69</v>
      </c>
      <c r="B1857" t="s">
        <v>19</v>
      </c>
      <c r="C1857" t="s">
        <v>11</v>
      </c>
      <c r="D1857" t="s">
        <v>48</v>
      </c>
      <c r="E1857">
        <v>86</v>
      </c>
      <c r="F1857">
        <v>189</v>
      </c>
      <c r="G1857" s="1">
        <v>4000</v>
      </c>
      <c r="H1857" s="1">
        <v>4000</v>
      </c>
      <c r="I1857" s="1">
        <v>14000</v>
      </c>
      <c r="J1857" s="1">
        <v>3500</v>
      </c>
    </row>
    <row r="1858" spans="1:10" x14ac:dyDescent="0.3">
      <c r="A1858" t="s">
        <v>69</v>
      </c>
      <c r="B1858" t="s">
        <v>20</v>
      </c>
      <c r="C1858" t="s">
        <v>11</v>
      </c>
      <c r="D1858" t="s">
        <v>48</v>
      </c>
      <c r="E1858">
        <v>86</v>
      </c>
      <c r="F1858">
        <v>189</v>
      </c>
      <c r="G1858" s="1">
        <v>4000</v>
      </c>
      <c r="H1858" s="1">
        <v>4000</v>
      </c>
      <c r="I1858" s="1">
        <v>12000</v>
      </c>
      <c r="J1858" s="1">
        <v>3000</v>
      </c>
    </row>
    <row r="1859" spans="1:10" x14ac:dyDescent="0.3">
      <c r="A1859" t="s">
        <v>69</v>
      </c>
      <c r="B1859" t="s">
        <v>21</v>
      </c>
      <c r="C1859" t="s">
        <v>11</v>
      </c>
      <c r="D1859" t="s">
        <v>48</v>
      </c>
      <c r="E1859">
        <v>86</v>
      </c>
      <c r="F1859">
        <v>189</v>
      </c>
      <c r="G1859" s="1">
        <v>4000</v>
      </c>
      <c r="H1859" s="1">
        <v>4000</v>
      </c>
      <c r="I1859" s="1">
        <v>12000</v>
      </c>
      <c r="J1859" s="1">
        <v>3000</v>
      </c>
    </row>
    <row r="1860" spans="1:10" x14ac:dyDescent="0.3">
      <c r="A1860" t="s">
        <v>69</v>
      </c>
      <c r="B1860" t="s">
        <v>22</v>
      </c>
      <c r="C1860" t="s">
        <v>11</v>
      </c>
      <c r="D1860" t="s">
        <v>48</v>
      </c>
      <c r="E1860">
        <v>86</v>
      </c>
      <c r="F1860">
        <v>189</v>
      </c>
      <c r="G1860" s="1">
        <v>4000</v>
      </c>
      <c r="H1860" s="1">
        <v>4000</v>
      </c>
      <c r="I1860" s="1">
        <v>10000</v>
      </c>
      <c r="J1860" s="1">
        <v>2500</v>
      </c>
    </row>
    <row r="1861" spans="1:10" x14ac:dyDescent="0.3">
      <c r="A1861" t="s">
        <v>69</v>
      </c>
      <c r="B1861" t="s">
        <v>23</v>
      </c>
      <c r="C1861" t="s">
        <v>11</v>
      </c>
      <c r="D1861" t="s">
        <v>48</v>
      </c>
      <c r="E1861">
        <v>86</v>
      </c>
      <c r="F1861">
        <v>189</v>
      </c>
      <c r="G1861" s="1">
        <v>4000</v>
      </c>
      <c r="H1861" s="1">
        <v>4000</v>
      </c>
      <c r="I1861" s="1">
        <v>6000</v>
      </c>
      <c r="J1861" s="1">
        <v>1500</v>
      </c>
    </row>
    <row r="1862" spans="1:10" x14ac:dyDescent="0.3">
      <c r="A1862" t="s">
        <v>69</v>
      </c>
      <c r="B1862" t="s">
        <v>24</v>
      </c>
      <c r="C1862" t="s">
        <v>11</v>
      </c>
      <c r="D1862" t="s">
        <v>48</v>
      </c>
      <c r="E1862">
        <v>86</v>
      </c>
      <c r="F1862">
        <v>189</v>
      </c>
      <c r="G1862" s="1">
        <v>4000</v>
      </c>
      <c r="H1862" s="1">
        <v>3994</v>
      </c>
      <c r="I1862" s="1">
        <v>13979</v>
      </c>
      <c r="J1862" s="1">
        <v>3500</v>
      </c>
    </row>
    <row r="1863" spans="1:10" x14ac:dyDescent="0.3">
      <c r="A1863" t="s">
        <v>69</v>
      </c>
      <c r="B1863" t="s">
        <v>25</v>
      </c>
      <c r="C1863" t="s">
        <v>11</v>
      </c>
      <c r="D1863" t="s">
        <v>48</v>
      </c>
      <c r="E1863">
        <v>86</v>
      </c>
      <c r="F1863">
        <v>189</v>
      </c>
      <c r="G1863" s="1">
        <v>4400</v>
      </c>
      <c r="H1863" s="1">
        <v>4280</v>
      </c>
      <c r="I1863" s="1">
        <v>9256</v>
      </c>
      <c r="J1863" s="1">
        <v>2163</v>
      </c>
    </row>
    <row r="1864" spans="1:10" x14ac:dyDescent="0.3">
      <c r="A1864" t="s">
        <v>70</v>
      </c>
      <c r="B1864" t="s">
        <v>15</v>
      </c>
      <c r="C1864" t="s">
        <v>11</v>
      </c>
      <c r="D1864" t="s">
        <v>12</v>
      </c>
      <c r="E1864">
        <v>86</v>
      </c>
      <c r="F1864">
        <v>7</v>
      </c>
      <c r="G1864" s="1">
        <v>8500</v>
      </c>
      <c r="H1864" s="1">
        <v>7450</v>
      </c>
      <c r="I1864" s="1">
        <v>22350</v>
      </c>
      <c r="J1864" s="1">
        <v>3000</v>
      </c>
    </row>
    <row r="1865" spans="1:10" x14ac:dyDescent="0.3">
      <c r="A1865" t="s">
        <v>70</v>
      </c>
      <c r="B1865" t="s">
        <v>16</v>
      </c>
      <c r="C1865" t="s">
        <v>11</v>
      </c>
      <c r="D1865" t="s">
        <v>12</v>
      </c>
      <c r="E1865">
        <v>86</v>
      </c>
      <c r="F1865">
        <v>7</v>
      </c>
      <c r="G1865" s="1">
        <v>10000</v>
      </c>
      <c r="H1865" s="1">
        <v>10000</v>
      </c>
      <c r="I1865" s="1">
        <v>35000</v>
      </c>
      <c r="J1865" s="1">
        <v>3500</v>
      </c>
    </row>
    <row r="1866" spans="1:10" x14ac:dyDescent="0.3">
      <c r="A1866" t="s">
        <v>70</v>
      </c>
      <c r="B1866" t="s">
        <v>17</v>
      </c>
      <c r="C1866" t="s">
        <v>11</v>
      </c>
      <c r="D1866" t="s">
        <v>12</v>
      </c>
      <c r="E1866">
        <v>86</v>
      </c>
      <c r="F1866">
        <v>7</v>
      </c>
      <c r="G1866" s="1">
        <v>5000</v>
      </c>
      <c r="H1866" s="1">
        <v>2950</v>
      </c>
      <c r="I1866" s="1">
        <v>10325</v>
      </c>
      <c r="J1866" s="1">
        <v>3500</v>
      </c>
    </row>
    <row r="1867" spans="1:10" x14ac:dyDescent="0.3">
      <c r="A1867" t="s">
        <v>70</v>
      </c>
      <c r="B1867" t="s">
        <v>18</v>
      </c>
      <c r="C1867" t="s">
        <v>11</v>
      </c>
      <c r="D1867" t="s">
        <v>12</v>
      </c>
      <c r="E1867">
        <v>86</v>
      </c>
      <c r="F1867">
        <v>7</v>
      </c>
      <c r="G1867" s="1">
        <v>6200</v>
      </c>
      <c r="H1867" s="1">
        <v>5120</v>
      </c>
      <c r="I1867" s="1">
        <v>10240</v>
      </c>
      <c r="J1867" s="1">
        <v>2000</v>
      </c>
    </row>
    <row r="1868" spans="1:10" x14ac:dyDescent="0.3">
      <c r="A1868" t="s">
        <v>70</v>
      </c>
      <c r="B1868" t="s">
        <v>19</v>
      </c>
      <c r="C1868" t="s">
        <v>11</v>
      </c>
      <c r="D1868" t="s">
        <v>12</v>
      </c>
      <c r="E1868">
        <v>86</v>
      </c>
      <c r="F1868">
        <v>7</v>
      </c>
      <c r="G1868" s="1">
        <v>5595</v>
      </c>
      <c r="H1868" s="1">
        <v>2745</v>
      </c>
      <c r="I1868" s="1">
        <v>8510</v>
      </c>
      <c r="J1868" s="1">
        <v>3100</v>
      </c>
    </row>
    <row r="1869" spans="1:10" x14ac:dyDescent="0.3">
      <c r="A1869" t="s">
        <v>70</v>
      </c>
      <c r="B1869" t="s">
        <v>20</v>
      </c>
      <c r="C1869" t="s">
        <v>11</v>
      </c>
      <c r="D1869" t="s">
        <v>12</v>
      </c>
      <c r="E1869">
        <v>86</v>
      </c>
      <c r="F1869">
        <v>7</v>
      </c>
      <c r="G1869" s="1">
        <v>2500</v>
      </c>
      <c r="H1869" s="1">
        <v>2500</v>
      </c>
      <c r="I1869" s="1">
        <v>4750</v>
      </c>
      <c r="J1869" s="1">
        <v>1900</v>
      </c>
    </row>
    <row r="1870" spans="1:10" x14ac:dyDescent="0.3">
      <c r="A1870" t="s">
        <v>70</v>
      </c>
      <c r="B1870" t="s">
        <v>21</v>
      </c>
      <c r="C1870" t="s">
        <v>11</v>
      </c>
      <c r="D1870" t="s">
        <v>12</v>
      </c>
      <c r="E1870">
        <v>86</v>
      </c>
      <c r="F1870">
        <v>7</v>
      </c>
      <c r="G1870" s="1">
        <v>5130</v>
      </c>
      <c r="H1870" s="1">
        <v>4480</v>
      </c>
      <c r="I1870" s="1">
        <v>15680</v>
      </c>
      <c r="J1870" s="1">
        <v>3500</v>
      </c>
    </row>
    <row r="1871" spans="1:10" x14ac:dyDescent="0.3">
      <c r="A1871" t="s">
        <v>70</v>
      </c>
      <c r="B1871" t="s">
        <v>22</v>
      </c>
      <c r="C1871" t="s">
        <v>11</v>
      </c>
      <c r="D1871" t="s">
        <v>12</v>
      </c>
      <c r="E1871">
        <v>86</v>
      </c>
      <c r="F1871">
        <v>7</v>
      </c>
      <c r="G1871" s="1">
        <v>5130</v>
      </c>
      <c r="H1871" s="1">
        <v>3150</v>
      </c>
      <c r="I1871" s="1">
        <v>9450</v>
      </c>
      <c r="J1871" s="1">
        <v>3000</v>
      </c>
    </row>
    <row r="1872" spans="1:10" x14ac:dyDescent="0.3">
      <c r="A1872" t="s">
        <v>70</v>
      </c>
      <c r="B1872" t="s">
        <v>23</v>
      </c>
      <c r="C1872" t="s">
        <v>11</v>
      </c>
      <c r="D1872" t="s">
        <v>12</v>
      </c>
      <c r="E1872">
        <v>86</v>
      </c>
      <c r="F1872">
        <v>7</v>
      </c>
      <c r="G1872" s="1">
        <v>5130</v>
      </c>
      <c r="H1872" s="1">
        <v>3510</v>
      </c>
      <c r="I1872" s="1">
        <v>7371</v>
      </c>
      <c r="J1872" s="1">
        <v>2100</v>
      </c>
    </row>
    <row r="1873" spans="1:10" x14ac:dyDescent="0.3">
      <c r="A1873" t="s">
        <v>70</v>
      </c>
      <c r="B1873" t="s">
        <v>24</v>
      </c>
      <c r="C1873" t="s">
        <v>11</v>
      </c>
      <c r="D1873" t="s">
        <v>12</v>
      </c>
      <c r="E1873">
        <v>86</v>
      </c>
      <c r="F1873">
        <v>7</v>
      </c>
      <c r="G1873" s="1">
        <v>5500</v>
      </c>
      <c r="H1873" s="1">
        <v>3520</v>
      </c>
      <c r="I1873" s="1">
        <v>9856</v>
      </c>
      <c r="J1873" s="1">
        <v>2800</v>
      </c>
    </row>
    <row r="1874" spans="1:10" x14ac:dyDescent="0.3">
      <c r="A1874" t="s">
        <v>70</v>
      </c>
      <c r="B1874" t="s">
        <v>25</v>
      </c>
      <c r="C1874" t="s">
        <v>11</v>
      </c>
      <c r="D1874" t="s">
        <v>12</v>
      </c>
      <c r="E1874">
        <v>86</v>
      </c>
      <c r="F1874">
        <v>7</v>
      </c>
      <c r="G1874" s="1">
        <v>9700</v>
      </c>
      <c r="H1874" s="1">
        <v>8660</v>
      </c>
      <c r="I1874" s="1">
        <v>17320</v>
      </c>
      <c r="J1874" s="1">
        <v>2000</v>
      </c>
    </row>
    <row r="1875" spans="1:10" x14ac:dyDescent="0.3">
      <c r="A1875" t="s">
        <v>70</v>
      </c>
      <c r="B1875" t="s">
        <v>15</v>
      </c>
      <c r="C1875" t="s">
        <v>11</v>
      </c>
      <c r="D1875" t="s">
        <v>26</v>
      </c>
      <c r="E1875">
        <v>86</v>
      </c>
      <c r="F1875">
        <v>14</v>
      </c>
      <c r="G1875" s="1">
        <v>3000</v>
      </c>
      <c r="H1875" s="1">
        <v>2680</v>
      </c>
      <c r="I1875" s="1">
        <v>8580</v>
      </c>
      <c r="J1875" s="1">
        <v>3201</v>
      </c>
    </row>
    <row r="1876" spans="1:10" x14ac:dyDescent="0.3">
      <c r="A1876" t="s">
        <v>70</v>
      </c>
      <c r="B1876" t="s">
        <v>16</v>
      </c>
      <c r="C1876" t="s">
        <v>11</v>
      </c>
      <c r="D1876" t="s">
        <v>26</v>
      </c>
      <c r="E1876">
        <v>86</v>
      </c>
      <c r="F1876">
        <v>14</v>
      </c>
      <c r="G1876" s="1">
        <v>3000</v>
      </c>
      <c r="H1876" s="1">
        <v>3000</v>
      </c>
      <c r="I1876" s="1">
        <v>10500</v>
      </c>
      <c r="J1876" s="1">
        <v>3500</v>
      </c>
    </row>
    <row r="1877" spans="1:10" x14ac:dyDescent="0.3">
      <c r="A1877" t="s">
        <v>70</v>
      </c>
      <c r="B1877" t="s">
        <v>17</v>
      </c>
      <c r="C1877" t="s">
        <v>11</v>
      </c>
      <c r="D1877" t="s">
        <v>26</v>
      </c>
      <c r="E1877">
        <v>86</v>
      </c>
      <c r="F1877">
        <v>14</v>
      </c>
      <c r="G1877" s="1">
        <v>3000</v>
      </c>
      <c r="H1877" s="1">
        <v>3000</v>
      </c>
      <c r="I1877" s="1">
        <v>10200</v>
      </c>
      <c r="J1877" s="1">
        <v>3400</v>
      </c>
    </row>
    <row r="1878" spans="1:10" x14ac:dyDescent="0.3">
      <c r="A1878" t="s">
        <v>70</v>
      </c>
      <c r="B1878" t="s">
        <v>18</v>
      </c>
      <c r="C1878" t="s">
        <v>11</v>
      </c>
      <c r="D1878" t="s">
        <v>26</v>
      </c>
      <c r="E1878">
        <v>86</v>
      </c>
      <c r="F1878">
        <v>14</v>
      </c>
      <c r="G1878" s="1">
        <v>6400</v>
      </c>
      <c r="H1878" s="1">
        <v>3200</v>
      </c>
      <c r="I1878" s="1">
        <v>8960</v>
      </c>
      <c r="J1878" s="1">
        <v>2800</v>
      </c>
    </row>
    <row r="1879" spans="1:10" x14ac:dyDescent="0.3">
      <c r="A1879" t="s">
        <v>70</v>
      </c>
      <c r="B1879" t="s">
        <v>19</v>
      </c>
      <c r="C1879" t="s">
        <v>11</v>
      </c>
      <c r="D1879" t="s">
        <v>26</v>
      </c>
      <c r="E1879">
        <v>86</v>
      </c>
      <c r="F1879">
        <v>14</v>
      </c>
      <c r="G1879" s="1">
        <v>6510</v>
      </c>
      <c r="H1879" s="1">
        <v>3160</v>
      </c>
      <c r="I1879" s="1">
        <v>10112</v>
      </c>
      <c r="J1879" s="1">
        <v>3200</v>
      </c>
    </row>
    <row r="1880" spans="1:10" x14ac:dyDescent="0.3">
      <c r="A1880" t="s">
        <v>70</v>
      </c>
      <c r="B1880" t="s">
        <v>20</v>
      </c>
      <c r="C1880" t="s">
        <v>11</v>
      </c>
      <c r="D1880" t="s">
        <v>26</v>
      </c>
      <c r="E1880">
        <v>86</v>
      </c>
      <c r="F1880">
        <v>14</v>
      </c>
      <c r="G1880" s="1">
        <v>3700</v>
      </c>
      <c r="H1880" s="1">
        <v>3250</v>
      </c>
      <c r="I1880" s="1">
        <v>10075</v>
      </c>
      <c r="J1880" s="1">
        <v>3100</v>
      </c>
    </row>
    <row r="1881" spans="1:10" x14ac:dyDescent="0.3">
      <c r="A1881" t="s">
        <v>70</v>
      </c>
      <c r="B1881" t="s">
        <v>21</v>
      </c>
      <c r="C1881" t="s">
        <v>11</v>
      </c>
      <c r="D1881" t="s">
        <v>26</v>
      </c>
      <c r="E1881">
        <v>86</v>
      </c>
      <c r="F1881">
        <v>14</v>
      </c>
      <c r="G1881" s="1">
        <v>5120</v>
      </c>
      <c r="H1881" s="1">
        <v>2800</v>
      </c>
      <c r="I1881" s="1">
        <v>8960</v>
      </c>
      <c r="J1881" s="1">
        <v>3200</v>
      </c>
    </row>
    <row r="1882" spans="1:10" x14ac:dyDescent="0.3">
      <c r="A1882" t="s">
        <v>70</v>
      </c>
      <c r="B1882" t="s">
        <v>22</v>
      </c>
      <c r="C1882" t="s">
        <v>11</v>
      </c>
      <c r="D1882" t="s">
        <v>26</v>
      </c>
      <c r="E1882">
        <v>86</v>
      </c>
      <c r="F1882">
        <v>14</v>
      </c>
      <c r="G1882" s="1">
        <v>5120</v>
      </c>
      <c r="H1882" s="1">
        <v>2900</v>
      </c>
      <c r="I1882" s="1">
        <v>8120</v>
      </c>
      <c r="J1882" s="1">
        <v>2800</v>
      </c>
    </row>
    <row r="1883" spans="1:10" x14ac:dyDescent="0.3">
      <c r="A1883" t="s">
        <v>70</v>
      </c>
      <c r="B1883" t="s">
        <v>23</v>
      </c>
      <c r="C1883" t="s">
        <v>11</v>
      </c>
      <c r="D1883" t="s">
        <v>26</v>
      </c>
      <c r="E1883">
        <v>86</v>
      </c>
      <c r="F1883">
        <v>14</v>
      </c>
      <c r="G1883" s="1">
        <v>5120</v>
      </c>
      <c r="H1883" s="1">
        <v>3390</v>
      </c>
      <c r="I1883" s="1">
        <v>8136</v>
      </c>
      <c r="J1883" s="1">
        <v>2400</v>
      </c>
    </row>
    <row r="1884" spans="1:10" x14ac:dyDescent="0.3">
      <c r="A1884" t="s">
        <v>70</v>
      </c>
      <c r="B1884" t="s">
        <v>24</v>
      </c>
      <c r="C1884" t="s">
        <v>11</v>
      </c>
      <c r="D1884" t="s">
        <v>26</v>
      </c>
      <c r="E1884">
        <v>86</v>
      </c>
      <c r="F1884">
        <v>14</v>
      </c>
      <c r="G1884" s="1">
        <v>5000</v>
      </c>
      <c r="H1884" s="1">
        <v>3420</v>
      </c>
      <c r="I1884" s="1">
        <v>6156</v>
      </c>
      <c r="J1884" s="1">
        <v>1800</v>
      </c>
    </row>
    <row r="1885" spans="1:10" x14ac:dyDescent="0.3">
      <c r="A1885" t="s">
        <v>70</v>
      </c>
      <c r="B1885" t="s">
        <v>25</v>
      </c>
      <c r="C1885" t="s">
        <v>11</v>
      </c>
      <c r="D1885" t="s">
        <v>26</v>
      </c>
      <c r="E1885">
        <v>86</v>
      </c>
      <c r="F1885">
        <v>14</v>
      </c>
      <c r="G1885" s="1">
        <v>7100</v>
      </c>
      <c r="H1885" s="1">
        <v>3660</v>
      </c>
      <c r="I1885" s="1">
        <v>5124</v>
      </c>
      <c r="J1885" s="1">
        <v>1400</v>
      </c>
    </row>
    <row r="1886" spans="1:10" x14ac:dyDescent="0.3">
      <c r="A1886" t="s">
        <v>70</v>
      </c>
      <c r="B1886" t="s">
        <v>24</v>
      </c>
      <c r="C1886" t="s">
        <v>11</v>
      </c>
      <c r="D1886" t="s">
        <v>27</v>
      </c>
      <c r="E1886">
        <v>86</v>
      </c>
      <c r="F1886">
        <v>21</v>
      </c>
      <c r="G1886" s="1">
        <v>500</v>
      </c>
      <c r="H1886" s="1">
        <v>0</v>
      </c>
      <c r="I1886" s="1">
        <v>0</v>
      </c>
      <c r="J1886" s="1">
        <v>0</v>
      </c>
    </row>
    <row r="1887" spans="1:10" x14ac:dyDescent="0.3">
      <c r="A1887" t="s">
        <v>70</v>
      </c>
      <c r="B1887" t="s">
        <v>25</v>
      </c>
      <c r="C1887" t="s">
        <v>11</v>
      </c>
      <c r="D1887" t="s">
        <v>27</v>
      </c>
      <c r="E1887">
        <v>86</v>
      </c>
      <c r="F1887">
        <v>21</v>
      </c>
      <c r="G1887" s="1">
        <v>550</v>
      </c>
      <c r="H1887" s="1">
        <v>300</v>
      </c>
      <c r="I1887" s="1">
        <v>1350</v>
      </c>
      <c r="J1887" s="1">
        <v>4500</v>
      </c>
    </row>
    <row r="1888" spans="1:10" x14ac:dyDescent="0.3">
      <c r="A1888" t="s">
        <v>70</v>
      </c>
      <c r="B1888" t="s">
        <v>15</v>
      </c>
      <c r="C1888" t="s">
        <v>11</v>
      </c>
      <c r="D1888" t="s">
        <v>28</v>
      </c>
      <c r="E1888">
        <v>86</v>
      </c>
      <c r="F1888">
        <v>28</v>
      </c>
      <c r="G1888" s="1">
        <v>1900</v>
      </c>
      <c r="H1888" s="1">
        <v>1690</v>
      </c>
      <c r="I1888" s="1">
        <v>5070</v>
      </c>
      <c r="J1888" s="1">
        <v>3000</v>
      </c>
    </row>
    <row r="1889" spans="1:10" x14ac:dyDescent="0.3">
      <c r="A1889" t="s">
        <v>70</v>
      </c>
      <c r="B1889" t="s">
        <v>16</v>
      </c>
      <c r="C1889" t="s">
        <v>11</v>
      </c>
      <c r="D1889" t="s">
        <v>28</v>
      </c>
      <c r="E1889">
        <v>86</v>
      </c>
      <c r="F1889">
        <v>28</v>
      </c>
      <c r="G1889" s="1">
        <v>2000</v>
      </c>
      <c r="H1889" s="1">
        <v>2000</v>
      </c>
      <c r="I1889" s="1">
        <v>7000</v>
      </c>
      <c r="J1889" s="1">
        <v>3500</v>
      </c>
    </row>
    <row r="1890" spans="1:10" x14ac:dyDescent="0.3">
      <c r="A1890" t="s">
        <v>70</v>
      </c>
      <c r="B1890" t="s">
        <v>17</v>
      </c>
      <c r="C1890" t="s">
        <v>11</v>
      </c>
      <c r="D1890" t="s">
        <v>28</v>
      </c>
      <c r="E1890">
        <v>86</v>
      </c>
      <c r="F1890">
        <v>28</v>
      </c>
      <c r="G1890" s="1">
        <v>2000</v>
      </c>
      <c r="H1890" s="1">
        <v>1580</v>
      </c>
      <c r="I1890" s="1">
        <v>4108</v>
      </c>
      <c r="J1890" s="1">
        <v>2600</v>
      </c>
    </row>
    <row r="1891" spans="1:10" x14ac:dyDescent="0.3">
      <c r="A1891" t="s">
        <v>70</v>
      </c>
      <c r="B1891" t="s">
        <v>18</v>
      </c>
      <c r="C1891" t="s">
        <v>11</v>
      </c>
      <c r="D1891" t="s">
        <v>28</v>
      </c>
      <c r="E1891">
        <v>86</v>
      </c>
      <c r="F1891">
        <v>28</v>
      </c>
      <c r="G1891" s="1">
        <v>2900</v>
      </c>
      <c r="H1891" s="1">
        <v>2000</v>
      </c>
      <c r="I1891" s="1">
        <v>6000</v>
      </c>
      <c r="J1891" s="1">
        <v>3000</v>
      </c>
    </row>
    <row r="1892" spans="1:10" x14ac:dyDescent="0.3">
      <c r="A1892" t="s">
        <v>70</v>
      </c>
      <c r="B1892" t="s">
        <v>19</v>
      </c>
      <c r="C1892" t="s">
        <v>11</v>
      </c>
      <c r="D1892" t="s">
        <v>28</v>
      </c>
      <c r="E1892">
        <v>86</v>
      </c>
      <c r="F1892">
        <v>28</v>
      </c>
      <c r="G1892" s="1">
        <v>2755</v>
      </c>
      <c r="H1892" s="1">
        <v>1855</v>
      </c>
      <c r="I1892" s="1">
        <v>5194</v>
      </c>
      <c r="J1892" s="1">
        <v>2800</v>
      </c>
    </row>
    <row r="1893" spans="1:10" x14ac:dyDescent="0.3">
      <c r="A1893" t="s">
        <v>70</v>
      </c>
      <c r="B1893" t="s">
        <v>20</v>
      </c>
      <c r="C1893" t="s">
        <v>11</v>
      </c>
      <c r="D1893" t="s">
        <v>28</v>
      </c>
      <c r="E1893">
        <v>86</v>
      </c>
      <c r="F1893">
        <v>28</v>
      </c>
      <c r="G1893" s="1">
        <v>1800</v>
      </c>
      <c r="H1893" s="1">
        <v>1800</v>
      </c>
      <c r="I1893" s="1">
        <v>5040</v>
      </c>
      <c r="J1893" s="1">
        <v>2800</v>
      </c>
    </row>
    <row r="1894" spans="1:10" x14ac:dyDescent="0.3">
      <c r="A1894" t="s">
        <v>70</v>
      </c>
      <c r="B1894" t="s">
        <v>21</v>
      </c>
      <c r="C1894" t="s">
        <v>11</v>
      </c>
      <c r="D1894" t="s">
        <v>28</v>
      </c>
      <c r="E1894">
        <v>86</v>
      </c>
      <c r="F1894">
        <v>28</v>
      </c>
      <c r="G1894" s="1">
        <v>2400</v>
      </c>
      <c r="H1894" s="1">
        <v>2400</v>
      </c>
      <c r="I1894" s="1">
        <v>7680</v>
      </c>
      <c r="J1894" s="1">
        <v>3200</v>
      </c>
    </row>
    <row r="1895" spans="1:10" x14ac:dyDescent="0.3">
      <c r="A1895" t="s">
        <v>70</v>
      </c>
      <c r="B1895" t="s">
        <v>22</v>
      </c>
      <c r="C1895" t="s">
        <v>11</v>
      </c>
      <c r="D1895" t="s">
        <v>28</v>
      </c>
      <c r="E1895">
        <v>86</v>
      </c>
      <c r="F1895">
        <v>28</v>
      </c>
      <c r="G1895" s="1">
        <v>2400</v>
      </c>
      <c r="H1895" s="1">
        <v>2020</v>
      </c>
      <c r="I1895" s="1">
        <v>6464</v>
      </c>
      <c r="J1895" s="1">
        <v>3200</v>
      </c>
    </row>
    <row r="1896" spans="1:10" x14ac:dyDescent="0.3">
      <c r="A1896" t="s">
        <v>70</v>
      </c>
      <c r="B1896" t="s">
        <v>23</v>
      </c>
      <c r="C1896" t="s">
        <v>11</v>
      </c>
      <c r="D1896" t="s">
        <v>28</v>
      </c>
      <c r="E1896">
        <v>86</v>
      </c>
      <c r="F1896">
        <v>28</v>
      </c>
      <c r="G1896" s="1">
        <v>2400</v>
      </c>
      <c r="H1896" s="1">
        <v>2400</v>
      </c>
      <c r="I1896" s="1">
        <v>4800</v>
      </c>
      <c r="J1896" s="1">
        <v>2000</v>
      </c>
    </row>
    <row r="1897" spans="1:10" x14ac:dyDescent="0.3">
      <c r="A1897" t="s">
        <v>70</v>
      </c>
      <c r="B1897" t="s">
        <v>24</v>
      </c>
      <c r="C1897" t="s">
        <v>11</v>
      </c>
      <c r="D1897" t="s">
        <v>28</v>
      </c>
      <c r="E1897">
        <v>86</v>
      </c>
      <c r="F1897">
        <v>28</v>
      </c>
      <c r="G1897" s="1">
        <v>3100</v>
      </c>
      <c r="H1897" s="1">
        <v>2610</v>
      </c>
      <c r="I1897" s="1">
        <v>6786</v>
      </c>
      <c r="J1897" s="1">
        <v>2600</v>
      </c>
    </row>
    <row r="1898" spans="1:10" x14ac:dyDescent="0.3">
      <c r="A1898" t="s">
        <v>70</v>
      </c>
      <c r="B1898" t="s">
        <v>25</v>
      </c>
      <c r="C1898" t="s">
        <v>11</v>
      </c>
      <c r="D1898" t="s">
        <v>28</v>
      </c>
      <c r="E1898">
        <v>86</v>
      </c>
      <c r="F1898">
        <v>28</v>
      </c>
      <c r="G1898" s="1">
        <v>4350</v>
      </c>
      <c r="H1898" s="1">
        <v>4190</v>
      </c>
      <c r="I1898" s="1">
        <v>9218</v>
      </c>
      <c r="J1898" s="1">
        <v>2200</v>
      </c>
    </row>
    <row r="1899" spans="1:10" x14ac:dyDescent="0.3">
      <c r="A1899" t="s">
        <v>70</v>
      </c>
      <c r="B1899" t="s">
        <v>15</v>
      </c>
      <c r="C1899" t="s">
        <v>11</v>
      </c>
      <c r="D1899" t="s">
        <v>29</v>
      </c>
      <c r="E1899">
        <v>86</v>
      </c>
      <c r="F1899">
        <v>35</v>
      </c>
      <c r="G1899" s="1">
        <v>2600</v>
      </c>
      <c r="H1899" s="1">
        <v>1600</v>
      </c>
      <c r="I1899" s="1">
        <v>5600</v>
      </c>
      <c r="J1899" s="1">
        <v>3500</v>
      </c>
    </row>
    <row r="1900" spans="1:10" x14ac:dyDescent="0.3">
      <c r="A1900" t="s">
        <v>70</v>
      </c>
      <c r="B1900" t="s">
        <v>16</v>
      </c>
      <c r="C1900" t="s">
        <v>11</v>
      </c>
      <c r="D1900" t="s">
        <v>29</v>
      </c>
      <c r="E1900">
        <v>86</v>
      </c>
      <c r="F1900">
        <v>35</v>
      </c>
      <c r="G1900" s="1">
        <v>3000</v>
      </c>
      <c r="H1900" s="1">
        <v>2700</v>
      </c>
      <c r="I1900" s="1">
        <v>9450</v>
      </c>
      <c r="J1900" s="1">
        <v>3500</v>
      </c>
    </row>
    <row r="1901" spans="1:10" x14ac:dyDescent="0.3">
      <c r="A1901" t="s">
        <v>70</v>
      </c>
      <c r="B1901" t="s">
        <v>17</v>
      </c>
      <c r="C1901" t="s">
        <v>11</v>
      </c>
      <c r="D1901" t="s">
        <v>29</v>
      </c>
      <c r="E1901">
        <v>86</v>
      </c>
      <c r="F1901">
        <v>35</v>
      </c>
      <c r="G1901" s="1">
        <v>3000</v>
      </c>
      <c r="H1901" s="1">
        <v>2700</v>
      </c>
      <c r="I1901" s="1">
        <v>11340</v>
      </c>
      <c r="J1901" s="1">
        <v>4200</v>
      </c>
    </row>
    <row r="1902" spans="1:10" x14ac:dyDescent="0.3">
      <c r="A1902" t="s">
        <v>70</v>
      </c>
      <c r="B1902" t="s">
        <v>18</v>
      </c>
      <c r="C1902" t="s">
        <v>11</v>
      </c>
      <c r="D1902" t="s">
        <v>29</v>
      </c>
      <c r="E1902">
        <v>86</v>
      </c>
      <c r="F1902">
        <v>35</v>
      </c>
      <c r="G1902" s="1">
        <v>2000</v>
      </c>
      <c r="H1902" s="1">
        <v>1800</v>
      </c>
      <c r="I1902" s="1">
        <v>5760</v>
      </c>
      <c r="J1902" s="1">
        <v>3200</v>
      </c>
    </row>
    <row r="1903" spans="1:10" x14ac:dyDescent="0.3">
      <c r="A1903" t="s">
        <v>70</v>
      </c>
      <c r="B1903" t="s">
        <v>19</v>
      </c>
      <c r="C1903" t="s">
        <v>11</v>
      </c>
      <c r="D1903" t="s">
        <v>29</v>
      </c>
      <c r="E1903">
        <v>86</v>
      </c>
      <c r="F1903">
        <v>35</v>
      </c>
      <c r="G1903" s="1">
        <v>1500</v>
      </c>
      <c r="H1903" s="1">
        <v>1200</v>
      </c>
      <c r="I1903" s="1">
        <v>5400</v>
      </c>
      <c r="J1903" s="1">
        <v>4500</v>
      </c>
    </row>
    <row r="1904" spans="1:10" x14ac:dyDescent="0.3">
      <c r="A1904" t="s">
        <v>70</v>
      </c>
      <c r="B1904" t="s">
        <v>20</v>
      </c>
      <c r="C1904" t="s">
        <v>11</v>
      </c>
      <c r="D1904" t="s">
        <v>29</v>
      </c>
      <c r="E1904">
        <v>86</v>
      </c>
      <c r="F1904">
        <v>35</v>
      </c>
      <c r="G1904" s="1">
        <v>1500</v>
      </c>
      <c r="H1904" s="1">
        <v>1350</v>
      </c>
      <c r="I1904" s="1">
        <v>6075</v>
      </c>
      <c r="J1904" s="1">
        <v>4500</v>
      </c>
    </row>
    <row r="1905" spans="1:10" x14ac:dyDescent="0.3">
      <c r="A1905" t="s">
        <v>70</v>
      </c>
      <c r="B1905" t="s">
        <v>21</v>
      </c>
      <c r="C1905" t="s">
        <v>11</v>
      </c>
      <c r="D1905" t="s">
        <v>29</v>
      </c>
      <c r="E1905">
        <v>86</v>
      </c>
      <c r="F1905">
        <v>35</v>
      </c>
      <c r="G1905" s="1">
        <v>2500</v>
      </c>
      <c r="H1905" s="1">
        <v>2250</v>
      </c>
      <c r="I1905" s="1">
        <v>10125</v>
      </c>
      <c r="J1905" s="1">
        <v>4500</v>
      </c>
    </row>
    <row r="1906" spans="1:10" x14ac:dyDescent="0.3">
      <c r="A1906" t="s">
        <v>70</v>
      </c>
      <c r="B1906" t="s">
        <v>22</v>
      </c>
      <c r="C1906" t="s">
        <v>11</v>
      </c>
      <c r="D1906" t="s">
        <v>29</v>
      </c>
      <c r="E1906">
        <v>86</v>
      </c>
      <c r="F1906">
        <v>35</v>
      </c>
      <c r="G1906" s="1">
        <v>2500</v>
      </c>
      <c r="H1906" s="1">
        <v>2500</v>
      </c>
      <c r="I1906" s="1">
        <v>11250</v>
      </c>
      <c r="J1906" s="1">
        <v>4500</v>
      </c>
    </row>
    <row r="1907" spans="1:10" x14ac:dyDescent="0.3">
      <c r="A1907" t="s">
        <v>70</v>
      </c>
      <c r="B1907" t="s">
        <v>23</v>
      </c>
      <c r="C1907" t="s">
        <v>11</v>
      </c>
      <c r="D1907" t="s">
        <v>29</v>
      </c>
      <c r="E1907">
        <v>86</v>
      </c>
      <c r="F1907">
        <v>35</v>
      </c>
      <c r="G1907" s="1">
        <v>3000</v>
      </c>
      <c r="H1907" s="1">
        <v>2400</v>
      </c>
      <c r="I1907" s="1">
        <v>10800</v>
      </c>
      <c r="J1907" s="1">
        <v>4500</v>
      </c>
    </row>
    <row r="1908" spans="1:10" x14ac:dyDescent="0.3">
      <c r="A1908" t="s">
        <v>70</v>
      </c>
      <c r="B1908" t="s">
        <v>24</v>
      </c>
      <c r="C1908" t="s">
        <v>11</v>
      </c>
      <c r="D1908" t="s">
        <v>29</v>
      </c>
      <c r="E1908">
        <v>86</v>
      </c>
      <c r="F1908">
        <v>35</v>
      </c>
      <c r="G1908" s="1">
        <v>4000</v>
      </c>
      <c r="H1908" s="1">
        <v>3200</v>
      </c>
      <c r="I1908" s="1">
        <v>12800</v>
      </c>
      <c r="J1908" s="1">
        <v>4000</v>
      </c>
    </row>
    <row r="1909" spans="1:10" x14ac:dyDescent="0.3">
      <c r="A1909" t="s">
        <v>70</v>
      </c>
      <c r="B1909" t="s">
        <v>25</v>
      </c>
      <c r="C1909" t="s">
        <v>11</v>
      </c>
      <c r="D1909" t="s">
        <v>29</v>
      </c>
      <c r="E1909">
        <v>86</v>
      </c>
      <c r="F1909">
        <v>35</v>
      </c>
      <c r="G1909" s="1">
        <v>3300</v>
      </c>
      <c r="H1909" s="1">
        <v>2210</v>
      </c>
      <c r="I1909" s="1">
        <v>9945</v>
      </c>
      <c r="J1909" s="1">
        <v>4500</v>
      </c>
    </row>
    <row r="1910" spans="1:10" x14ac:dyDescent="0.3">
      <c r="A1910" t="s">
        <v>70</v>
      </c>
      <c r="B1910" t="s">
        <v>15</v>
      </c>
      <c r="C1910" t="s">
        <v>11</v>
      </c>
      <c r="D1910" t="s">
        <v>30</v>
      </c>
      <c r="E1910">
        <v>86</v>
      </c>
      <c r="F1910">
        <v>42</v>
      </c>
      <c r="G1910" s="1">
        <v>8000</v>
      </c>
      <c r="H1910" s="1">
        <v>6950</v>
      </c>
      <c r="I1910" s="1">
        <v>19460</v>
      </c>
      <c r="J1910" s="1">
        <v>2800</v>
      </c>
    </row>
    <row r="1911" spans="1:10" x14ac:dyDescent="0.3">
      <c r="A1911" t="s">
        <v>70</v>
      </c>
      <c r="B1911" t="s">
        <v>16</v>
      </c>
      <c r="C1911" t="s">
        <v>11</v>
      </c>
      <c r="D1911" t="s">
        <v>30</v>
      </c>
      <c r="E1911">
        <v>86</v>
      </c>
      <c r="F1911">
        <v>42</v>
      </c>
      <c r="G1911" s="1">
        <v>10000</v>
      </c>
      <c r="H1911" s="1">
        <v>10000</v>
      </c>
      <c r="I1911" s="1">
        <v>35000</v>
      </c>
      <c r="J1911" s="1">
        <v>3500</v>
      </c>
    </row>
    <row r="1912" spans="1:10" x14ac:dyDescent="0.3">
      <c r="A1912" t="s">
        <v>70</v>
      </c>
      <c r="B1912" t="s">
        <v>17</v>
      </c>
      <c r="C1912" t="s">
        <v>11</v>
      </c>
      <c r="D1912" t="s">
        <v>30</v>
      </c>
      <c r="E1912">
        <v>86</v>
      </c>
      <c r="F1912">
        <v>42</v>
      </c>
      <c r="G1912" s="1">
        <v>3800</v>
      </c>
      <c r="H1912" s="1">
        <v>1800</v>
      </c>
      <c r="I1912" s="1">
        <v>5760</v>
      </c>
      <c r="J1912" s="1">
        <v>3200</v>
      </c>
    </row>
    <row r="1913" spans="1:10" x14ac:dyDescent="0.3">
      <c r="A1913" t="s">
        <v>70</v>
      </c>
      <c r="B1913" t="s">
        <v>18</v>
      </c>
      <c r="C1913" t="s">
        <v>11</v>
      </c>
      <c r="D1913" t="s">
        <v>30</v>
      </c>
      <c r="E1913">
        <v>86</v>
      </c>
      <c r="F1913">
        <v>42</v>
      </c>
      <c r="G1913" s="1">
        <v>4700</v>
      </c>
      <c r="H1913" s="1">
        <v>2000</v>
      </c>
      <c r="I1913" s="1">
        <v>4400</v>
      </c>
      <c r="J1913" s="1">
        <v>2200</v>
      </c>
    </row>
    <row r="1914" spans="1:10" x14ac:dyDescent="0.3">
      <c r="A1914" t="s">
        <v>70</v>
      </c>
      <c r="B1914" t="s">
        <v>19</v>
      </c>
      <c r="C1914" t="s">
        <v>11</v>
      </c>
      <c r="D1914" t="s">
        <v>30</v>
      </c>
      <c r="E1914">
        <v>86</v>
      </c>
      <c r="F1914">
        <v>42</v>
      </c>
      <c r="G1914" s="1">
        <v>5105</v>
      </c>
      <c r="H1914" s="1">
        <v>1705</v>
      </c>
      <c r="I1914" s="1">
        <v>5115</v>
      </c>
      <c r="J1914" s="1">
        <v>3000</v>
      </c>
    </row>
    <row r="1915" spans="1:10" x14ac:dyDescent="0.3">
      <c r="A1915" t="s">
        <v>70</v>
      </c>
      <c r="B1915" t="s">
        <v>20</v>
      </c>
      <c r="C1915" t="s">
        <v>11</v>
      </c>
      <c r="D1915" t="s">
        <v>30</v>
      </c>
      <c r="E1915">
        <v>86</v>
      </c>
      <c r="F1915">
        <v>42</v>
      </c>
      <c r="G1915" s="1">
        <v>4900</v>
      </c>
      <c r="H1915" s="1">
        <v>3970</v>
      </c>
      <c r="I1915" s="1">
        <v>12704</v>
      </c>
      <c r="J1915" s="1">
        <v>3200</v>
      </c>
    </row>
    <row r="1916" spans="1:10" x14ac:dyDescent="0.3">
      <c r="A1916" t="s">
        <v>70</v>
      </c>
      <c r="B1916" t="s">
        <v>21</v>
      </c>
      <c r="C1916" t="s">
        <v>11</v>
      </c>
      <c r="D1916" t="s">
        <v>30</v>
      </c>
      <c r="E1916">
        <v>86</v>
      </c>
      <c r="F1916">
        <v>42</v>
      </c>
      <c r="G1916" s="1">
        <v>8200</v>
      </c>
      <c r="H1916" s="1">
        <v>6260</v>
      </c>
      <c r="I1916" s="1">
        <v>21910</v>
      </c>
      <c r="J1916" s="1">
        <v>3500</v>
      </c>
    </row>
    <row r="1917" spans="1:10" x14ac:dyDescent="0.3">
      <c r="A1917" t="s">
        <v>70</v>
      </c>
      <c r="B1917" t="s">
        <v>22</v>
      </c>
      <c r="C1917" t="s">
        <v>11</v>
      </c>
      <c r="D1917" t="s">
        <v>30</v>
      </c>
      <c r="E1917">
        <v>86</v>
      </c>
      <c r="F1917">
        <v>42</v>
      </c>
      <c r="G1917" s="1">
        <v>8200</v>
      </c>
      <c r="H1917" s="1">
        <v>5060</v>
      </c>
      <c r="I1917" s="1">
        <v>16192</v>
      </c>
      <c r="J1917" s="1">
        <v>3200</v>
      </c>
    </row>
    <row r="1918" spans="1:10" x14ac:dyDescent="0.3">
      <c r="A1918" t="s">
        <v>70</v>
      </c>
      <c r="B1918" t="s">
        <v>23</v>
      </c>
      <c r="C1918" t="s">
        <v>11</v>
      </c>
      <c r="D1918" t="s">
        <v>30</v>
      </c>
      <c r="E1918">
        <v>86</v>
      </c>
      <c r="F1918">
        <v>42</v>
      </c>
      <c r="G1918" s="1">
        <v>8200</v>
      </c>
      <c r="H1918" s="1">
        <v>5300</v>
      </c>
      <c r="I1918" s="1">
        <v>13250</v>
      </c>
      <c r="J1918" s="1">
        <v>2500</v>
      </c>
    </row>
    <row r="1919" spans="1:10" x14ac:dyDescent="0.3">
      <c r="A1919" t="s">
        <v>70</v>
      </c>
      <c r="B1919" t="s">
        <v>24</v>
      </c>
      <c r="C1919" t="s">
        <v>11</v>
      </c>
      <c r="D1919" t="s">
        <v>30</v>
      </c>
      <c r="E1919">
        <v>86</v>
      </c>
      <c r="F1919">
        <v>42</v>
      </c>
      <c r="G1919" s="1">
        <v>7800</v>
      </c>
      <c r="H1919" s="1">
        <v>5210</v>
      </c>
      <c r="I1919" s="1">
        <v>16151</v>
      </c>
      <c r="J1919" s="1">
        <v>3100</v>
      </c>
    </row>
    <row r="1920" spans="1:10" x14ac:dyDescent="0.3">
      <c r="A1920" t="s">
        <v>70</v>
      </c>
      <c r="B1920" t="s">
        <v>25</v>
      </c>
      <c r="C1920" t="s">
        <v>11</v>
      </c>
      <c r="D1920" t="s">
        <v>30</v>
      </c>
      <c r="E1920">
        <v>86</v>
      </c>
      <c r="F1920">
        <v>42</v>
      </c>
      <c r="G1920" s="1">
        <v>7160</v>
      </c>
      <c r="H1920" s="1">
        <v>5930</v>
      </c>
      <c r="I1920" s="1">
        <v>16604</v>
      </c>
      <c r="J1920" s="1">
        <v>2800</v>
      </c>
    </row>
    <row r="1921" spans="1:10" x14ac:dyDescent="0.3">
      <c r="A1921" t="s">
        <v>70</v>
      </c>
      <c r="B1921" t="s">
        <v>15</v>
      </c>
      <c r="C1921" t="s">
        <v>11</v>
      </c>
      <c r="D1921" t="s">
        <v>31</v>
      </c>
      <c r="E1921">
        <v>86</v>
      </c>
      <c r="F1921">
        <v>49</v>
      </c>
      <c r="G1921" s="1">
        <v>1300</v>
      </c>
      <c r="H1921" s="1">
        <v>800</v>
      </c>
      <c r="I1921" s="1">
        <v>3040</v>
      </c>
      <c r="J1921" s="1">
        <v>3800</v>
      </c>
    </row>
    <row r="1922" spans="1:10" x14ac:dyDescent="0.3">
      <c r="A1922" t="s">
        <v>70</v>
      </c>
      <c r="B1922" t="s">
        <v>16</v>
      </c>
      <c r="C1922" t="s">
        <v>11</v>
      </c>
      <c r="D1922" t="s">
        <v>31</v>
      </c>
      <c r="E1922">
        <v>86</v>
      </c>
      <c r="F1922">
        <v>49</v>
      </c>
      <c r="G1922" s="1">
        <v>2500</v>
      </c>
      <c r="H1922" s="1">
        <v>2500</v>
      </c>
      <c r="I1922" s="1">
        <v>9500</v>
      </c>
      <c r="J1922" s="1">
        <v>3800</v>
      </c>
    </row>
    <row r="1923" spans="1:10" x14ac:dyDescent="0.3">
      <c r="A1923" t="s">
        <v>70</v>
      </c>
      <c r="B1923" t="s">
        <v>17</v>
      </c>
      <c r="C1923" t="s">
        <v>11</v>
      </c>
      <c r="D1923" t="s">
        <v>31</v>
      </c>
      <c r="E1923">
        <v>86</v>
      </c>
      <c r="F1923">
        <v>49</v>
      </c>
      <c r="G1923" s="1">
        <v>3500</v>
      </c>
      <c r="H1923" s="1">
        <v>3150</v>
      </c>
      <c r="I1923" s="1">
        <v>14175</v>
      </c>
      <c r="J1923" s="1">
        <v>4500</v>
      </c>
    </row>
    <row r="1924" spans="1:10" x14ac:dyDescent="0.3">
      <c r="A1924" t="s">
        <v>70</v>
      </c>
      <c r="B1924" t="s">
        <v>18</v>
      </c>
      <c r="C1924" t="s">
        <v>11</v>
      </c>
      <c r="D1924" t="s">
        <v>31</v>
      </c>
      <c r="E1924">
        <v>86</v>
      </c>
      <c r="F1924">
        <v>49</v>
      </c>
      <c r="G1924" s="1">
        <v>3000</v>
      </c>
      <c r="H1924" s="1">
        <v>2700</v>
      </c>
      <c r="I1924" s="1">
        <v>8640</v>
      </c>
      <c r="J1924" s="1">
        <v>3200</v>
      </c>
    </row>
    <row r="1925" spans="1:10" x14ac:dyDescent="0.3">
      <c r="A1925" t="s">
        <v>70</v>
      </c>
      <c r="B1925" t="s">
        <v>19</v>
      </c>
      <c r="C1925" t="s">
        <v>11</v>
      </c>
      <c r="D1925" t="s">
        <v>31</v>
      </c>
      <c r="E1925">
        <v>86</v>
      </c>
      <c r="F1925">
        <v>49</v>
      </c>
      <c r="G1925" s="1">
        <v>3000</v>
      </c>
      <c r="H1925" s="1">
        <v>2700</v>
      </c>
      <c r="I1925" s="1">
        <v>13500</v>
      </c>
      <c r="J1925" s="1">
        <v>5000</v>
      </c>
    </row>
    <row r="1926" spans="1:10" x14ac:dyDescent="0.3">
      <c r="A1926" t="s">
        <v>70</v>
      </c>
      <c r="B1926" t="s">
        <v>20</v>
      </c>
      <c r="C1926" t="s">
        <v>11</v>
      </c>
      <c r="D1926" t="s">
        <v>31</v>
      </c>
      <c r="E1926">
        <v>86</v>
      </c>
      <c r="F1926">
        <v>49</v>
      </c>
      <c r="G1926" s="1">
        <v>2500</v>
      </c>
      <c r="H1926" s="1">
        <v>2250</v>
      </c>
      <c r="I1926" s="1">
        <v>10125</v>
      </c>
      <c r="J1926" s="1">
        <v>4500</v>
      </c>
    </row>
    <row r="1927" spans="1:10" x14ac:dyDescent="0.3">
      <c r="A1927" t="s">
        <v>70</v>
      </c>
      <c r="B1927" t="s">
        <v>21</v>
      </c>
      <c r="C1927" t="s">
        <v>11</v>
      </c>
      <c r="D1927" t="s">
        <v>31</v>
      </c>
      <c r="E1927">
        <v>86</v>
      </c>
      <c r="F1927">
        <v>49</v>
      </c>
      <c r="G1927" s="1">
        <v>3500</v>
      </c>
      <c r="H1927" s="1">
        <v>3150</v>
      </c>
      <c r="I1927" s="1">
        <v>15750</v>
      </c>
      <c r="J1927" s="1">
        <v>5000</v>
      </c>
    </row>
    <row r="1928" spans="1:10" x14ac:dyDescent="0.3">
      <c r="A1928" t="s">
        <v>70</v>
      </c>
      <c r="B1928" t="s">
        <v>22</v>
      </c>
      <c r="C1928" t="s">
        <v>11</v>
      </c>
      <c r="D1928" t="s">
        <v>31</v>
      </c>
      <c r="E1928">
        <v>86</v>
      </c>
      <c r="F1928">
        <v>49</v>
      </c>
      <c r="G1928" s="1">
        <v>3500</v>
      </c>
      <c r="H1928" s="1">
        <v>3500</v>
      </c>
      <c r="I1928" s="1">
        <v>15750</v>
      </c>
      <c r="J1928" s="1">
        <v>4500</v>
      </c>
    </row>
    <row r="1929" spans="1:10" x14ac:dyDescent="0.3">
      <c r="A1929" t="s">
        <v>70</v>
      </c>
      <c r="B1929" t="s">
        <v>23</v>
      </c>
      <c r="C1929" t="s">
        <v>11</v>
      </c>
      <c r="D1929" t="s">
        <v>31</v>
      </c>
      <c r="E1929">
        <v>86</v>
      </c>
      <c r="F1929">
        <v>49</v>
      </c>
      <c r="G1929" s="1">
        <v>3500</v>
      </c>
      <c r="H1929" s="1">
        <v>2800</v>
      </c>
      <c r="I1929" s="1">
        <v>12600</v>
      </c>
      <c r="J1929" s="1">
        <v>4500</v>
      </c>
    </row>
    <row r="1930" spans="1:10" x14ac:dyDescent="0.3">
      <c r="A1930" t="s">
        <v>70</v>
      </c>
      <c r="B1930" t="s">
        <v>24</v>
      </c>
      <c r="C1930" t="s">
        <v>11</v>
      </c>
      <c r="D1930" t="s">
        <v>31</v>
      </c>
      <c r="E1930">
        <v>86</v>
      </c>
      <c r="F1930">
        <v>49</v>
      </c>
      <c r="G1930" s="1">
        <v>3500</v>
      </c>
      <c r="H1930" s="1">
        <v>3400</v>
      </c>
      <c r="I1930" s="1">
        <v>15300</v>
      </c>
      <c r="J1930" s="1">
        <v>4500</v>
      </c>
    </row>
    <row r="1931" spans="1:10" x14ac:dyDescent="0.3">
      <c r="A1931" t="s">
        <v>70</v>
      </c>
      <c r="B1931" t="s">
        <v>25</v>
      </c>
      <c r="C1931" t="s">
        <v>11</v>
      </c>
      <c r="D1931" t="s">
        <v>31</v>
      </c>
      <c r="E1931">
        <v>86</v>
      </c>
      <c r="F1931">
        <v>49</v>
      </c>
      <c r="G1931" s="1">
        <v>3850</v>
      </c>
      <c r="H1931" s="1">
        <v>3730</v>
      </c>
      <c r="I1931" s="1">
        <v>15666</v>
      </c>
      <c r="J1931" s="1">
        <v>4200</v>
      </c>
    </row>
    <row r="1932" spans="1:10" x14ac:dyDescent="0.3">
      <c r="A1932" t="s">
        <v>70</v>
      </c>
      <c r="B1932" t="s">
        <v>15</v>
      </c>
      <c r="C1932" t="s">
        <v>11</v>
      </c>
      <c r="D1932" t="s">
        <v>32</v>
      </c>
      <c r="E1932">
        <v>86</v>
      </c>
      <c r="F1932">
        <v>63</v>
      </c>
      <c r="G1932" s="1">
        <v>4400</v>
      </c>
      <c r="H1932" s="1">
        <v>2400</v>
      </c>
      <c r="I1932" s="1">
        <v>7680</v>
      </c>
      <c r="J1932" s="1">
        <v>3200</v>
      </c>
    </row>
    <row r="1933" spans="1:10" x14ac:dyDescent="0.3">
      <c r="A1933" t="s">
        <v>70</v>
      </c>
      <c r="B1933" t="s">
        <v>16</v>
      </c>
      <c r="C1933" t="s">
        <v>11</v>
      </c>
      <c r="D1933" t="s">
        <v>32</v>
      </c>
      <c r="E1933">
        <v>86</v>
      </c>
      <c r="F1933">
        <v>63</v>
      </c>
      <c r="G1933" s="1">
        <v>5000</v>
      </c>
      <c r="H1933" s="1">
        <v>4500</v>
      </c>
      <c r="I1933" s="1">
        <v>15750</v>
      </c>
      <c r="J1933" s="1">
        <v>3500</v>
      </c>
    </row>
    <row r="1934" spans="1:10" x14ac:dyDescent="0.3">
      <c r="A1934" t="s">
        <v>70</v>
      </c>
      <c r="B1934" t="s">
        <v>17</v>
      </c>
      <c r="C1934" t="s">
        <v>11</v>
      </c>
      <c r="D1934" t="s">
        <v>32</v>
      </c>
      <c r="E1934">
        <v>86</v>
      </c>
      <c r="F1934">
        <v>63</v>
      </c>
      <c r="G1934" s="1">
        <v>4000</v>
      </c>
      <c r="H1934" s="1">
        <v>3600</v>
      </c>
      <c r="I1934" s="1">
        <v>15120</v>
      </c>
      <c r="J1934" s="1">
        <v>4200</v>
      </c>
    </row>
    <row r="1935" spans="1:10" x14ac:dyDescent="0.3">
      <c r="A1935" t="s">
        <v>70</v>
      </c>
      <c r="B1935" t="s">
        <v>18</v>
      </c>
      <c r="C1935" t="s">
        <v>11</v>
      </c>
      <c r="D1935" t="s">
        <v>32</v>
      </c>
      <c r="E1935">
        <v>86</v>
      </c>
      <c r="F1935">
        <v>63</v>
      </c>
      <c r="G1935" s="1">
        <v>3000</v>
      </c>
      <c r="H1935" s="1">
        <v>2700</v>
      </c>
      <c r="I1935" s="1">
        <v>8100</v>
      </c>
      <c r="J1935" s="1">
        <v>3000</v>
      </c>
    </row>
    <row r="1936" spans="1:10" x14ac:dyDescent="0.3">
      <c r="A1936" t="s">
        <v>70</v>
      </c>
      <c r="B1936" t="s">
        <v>19</v>
      </c>
      <c r="C1936" t="s">
        <v>11</v>
      </c>
      <c r="D1936" t="s">
        <v>32</v>
      </c>
      <c r="E1936">
        <v>86</v>
      </c>
      <c r="F1936">
        <v>63</v>
      </c>
      <c r="G1936" s="1">
        <v>4000</v>
      </c>
      <c r="H1936" s="1">
        <v>3600</v>
      </c>
      <c r="I1936" s="1">
        <v>18000</v>
      </c>
      <c r="J1936" s="1">
        <v>5000</v>
      </c>
    </row>
    <row r="1937" spans="1:10" x14ac:dyDescent="0.3">
      <c r="A1937" t="s">
        <v>70</v>
      </c>
      <c r="B1937" t="s">
        <v>20</v>
      </c>
      <c r="C1937" t="s">
        <v>11</v>
      </c>
      <c r="D1937" t="s">
        <v>32</v>
      </c>
      <c r="E1937">
        <v>86</v>
      </c>
      <c r="F1937">
        <v>63</v>
      </c>
      <c r="G1937" s="1">
        <v>4500</v>
      </c>
      <c r="H1937" s="1">
        <v>4050</v>
      </c>
      <c r="I1937" s="1">
        <v>18225</v>
      </c>
      <c r="J1937" s="1">
        <v>4500</v>
      </c>
    </row>
    <row r="1938" spans="1:10" x14ac:dyDescent="0.3">
      <c r="A1938" t="s">
        <v>70</v>
      </c>
      <c r="B1938" t="s">
        <v>21</v>
      </c>
      <c r="C1938" t="s">
        <v>11</v>
      </c>
      <c r="D1938" t="s">
        <v>32</v>
      </c>
      <c r="E1938">
        <v>86</v>
      </c>
      <c r="F1938">
        <v>63</v>
      </c>
      <c r="G1938" s="1">
        <v>4500</v>
      </c>
      <c r="H1938" s="1">
        <v>4050</v>
      </c>
      <c r="I1938" s="1">
        <v>18225</v>
      </c>
      <c r="J1938" s="1">
        <v>4500</v>
      </c>
    </row>
    <row r="1939" spans="1:10" x14ac:dyDescent="0.3">
      <c r="A1939" t="s">
        <v>70</v>
      </c>
      <c r="B1939" t="s">
        <v>22</v>
      </c>
      <c r="C1939" t="s">
        <v>11</v>
      </c>
      <c r="D1939" t="s">
        <v>32</v>
      </c>
      <c r="E1939">
        <v>86</v>
      </c>
      <c r="F1939">
        <v>63</v>
      </c>
      <c r="G1939" s="1">
        <v>4500</v>
      </c>
      <c r="H1939" s="1">
        <v>4050</v>
      </c>
      <c r="I1939" s="1">
        <v>18225</v>
      </c>
      <c r="J1939" s="1">
        <v>4500</v>
      </c>
    </row>
    <row r="1940" spans="1:10" x14ac:dyDescent="0.3">
      <c r="A1940" t="s">
        <v>70</v>
      </c>
      <c r="B1940" t="s">
        <v>23</v>
      </c>
      <c r="C1940" t="s">
        <v>11</v>
      </c>
      <c r="D1940" t="s">
        <v>32</v>
      </c>
      <c r="E1940">
        <v>86</v>
      </c>
      <c r="F1940">
        <v>63</v>
      </c>
      <c r="G1940" s="1">
        <v>5000</v>
      </c>
      <c r="H1940" s="1">
        <v>4000</v>
      </c>
      <c r="I1940" s="1">
        <v>18000</v>
      </c>
      <c r="J1940" s="1">
        <v>4500</v>
      </c>
    </row>
    <row r="1941" spans="1:10" x14ac:dyDescent="0.3">
      <c r="A1941" t="s">
        <v>70</v>
      </c>
      <c r="B1941" t="s">
        <v>24</v>
      </c>
      <c r="C1941" t="s">
        <v>11</v>
      </c>
      <c r="D1941" t="s">
        <v>32</v>
      </c>
      <c r="E1941">
        <v>86</v>
      </c>
      <c r="F1941">
        <v>63</v>
      </c>
      <c r="G1941" s="1">
        <v>5000</v>
      </c>
      <c r="H1941" s="1">
        <v>4794</v>
      </c>
      <c r="I1941" s="1">
        <v>19176</v>
      </c>
      <c r="J1941" s="1">
        <v>4000</v>
      </c>
    </row>
    <row r="1942" spans="1:10" x14ac:dyDescent="0.3">
      <c r="A1942" t="s">
        <v>70</v>
      </c>
      <c r="B1942" t="s">
        <v>25</v>
      </c>
      <c r="C1942" t="s">
        <v>11</v>
      </c>
      <c r="D1942" t="s">
        <v>32</v>
      </c>
      <c r="E1942">
        <v>86</v>
      </c>
      <c r="F1942">
        <v>63</v>
      </c>
      <c r="G1942" s="1">
        <v>5500</v>
      </c>
      <c r="H1942" s="1">
        <v>3690</v>
      </c>
      <c r="I1942" s="1">
        <v>16605</v>
      </c>
      <c r="J1942" s="1">
        <v>4500</v>
      </c>
    </row>
    <row r="1943" spans="1:10" x14ac:dyDescent="0.3">
      <c r="A1943" t="s">
        <v>70</v>
      </c>
      <c r="B1943" t="s">
        <v>15</v>
      </c>
      <c r="C1943" t="s">
        <v>11</v>
      </c>
      <c r="D1943" t="s">
        <v>33</v>
      </c>
      <c r="E1943">
        <v>86</v>
      </c>
      <c r="F1943">
        <v>56</v>
      </c>
      <c r="G1943" s="1">
        <v>3500</v>
      </c>
      <c r="H1943" s="1">
        <v>3130</v>
      </c>
      <c r="I1943" s="1">
        <v>9390</v>
      </c>
      <c r="J1943" s="1">
        <v>3000</v>
      </c>
    </row>
    <row r="1944" spans="1:10" x14ac:dyDescent="0.3">
      <c r="A1944" t="s">
        <v>70</v>
      </c>
      <c r="B1944" t="s">
        <v>16</v>
      </c>
      <c r="C1944" t="s">
        <v>11</v>
      </c>
      <c r="D1944" t="s">
        <v>33</v>
      </c>
      <c r="E1944">
        <v>86</v>
      </c>
      <c r="F1944">
        <v>56</v>
      </c>
      <c r="G1944" s="1">
        <v>3500</v>
      </c>
      <c r="H1944" s="1">
        <v>3500</v>
      </c>
      <c r="I1944" s="1">
        <v>12250</v>
      </c>
      <c r="J1944" s="1">
        <v>3500</v>
      </c>
    </row>
    <row r="1945" spans="1:10" x14ac:dyDescent="0.3">
      <c r="A1945" t="s">
        <v>70</v>
      </c>
      <c r="B1945" t="s">
        <v>17</v>
      </c>
      <c r="C1945" t="s">
        <v>11</v>
      </c>
      <c r="D1945" t="s">
        <v>33</v>
      </c>
      <c r="E1945">
        <v>86</v>
      </c>
      <c r="F1945">
        <v>56</v>
      </c>
      <c r="G1945" s="1">
        <v>3500</v>
      </c>
      <c r="H1945" s="1">
        <v>2760</v>
      </c>
      <c r="I1945" s="1">
        <v>8004</v>
      </c>
      <c r="J1945" s="1">
        <v>2900</v>
      </c>
    </row>
    <row r="1946" spans="1:10" x14ac:dyDescent="0.3">
      <c r="A1946" t="s">
        <v>70</v>
      </c>
      <c r="B1946" t="s">
        <v>18</v>
      </c>
      <c r="C1946" t="s">
        <v>11</v>
      </c>
      <c r="D1946" t="s">
        <v>33</v>
      </c>
      <c r="E1946">
        <v>86</v>
      </c>
      <c r="F1946">
        <v>56</v>
      </c>
      <c r="G1946" s="1">
        <v>5300</v>
      </c>
      <c r="H1946" s="1">
        <v>3500</v>
      </c>
      <c r="I1946" s="1">
        <v>10500</v>
      </c>
      <c r="J1946" s="1">
        <v>3000</v>
      </c>
    </row>
    <row r="1947" spans="1:10" x14ac:dyDescent="0.3">
      <c r="A1947" t="s">
        <v>70</v>
      </c>
      <c r="B1947" t="s">
        <v>19</v>
      </c>
      <c r="C1947" t="s">
        <v>11</v>
      </c>
      <c r="D1947" t="s">
        <v>33</v>
      </c>
      <c r="E1947">
        <v>86</v>
      </c>
      <c r="F1947">
        <v>56</v>
      </c>
      <c r="G1947" s="1">
        <v>5035</v>
      </c>
      <c r="H1947" s="1">
        <v>2785</v>
      </c>
      <c r="I1947" s="1">
        <v>8077</v>
      </c>
      <c r="J1947" s="1">
        <v>2900</v>
      </c>
    </row>
    <row r="1948" spans="1:10" x14ac:dyDescent="0.3">
      <c r="A1948" t="s">
        <v>70</v>
      </c>
      <c r="B1948" t="s">
        <v>20</v>
      </c>
      <c r="C1948" t="s">
        <v>11</v>
      </c>
      <c r="D1948" t="s">
        <v>33</v>
      </c>
      <c r="E1948">
        <v>86</v>
      </c>
      <c r="F1948">
        <v>56</v>
      </c>
      <c r="G1948" s="1">
        <v>3500</v>
      </c>
      <c r="H1948" s="1">
        <v>3020</v>
      </c>
      <c r="I1948" s="1">
        <v>3624</v>
      </c>
      <c r="J1948" s="1">
        <v>1200</v>
      </c>
    </row>
    <row r="1949" spans="1:10" x14ac:dyDescent="0.3">
      <c r="A1949" t="s">
        <v>70</v>
      </c>
      <c r="B1949" t="s">
        <v>21</v>
      </c>
      <c r="C1949" t="s">
        <v>11</v>
      </c>
      <c r="D1949" t="s">
        <v>33</v>
      </c>
      <c r="E1949">
        <v>86</v>
      </c>
      <c r="F1949">
        <v>56</v>
      </c>
      <c r="G1949" s="1">
        <v>6050</v>
      </c>
      <c r="H1949" s="1">
        <v>6050</v>
      </c>
      <c r="I1949" s="1">
        <v>21780</v>
      </c>
      <c r="J1949" s="1">
        <v>3600</v>
      </c>
    </row>
    <row r="1950" spans="1:10" x14ac:dyDescent="0.3">
      <c r="A1950" t="s">
        <v>70</v>
      </c>
      <c r="B1950" t="s">
        <v>22</v>
      </c>
      <c r="C1950" t="s">
        <v>11</v>
      </c>
      <c r="D1950" t="s">
        <v>33</v>
      </c>
      <c r="E1950">
        <v>86</v>
      </c>
      <c r="F1950">
        <v>56</v>
      </c>
      <c r="G1950" s="1">
        <v>5460</v>
      </c>
      <c r="H1950" s="1">
        <v>3160</v>
      </c>
      <c r="I1950" s="1">
        <v>7584</v>
      </c>
      <c r="J1950" s="1">
        <v>2400</v>
      </c>
    </row>
    <row r="1951" spans="1:10" x14ac:dyDescent="0.3">
      <c r="A1951" t="s">
        <v>70</v>
      </c>
      <c r="B1951" t="s">
        <v>23</v>
      </c>
      <c r="C1951" t="s">
        <v>11</v>
      </c>
      <c r="D1951" t="s">
        <v>33</v>
      </c>
      <c r="E1951">
        <v>86</v>
      </c>
      <c r="F1951">
        <v>56</v>
      </c>
      <c r="G1951" s="1">
        <v>5747</v>
      </c>
      <c r="H1951" s="1">
        <v>3797</v>
      </c>
      <c r="I1951" s="1">
        <v>7594</v>
      </c>
      <c r="J1951" s="1">
        <v>2000</v>
      </c>
    </row>
    <row r="1952" spans="1:10" x14ac:dyDescent="0.3">
      <c r="A1952" t="s">
        <v>70</v>
      </c>
      <c r="B1952" t="s">
        <v>24</v>
      </c>
      <c r="C1952" t="s">
        <v>11</v>
      </c>
      <c r="D1952" t="s">
        <v>33</v>
      </c>
      <c r="E1952">
        <v>86</v>
      </c>
      <c r="F1952">
        <v>56</v>
      </c>
      <c r="G1952" s="1">
        <v>6100</v>
      </c>
      <c r="H1952" s="1">
        <v>5170</v>
      </c>
      <c r="I1952" s="1">
        <v>13442</v>
      </c>
      <c r="J1952" s="1">
        <v>2600</v>
      </c>
    </row>
    <row r="1953" spans="1:10" x14ac:dyDescent="0.3">
      <c r="A1953" t="s">
        <v>70</v>
      </c>
      <c r="B1953" t="s">
        <v>25</v>
      </c>
      <c r="C1953" t="s">
        <v>11</v>
      </c>
      <c r="D1953" t="s">
        <v>33</v>
      </c>
      <c r="E1953">
        <v>86</v>
      </c>
      <c r="F1953">
        <v>56</v>
      </c>
      <c r="G1953" s="1">
        <v>8400</v>
      </c>
      <c r="H1953" s="1">
        <v>7020</v>
      </c>
      <c r="I1953" s="1">
        <v>11934</v>
      </c>
      <c r="J1953" s="1">
        <v>1700</v>
      </c>
    </row>
    <row r="1954" spans="1:10" x14ac:dyDescent="0.3">
      <c r="A1954" t="s">
        <v>70</v>
      </c>
      <c r="B1954" t="s">
        <v>15</v>
      </c>
      <c r="C1954" t="s">
        <v>11</v>
      </c>
      <c r="D1954" t="s">
        <v>34</v>
      </c>
      <c r="E1954">
        <v>86</v>
      </c>
      <c r="F1954">
        <v>70</v>
      </c>
      <c r="G1954" s="1">
        <v>1300</v>
      </c>
      <c r="H1954" s="1">
        <v>800</v>
      </c>
      <c r="I1954" s="1">
        <v>2560</v>
      </c>
      <c r="J1954" s="1">
        <v>3200</v>
      </c>
    </row>
    <row r="1955" spans="1:10" x14ac:dyDescent="0.3">
      <c r="A1955" t="s">
        <v>70</v>
      </c>
      <c r="B1955" t="s">
        <v>16</v>
      </c>
      <c r="C1955" t="s">
        <v>11</v>
      </c>
      <c r="D1955" t="s">
        <v>34</v>
      </c>
      <c r="E1955">
        <v>86</v>
      </c>
      <c r="F1955">
        <v>70</v>
      </c>
      <c r="G1955" s="1">
        <v>1500</v>
      </c>
      <c r="H1955" s="1">
        <v>1500</v>
      </c>
      <c r="I1955" s="1">
        <v>5250</v>
      </c>
      <c r="J1955" s="1">
        <v>3500</v>
      </c>
    </row>
    <row r="1956" spans="1:10" x14ac:dyDescent="0.3">
      <c r="A1956" t="s">
        <v>70</v>
      </c>
      <c r="B1956" t="s">
        <v>17</v>
      </c>
      <c r="C1956" t="s">
        <v>11</v>
      </c>
      <c r="D1956" t="s">
        <v>34</v>
      </c>
      <c r="E1956">
        <v>86</v>
      </c>
      <c r="F1956">
        <v>70</v>
      </c>
      <c r="G1956" s="1">
        <v>1500</v>
      </c>
      <c r="H1956" s="1">
        <v>1200</v>
      </c>
      <c r="I1956" s="1">
        <v>4800</v>
      </c>
      <c r="J1956" s="1">
        <v>4000</v>
      </c>
    </row>
    <row r="1957" spans="1:10" x14ac:dyDescent="0.3">
      <c r="A1957" t="s">
        <v>70</v>
      </c>
      <c r="B1957" t="s">
        <v>18</v>
      </c>
      <c r="C1957" t="s">
        <v>11</v>
      </c>
      <c r="D1957" t="s">
        <v>34</v>
      </c>
      <c r="E1957">
        <v>86</v>
      </c>
      <c r="F1957">
        <v>70</v>
      </c>
      <c r="G1957" s="1">
        <v>500</v>
      </c>
      <c r="H1957" s="1">
        <v>500</v>
      </c>
      <c r="I1957" s="1">
        <v>1500</v>
      </c>
      <c r="J1957" s="1">
        <v>3000</v>
      </c>
    </row>
    <row r="1958" spans="1:10" x14ac:dyDescent="0.3">
      <c r="A1958" t="s">
        <v>70</v>
      </c>
      <c r="B1958" t="s">
        <v>19</v>
      </c>
      <c r="C1958" t="s">
        <v>11</v>
      </c>
      <c r="D1958" t="s">
        <v>34</v>
      </c>
      <c r="E1958">
        <v>86</v>
      </c>
      <c r="F1958">
        <v>70</v>
      </c>
      <c r="G1958" s="1">
        <v>1000</v>
      </c>
      <c r="H1958" s="1">
        <v>1000</v>
      </c>
      <c r="I1958" s="1">
        <v>3500</v>
      </c>
      <c r="J1958" s="1">
        <v>3500</v>
      </c>
    </row>
    <row r="1959" spans="1:10" x14ac:dyDescent="0.3">
      <c r="A1959" t="s">
        <v>70</v>
      </c>
      <c r="B1959" t="s">
        <v>20</v>
      </c>
      <c r="C1959" t="s">
        <v>11</v>
      </c>
      <c r="D1959" t="s">
        <v>34</v>
      </c>
      <c r="E1959">
        <v>86</v>
      </c>
      <c r="F1959">
        <v>70</v>
      </c>
      <c r="G1959" s="1">
        <v>1000</v>
      </c>
      <c r="H1959" s="1">
        <v>900</v>
      </c>
      <c r="I1959" s="1">
        <v>4050</v>
      </c>
      <c r="J1959" s="1">
        <v>4500</v>
      </c>
    </row>
    <row r="1960" spans="1:10" x14ac:dyDescent="0.3">
      <c r="A1960" t="s">
        <v>70</v>
      </c>
      <c r="B1960" t="s">
        <v>21</v>
      </c>
      <c r="C1960" t="s">
        <v>11</v>
      </c>
      <c r="D1960" t="s">
        <v>34</v>
      </c>
      <c r="E1960">
        <v>86</v>
      </c>
      <c r="F1960">
        <v>70</v>
      </c>
      <c r="G1960" s="1">
        <v>1500</v>
      </c>
      <c r="H1960" s="1">
        <v>1350</v>
      </c>
      <c r="I1960" s="1">
        <v>6075</v>
      </c>
      <c r="J1960" s="1">
        <v>4500</v>
      </c>
    </row>
    <row r="1961" spans="1:10" x14ac:dyDescent="0.3">
      <c r="A1961" t="s">
        <v>70</v>
      </c>
      <c r="B1961" t="s">
        <v>22</v>
      </c>
      <c r="C1961" t="s">
        <v>11</v>
      </c>
      <c r="D1961" t="s">
        <v>34</v>
      </c>
      <c r="E1961">
        <v>86</v>
      </c>
      <c r="F1961">
        <v>70</v>
      </c>
      <c r="G1961" s="1">
        <v>2000</v>
      </c>
      <c r="H1961" s="1">
        <v>1800</v>
      </c>
      <c r="I1961" s="1">
        <v>8100</v>
      </c>
      <c r="J1961" s="1">
        <v>4500</v>
      </c>
    </row>
    <row r="1962" spans="1:10" x14ac:dyDescent="0.3">
      <c r="A1962" t="s">
        <v>70</v>
      </c>
      <c r="B1962" t="s">
        <v>23</v>
      </c>
      <c r="C1962" t="s">
        <v>11</v>
      </c>
      <c r="D1962" t="s">
        <v>34</v>
      </c>
      <c r="E1962">
        <v>86</v>
      </c>
      <c r="F1962">
        <v>70</v>
      </c>
      <c r="G1962" s="1">
        <v>2000</v>
      </c>
      <c r="H1962" s="1">
        <v>1600</v>
      </c>
      <c r="I1962" s="1">
        <v>7200</v>
      </c>
      <c r="J1962" s="1">
        <v>4500</v>
      </c>
    </row>
    <row r="1963" spans="1:10" x14ac:dyDescent="0.3">
      <c r="A1963" t="s">
        <v>70</v>
      </c>
      <c r="B1963" t="s">
        <v>24</v>
      </c>
      <c r="C1963" t="s">
        <v>11</v>
      </c>
      <c r="D1963" t="s">
        <v>34</v>
      </c>
      <c r="E1963">
        <v>86</v>
      </c>
      <c r="F1963">
        <v>70</v>
      </c>
      <c r="G1963" s="1">
        <v>2000</v>
      </c>
      <c r="H1963" s="1">
        <v>1597</v>
      </c>
      <c r="I1963" s="1">
        <v>3993</v>
      </c>
      <c r="J1963" s="1">
        <v>2500</v>
      </c>
    </row>
    <row r="1964" spans="1:10" x14ac:dyDescent="0.3">
      <c r="A1964" t="s">
        <v>70</v>
      </c>
      <c r="B1964" t="s">
        <v>25</v>
      </c>
      <c r="C1964" t="s">
        <v>11</v>
      </c>
      <c r="D1964" t="s">
        <v>34</v>
      </c>
      <c r="E1964">
        <v>86</v>
      </c>
      <c r="F1964">
        <v>70</v>
      </c>
      <c r="G1964" s="1">
        <v>2200</v>
      </c>
      <c r="H1964" s="1">
        <v>1480</v>
      </c>
      <c r="I1964" s="1">
        <v>5920</v>
      </c>
      <c r="J1964" s="1">
        <v>4000</v>
      </c>
    </row>
    <row r="1965" spans="1:10" x14ac:dyDescent="0.3">
      <c r="A1965" t="s">
        <v>70</v>
      </c>
      <c r="B1965" t="s">
        <v>15</v>
      </c>
      <c r="C1965" t="s">
        <v>11</v>
      </c>
      <c r="D1965" t="s">
        <v>35</v>
      </c>
      <c r="E1965">
        <v>86</v>
      </c>
      <c r="F1965">
        <v>77</v>
      </c>
      <c r="G1965" s="1">
        <v>8800</v>
      </c>
      <c r="H1965" s="1">
        <v>7650</v>
      </c>
      <c r="I1965" s="1">
        <v>25250</v>
      </c>
      <c r="J1965" s="1">
        <v>3301</v>
      </c>
    </row>
    <row r="1966" spans="1:10" x14ac:dyDescent="0.3">
      <c r="A1966" t="s">
        <v>70</v>
      </c>
      <c r="B1966" t="s">
        <v>16</v>
      </c>
      <c r="C1966" t="s">
        <v>11</v>
      </c>
      <c r="D1966" t="s">
        <v>35</v>
      </c>
      <c r="E1966">
        <v>86</v>
      </c>
      <c r="F1966">
        <v>77</v>
      </c>
      <c r="G1966" s="1">
        <v>11000</v>
      </c>
      <c r="H1966" s="1">
        <v>11000</v>
      </c>
      <c r="I1966" s="1">
        <v>38500</v>
      </c>
      <c r="J1966" s="1">
        <v>3500</v>
      </c>
    </row>
    <row r="1967" spans="1:10" x14ac:dyDescent="0.3">
      <c r="A1967" t="s">
        <v>70</v>
      </c>
      <c r="B1967" t="s">
        <v>17</v>
      </c>
      <c r="C1967" t="s">
        <v>11</v>
      </c>
      <c r="D1967" t="s">
        <v>35</v>
      </c>
      <c r="E1967">
        <v>86</v>
      </c>
      <c r="F1967">
        <v>77</v>
      </c>
      <c r="G1967" s="1">
        <v>5500</v>
      </c>
      <c r="H1967" s="1">
        <v>4710</v>
      </c>
      <c r="I1967" s="1">
        <v>15543</v>
      </c>
      <c r="J1967" s="1">
        <v>3300</v>
      </c>
    </row>
    <row r="1968" spans="1:10" x14ac:dyDescent="0.3">
      <c r="A1968" t="s">
        <v>70</v>
      </c>
      <c r="B1968" t="s">
        <v>18</v>
      </c>
      <c r="C1968" t="s">
        <v>11</v>
      </c>
      <c r="D1968" t="s">
        <v>35</v>
      </c>
      <c r="E1968">
        <v>86</v>
      </c>
      <c r="F1968">
        <v>77</v>
      </c>
      <c r="G1968" s="1">
        <v>7400</v>
      </c>
      <c r="H1968" s="1">
        <v>3500</v>
      </c>
      <c r="I1968" s="1">
        <v>9800</v>
      </c>
      <c r="J1968" s="1">
        <v>2800</v>
      </c>
    </row>
    <row r="1969" spans="1:10" x14ac:dyDescent="0.3">
      <c r="A1969" t="s">
        <v>70</v>
      </c>
      <c r="B1969" t="s">
        <v>19</v>
      </c>
      <c r="C1969" t="s">
        <v>11</v>
      </c>
      <c r="D1969" t="s">
        <v>35</v>
      </c>
      <c r="E1969">
        <v>86</v>
      </c>
      <c r="F1969">
        <v>77</v>
      </c>
      <c r="G1969" s="1">
        <v>7430</v>
      </c>
      <c r="H1969" s="1">
        <v>3530</v>
      </c>
      <c r="I1969" s="1">
        <v>10590</v>
      </c>
      <c r="J1969" s="1">
        <v>3000</v>
      </c>
    </row>
    <row r="1970" spans="1:10" x14ac:dyDescent="0.3">
      <c r="A1970" t="s">
        <v>70</v>
      </c>
      <c r="B1970" t="s">
        <v>20</v>
      </c>
      <c r="C1970" t="s">
        <v>11</v>
      </c>
      <c r="D1970" t="s">
        <v>35</v>
      </c>
      <c r="E1970">
        <v>86</v>
      </c>
      <c r="F1970">
        <v>77</v>
      </c>
      <c r="G1970" s="1">
        <v>7400</v>
      </c>
      <c r="H1970" s="1">
        <v>4990</v>
      </c>
      <c r="I1970" s="1">
        <v>16467</v>
      </c>
      <c r="J1970" s="1">
        <v>3300</v>
      </c>
    </row>
    <row r="1971" spans="1:10" x14ac:dyDescent="0.3">
      <c r="A1971" t="s">
        <v>70</v>
      </c>
      <c r="B1971" t="s">
        <v>21</v>
      </c>
      <c r="C1971" t="s">
        <v>11</v>
      </c>
      <c r="D1971" t="s">
        <v>35</v>
      </c>
      <c r="E1971">
        <v>86</v>
      </c>
      <c r="F1971">
        <v>77</v>
      </c>
      <c r="G1971" s="1">
        <v>10500</v>
      </c>
      <c r="H1971" s="1">
        <v>7860</v>
      </c>
      <c r="I1971" s="1">
        <v>28296</v>
      </c>
      <c r="J1971" s="1">
        <v>3600</v>
      </c>
    </row>
    <row r="1972" spans="1:10" x14ac:dyDescent="0.3">
      <c r="A1972" t="s">
        <v>70</v>
      </c>
      <c r="B1972" t="s">
        <v>22</v>
      </c>
      <c r="C1972" t="s">
        <v>11</v>
      </c>
      <c r="D1972" t="s">
        <v>35</v>
      </c>
      <c r="E1972">
        <v>86</v>
      </c>
      <c r="F1972">
        <v>77</v>
      </c>
      <c r="G1972" s="1">
        <v>11900</v>
      </c>
      <c r="H1972" s="1">
        <v>7970</v>
      </c>
      <c r="I1972" s="1">
        <v>23910</v>
      </c>
      <c r="J1972" s="1">
        <v>3000</v>
      </c>
    </row>
    <row r="1973" spans="1:10" x14ac:dyDescent="0.3">
      <c r="A1973" t="s">
        <v>70</v>
      </c>
      <c r="B1973" t="s">
        <v>23</v>
      </c>
      <c r="C1973" t="s">
        <v>11</v>
      </c>
      <c r="D1973" t="s">
        <v>35</v>
      </c>
      <c r="E1973">
        <v>86</v>
      </c>
      <c r="F1973">
        <v>77</v>
      </c>
      <c r="G1973" s="1">
        <v>11900</v>
      </c>
      <c r="H1973" s="1">
        <v>8030</v>
      </c>
      <c r="I1973" s="1">
        <v>22484</v>
      </c>
      <c r="J1973" s="1">
        <v>2800</v>
      </c>
    </row>
    <row r="1974" spans="1:10" x14ac:dyDescent="0.3">
      <c r="A1974" t="s">
        <v>70</v>
      </c>
      <c r="B1974" t="s">
        <v>24</v>
      </c>
      <c r="C1974" t="s">
        <v>11</v>
      </c>
      <c r="D1974" t="s">
        <v>35</v>
      </c>
      <c r="E1974">
        <v>86</v>
      </c>
      <c r="F1974">
        <v>77</v>
      </c>
      <c r="G1974" s="1">
        <v>11500</v>
      </c>
      <c r="H1974" s="1">
        <v>8630</v>
      </c>
      <c r="I1974" s="1">
        <v>28479</v>
      </c>
      <c r="J1974" s="1">
        <v>3300</v>
      </c>
    </row>
    <row r="1975" spans="1:10" x14ac:dyDescent="0.3">
      <c r="A1975" t="s">
        <v>70</v>
      </c>
      <c r="B1975" t="s">
        <v>25</v>
      </c>
      <c r="C1975" t="s">
        <v>11</v>
      </c>
      <c r="D1975" t="s">
        <v>35</v>
      </c>
      <c r="E1975">
        <v>86</v>
      </c>
      <c r="F1975">
        <v>77</v>
      </c>
      <c r="G1975" s="1">
        <v>10650</v>
      </c>
      <c r="H1975" s="1">
        <v>7290</v>
      </c>
      <c r="I1975" s="1">
        <v>21141</v>
      </c>
      <c r="J1975" s="1">
        <v>2900</v>
      </c>
    </row>
    <row r="1976" spans="1:10" x14ac:dyDescent="0.3">
      <c r="A1976" t="s">
        <v>70</v>
      </c>
      <c r="B1976" t="s">
        <v>15</v>
      </c>
      <c r="C1976" t="s">
        <v>11</v>
      </c>
      <c r="D1976" t="s">
        <v>36</v>
      </c>
      <c r="E1976">
        <v>86</v>
      </c>
      <c r="F1976">
        <v>84</v>
      </c>
      <c r="G1976" s="1">
        <v>4400</v>
      </c>
      <c r="H1976" s="1">
        <v>3400</v>
      </c>
      <c r="I1976" s="1">
        <v>11900</v>
      </c>
      <c r="J1976" s="1">
        <v>3500</v>
      </c>
    </row>
    <row r="1977" spans="1:10" x14ac:dyDescent="0.3">
      <c r="A1977" t="s">
        <v>70</v>
      </c>
      <c r="B1977" t="s">
        <v>16</v>
      </c>
      <c r="C1977" t="s">
        <v>11</v>
      </c>
      <c r="D1977" t="s">
        <v>36</v>
      </c>
      <c r="E1977">
        <v>86</v>
      </c>
      <c r="F1977">
        <v>84</v>
      </c>
      <c r="G1977" s="1">
        <v>5000</v>
      </c>
      <c r="H1977" s="1">
        <v>4500</v>
      </c>
      <c r="I1977" s="1">
        <v>17100</v>
      </c>
      <c r="J1977" s="1">
        <v>3800</v>
      </c>
    </row>
    <row r="1978" spans="1:10" x14ac:dyDescent="0.3">
      <c r="A1978" t="s">
        <v>70</v>
      </c>
      <c r="B1978" t="s">
        <v>17</v>
      </c>
      <c r="C1978" t="s">
        <v>11</v>
      </c>
      <c r="D1978" t="s">
        <v>36</v>
      </c>
      <c r="E1978">
        <v>86</v>
      </c>
      <c r="F1978">
        <v>84</v>
      </c>
      <c r="G1978" s="1">
        <v>5000</v>
      </c>
      <c r="H1978" s="1">
        <v>4500</v>
      </c>
      <c r="I1978" s="1">
        <v>20250</v>
      </c>
      <c r="J1978" s="1">
        <v>4500</v>
      </c>
    </row>
    <row r="1979" spans="1:10" x14ac:dyDescent="0.3">
      <c r="A1979" t="s">
        <v>70</v>
      </c>
      <c r="B1979" t="s">
        <v>18</v>
      </c>
      <c r="C1979" t="s">
        <v>11</v>
      </c>
      <c r="D1979" t="s">
        <v>36</v>
      </c>
      <c r="E1979">
        <v>86</v>
      </c>
      <c r="F1979">
        <v>84</v>
      </c>
      <c r="G1979" s="1">
        <v>3000</v>
      </c>
      <c r="H1979" s="1">
        <v>2700</v>
      </c>
      <c r="I1979" s="1">
        <v>8100</v>
      </c>
      <c r="J1979" s="1">
        <v>3000</v>
      </c>
    </row>
    <row r="1980" spans="1:10" x14ac:dyDescent="0.3">
      <c r="A1980" t="s">
        <v>70</v>
      </c>
      <c r="B1980" t="s">
        <v>19</v>
      </c>
      <c r="C1980" t="s">
        <v>11</v>
      </c>
      <c r="D1980" t="s">
        <v>36</v>
      </c>
      <c r="E1980">
        <v>86</v>
      </c>
      <c r="F1980">
        <v>84</v>
      </c>
      <c r="G1980" s="1">
        <v>3000</v>
      </c>
      <c r="H1980" s="1">
        <v>2700</v>
      </c>
      <c r="I1980" s="1">
        <v>14850</v>
      </c>
      <c r="J1980" s="1">
        <v>5500</v>
      </c>
    </row>
    <row r="1981" spans="1:10" x14ac:dyDescent="0.3">
      <c r="A1981" t="s">
        <v>70</v>
      </c>
      <c r="B1981" t="s">
        <v>20</v>
      </c>
      <c r="C1981" t="s">
        <v>11</v>
      </c>
      <c r="D1981" t="s">
        <v>36</v>
      </c>
      <c r="E1981">
        <v>86</v>
      </c>
      <c r="F1981">
        <v>84</v>
      </c>
      <c r="G1981" s="1">
        <v>3000</v>
      </c>
      <c r="H1981" s="1">
        <v>2700</v>
      </c>
      <c r="I1981" s="1">
        <v>12150</v>
      </c>
      <c r="J1981" s="1">
        <v>4500</v>
      </c>
    </row>
    <row r="1982" spans="1:10" x14ac:dyDescent="0.3">
      <c r="A1982" t="s">
        <v>70</v>
      </c>
      <c r="B1982" t="s">
        <v>21</v>
      </c>
      <c r="C1982" t="s">
        <v>11</v>
      </c>
      <c r="D1982" t="s">
        <v>36</v>
      </c>
      <c r="E1982">
        <v>86</v>
      </c>
      <c r="F1982">
        <v>84</v>
      </c>
      <c r="G1982" s="1">
        <v>5000</v>
      </c>
      <c r="H1982" s="1">
        <v>4500</v>
      </c>
      <c r="I1982" s="1">
        <v>22500</v>
      </c>
      <c r="J1982" s="1">
        <v>5000</v>
      </c>
    </row>
    <row r="1983" spans="1:10" x14ac:dyDescent="0.3">
      <c r="A1983" t="s">
        <v>70</v>
      </c>
      <c r="B1983" t="s">
        <v>22</v>
      </c>
      <c r="C1983" t="s">
        <v>11</v>
      </c>
      <c r="D1983" t="s">
        <v>36</v>
      </c>
      <c r="E1983">
        <v>86</v>
      </c>
      <c r="F1983">
        <v>84</v>
      </c>
      <c r="G1983" s="1">
        <v>5000</v>
      </c>
      <c r="H1983" s="1">
        <v>4500</v>
      </c>
      <c r="I1983" s="1">
        <v>20250</v>
      </c>
      <c r="J1983" s="1">
        <v>4500</v>
      </c>
    </row>
    <row r="1984" spans="1:10" x14ac:dyDescent="0.3">
      <c r="A1984" t="s">
        <v>70</v>
      </c>
      <c r="B1984" t="s">
        <v>23</v>
      </c>
      <c r="C1984" t="s">
        <v>11</v>
      </c>
      <c r="D1984" t="s">
        <v>36</v>
      </c>
      <c r="E1984">
        <v>86</v>
      </c>
      <c r="F1984">
        <v>84</v>
      </c>
      <c r="G1984" s="1">
        <v>5000</v>
      </c>
      <c r="H1984" s="1">
        <v>4500</v>
      </c>
      <c r="I1984" s="1">
        <v>20250</v>
      </c>
      <c r="J1984" s="1">
        <v>4500</v>
      </c>
    </row>
    <row r="1985" spans="1:10" x14ac:dyDescent="0.3">
      <c r="A1985" t="s">
        <v>70</v>
      </c>
      <c r="B1985" t="s">
        <v>24</v>
      </c>
      <c r="C1985" t="s">
        <v>11</v>
      </c>
      <c r="D1985" t="s">
        <v>36</v>
      </c>
      <c r="E1985">
        <v>86</v>
      </c>
      <c r="F1985">
        <v>84</v>
      </c>
      <c r="G1985" s="1">
        <v>5000</v>
      </c>
      <c r="H1985" s="1">
        <v>3700</v>
      </c>
      <c r="I1985" s="1">
        <v>18500</v>
      </c>
      <c r="J1985" s="1">
        <v>5000</v>
      </c>
    </row>
    <row r="1986" spans="1:10" x14ac:dyDescent="0.3">
      <c r="A1986" t="s">
        <v>70</v>
      </c>
      <c r="B1986" t="s">
        <v>25</v>
      </c>
      <c r="C1986" t="s">
        <v>11</v>
      </c>
      <c r="D1986" t="s">
        <v>36</v>
      </c>
      <c r="E1986">
        <v>86</v>
      </c>
      <c r="F1986">
        <v>84</v>
      </c>
      <c r="G1986" s="1">
        <v>5500</v>
      </c>
      <c r="H1986" s="1">
        <v>3670</v>
      </c>
      <c r="I1986" s="1">
        <v>16515</v>
      </c>
      <c r="J1986" s="1">
        <v>4500</v>
      </c>
    </row>
    <row r="1987" spans="1:10" x14ac:dyDescent="0.3">
      <c r="A1987" t="s">
        <v>70</v>
      </c>
      <c r="B1987" t="s">
        <v>15</v>
      </c>
      <c r="C1987" t="s">
        <v>11</v>
      </c>
      <c r="D1987" t="s">
        <v>37</v>
      </c>
      <c r="E1987">
        <v>86</v>
      </c>
      <c r="F1987">
        <v>91</v>
      </c>
      <c r="G1987" s="1">
        <v>3100</v>
      </c>
      <c r="H1987" s="1">
        <v>2100</v>
      </c>
      <c r="I1987" s="1">
        <v>7770</v>
      </c>
      <c r="J1987" s="1">
        <v>3700</v>
      </c>
    </row>
    <row r="1988" spans="1:10" x14ac:dyDescent="0.3">
      <c r="A1988" t="s">
        <v>70</v>
      </c>
      <c r="B1988" t="s">
        <v>16</v>
      </c>
      <c r="C1988" t="s">
        <v>11</v>
      </c>
      <c r="D1988" t="s">
        <v>37</v>
      </c>
      <c r="E1988">
        <v>86</v>
      </c>
      <c r="F1988">
        <v>91</v>
      </c>
      <c r="G1988" s="1">
        <v>10000</v>
      </c>
      <c r="H1988" s="1">
        <v>10000</v>
      </c>
      <c r="I1988" s="1">
        <v>42000</v>
      </c>
      <c r="J1988" s="1">
        <v>4200</v>
      </c>
    </row>
    <row r="1989" spans="1:10" x14ac:dyDescent="0.3">
      <c r="A1989" t="s">
        <v>70</v>
      </c>
      <c r="B1989" t="s">
        <v>17</v>
      </c>
      <c r="C1989" t="s">
        <v>11</v>
      </c>
      <c r="D1989" t="s">
        <v>37</v>
      </c>
      <c r="E1989">
        <v>86</v>
      </c>
      <c r="F1989">
        <v>91</v>
      </c>
      <c r="G1989" s="1">
        <v>9000</v>
      </c>
      <c r="H1989" s="1">
        <v>8550</v>
      </c>
      <c r="I1989" s="1">
        <v>38475</v>
      </c>
      <c r="J1989" s="1">
        <v>4500</v>
      </c>
    </row>
    <row r="1990" spans="1:10" x14ac:dyDescent="0.3">
      <c r="A1990" t="s">
        <v>70</v>
      </c>
      <c r="B1990" t="s">
        <v>18</v>
      </c>
      <c r="C1990" t="s">
        <v>11</v>
      </c>
      <c r="D1990" t="s">
        <v>37</v>
      </c>
      <c r="E1990">
        <v>86</v>
      </c>
      <c r="F1990">
        <v>91</v>
      </c>
      <c r="G1990" s="1">
        <v>5000</v>
      </c>
      <c r="H1990" s="1">
        <v>4000</v>
      </c>
      <c r="I1990" s="1">
        <v>12800</v>
      </c>
      <c r="J1990" s="1">
        <v>3200</v>
      </c>
    </row>
    <row r="1991" spans="1:10" x14ac:dyDescent="0.3">
      <c r="A1991" t="s">
        <v>70</v>
      </c>
      <c r="B1991" t="s">
        <v>19</v>
      </c>
      <c r="C1991" t="s">
        <v>11</v>
      </c>
      <c r="D1991" t="s">
        <v>37</v>
      </c>
      <c r="E1991">
        <v>86</v>
      </c>
      <c r="F1991">
        <v>91</v>
      </c>
      <c r="G1991" s="1">
        <v>5000</v>
      </c>
      <c r="H1991" s="1">
        <v>4500</v>
      </c>
      <c r="I1991" s="1">
        <v>22500</v>
      </c>
      <c r="J1991" s="1">
        <v>5000</v>
      </c>
    </row>
    <row r="1992" spans="1:10" x14ac:dyDescent="0.3">
      <c r="A1992" t="s">
        <v>70</v>
      </c>
      <c r="B1992" t="s">
        <v>20</v>
      </c>
      <c r="C1992" t="s">
        <v>11</v>
      </c>
      <c r="D1992" t="s">
        <v>37</v>
      </c>
      <c r="E1992">
        <v>86</v>
      </c>
      <c r="F1992">
        <v>91</v>
      </c>
      <c r="G1992" s="1">
        <v>5000</v>
      </c>
      <c r="H1992" s="1">
        <v>4500</v>
      </c>
      <c r="I1992" s="1">
        <v>20250</v>
      </c>
      <c r="J1992" s="1">
        <v>4500</v>
      </c>
    </row>
    <row r="1993" spans="1:10" x14ac:dyDescent="0.3">
      <c r="A1993" t="s">
        <v>70</v>
      </c>
      <c r="B1993" t="s">
        <v>21</v>
      </c>
      <c r="C1993" t="s">
        <v>11</v>
      </c>
      <c r="D1993" t="s">
        <v>37</v>
      </c>
      <c r="E1993">
        <v>86</v>
      </c>
      <c r="F1993">
        <v>91</v>
      </c>
      <c r="G1993" s="1">
        <v>6000</v>
      </c>
      <c r="H1993" s="1">
        <v>5400</v>
      </c>
      <c r="I1993" s="1">
        <v>25920</v>
      </c>
      <c r="J1993" s="1">
        <v>4800</v>
      </c>
    </row>
    <row r="1994" spans="1:10" x14ac:dyDescent="0.3">
      <c r="A1994" t="s">
        <v>70</v>
      </c>
      <c r="B1994" t="s">
        <v>22</v>
      </c>
      <c r="C1994" t="s">
        <v>11</v>
      </c>
      <c r="D1994" t="s">
        <v>37</v>
      </c>
      <c r="E1994">
        <v>86</v>
      </c>
      <c r="F1994">
        <v>91</v>
      </c>
      <c r="G1994" s="1">
        <v>6000</v>
      </c>
      <c r="H1994" s="1">
        <v>5400</v>
      </c>
      <c r="I1994" s="1">
        <v>24300</v>
      </c>
      <c r="J1994" s="1">
        <v>4500</v>
      </c>
    </row>
    <row r="1995" spans="1:10" x14ac:dyDescent="0.3">
      <c r="A1995" t="s">
        <v>70</v>
      </c>
      <c r="B1995" t="s">
        <v>23</v>
      </c>
      <c r="C1995" t="s">
        <v>11</v>
      </c>
      <c r="D1995" t="s">
        <v>37</v>
      </c>
      <c r="E1995">
        <v>86</v>
      </c>
      <c r="F1995">
        <v>91</v>
      </c>
      <c r="G1995" s="1">
        <v>6000</v>
      </c>
      <c r="H1995" s="1">
        <v>4800</v>
      </c>
      <c r="I1995" s="1">
        <v>24000</v>
      </c>
      <c r="J1995" s="1">
        <v>5000</v>
      </c>
    </row>
    <row r="1996" spans="1:10" x14ac:dyDescent="0.3">
      <c r="A1996" t="s">
        <v>70</v>
      </c>
      <c r="B1996" t="s">
        <v>24</v>
      </c>
      <c r="C1996" t="s">
        <v>11</v>
      </c>
      <c r="D1996" t="s">
        <v>37</v>
      </c>
      <c r="E1996">
        <v>86</v>
      </c>
      <c r="F1996">
        <v>91</v>
      </c>
      <c r="G1996" s="1">
        <v>6000</v>
      </c>
      <c r="H1996" s="1">
        <v>4750</v>
      </c>
      <c r="I1996" s="1">
        <v>19000</v>
      </c>
      <c r="J1996" s="1">
        <v>4000</v>
      </c>
    </row>
    <row r="1997" spans="1:10" x14ac:dyDescent="0.3">
      <c r="A1997" t="s">
        <v>70</v>
      </c>
      <c r="B1997" t="s">
        <v>25</v>
      </c>
      <c r="C1997" t="s">
        <v>11</v>
      </c>
      <c r="D1997" t="s">
        <v>37</v>
      </c>
      <c r="E1997">
        <v>86</v>
      </c>
      <c r="F1997">
        <v>91</v>
      </c>
      <c r="G1997" s="1">
        <v>6600</v>
      </c>
      <c r="H1997" s="1">
        <v>4470</v>
      </c>
      <c r="I1997" s="1">
        <v>17880</v>
      </c>
      <c r="J1997" s="1">
        <v>4000</v>
      </c>
    </row>
    <row r="1998" spans="1:10" x14ac:dyDescent="0.3">
      <c r="A1998" t="s">
        <v>70</v>
      </c>
      <c r="B1998" t="s">
        <v>15</v>
      </c>
      <c r="C1998" t="s">
        <v>11</v>
      </c>
      <c r="D1998" t="s">
        <v>38</v>
      </c>
      <c r="E1998">
        <v>86</v>
      </c>
      <c r="F1998">
        <v>98</v>
      </c>
      <c r="G1998" s="1">
        <v>15000</v>
      </c>
      <c r="H1998" s="1">
        <v>13420</v>
      </c>
      <c r="I1998" s="1">
        <v>45630</v>
      </c>
      <c r="J1998" s="1">
        <v>3400</v>
      </c>
    </row>
    <row r="1999" spans="1:10" x14ac:dyDescent="0.3">
      <c r="A1999" t="s">
        <v>70</v>
      </c>
      <c r="B1999" t="s">
        <v>16</v>
      </c>
      <c r="C1999" t="s">
        <v>11</v>
      </c>
      <c r="D1999" t="s">
        <v>38</v>
      </c>
      <c r="E1999">
        <v>86</v>
      </c>
      <c r="F1999">
        <v>98</v>
      </c>
      <c r="G1999" s="1">
        <v>15000</v>
      </c>
      <c r="H1999" s="1">
        <v>15000</v>
      </c>
      <c r="I1999" s="1">
        <v>52500</v>
      </c>
      <c r="J1999" s="1">
        <v>3500</v>
      </c>
    </row>
    <row r="2000" spans="1:10" x14ac:dyDescent="0.3">
      <c r="A2000" t="s">
        <v>70</v>
      </c>
      <c r="B2000" t="s">
        <v>17</v>
      </c>
      <c r="C2000" t="s">
        <v>11</v>
      </c>
      <c r="D2000" t="s">
        <v>38</v>
      </c>
      <c r="E2000">
        <v>86</v>
      </c>
      <c r="F2000">
        <v>98</v>
      </c>
      <c r="G2000" s="1">
        <v>1300</v>
      </c>
      <c r="H2000" s="1">
        <v>1300</v>
      </c>
      <c r="I2000" s="1">
        <v>4160</v>
      </c>
      <c r="J2000" s="1">
        <v>3200</v>
      </c>
    </row>
    <row r="2001" spans="1:10" x14ac:dyDescent="0.3">
      <c r="A2001" t="s">
        <v>70</v>
      </c>
      <c r="B2001" t="s">
        <v>18</v>
      </c>
      <c r="C2001" t="s">
        <v>11</v>
      </c>
      <c r="D2001" t="s">
        <v>38</v>
      </c>
      <c r="E2001">
        <v>86</v>
      </c>
      <c r="F2001">
        <v>98</v>
      </c>
      <c r="G2001" s="1">
        <v>4250</v>
      </c>
      <c r="H2001" s="1">
        <v>1550</v>
      </c>
      <c r="I2001" s="1">
        <v>4340</v>
      </c>
      <c r="J2001" s="1">
        <v>2800</v>
      </c>
    </row>
    <row r="2002" spans="1:10" x14ac:dyDescent="0.3">
      <c r="A2002" t="s">
        <v>70</v>
      </c>
      <c r="B2002" t="s">
        <v>19</v>
      </c>
      <c r="C2002" t="s">
        <v>11</v>
      </c>
      <c r="D2002" t="s">
        <v>38</v>
      </c>
      <c r="E2002">
        <v>86</v>
      </c>
      <c r="F2002">
        <v>98</v>
      </c>
      <c r="G2002" s="1">
        <v>4737</v>
      </c>
      <c r="H2002" s="1">
        <v>1567</v>
      </c>
      <c r="I2002" s="1">
        <v>5014</v>
      </c>
      <c r="J2002" s="1">
        <v>3200</v>
      </c>
    </row>
    <row r="2003" spans="1:10" x14ac:dyDescent="0.3">
      <c r="A2003" t="s">
        <v>70</v>
      </c>
      <c r="B2003" t="s">
        <v>20</v>
      </c>
      <c r="C2003" t="s">
        <v>11</v>
      </c>
      <c r="D2003" t="s">
        <v>38</v>
      </c>
      <c r="E2003">
        <v>86</v>
      </c>
      <c r="F2003">
        <v>98</v>
      </c>
      <c r="G2003" s="1">
        <v>4800</v>
      </c>
      <c r="H2003" s="1">
        <v>3750</v>
      </c>
      <c r="I2003" s="1">
        <v>11625</v>
      </c>
      <c r="J2003" s="1">
        <v>3100</v>
      </c>
    </row>
    <row r="2004" spans="1:10" x14ac:dyDescent="0.3">
      <c r="A2004" t="s">
        <v>70</v>
      </c>
      <c r="B2004" t="s">
        <v>21</v>
      </c>
      <c r="C2004" t="s">
        <v>11</v>
      </c>
      <c r="D2004" t="s">
        <v>38</v>
      </c>
      <c r="E2004">
        <v>86</v>
      </c>
      <c r="F2004">
        <v>98</v>
      </c>
      <c r="G2004" s="1">
        <v>9800</v>
      </c>
      <c r="H2004" s="1">
        <v>8050</v>
      </c>
      <c r="I2004" s="1">
        <v>28980</v>
      </c>
      <c r="J2004" s="1">
        <v>3600</v>
      </c>
    </row>
    <row r="2005" spans="1:10" x14ac:dyDescent="0.3">
      <c r="A2005" t="s">
        <v>70</v>
      </c>
      <c r="B2005" t="s">
        <v>22</v>
      </c>
      <c r="C2005" t="s">
        <v>11</v>
      </c>
      <c r="D2005" t="s">
        <v>38</v>
      </c>
      <c r="E2005">
        <v>86</v>
      </c>
      <c r="F2005">
        <v>98</v>
      </c>
      <c r="G2005" s="1">
        <v>9800</v>
      </c>
      <c r="H2005" s="1">
        <v>7600</v>
      </c>
      <c r="I2005" s="1">
        <v>24320</v>
      </c>
      <c r="J2005" s="1">
        <v>3200</v>
      </c>
    </row>
    <row r="2006" spans="1:10" x14ac:dyDescent="0.3">
      <c r="A2006" t="s">
        <v>70</v>
      </c>
      <c r="B2006" t="s">
        <v>23</v>
      </c>
      <c r="C2006" t="s">
        <v>11</v>
      </c>
      <c r="D2006" t="s">
        <v>38</v>
      </c>
      <c r="E2006">
        <v>86</v>
      </c>
      <c r="F2006">
        <v>98</v>
      </c>
      <c r="G2006" s="1">
        <v>9800</v>
      </c>
      <c r="H2006" s="1">
        <v>6700</v>
      </c>
      <c r="I2006" s="1">
        <v>18760</v>
      </c>
      <c r="J2006" s="1">
        <v>2800</v>
      </c>
    </row>
    <row r="2007" spans="1:10" x14ac:dyDescent="0.3">
      <c r="A2007" t="s">
        <v>70</v>
      </c>
      <c r="B2007" t="s">
        <v>24</v>
      </c>
      <c r="C2007" t="s">
        <v>11</v>
      </c>
      <c r="D2007" t="s">
        <v>38</v>
      </c>
      <c r="E2007">
        <v>86</v>
      </c>
      <c r="F2007">
        <v>98</v>
      </c>
      <c r="G2007" s="1">
        <v>9500</v>
      </c>
      <c r="H2007" s="1">
        <v>6900</v>
      </c>
      <c r="I2007" s="1">
        <v>20700</v>
      </c>
      <c r="J2007" s="1">
        <v>3000</v>
      </c>
    </row>
    <row r="2008" spans="1:10" x14ac:dyDescent="0.3">
      <c r="A2008" t="s">
        <v>70</v>
      </c>
      <c r="B2008" t="s">
        <v>25</v>
      </c>
      <c r="C2008" t="s">
        <v>11</v>
      </c>
      <c r="D2008" t="s">
        <v>38</v>
      </c>
      <c r="E2008">
        <v>86</v>
      </c>
      <c r="F2008">
        <v>98</v>
      </c>
      <c r="G2008" s="1">
        <v>10070</v>
      </c>
      <c r="H2008" s="1">
        <v>6960</v>
      </c>
      <c r="I2008" s="1">
        <v>12528</v>
      </c>
      <c r="J2008" s="1">
        <v>1800</v>
      </c>
    </row>
    <row r="2009" spans="1:10" x14ac:dyDescent="0.3">
      <c r="A2009" t="s">
        <v>70</v>
      </c>
      <c r="B2009" t="s">
        <v>15</v>
      </c>
      <c r="C2009" t="s">
        <v>11</v>
      </c>
      <c r="D2009" t="s">
        <v>39</v>
      </c>
      <c r="E2009">
        <v>86</v>
      </c>
      <c r="F2009">
        <v>105</v>
      </c>
      <c r="G2009" s="1">
        <v>2200</v>
      </c>
      <c r="H2009" s="1">
        <v>1700</v>
      </c>
      <c r="I2009" s="1">
        <v>5950</v>
      </c>
      <c r="J2009" s="1">
        <v>3500</v>
      </c>
    </row>
    <row r="2010" spans="1:10" x14ac:dyDescent="0.3">
      <c r="A2010" t="s">
        <v>70</v>
      </c>
      <c r="B2010" t="s">
        <v>16</v>
      </c>
      <c r="C2010" t="s">
        <v>11</v>
      </c>
      <c r="D2010" t="s">
        <v>39</v>
      </c>
      <c r="E2010">
        <v>86</v>
      </c>
      <c r="F2010">
        <v>105</v>
      </c>
      <c r="G2010" s="1">
        <v>3000</v>
      </c>
      <c r="H2010" s="1">
        <v>2500</v>
      </c>
      <c r="I2010" s="1">
        <v>8750</v>
      </c>
      <c r="J2010" s="1">
        <v>3500</v>
      </c>
    </row>
    <row r="2011" spans="1:10" x14ac:dyDescent="0.3">
      <c r="A2011" t="s">
        <v>70</v>
      </c>
      <c r="B2011" t="s">
        <v>17</v>
      </c>
      <c r="C2011" t="s">
        <v>11</v>
      </c>
      <c r="D2011" t="s">
        <v>39</v>
      </c>
      <c r="E2011">
        <v>86</v>
      </c>
      <c r="F2011">
        <v>105</v>
      </c>
      <c r="G2011" s="1">
        <v>3000</v>
      </c>
      <c r="H2011" s="1">
        <v>2700</v>
      </c>
      <c r="I2011" s="1">
        <v>12150</v>
      </c>
      <c r="J2011" s="1">
        <v>4500</v>
      </c>
    </row>
    <row r="2012" spans="1:10" x14ac:dyDescent="0.3">
      <c r="A2012" t="s">
        <v>70</v>
      </c>
      <c r="B2012" t="s">
        <v>18</v>
      </c>
      <c r="C2012" t="s">
        <v>11</v>
      </c>
      <c r="D2012" t="s">
        <v>39</v>
      </c>
      <c r="E2012">
        <v>86</v>
      </c>
      <c r="F2012">
        <v>105</v>
      </c>
      <c r="G2012" s="1">
        <v>1000</v>
      </c>
      <c r="H2012" s="1">
        <v>900</v>
      </c>
      <c r="I2012" s="1">
        <v>2700</v>
      </c>
      <c r="J2012" s="1">
        <v>3000</v>
      </c>
    </row>
    <row r="2013" spans="1:10" x14ac:dyDescent="0.3">
      <c r="A2013" t="s">
        <v>70</v>
      </c>
      <c r="B2013" t="s">
        <v>19</v>
      </c>
      <c r="C2013" t="s">
        <v>11</v>
      </c>
      <c r="D2013" t="s">
        <v>39</v>
      </c>
      <c r="E2013">
        <v>86</v>
      </c>
      <c r="F2013">
        <v>105</v>
      </c>
      <c r="G2013" s="1">
        <v>1000</v>
      </c>
      <c r="H2013" s="1">
        <v>900</v>
      </c>
      <c r="I2013" s="1">
        <v>3600</v>
      </c>
      <c r="J2013" s="1">
        <v>4000</v>
      </c>
    </row>
    <row r="2014" spans="1:10" x14ac:dyDescent="0.3">
      <c r="A2014" t="s">
        <v>70</v>
      </c>
      <c r="B2014" t="s">
        <v>20</v>
      </c>
      <c r="C2014" t="s">
        <v>11</v>
      </c>
      <c r="D2014" t="s">
        <v>39</v>
      </c>
      <c r="E2014">
        <v>86</v>
      </c>
      <c r="F2014">
        <v>105</v>
      </c>
      <c r="G2014" s="1">
        <v>1000</v>
      </c>
      <c r="H2014" s="1">
        <v>900</v>
      </c>
      <c r="I2014" s="1">
        <v>4050</v>
      </c>
      <c r="J2014" s="1">
        <v>4500</v>
      </c>
    </row>
    <row r="2015" spans="1:10" x14ac:dyDescent="0.3">
      <c r="A2015" t="s">
        <v>70</v>
      </c>
      <c r="B2015" t="s">
        <v>21</v>
      </c>
      <c r="C2015" t="s">
        <v>11</v>
      </c>
      <c r="D2015" t="s">
        <v>39</v>
      </c>
      <c r="E2015">
        <v>86</v>
      </c>
      <c r="F2015">
        <v>105</v>
      </c>
      <c r="G2015" s="1">
        <v>2250</v>
      </c>
      <c r="H2015" s="1">
        <v>2025</v>
      </c>
      <c r="I2015" s="1">
        <v>9113</v>
      </c>
      <c r="J2015" s="1">
        <v>4500</v>
      </c>
    </row>
    <row r="2016" spans="1:10" x14ac:dyDescent="0.3">
      <c r="A2016" t="s">
        <v>70</v>
      </c>
      <c r="B2016" t="s">
        <v>22</v>
      </c>
      <c r="C2016" t="s">
        <v>11</v>
      </c>
      <c r="D2016" t="s">
        <v>39</v>
      </c>
      <c r="E2016">
        <v>86</v>
      </c>
      <c r="F2016">
        <v>105</v>
      </c>
      <c r="G2016" s="1">
        <v>2500</v>
      </c>
      <c r="H2016" s="1">
        <v>2250</v>
      </c>
      <c r="I2016" s="1">
        <v>10125</v>
      </c>
      <c r="J2016" s="1">
        <v>4500</v>
      </c>
    </row>
    <row r="2017" spans="1:10" x14ac:dyDescent="0.3">
      <c r="A2017" t="s">
        <v>70</v>
      </c>
      <c r="B2017" t="s">
        <v>23</v>
      </c>
      <c r="C2017" t="s">
        <v>11</v>
      </c>
      <c r="D2017" t="s">
        <v>39</v>
      </c>
      <c r="E2017">
        <v>86</v>
      </c>
      <c r="F2017">
        <v>105</v>
      </c>
      <c r="G2017" s="1">
        <v>2500</v>
      </c>
      <c r="H2017" s="1">
        <v>2000</v>
      </c>
      <c r="I2017" s="1">
        <v>11000</v>
      </c>
      <c r="J2017" s="1">
        <v>5500</v>
      </c>
    </row>
    <row r="2018" spans="1:10" x14ac:dyDescent="0.3">
      <c r="A2018" t="s">
        <v>70</v>
      </c>
      <c r="B2018" t="s">
        <v>24</v>
      </c>
      <c r="C2018" t="s">
        <v>11</v>
      </c>
      <c r="D2018" t="s">
        <v>39</v>
      </c>
      <c r="E2018">
        <v>86</v>
      </c>
      <c r="F2018">
        <v>105</v>
      </c>
      <c r="G2018" s="1">
        <v>2500</v>
      </c>
      <c r="H2018" s="1">
        <v>1940</v>
      </c>
      <c r="I2018" s="1">
        <v>5432</v>
      </c>
      <c r="J2018" s="1">
        <v>2800</v>
      </c>
    </row>
    <row r="2019" spans="1:10" x14ac:dyDescent="0.3">
      <c r="A2019" t="s">
        <v>70</v>
      </c>
      <c r="B2019" t="s">
        <v>25</v>
      </c>
      <c r="C2019" t="s">
        <v>11</v>
      </c>
      <c r="D2019" t="s">
        <v>39</v>
      </c>
      <c r="E2019">
        <v>86</v>
      </c>
      <c r="F2019">
        <v>105</v>
      </c>
      <c r="G2019" s="1">
        <v>2750</v>
      </c>
      <c r="H2019" s="1">
        <v>2750</v>
      </c>
      <c r="I2019" s="1">
        <v>11825</v>
      </c>
      <c r="J2019" s="1">
        <v>4300</v>
      </c>
    </row>
    <row r="2020" spans="1:10" x14ac:dyDescent="0.3">
      <c r="A2020" t="s">
        <v>70</v>
      </c>
      <c r="B2020" t="s">
        <v>15</v>
      </c>
      <c r="C2020" t="s">
        <v>11</v>
      </c>
      <c r="D2020" t="s">
        <v>40</v>
      </c>
      <c r="E2020">
        <v>86</v>
      </c>
      <c r="F2020">
        <v>112</v>
      </c>
      <c r="G2020" s="1">
        <v>3950</v>
      </c>
      <c r="H2020" s="1">
        <v>2950</v>
      </c>
      <c r="I2020" s="1">
        <v>10330</v>
      </c>
      <c r="J2020" s="1">
        <v>3502</v>
      </c>
    </row>
    <row r="2021" spans="1:10" x14ac:dyDescent="0.3">
      <c r="A2021" t="s">
        <v>70</v>
      </c>
      <c r="B2021" t="s">
        <v>16</v>
      </c>
      <c r="C2021" t="s">
        <v>11</v>
      </c>
      <c r="D2021" t="s">
        <v>40</v>
      </c>
      <c r="E2021">
        <v>86</v>
      </c>
      <c r="F2021">
        <v>112</v>
      </c>
      <c r="G2021" s="1">
        <v>6000</v>
      </c>
      <c r="H2021" s="1">
        <v>6000</v>
      </c>
      <c r="I2021" s="1">
        <v>22800</v>
      </c>
      <c r="J2021" s="1">
        <v>3800</v>
      </c>
    </row>
    <row r="2022" spans="1:10" x14ac:dyDescent="0.3">
      <c r="A2022" t="s">
        <v>70</v>
      </c>
      <c r="B2022" t="s">
        <v>17</v>
      </c>
      <c r="C2022" t="s">
        <v>11</v>
      </c>
      <c r="D2022" t="s">
        <v>40</v>
      </c>
      <c r="E2022">
        <v>86</v>
      </c>
      <c r="F2022">
        <v>112</v>
      </c>
      <c r="G2022" s="1">
        <v>5000</v>
      </c>
      <c r="H2022" s="1">
        <v>4000</v>
      </c>
      <c r="I2022" s="1">
        <v>19200</v>
      </c>
      <c r="J2022" s="1">
        <v>4800</v>
      </c>
    </row>
    <row r="2023" spans="1:10" x14ac:dyDescent="0.3">
      <c r="A2023" t="s">
        <v>70</v>
      </c>
      <c r="B2023" t="s">
        <v>18</v>
      </c>
      <c r="C2023" t="s">
        <v>11</v>
      </c>
      <c r="D2023" t="s">
        <v>40</v>
      </c>
      <c r="E2023">
        <v>86</v>
      </c>
      <c r="F2023">
        <v>112</v>
      </c>
      <c r="G2023" s="1">
        <v>3500</v>
      </c>
      <c r="H2023" s="1">
        <v>3150</v>
      </c>
      <c r="I2023" s="1">
        <v>6300</v>
      </c>
      <c r="J2023" s="1">
        <v>2000</v>
      </c>
    </row>
    <row r="2024" spans="1:10" x14ac:dyDescent="0.3">
      <c r="A2024" t="s">
        <v>70</v>
      </c>
      <c r="B2024" t="s">
        <v>19</v>
      </c>
      <c r="C2024" t="s">
        <v>11</v>
      </c>
      <c r="D2024" t="s">
        <v>40</v>
      </c>
      <c r="E2024">
        <v>86</v>
      </c>
      <c r="F2024">
        <v>112</v>
      </c>
      <c r="G2024" s="1">
        <v>3500</v>
      </c>
      <c r="H2024" s="1">
        <v>3000</v>
      </c>
      <c r="I2024" s="1">
        <v>15000</v>
      </c>
      <c r="J2024" s="1">
        <v>5000</v>
      </c>
    </row>
    <row r="2025" spans="1:10" x14ac:dyDescent="0.3">
      <c r="A2025" t="s">
        <v>70</v>
      </c>
      <c r="B2025" t="s">
        <v>20</v>
      </c>
      <c r="C2025" t="s">
        <v>11</v>
      </c>
      <c r="D2025" t="s">
        <v>40</v>
      </c>
      <c r="E2025">
        <v>86</v>
      </c>
      <c r="F2025">
        <v>112</v>
      </c>
      <c r="G2025" s="1">
        <v>3500</v>
      </c>
      <c r="H2025" s="1">
        <v>3150</v>
      </c>
      <c r="I2025" s="1">
        <v>14175</v>
      </c>
      <c r="J2025" s="1">
        <v>4500</v>
      </c>
    </row>
    <row r="2026" spans="1:10" x14ac:dyDescent="0.3">
      <c r="A2026" t="s">
        <v>70</v>
      </c>
      <c r="B2026" t="s">
        <v>21</v>
      </c>
      <c r="C2026" t="s">
        <v>11</v>
      </c>
      <c r="D2026" t="s">
        <v>40</v>
      </c>
      <c r="E2026">
        <v>86</v>
      </c>
      <c r="F2026">
        <v>112</v>
      </c>
      <c r="G2026" s="1">
        <v>6500</v>
      </c>
      <c r="H2026" s="1">
        <v>5850</v>
      </c>
      <c r="I2026" s="1">
        <v>26325</v>
      </c>
      <c r="J2026" s="1">
        <v>4500</v>
      </c>
    </row>
    <row r="2027" spans="1:10" x14ac:dyDescent="0.3">
      <c r="A2027" t="s">
        <v>70</v>
      </c>
      <c r="B2027" t="s">
        <v>22</v>
      </c>
      <c r="C2027" t="s">
        <v>11</v>
      </c>
      <c r="D2027" t="s">
        <v>40</v>
      </c>
      <c r="E2027">
        <v>86</v>
      </c>
      <c r="F2027">
        <v>112</v>
      </c>
      <c r="G2027" s="1">
        <v>6500</v>
      </c>
      <c r="H2027" s="1">
        <v>5850</v>
      </c>
      <c r="I2027" s="1">
        <v>26325</v>
      </c>
      <c r="J2027" s="1">
        <v>4500</v>
      </c>
    </row>
    <row r="2028" spans="1:10" x14ac:dyDescent="0.3">
      <c r="A2028" t="s">
        <v>70</v>
      </c>
      <c r="B2028" t="s">
        <v>23</v>
      </c>
      <c r="C2028" t="s">
        <v>11</v>
      </c>
      <c r="D2028" t="s">
        <v>40</v>
      </c>
      <c r="E2028">
        <v>86</v>
      </c>
      <c r="F2028">
        <v>112</v>
      </c>
      <c r="G2028" s="1">
        <v>6500</v>
      </c>
      <c r="H2028" s="1">
        <v>5200</v>
      </c>
      <c r="I2028" s="1">
        <v>28600</v>
      </c>
      <c r="J2028" s="1">
        <v>5500</v>
      </c>
    </row>
    <row r="2029" spans="1:10" x14ac:dyDescent="0.3">
      <c r="A2029" t="s">
        <v>70</v>
      </c>
      <c r="B2029" t="s">
        <v>24</v>
      </c>
      <c r="C2029" t="s">
        <v>11</v>
      </c>
      <c r="D2029" t="s">
        <v>40</v>
      </c>
      <c r="E2029">
        <v>86</v>
      </c>
      <c r="F2029">
        <v>112</v>
      </c>
      <c r="G2029" s="1">
        <v>6500</v>
      </c>
      <c r="H2029" s="1">
        <v>5200</v>
      </c>
      <c r="I2029" s="1">
        <v>13000</v>
      </c>
      <c r="J2029" s="1">
        <v>2500</v>
      </c>
    </row>
    <row r="2030" spans="1:10" x14ac:dyDescent="0.3">
      <c r="A2030" t="s">
        <v>70</v>
      </c>
      <c r="B2030" t="s">
        <v>25</v>
      </c>
      <c r="C2030" t="s">
        <v>11</v>
      </c>
      <c r="D2030" t="s">
        <v>40</v>
      </c>
      <c r="E2030">
        <v>86</v>
      </c>
      <c r="F2030">
        <v>112</v>
      </c>
      <c r="G2030" s="1">
        <v>7150</v>
      </c>
      <c r="H2030" s="1">
        <v>7150</v>
      </c>
      <c r="I2030" s="1">
        <v>28600</v>
      </c>
      <c r="J2030" s="1">
        <v>4000</v>
      </c>
    </row>
    <row r="2031" spans="1:10" x14ac:dyDescent="0.3">
      <c r="A2031" t="s">
        <v>70</v>
      </c>
      <c r="B2031" t="s">
        <v>15</v>
      </c>
      <c r="C2031" t="s">
        <v>11</v>
      </c>
      <c r="D2031" t="s">
        <v>41</v>
      </c>
      <c r="E2031">
        <v>86</v>
      </c>
      <c r="F2031">
        <v>119</v>
      </c>
      <c r="G2031" s="1">
        <v>22000</v>
      </c>
      <c r="H2031" s="1">
        <v>19690</v>
      </c>
      <c r="I2031" s="1">
        <v>61040</v>
      </c>
      <c r="J2031" s="1">
        <v>3100</v>
      </c>
    </row>
    <row r="2032" spans="1:10" x14ac:dyDescent="0.3">
      <c r="A2032" t="s">
        <v>70</v>
      </c>
      <c r="B2032" t="s">
        <v>16</v>
      </c>
      <c r="C2032" t="s">
        <v>11</v>
      </c>
      <c r="D2032" t="s">
        <v>41</v>
      </c>
      <c r="E2032">
        <v>86</v>
      </c>
      <c r="F2032">
        <v>119</v>
      </c>
      <c r="G2032" s="1">
        <v>22000</v>
      </c>
      <c r="H2032" s="1">
        <v>22000</v>
      </c>
      <c r="I2032" s="1">
        <v>77000</v>
      </c>
      <c r="J2032" s="1">
        <v>3500</v>
      </c>
    </row>
    <row r="2033" spans="1:10" x14ac:dyDescent="0.3">
      <c r="A2033" t="s">
        <v>70</v>
      </c>
      <c r="B2033" t="s">
        <v>17</v>
      </c>
      <c r="C2033" t="s">
        <v>11</v>
      </c>
      <c r="D2033" t="s">
        <v>41</v>
      </c>
      <c r="E2033">
        <v>86</v>
      </c>
      <c r="F2033">
        <v>119</v>
      </c>
      <c r="G2033" s="1">
        <v>2500</v>
      </c>
      <c r="H2033" s="1">
        <v>2500</v>
      </c>
      <c r="I2033" s="1">
        <v>8250</v>
      </c>
      <c r="J2033" s="1">
        <v>3300</v>
      </c>
    </row>
    <row r="2034" spans="1:10" x14ac:dyDescent="0.3">
      <c r="A2034" t="s">
        <v>70</v>
      </c>
      <c r="B2034" t="s">
        <v>18</v>
      </c>
      <c r="C2034" t="s">
        <v>11</v>
      </c>
      <c r="D2034" t="s">
        <v>41</v>
      </c>
      <c r="E2034">
        <v>86</v>
      </c>
      <c r="F2034">
        <v>119</v>
      </c>
      <c r="G2034" s="1">
        <v>8900</v>
      </c>
      <c r="H2034" s="1">
        <v>2700</v>
      </c>
      <c r="I2034" s="1">
        <v>7560</v>
      </c>
      <c r="J2034" s="1">
        <v>2800</v>
      </c>
    </row>
    <row r="2035" spans="1:10" x14ac:dyDescent="0.3">
      <c r="A2035" t="s">
        <v>70</v>
      </c>
      <c r="B2035" t="s">
        <v>19</v>
      </c>
      <c r="C2035" t="s">
        <v>11</v>
      </c>
      <c r="D2035" t="s">
        <v>41</v>
      </c>
      <c r="E2035">
        <v>86</v>
      </c>
      <c r="F2035">
        <v>119</v>
      </c>
      <c r="G2035" s="1">
        <v>12015</v>
      </c>
      <c r="H2035" s="1">
        <v>4565</v>
      </c>
      <c r="I2035" s="1">
        <v>15521</v>
      </c>
      <c r="J2035" s="1">
        <v>3400</v>
      </c>
    </row>
    <row r="2036" spans="1:10" x14ac:dyDescent="0.3">
      <c r="A2036" t="s">
        <v>70</v>
      </c>
      <c r="B2036" t="s">
        <v>20</v>
      </c>
      <c r="C2036" t="s">
        <v>11</v>
      </c>
      <c r="D2036" t="s">
        <v>41</v>
      </c>
      <c r="E2036">
        <v>86</v>
      </c>
      <c r="F2036">
        <v>119</v>
      </c>
      <c r="G2036" s="1">
        <v>16500</v>
      </c>
      <c r="H2036" s="1">
        <v>11160</v>
      </c>
      <c r="I2036" s="1">
        <v>36828</v>
      </c>
      <c r="J2036" s="1">
        <v>3300</v>
      </c>
    </row>
    <row r="2037" spans="1:10" x14ac:dyDescent="0.3">
      <c r="A2037" t="s">
        <v>70</v>
      </c>
      <c r="B2037" t="s">
        <v>21</v>
      </c>
      <c r="C2037" t="s">
        <v>11</v>
      </c>
      <c r="D2037" t="s">
        <v>41</v>
      </c>
      <c r="E2037">
        <v>86</v>
      </c>
      <c r="F2037">
        <v>119</v>
      </c>
      <c r="G2037" s="1">
        <v>20000</v>
      </c>
      <c r="H2037" s="1">
        <v>11660</v>
      </c>
      <c r="I2037" s="1">
        <v>40810</v>
      </c>
      <c r="J2037" s="1">
        <v>3500</v>
      </c>
    </row>
    <row r="2038" spans="1:10" x14ac:dyDescent="0.3">
      <c r="A2038" t="s">
        <v>70</v>
      </c>
      <c r="B2038" t="s">
        <v>22</v>
      </c>
      <c r="C2038" t="s">
        <v>11</v>
      </c>
      <c r="D2038" t="s">
        <v>41</v>
      </c>
      <c r="E2038">
        <v>86</v>
      </c>
      <c r="F2038">
        <v>119</v>
      </c>
      <c r="G2038" s="1">
        <v>22750</v>
      </c>
      <c r="H2038" s="1">
        <v>15120</v>
      </c>
      <c r="I2038" s="1">
        <v>48384</v>
      </c>
      <c r="J2038" s="1">
        <v>3200</v>
      </c>
    </row>
    <row r="2039" spans="1:10" x14ac:dyDescent="0.3">
      <c r="A2039" t="s">
        <v>70</v>
      </c>
      <c r="B2039" t="s">
        <v>23</v>
      </c>
      <c r="C2039" t="s">
        <v>11</v>
      </c>
      <c r="D2039" t="s">
        <v>41</v>
      </c>
      <c r="E2039">
        <v>86</v>
      </c>
      <c r="F2039">
        <v>119</v>
      </c>
      <c r="G2039" s="1">
        <v>22750</v>
      </c>
      <c r="H2039" s="1">
        <v>14650</v>
      </c>
      <c r="I2039" s="1">
        <v>42485</v>
      </c>
      <c r="J2039" s="1">
        <v>2900</v>
      </c>
    </row>
    <row r="2040" spans="1:10" x14ac:dyDescent="0.3">
      <c r="A2040" t="s">
        <v>70</v>
      </c>
      <c r="B2040" t="s">
        <v>24</v>
      </c>
      <c r="C2040" t="s">
        <v>11</v>
      </c>
      <c r="D2040" t="s">
        <v>41</v>
      </c>
      <c r="E2040">
        <v>86</v>
      </c>
      <c r="F2040">
        <v>119</v>
      </c>
      <c r="G2040" s="1">
        <v>24500</v>
      </c>
      <c r="H2040" s="1">
        <v>16640</v>
      </c>
      <c r="I2040" s="1">
        <v>39936</v>
      </c>
      <c r="J2040" s="1">
        <v>2400</v>
      </c>
    </row>
    <row r="2041" spans="1:10" x14ac:dyDescent="0.3">
      <c r="A2041" t="s">
        <v>70</v>
      </c>
      <c r="B2041" t="s">
        <v>25</v>
      </c>
      <c r="C2041" t="s">
        <v>11</v>
      </c>
      <c r="D2041" t="s">
        <v>41</v>
      </c>
      <c r="E2041">
        <v>86</v>
      </c>
      <c r="F2041">
        <v>119</v>
      </c>
      <c r="G2041" s="1">
        <v>22900</v>
      </c>
      <c r="H2041" s="1">
        <v>14060</v>
      </c>
      <c r="I2041" s="1">
        <v>22496</v>
      </c>
      <c r="J2041" s="1">
        <v>1600</v>
      </c>
    </row>
    <row r="2042" spans="1:10" x14ac:dyDescent="0.3">
      <c r="A2042" t="s">
        <v>70</v>
      </c>
      <c r="B2042" t="s">
        <v>21</v>
      </c>
      <c r="C2042" t="s">
        <v>11</v>
      </c>
      <c r="D2042" t="s">
        <v>42</v>
      </c>
      <c r="E2042">
        <v>86</v>
      </c>
      <c r="F2042">
        <v>126</v>
      </c>
      <c r="G2042" s="1">
        <v>3200</v>
      </c>
      <c r="H2042" s="1">
        <v>2880</v>
      </c>
      <c r="I2042" s="1">
        <v>12960</v>
      </c>
      <c r="J2042" s="1">
        <v>4500</v>
      </c>
    </row>
    <row r="2043" spans="1:10" x14ac:dyDescent="0.3">
      <c r="A2043" t="s">
        <v>70</v>
      </c>
      <c r="B2043" t="s">
        <v>22</v>
      </c>
      <c r="C2043" t="s">
        <v>11</v>
      </c>
      <c r="D2043" t="s">
        <v>42</v>
      </c>
      <c r="E2043">
        <v>86</v>
      </c>
      <c r="F2043">
        <v>126</v>
      </c>
      <c r="G2043" s="1">
        <v>3500</v>
      </c>
      <c r="H2043" s="1">
        <v>3500</v>
      </c>
      <c r="I2043" s="1">
        <v>15750</v>
      </c>
      <c r="J2043" s="1">
        <v>4500</v>
      </c>
    </row>
    <row r="2044" spans="1:10" x14ac:dyDescent="0.3">
      <c r="A2044" t="s">
        <v>70</v>
      </c>
      <c r="B2044" t="s">
        <v>23</v>
      </c>
      <c r="C2044" t="s">
        <v>11</v>
      </c>
      <c r="D2044" t="s">
        <v>42</v>
      </c>
      <c r="E2044">
        <v>86</v>
      </c>
      <c r="F2044">
        <v>126</v>
      </c>
      <c r="G2044" s="1">
        <v>1000</v>
      </c>
      <c r="H2044" s="1">
        <v>1000</v>
      </c>
      <c r="I2044" s="1">
        <v>4500</v>
      </c>
      <c r="J2044" s="1">
        <v>4500</v>
      </c>
    </row>
    <row r="2045" spans="1:10" x14ac:dyDescent="0.3">
      <c r="A2045" t="s">
        <v>70</v>
      </c>
      <c r="B2045" t="s">
        <v>24</v>
      </c>
      <c r="C2045" t="s">
        <v>11</v>
      </c>
      <c r="D2045" t="s">
        <v>42</v>
      </c>
      <c r="E2045">
        <v>86</v>
      </c>
      <c r="F2045">
        <v>126</v>
      </c>
      <c r="G2045" s="1">
        <v>1000</v>
      </c>
      <c r="H2045" s="1">
        <v>800</v>
      </c>
      <c r="I2045" s="1">
        <v>1760</v>
      </c>
      <c r="J2045" s="1">
        <v>2200</v>
      </c>
    </row>
    <row r="2046" spans="1:10" x14ac:dyDescent="0.3">
      <c r="A2046" t="s">
        <v>70</v>
      </c>
      <c r="B2046" t="s">
        <v>25</v>
      </c>
      <c r="C2046" t="s">
        <v>11</v>
      </c>
      <c r="D2046" t="s">
        <v>42</v>
      </c>
      <c r="E2046">
        <v>86</v>
      </c>
      <c r="F2046">
        <v>126</v>
      </c>
      <c r="G2046" s="1">
        <v>1100</v>
      </c>
      <c r="H2046" s="1">
        <v>835</v>
      </c>
      <c r="I2046" s="1">
        <v>3758</v>
      </c>
      <c r="J2046" s="1">
        <v>4501</v>
      </c>
    </row>
    <row r="2047" spans="1:10" x14ac:dyDescent="0.3">
      <c r="A2047" t="s">
        <v>70</v>
      </c>
      <c r="B2047" t="s">
        <v>15</v>
      </c>
      <c r="C2047" t="s">
        <v>11</v>
      </c>
      <c r="D2047" t="s">
        <v>43</v>
      </c>
      <c r="E2047">
        <v>86</v>
      </c>
      <c r="F2047">
        <v>133</v>
      </c>
      <c r="G2047" s="1">
        <v>3950</v>
      </c>
      <c r="H2047" s="1">
        <v>2450</v>
      </c>
      <c r="I2047" s="1">
        <v>9070</v>
      </c>
      <c r="J2047" s="1">
        <v>3702</v>
      </c>
    </row>
    <row r="2048" spans="1:10" x14ac:dyDescent="0.3">
      <c r="A2048" t="s">
        <v>70</v>
      </c>
      <c r="B2048" t="s">
        <v>16</v>
      </c>
      <c r="C2048" t="s">
        <v>11</v>
      </c>
      <c r="D2048" t="s">
        <v>43</v>
      </c>
      <c r="E2048">
        <v>86</v>
      </c>
      <c r="F2048">
        <v>133</v>
      </c>
      <c r="G2048" s="1">
        <v>4500</v>
      </c>
      <c r="H2048" s="1">
        <v>4500</v>
      </c>
      <c r="I2048" s="1">
        <v>15750</v>
      </c>
      <c r="J2048" s="1">
        <v>3500</v>
      </c>
    </row>
    <row r="2049" spans="1:10" x14ac:dyDescent="0.3">
      <c r="A2049" t="s">
        <v>70</v>
      </c>
      <c r="B2049" t="s">
        <v>17</v>
      </c>
      <c r="C2049" t="s">
        <v>11</v>
      </c>
      <c r="D2049" t="s">
        <v>43</v>
      </c>
      <c r="E2049">
        <v>86</v>
      </c>
      <c r="F2049">
        <v>133</v>
      </c>
      <c r="G2049" s="1">
        <v>5000</v>
      </c>
      <c r="H2049" s="1">
        <v>4500</v>
      </c>
      <c r="I2049" s="1">
        <v>21600</v>
      </c>
      <c r="J2049" s="1">
        <v>4800</v>
      </c>
    </row>
    <row r="2050" spans="1:10" x14ac:dyDescent="0.3">
      <c r="A2050" t="s">
        <v>70</v>
      </c>
      <c r="B2050" t="s">
        <v>18</v>
      </c>
      <c r="C2050" t="s">
        <v>11</v>
      </c>
      <c r="D2050" t="s">
        <v>43</v>
      </c>
      <c r="E2050">
        <v>86</v>
      </c>
      <c r="F2050">
        <v>133</v>
      </c>
      <c r="G2050" s="1">
        <v>3500</v>
      </c>
      <c r="H2050" s="1">
        <v>3150</v>
      </c>
      <c r="I2050" s="1">
        <v>10080</v>
      </c>
      <c r="J2050" s="1">
        <v>3200</v>
      </c>
    </row>
    <row r="2051" spans="1:10" x14ac:dyDescent="0.3">
      <c r="A2051" t="s">
        <v>70</v>
      </c>
      <c r="B2051" t="s">
        <v>19</v>
      </c>
      <c r="C2051" t="s">
        <v>11</v>
      </c>
      <c r="D2051" t="s">
        <v>43</v>
      </c>
      <c r="E2051">
        <v>86</v>
      </c>
      <c r="F2051">
        <v>133</v>
      </c>
      <c r="G2051" s="1">
        <v>3500</v>
      </c>
      <c r="H2051" s="1">
        <v>3000</v>
      </c>
      <c r="I2051" s="1">
        <v>15000</v>
      </c>
      <c r="J2051" s="1">
        <v>5000</v>
      </c>
    </row>
    <row r="2052" spans="1:10" x14ac:dyDescent="0.3">
      <c r="A2052" t="s">
        <v>70</v>
      </c>
      <c r="B2052" t="s">
        <v>20</v>
      </c>
      <c r="C2052" t="s">
        <v>11</v>
      </c>
      <c r="D2052" t="s">
        <v>43</v>
      </c>
      <c r="E2052">
        <v>86</v>
      </c>
      <c r="F2052">
        <v>133</v>
      </c>
      <c r="G2052" s="1">
        <v>3500</v>
      </c>
      <c r="H2052" s="1">
        <v>3150</v>
      </c>
      <c r="I2052" s="1">
        <v>14175</v>
      </c>
      <c r="J2052" s="1">
        <v>4500</v>
      </c>
    </row>
    <row r="2053" spans="1:10" x14ac:dyDescent="0.3">
      <c r="A2053" t="s">
        <v>70</v>
      </c>
      <c r="B2053" t="s">
        <v>21</v>
      </c>
      <c r="C2053" t="s">
        <v>11</v>
      </c>
      <c r="D2053" t="s">
        <v>43</v>
      </c>
      <c r="E2053">
        <v>86</v>
      </c>
      <c r="F2053">
        <v>133</v>
      </c>
      <c r="G2053" s="1">
        <v>6500</v>
      </c>
      <c r="H2053" s="1">
        <v>5850</v>
      </c>
      <c r="I2053" s="1">
        <v>26325</v>
      </c>
      <c r="J2053" s="1">
        <v>4500</v>
      </c>
    </row>
    <row r="2054" spans="1:10" x14ac:dyDescent="0.3">
      <c r="A2054" t="s">
        <v>70</v>
      </c>
      <c r="B2054" t="s">
        <v>22</v>
      </c>
      <c r="C2054" t="s">
        <v>11</v>
      </c>
      <c r="D2054" t="s">
        <v>43</v>
      </c>
      <c r="E2054">
        <v>86</v>
      </c>
      <c r="F2054">
        <v>133</v>
      </c>
      <c r="G2054" s="1">
        <v>6500</v>
      </c>
      <c r="H2054" s="1">
        <v>5850</v>
      </c>
      <c r="I2054" s="1">
        <v>26325</v>
      </c>
      <c r="J2054" s="1">
        <v>4500</v>
      </c>
    </row>
    <row r="2055" spans="1:10" x14ac:dyDescent="0.3">
      <c r="A2055" t="s">
        <v>70</v>
      </c>
      <c r="B2055" t="s">
        <v>23</v>
      </c>
      <c r="C2055" t="s">
        <v>11</v>
      </c>
      <c r="D2055" t="s">
        <v>43</v>
      </c>
      <c r="E2055">
        <v>86</v>
      </c>
      <c r="F2055">
        <v>133</v>
      </c>
      <c r="G2055" s="1">
        <v>6500</v>
      </c>
      <c r="H2055" s="1">
        <v>5200</v>
      </c>
      <c r="I2055" s="1">
        <v>23400</v>
      </c>
      <c r="J2055" s="1">
        <v>4500</v>
      </c>
    </row>
    <row r="2056" spans="1:10" x14ac:dyDescent="0.3">
      <c r="A2056" t="s">
        <v>70</v>
      </c>
      <c r="B2056" t="s">
        <v>24</v>
      </c>
      <c r="C2056" t="s">
        <v>11</v>
      </c>
      <c r="D2056" t="s">
        <v>43</v>
      </c>
      <c r="E2056">
        <v>86</v>
      </c>
      <c r="F2056">
        <v>133</v>
      </c>
      <c r="G2056" s="1">
        <v>6500</v>
      </c>
      <c r="H2056" s="1">
        <v>5194</v>
      </c>
      <c r="I2056" s="1">
        <v>15582</v>
      </c>
      <c r="J2056" s="1">
        <v>3000</v>
      </c>
    </row>
    <row r="2057" spans="1:10" x14ac:dyDescent="0.3">
      <c r="A2057" t="s">
        <v>70</v>
      </c>
      <c r="B2057" t="s">
        <v>25</v>
      </c>
      <c r="C2057" t="s">
        <v>11</v>
      </c>
      <c r="D2057" t="s">
        <v>43</v>
      </c>
      <c r="E2057">
        <v>86</v>
      </c>
      <c r="F2057">
        <v>133</v>
      </c>
      <c r="G2057" s="1">
        <v>7150</v>
      </c>
      <c r="H2057" s="1">
        <v>5100</v>
      </c>
      <c r="I2057" s="1">
        <v>20400</v>
      </c>
      <c r="J2057" s="1">
        <v>4000</v>
      </c>
    </row>
    <row r="2058" spans="1:10" x14ac:dyDescent="0.3">
      <c r="A2058" t="s">
        <v>70</v>
      </c>
      <c r="B2058" t="s">
        <v>23</v>
      </c>
      <c r="C2058" t="s">
        <v>11</v>
      </c>
      <c r="D2058" t="s">
        <v>58</v>
      </c>
      <c r="E2058">
        <v>86</v>
      </c>
      <c r="F2058">
        <v>140</v>
      </c>
      <c r="G2058" s="1">
        <v>3000</v>
      </c>
      <c r="H2058" s="1">
        <v>2400</v>
      </c>
      <c r="I2058" s="1">
        <v>10800</v>
      </c>
      <c r="J2058" s="1">
        <v>4500</v>
      </c>
    </row>
    <row r="2059" spans="1:10" x14ac:dyDescent="0.3">
      <c r="A2059" t="s">
        <v>70</v>
      </c>
      <c r="B2059" t="s">
        <v>24</v>
      </c>
      <c r="C2059" t="s">
        <v>11</v>
      </c>
      <c r="D2059" t="s">
        <v>58</v>
      </c>
      <c r="E2059">
        <v>86</v>
      </c>
      <c r="F2059">
        <v>140</v>
      </c>
      <c r="G2059" s="1">
        <v>3000</v>
      </c>
      <c r="H2059" s="1">
        <v>2375</v>
      </c>
      <c r="I2059" s="1">
        <v>5938</v>
      </c>
      <c r="J2059" s="1">
        <v>2500</v>
      </c>
    </row>
    <row r="2060" spans="1:10" x14ac:dyDescent="0.3">
      <c r="A2060" t="s">
        <v>70</v>
      </c>
      <c r="B2060" t="s">
        <v>25</v>
      </c>
      <c r="C2060" t="s">
        <v>11</v>
      </c>
      <c r="D2060" t="s">
        <v>58</v>
      </c>
      <c r="E2060">
        <v>86</v>
      </c>
      <c r="F2060">
        <v>140</v>
      </c>
      <c r="G2060" s="1">
        <v>3300</v>
      </c>
      <c r="H2060" s="1">
        <v>2330</v>
      </c>
      <c r="I2060" s="1">
        <v>9320</v>
      </c>
      <c r="J2060" s="1">
        <v>4000</v>
      </c>
    </row>
    <row r="2061" spans="1:10" x14ac:dyDescent="0.3">
      <c r="A2061" t="s">
        <v>70</v>
      </c>
      <c r="B2061" t="s">
        <v>15</v>
      </c>
      <c r="C2061" t="s">
        <v>11</v>
      </c>
      <c r="D2061" t="s">
        <v>44</v>
      </c>
      <c r="E2061">
        <v>86</v>
      </c>
      <c r="F2061">
        <v>147</v>
      </c>
      <c r="G2061" s="1">
        <v>3100</v>
      </c>
      <c r="H2061" s="1">
        <v>2100</v>
      </c>
      <c r="I2061" s="1">
        <v>7350</v>
      </c>
      <c r="J2061" s="1">
        <v>3500</v>
      </c>
    </row>
    <row r="2062" spans="1:10" x14ac:dyDescent="0.3">
      <c r="A2062" t="s">
        <v>70</v>
      </c>
      <c r="B2062" t="s">
        <v>16</v>
      </c>
      <c r="C2062" t="s">
        <v>11</v>
      </c>
      <c r="D2062" t="s">
        <v>44</v>
      </c>
      <c r="E2062">
        <v>86</v>
      </c>
      <c r="F2062">
        <v>147</v>
      </c>
      <c r="G2062" s="1">
        <v>3500</v>
      </c>
      <c r="H2062" s="1">
        <v>3500</v>
      </c>
      <c r="I2062" s="1">
        <v>13300</v>
      </c>
      <c r="J2062" s="1">
        <v>3800</v>
      </c>
    </row>
    <row r="2063" spans="1:10" x14ac:dyDescent="0.3">
      <c r="A2063" t="s">
        <v>70</v>
      </c>
      <c r="B2063" t="s">
        <v>17</v>
      </c>
      <c r="C2063" t="s">
        <v>11</v>
      </c>
      <c r="D2063" t="s">
        <v>44</v>
      </c>
      <c r="E2063">
        <v>86</v>
      </c>
      <c r="F2063">
        <v>147</v>
      </c>
      <c r="G2063" s="1">
        <v>4000</v>
      </c>
      <c r="H2063" s="1">
        <v>3600</v>
      </c>
      <c r="I2063" s="1">
        <v>16200</v>
      </c>
      <c r="J2063" s="1">
        <v>4500</v>
      </c>
    </row>
    <row r="2064" spans="1:10" x14ac:dyDescent="0.3">
      <c r="A2064" t="s">
        <v>70</v>
      </c>
      <c r="B2064" t="s">
        <v>18</v>
      </c>
      <c r="C2064" t="s">
        <v>11</v>
      </c>
      <c r="D2064" t="s">
        <v>44</v>
      </c>
      <c r="E2064">
        <v>86</v>
      </c>
      <c r="F2064">
        <v>147</v>
      </c>
      <c r="G2064" s="1">
        <v>2500</v>
      </c>
      <c r="H2064" s="1">
        <v>2250</v>
      </c>
      <c r="I2064" s="1">
        <v>6750</v>
      </c>
      <c r="J2064" s="1">
        <v>3000</v>
      </c>
    </row>
    <row r="2065" spans="1:10" x14ac:dyDescent="0.3">
      <c r="A2065" t="s">
        <v>70</v>
      </c>
      <c r="B2065" t="s">
        <v>19</v>
      </c>
      <c r="C2065" t="s">
        <v>11</v>
      </c>
      <c r="D2065" t="s">
        <v>44</v>
      </c>
      <c r="E2065">
        <v>86</v>
      </c>
      <c r="F2065">
        <v>147</v>
      </c>
      <c r="G2065" s="1">
        <v>2500</v>
      </c>
      <c r="H2065" s="1">
        <v>2300</v>
      </c>
      <c r="I2065" s="1">
        <v>11500</v>
      </c>
      <c r="J2065" s="1">
        <v>5000</v>
      </c>
    </row>
    <row r="2066" spans="1:10" x14ac:dyDescent="0.3">
      <c r="A2066" t="s">
        <v>70</v>
      </c>
      <c r="B2066" t="s">
        <v>20</v>
      </c>
      <c r="C2066" t="s">
        <v>11</v>
      </c>
      <c r="D2066" t="s">
        <v>44</v>
      </c>
      <c r="E2066">
        <v>86</v>
      </c>
      <c r="F2066">
        <v>147</v>
      </c>
      <c r="G2066" s="1">
        <v>2500</v>
      </c>
      <c r="H2066" s="1">
        <v>2250</v>
      </c>
      <c r="I2066" s="1">
        <v>10125</v>
      </c>
      <c r="J2066" s="1">
        <v>4500</v>
      </c>
    </row>
    <row r="2067" spans="1:10" x14ac:dyDescent="0.3">
      <c r="A2067" t="s">
        <v>70</v>
      </c>
      <c r="B2067" t="s">
        <v>21</v>
      </c>
      <c r="C2067" t="s">
        <v>11</v>
      </c>
      <c r="D2067" t="s">
        <v>44</v>
      </c>
      <c r="E2067">
        <v>86</v>
      </c>
      <c r="F2067">
        <v>147</v>
      </c>
      <c r="G2067" s="1">
        <v>3500</v>
      </c>
      <c r="H2067" s="1">
        <v>3150</v>
      </c>
      <c r="I2067" s="1">
        <v>15750</v>
      </c>
      <c r="J2067" s="1">
        <v>5000</v>
      </c>
    </row>
    <row r="2068" spans="1:10" x14ac:dyDescent="0.3">
      <c r="A2068" t="s">
        <v>70</v>
      </c>
      <c r="B2068" t="s">
        <v>22</v>
      </c>
      <c r="C2068" t="s">
        <v>11</v>
      </c>
      <c r="D2068" t="s">
        <v>44</v>
      </c>
      <c r="E2068">
        <v>86</v>
      </c>
      <c r="F2068">
        <v>147</v>
      </c>
      <c r="G2068" s="1">
        <v>3500</v>
      </c>
      <c r="H2068" s="1">
        <v>3150</v>
      </c>
      <c r="I2068" s="1">
        <v>14175</v>
      </c>
      <c r="J2068" s="1">
        <v>4500</v>
      </c>
    </row>
    <row r="2069" spans="1:10" x14ac:dyDescent="0.3">
      <c r="A2069" t="s">
        <v>70</v>
      </c>
      <c r="B2069" t="s">
        <v>23</v>
      </c>
      <c r="C2069" t="s">
        <v>11</v>
      </c>
      <c r="D2069" t="s">
        <v>44</v>
      </c>
      <c r="E2069">
        <v>86</v>
      </c>
      <c r="F2069">
        <v>147</v>
      </c>
      <c r="G2069" s="1">
        <v>4000</v>
      </c>
      <c r="H2069" s="1">
        <v>3200</v>
      </c>
      <c r="I2069" s="1">
        <v>14400</v>
      </c>
      <c r="J2069" s="1">
        <v>4500</v>
      </c>
    </row>
    <row r="2070" spans="1:10" x14ac:dyDescent="0.3">
      <c r="A2070" t="s">
        <v>70</v>
      </c>
      <c r="B2070" t="s">
        <v>24</v>
      </c>
      <c r="C2070" t="s">
        <v>11</v>
      </c>
      <c r="D2070" t="s">
        <v>44</v>
      </c>
      <c r="E2070">
        <v>86</v>
      </c>
      <c r="F2070">
        <v>147</v>
      </c>
      <c r="G2070" s="1">
        <v>4000</v>
      </c>
      <c r="H2070" s="1">
        <v>3190</v>
      </c>
      <c r="I2070" s="1">
        <v>11165</v>
      </c>
      <c r="J2070" s="1">
        <v>3500</v>
      </c>
    </row>
    <row r="2071" spans="1:10" x14ac:dyDescent="0.3">
      <c r="A2071" t="s">
        <v>70</v>
      </c>
      <c r="B2071" t="s">
        <v>25</v>
      </c>
      <c r="C2071" t="s">
        <v>11</v>
      </c>
      <c r="D2071" t="s">
        <v>44</v>
      </c>
      <c r="E2071">
        <v>86</v>
      </c>
      <c r="F2071">
        <v>147</v>
      </c>
      <c r="G2071" s="1">
        <v>4400</v>
      </c>
      <c r="H2071" s="1">
        <v>3170</v>
      </c>
      <c r="I2071" s="1">
        <v>12680</v>
      </c>
      <c r="J2071" s="1">
        <v>4000</v>
      </c>
    </row>
    <row r="2072" spans="1:10" x14ac:dyDescent="0.3">
      <c r="A2072" t="s">
        <v>70</v>
      </c>
      <c r="B2072" t="s">
        <v>15</v>
      </c>
      <c r="C2072" t="s">
        <v>11</v>
      </c>
      <c r="D2072" t="s">
        <v>51</v>
      </c>
      <c r="E2072">
        <v>86</v>
      </c>
      <c r="F2072">
        <v>154</v>
      </c>
      <c r="G2072" s="1">
        <v>7500</v>
      </c>
      <c r="H2072" s="1">
        <v>6710</v>
      </c>
      <c r="I2072" s="1">
        <v>22810</v>
      </c>
      <c r="J2072" s="1">
        <v>3399</v>
      </c>
    </row>
    <row r="2073" spans="1:10" x14ac:dyDescent="0.3">
      <c r="A2073" t="s">
        <v>70</v>
      </c>
      <c r="B2073" t="s">
        <v>16</v>
      </c>
      <c r="C2073" t="s">
        <v>11</v>
      </c>
      <c r="D2073" t="s">
        <v>51</v>
      </c>
      <c r="E2073">
        <v>86</v>
      </c>
      <c r="F2073">
        <v>154</v>
      </c>
      <c r="G2073" s="1">
        <v>7500</v>
      </c>
      <c r="H2073" s="1">
        <v>7500</v>
      </c>
      <c r="I2073" s="1">
        <v>26250</v>
      </c>
      <c r="J2073" s="1">
        <v>3500</v>
      </c>
    </row>
    <row r="2074" spans="1:10" x14ac:dyDescent="0.3">
      <c r="A2074" t="s">
        <v>70</v>
      </c>
      <c r="B2074" t="s">
        <v>17</v>
      </c>
      <c r="C2074" t="s">
        <v>11</v>
      </c>
      <c r="D2074" t="s">
        <v>51</v>
      </c>
      <c r="E2074">
        <v>86</v>
      </c>
      <c r="F2074">
        <v>154</v>
      </c>
      <c r="G2074" s="1">
        <v>7000</v>
      </c>
      <c r="H2074" s="1">
        <v>7000</v>
      </c>
      <c r="I2074" s="1">
        <v>23100</v>
      </c>
      <c r="J2074" s="1">
        <v>3300</v>
      </c>
    </row>
    <row r="2075" spans="1:10" x14ac:dyDescent="0.3">
      <c r="A2075" t="s">
        <v>70</v>
      </c>
      <c r="B2075" t="s">
        <v>18</v>
      </c>
      <c r="C2075" t="s">
        <v>11</v>
      </c>
      <c r="D2075" t="s">
        <v>51</v>
      </c>
      <c r="E2075">
        <v>86</v>
      </c>
      <c r="F2075">
        <v>154</v>
      </c>
      <c r="G2075" s="1">
        <v>1800</v>
      </c>
      <c r="H2075" s="1">
        <v>1000</v>
      </c>
      <c r="I2075" s="1">
        <v>2200</v>
      </c>
      <c r="J2075" s="1">
        <v>2200</v>
      </c>
    </row>
    <row r="2076" spans="1:10" x14ac:dyDescent="0.3">
      <c r="A2076" t="s">
        <v>70</v>
      </c>
      <c r="B2076" t="s">
        <v>19</v>
      </c>
      <c r="C2076" t="s">
        <v>11</v>
      </c>
      <c r="D2076" t="s">
        <v>51</v>
      </c>
      <c r="E2076">
        <v>86</v>
      </c>
      <c r="F2076">
        <v>154</v>
      </c>
      <c r="G2076" s="1">
        <v>1538</v>
      </c>
      <c r="H2076" s="1">
        <v>518</v>
      </c>
      <c r="I2076" s="1">
        <v>1709</v>
      </c>
      <c r="J2076" s="1">
        <v>3299</v>
      </c>
    </row>
    <row r="2077" spans="1:10" x14ac:dyDescent="0.3">
      <c r="A2077" t="s">
        <v>70</v>
      </c>
      <c r="B2077" t="s">
        <v>20</v>
      </c>
      <c r="C2077" t="s">
        <v>11</v>
      </c>
      <c r="D2077" t="s">
        <v>51</v>
      </c>
      <c r="E2077">
        <v>86</v>
      </c>
      <c r="F2077">
        <v>154</v>
      </c>
      <c r="G2077" s="1">
        <v>1600</v>
      </c>
      <c r="H2077" s="1">
        <v>710</v>
      </c>
      <c r="I2077" s="1">
        <v>2343</v>
      </c>
      <c r="J2077" s="1">
        <v>3300</v>
      </c>
    </row>
    <row r="2078" spans="1:10" x14ac:dyDescent="0.3">
      <c r="A2078" t="s">
        <v>70</v>
      </c>
      <c r="B2078" t="s">
        <v>21</v>
      </c>
      <c r="C2078" t="s">
        <v>11</v>
      </c>
      <c r="D2078" t="s">
        <v>51</v>
      </c>
      <c r="E2078">
        <v>86</v>
      </c>
      <c r="F2078">
        <v>154</v>
      </c>
      <c r="G2078" s="1">
        <v>2200</v>
      </c>
      <c r="H2078" s="1">
        <v>340</v>
      </c>
      <c r="I2078" s="1">
        <v>1224</v>
      </c>
      <c r="J2078" s="1">
        <v>3600</v>
      </c>
    </row>
    <row r="2079" spans="1:10" x14ac:dyDescent="0.3">
      <c r="A2079" t="s">
        <v>70</v>
      </c>
      <c r="B2079" t="s">
        <v>22</v>
      </c>
      <c r="C2079" t="s">
        <v>11</v>
      </c>
      <c r="D2079" t="s">
        <v>51</v>
      </c>
      <c r="E2079">
        <v>86</v>
      </c>
      <c r="F2079">
        <v>154</v>
      </c>
      <c r="G2079" s="1">
        <v>2200</v>
      </c>
      <c r="H2079" s="1">
        <v>1480</v>
      </c>
      <c r="I2079" s="1">
        <v>4736</v>
      </c>
      <c r="J2079" s="1">
        <v>3200</v>
      </c>
    </row>
    <row r="2080" spans="1:10" x14ac:dyDescent="0.3">
      <c r="A2080" t="s">
        <v>70</v>
      </c>
      <c r="B2080" t="s">
        <v>23</v>
      </c>
      <c r="C2080" t="s">
        <v>11</v>
      </c>
      <c r="D2080" t="s">
        <v>51</v>
      </c>
      <c r="E2080">
        <v>86</v>
      </c>
      <c r="F2080">
        <v>154</v>
      </c>
      <c r="G2080" s="1">
        <v>2200</v>
      </c>
      <c r="H2080" s="1">
        <v>1470</v>
      </c>
      <c r="I2080" s="1">
        <v>3822</v>
      </c>
      <c r="J2080" s="1">
        <v>2600</v>
      </c>
    </row>
    <row r="2081" spans="1:10" x14ac:dyDescent="0.3">
      <c r="A2081" t="s">
        <v>70</v>
      </c>
      <c r="B2081" t="s">
        <v>24</v>
      </c>
      <c r="C2081" t="s">
        <v>11</v>
      </c>
      <c r="D2081" t="s">
        <v>51</v>
      </c>
      <c r="E2081">
        <v>86</v>
      </c>
      <c r="F2081">
        <v>154</v>
      </c>
      <c r="G2081" s="1">
        <v>2400</v>
      </c>
      <c r="H2081" s="1">
        <v>1160</v>
      </c>
      <c r="I2081" s="1">
        <v>3480</v>
      </c>
      <c r="J2081" s="1">
        <v>3000</v>
      </c>
    </row>
    <row r="2082" spans="1:10" x14ac:dyDescent="0.3">
      <c r="A2082" t="s">
        <v>70</v>
      </c>
      <c r="B2082" t="s">
        <v>25</v>
      </c>
      <c r="C2082" t="s">
        <v>11</v>
      </c>
      <c r="D2082" t="s">
        <v>51</v>
      </c>
      <c r="E2082">
        <v>86</v>
      </c>
      <c r="F2082">
        <v>154</v>
      </c>
      <c r="G2082" s="1">
        <v>3380</v>
      </c>
      <c r="H2082" s="1">
        <v>2290</v>
      </c>
      <c r="I2082" s="1">
        <v>5267</v>
      </c>
      <c r="J2082" s="1">
        <v>2300</v>
      </c>
    </row>
    <row r="2083" spans="1:10" x14ac:dyDescent="0.3">
      <c r="A2083" t="s">
        <v>70</v>
      </c>
      <c r="B2083" t="s">
        <v>15</v>
      </c>
      <c r="C2083" t="s">
        <v>11</v>
      </c>
      <c r="D2083" t="s">
        <v>45</v>
      </c>
      <c r="E2083">
        <v>86</v>
      </c>
      <c r="F2083">
        <v>161</v>
      </c>
      <c r="G2083" s="1">
        <v>2200</v>
      </c>
      <c r="H2083" s="1">
        <v>1700</v>
      </c>
      <c r="I2083" s="1">
        <v>6460</v>
      </c>
      <c r="J2083" s="1">
        <v>3800</v>
      </c>
    </row>
    <row r="2084" spans="1:10" x14ac:dyDescent="0.3">
      <c r="A2084" t="s">
        <v>70</v>
      </c>
      <c r="B2084" t="s">
        <v>16</v>
      </c>
      <c r="C2084" t="s">
        <v>11</v>
      </c>
      <c r="D2084" t="s">
        <v>45</v>
      </c>
      <c r="E2084">
        <v>86</v>
      </c>
      <c r="F2084">
        <v>161</v>
      </c>
      <c r="G2084" s="1">
        <v>3500</v>
      </c>
      <c r="H2084" s="1">
        <v>3000</v>
      </c>
      <c r="I2084" s="1">
        <v>11400</v>
      </c>
      <c r="J2084" s="1">
        <v>3800</v>
      </c>
    </row>
    <row r="2085" spans="1:10" x14ac:dyDescent="0.3">
      <c r="A2085" t="s">
        <v>70</v>
      </c>
      <c r="B2085" t="s">
        <v>17</v>
      </c>
      <c r="C2085" t="s">
        <v>11</v>
      </c>
      <c r="D2085" t="s">
        <v>45</v>
      </c>
      <c r="E2085">
        <v>86</v>
      </c>
      <c r="F2085">
        <v>161</v>
      </c>
      <c r="G2085" s="1">
        <v>3500</v>
      </c>
      <c r="H2085" s="1">
        <v>3150</v>
      </c>
      <c r="I2085" s="1">
        <v>14175</v>
      </c>
      <c r="J2085" s="1">
        <v>4500</v>
      </c>
    </row>
    <row r="2086" spans="1:10" x14ac:dyDescent="0.3">
      <c r="A2086" t="s">
        <v>70</v>
      </c>
      <c r="B2086" t="s">
        <v>18</v>
      </c>
      <c r="C2086" t="s">
        <v>11</v>
      </c>
      <c r="D2086" t="s">
        <v>45</v>
      </c>
      <c r="E2086">
        <v>86</v>
      </c>
      <c r="F2086">
        <v>161</v>
      </c>
      <c r="G2086" s="1">
        <v>2000</v>
      </c>
      <c r="H2086" s="1">
        <v>1800</v>
      </c>
      <c r="I2086" s="1">
        <v>5400</v>
      </c>
      <c r="J2086" s="1">
        <v>3000</v>
      </c>
    </row>
    <row r="2087" spans="1:10" x14ac:dyDescent="0.3">
      <c r="A2087" t="s">
        <v>70</v>
      </c>
      <c r="B2087" t="s">
        <v>19</v>
      </c>
      <c r="C2087" t="s">
        <v>11</v>
      </c>
      <c r="D2087" t="s">
        <v>45</v>
      </c>
      <c r="E2087">
        <v>86</v>
      </c>
      <c r="F2087">
        <v>161</v>
      </c>
      <c r="G2087" s="1">
        <v>2000</v>
      </c>
      <c r="H2087" s="1">
        <v>1800</v>
      </c>
      <c r="I2087" s="1">
        <v>8100</v>
      </c>
      <c r="J2087" s="1">
        <v>4500</v>
      </c>
    </row>
    <row r="2088" spans="1:10" x14ac:dyDescent="0.3">
      <c r="A2088" t="s">
        <v>70</v>
      </c>
      <c r="B2088" t="s">
        <v>20</v>
      </c>
      <c r="C2088" t="s">
        <v>11</v>
      </c>
      <c r="D2088" t="s">
        <v>45</v>
      </c>
      <c r="E2088">
        <v>86</v>
      </c>
      <c r="F2088">
        <v>161</v>
      </c>
      <c r="G2088" s="1">
        <v>2000</v>
      </c>
      <c r="H2088" s="1">
        <v>1800</v>
      </c>
      <c r="I2088" s="1">
        <v>8100</v>
      </c>
      <c r="J2088" s="1">
        <v>4500</v>
      </c>
    </row>
    <row r="2089" spans="1:10" x14ac:dyDescent="0.3">
      <c r="A2089" t="s">
        <v>70</v>
      </c>
      <c r="B2089" t="s">
        <v>21</v>
      </c>
      <c r="C2089" t="s">
        <v>11</v>
      </c>
      <c r="D2089" t="s">
        <v>45</v>
      </c>
      <c r="E2089">
        <v>86</v>
      </c>
      <c r="F2089">
        <v>161</v>
      </c>
      <c r="G2089" s="1">
        <v>3000</v>
      </c>
      <c r="H2089" s="1">
        <v>2700</v>
      </c>
      <c r="I2089" s="1">
        <v>12150</v>
      </c>
      <c r="J2089" s="1">
        <v>4500</v>
      </c>
    </row>
    <row r="2090" spans="1:10" x14ac:dyDescent="0.3">
      <c r="A2090" t="s">
        <v>70</v>
      </c>
      <c r="B2090" t="s">
        <v>22</v>
      </c>
      <c r="C2090" t="s">
        <v>11</v>
      </c>
      <c r="D2090" t="s">
        <v>45</v>
      </c>
      <c r="E2090">
        <v>86</v>
      </c>
      <c r="F2090">
        <v>161</v>
      </c>
      <c r="G2090" s="1">
        <v>3000</v>
      </c>
      <c r="H2090" s="1">
        <v>2700</v>
      </c>
      <c r="I2090" s="1">
        <v>12150</v>
      </c>
      <c r="J2090" s="1">
        <v>4500</v>
      </c>
    </row>
    <row r="2091" spans="1:10" x14ac:dyDescent="0.3">
      <c r="A2091" t="s">
        <v>70</v>
      </c>
      <c r="B2091" t="s">
        <v>23</v>
      </c>
      <c r="C2091" t="s">
        <v>11</v>
      </c>
      <c r="D2091" t="s">
        <v>45</v>
      </c>
      <c r="E2091">
        <v>86</v>
      </c>
      <c r="F2091">
        <v>161</v>
      </c>
      <c r="G2091" s="1">
        <v>3000</v>
      </c>
      <c r="H2091" s="1">
        <v>2400</v>
      </c>
      <c r="I2091" s="1">
        <v>10800</v>
      </c>
      <c r="J2091" s="1">
        <v>4500</v>
      </c>
    </row>
    <row r="2092" spans="1:10" x14ac:dyDescent="0.3">
      <c r="A2092" t="s">
        <v>70</v>
      </c>
      <c r="B2092" t="s">
        <v>24</v>
      </c>
      <c r="C2092" t="s">
        <v>11</v>
      </c>
      <c r="D2092" t="s">
        <v>45</v>
      </c>
      <c r="E2092">
        <v>86</v>
      </c>
      <c r="F2092">
        <v>161</v>
      </c>
      <c r="G2092" s="1">
        <v>3000</v>
      </c>
      <c r="H2092" s="1">
        <v>2370</v>
      </c>
      <c r="I2092" s="1">
        <v>8295</v>
      </c>
      <c r="J2092" s="1">
        <v>3500</v>
      </c>
    </row>
    <row r="2093" spans="1:10" x14ac:dyDescent="0.3">
      <c r="A2093" t="s">
        <v>70</v>
      </c>
      <c r="B2093" t="s">
        <v>25</v>
      </c>
      <c r="C2093" t="s">
        <v>11</v>
      </c>
      <c r="D2093" t="s">
        <v>45</v>
      </c>
      <c r="E2093">
        <v>86</v>
      </c>
      <c r="F2093">
        <v>161</v>
      </c>
      <c r="G2093" s="1">
        <v>3300</v>
      </c>
      <c r="H2093" s="1">
        <v>2190</v>
      </c>
      <c r="I2093" s="1">
        <v>8760</v>
      </c>
      <c r="J2093" s="1">
        <v>4000</v>
      </c>
    </row>
    <row r="2094" spans="1:10" x14ac:dyDescent="0.3">
      <c r="A2094" t="s">
        <v>70</v>
      </c>
      <c r="B2094" t="s">
        <v>15</v>
      </c>
      <c r="C2094" t="s">
        <v>11</v>
      </c>
      <c r="D2094" t="s">
        <v>46</v>
      </c>
      <c r="E2094">
        <v>86</v>
      </c>
      <c r="F2094">
        <v>175</v>
      </c>
      <c r="G2094" s="1">
        <v>1300</v>
      </c>
      <c r="H2094" s="1">
        <v>800</v>
      </c>
      <c r="I2094" s="1">
        <v>2800</v>
      </c>
      <c r="J2094" s="1">
        <v>3500</v>
      </c>
    </row>
    <row r="2095" spans="1:10" x14ac:dyDescent="0.3">
      <c r="A2095" t="s">
        <v>70</v>
      </c>
      <c r="B2095" t="s">
        <v>16</v>
      </c>
      <c r="C2095" t="s">
        <v>11</v>
      </c>
      <c r="D2095" t="s">
        <v>46</v>
      </c>
      <c r="E2095">
        <v>86</v>
      </c>
      <c r="F2095">
        <v>175</v>
      </c>
      <c r="G2095" s="1">
        <v>2000</v>
      </c>
      <c r="H2095" s="1">
        <v>2000</v>
      </c>
      <c r="I2095" s="1">
        <v>7600</v>
      </c>
      <c r="J2095" s="1">
        <v>3800</v>
      </c>
    </row>
    <row r="2096" spans="1:10" x14ac:dyDescent="0.3">
      <c r="A2096" t="s">
        <v>70</v>
      </c>
      <c r="B2096" t="s">
        <v>17</v>
      </c>
      <c r="C2096" t="s">
        <v>11</v>
      </c>
      <c r="D2096" t="s">
        <v>46</v>
      </c>
      <c r="E2096">
        <v>86</v>
      </c>
      <c r="F2096">
        <v>175</v>
      </c>
      <c r="G2096" s="1">
        <v>2500</v>
      </c>
      <c r="H2096" s="1">
        <v>2250</v>
      </c>
      <c r="I2096" s="1">
        <v>10125</v>
      </c>
      <c r="J2096" s="1">
        <v>4500</v>
      </c>
    </row>
    <row r="2097" spans="1:10" x14ac:dyDescent="0.3">
      <c r="A2097" t="s">
        <v>70</v>
      </c>
      <c r="B2097" t="s">
        <v>18</v>
      </c>
      <c r="C2097" t="s">
        <v>11</v>
      </c>
      <c r="D2097" t="s">
        <v>46</v>
      </c>
      <c r="E2097">
        <v>86</v>
      </c>
      <c r="F2097">
        <v>175</v>
      </c>
      <c r="G2097" s="1">
        <v>1500</v>
      </c>
      <c r="H2097" s="1">
        <v>1500</v>
      </c>
      <c r="I2097" s="1">
        <v>4500</v>
      </c>
      <c r="J2097" s="1">
        <v>3000</v>
      </c>
    </row>
    <row r="2098" spans="1:10" x14ac:dyDescent="0.3">
      <c r="A2098" t="s">
        <v>70</v>
      </c>
      <c r="B2098" t="s">
        <v>19</v>
      </c>
      <c r="C2098" t="s">
        <v>11</v>
      </c>
      <c r="D2098" t="s">
        <v>46</v>
      </c>
      <c r="E2098">
        <v>86</v>
      </c>
      <c r="F2098">
        <v>175</v>
      </c>
      <c r="G2098" s="1">
        <v>2000</v>
      </c>
      <c r="H2098" s="1">
        <v>2000</v>
      </c>
      <c r="I2098" s="1">
        <v>9000</v>
      </c>
      <c r="J2098" s="1">
        <v>4500</v>
      </c>
    </row>
    <row r="2099" spans="1:10" x14ac:dyDescent="0.3">
      <c r="A2099" t="s">
        <v>70</v>
      </c>
      <c r="B2099" t="s">
        <v>20</v>
      </c>
      <c r="C2099" t="s">
        <v>11</v>
      </c>
      <c r="D2099" t="s">
        <v>46</v>
      </c>
      <c r="E2099">
        <v>86</v>
      </c>
      <c r="F2099">
        <v>175</v>
      </c>
      <c r="G2099" s="1">
        <v>2000</v>
      </c>
      <c r="H2099" s="1">
        <v>1800</v>
      </c>
      <c r="I2099" s="1">
        <v>8100</v>
      </c>
      <c r="J2099" s="1">
        <v>4500</v>
      </c>
    </row>
    <row r="2100" spans="1:10" x14ac:dyDescent="0.3">
      <c r="A2100" t="s">
        <v>70</v>
      </c>
      <c r="B2100" t="s">
        <v>21</v>
      </c>
      <c r="C2100" t="s">
        <v>11</v>
      </c>
      <c r="D2100" t="s">
        <v>46</v>
      </c>
      <c r="E2100">
        <v>86</v>
      </c>
      <c r="F2100">
        <v>175</v>
      </c>
      <c r="G2100" s="1">
        <v>3000</v>
      </c>
      <c r="H2100" s="1">
        <v>2700</v>
      </c>
      <c r="I2100" s="1">
        <v>12150</v>
      </c>
      <c r="J2100" s="1">
        <v>4500</v>
      </c>
    </row>
    <row r="2101" spans="1:10" x14ac:dyDescent="0.3">
      <c r="A2101" t="s">
        <v>70</v>
      </c>
      <c r="B2101" t="s">
        <v>22</v>
      </c>
      <c r="C2101" t="s">
        <v>11</v>
      </c>
      <c r="D2101" t="s">
        <v>46</v>
      </c>
      <c r="E2101">
        <v>86</v>
      </c>
      <c r="F2101">
        <v>175</v>
      </c>
      <c r="G2101" s="1">
        <v>3000</v>
      </c>
      <c r="H2101" s="1">
        <v>2700</v>
      </c>
      <c r="I2101" s="1">
        <v>12150</v>
      </c>
      <c r="J2101" s="1">
        <v>4500</v>
      </c>
    </row>
    <row r="2102" spans="1:10" x14ac:dyDescent="0.3">
      <c r="A2102" t="s">
        <v>70</v>
      </c>
      <c r="B2102" t="s">
        <v>23</v>
      </c>
      <c r="C2102" t="s">
        <v>11</v>
      </c>
      <c r="D2102" t="s">
        <v>46</v>
      </c>
      <c r="E2102">
        <v>86</v>
      </c>
      <c r="F2102">
        <v>175</v>
      </c>
      <c r="G2102" s="1">
        <v>4000</v>
      </c>
      <c r="H2102" s="1">
        <v>3200</v>
      </c>
      <c r="I2102" s="1">
        <v>14400</v>
      </c>
      <c r="J2102" s="1">
        <v>4500</v>
      </c>
    </row>
    <row r="2103" spans="1:10" x14ac:dyDescent="0.3">
      <c r="A2103" t="s">
        <v>70</v>
      </c>
      <c r="B2103" t="s">
        <v>24</v>
      </c>
      <c r="C2103" t="s">
        <v>11</v>
      </c>
      <c r="D2103" t="s">
        <v>46</v>
      </c>
      <c r="E2103">
        <v>86</v>
      </c>
      <c r="F2103">
        <v>175</v>
      </c>
      <c r="G2103" s="1">
        <v>4000</v>
      </c>
      <c r="H2103" s="1">
        <v>3195</v>
      </c>
      <c r="I2103" s="1">
        <v>11183</v>
      </c>
      <c r="J2103" s="1">
        <v>3500</v>
      </c>
    </row>
    <row r="2104" spans="1:10" x14ac:dyDescent="0.3">
      <c r="A2104" t="s">
        <v>70</v>
      </c>
      <c r="B2104" t="s">
        <v>25</v>
      </c>
      <c r="C2104" t="s">
        <v>11</v>
      </c>
      <c r="D2104" t="s">
        <v>46</v>
      </c>
      <c r="E2104">
        <v>86</v>
      </c>
      <c r="F2104">
        <v>175</v>
      </c>
      <c r="G2104" s="1">
        <v>4400</v>
      </c>
      <c r="H2104" s="1">
        <v>3205</v>
      </c>
      <c r="I2104" s="1">
        <v>12820</v>
      </c>
      <c r="J2104" s="1">
        <v>4000</v>
      </c>
    </row>
    <row r="2105" spans="1:10" x14ac:dyDescent="0.3">
      <c r="A2105" t="s">
        <v>70</v>
      </c>
      <c r="B2105" t="s">
        <v>15</v>
      </c>
      <c r="C2105" t="s">
        <v>11</v>
      </c>
      <c r="D2105" t="s">
        <v>47</v>
      </c>
      <c r="E2105">
        <v>86</v>
      </c>
      <c r="F2105">
        <v>182</v>
      </c>
      <c r="G2105" s="1">
        <v>1800</v>
      </c>
      <c r="H2105" s="1">
        <v>1610</v>
      </c>
      <c r="I2105" s="1">
        <v>4190</v>
      </c>
      <c r="J2105" s="1">
        <v>2602</v>
      </c>
    </row>
    <row r="2106" spans="1:10" x14ac:dyDescent="0.3">
      <c r="A2106" t="s">
        <v>70</v>
      </c>
      <c r="B2106" t="s">
        <v>16</v>
      </c>
      <c r="C2106" t="s">
        <v>11</v>
      </c>
      <c r="D2106" t="s">
        <v>47</v>
      </c>
      <c r="E2106">
        <v>86</v>
      </c>
      <c r="F2106">
        <v>182</v>
      </c>
      <c r="G2106" s="1">
        <v>3500</v>
      </c>
      <c r="H2106" s="1">
        <v>3000</v>
      </c>
      <c r="I2106" s="1">
        <v>11400</v>
      </c>
      <c r="J2106" s="1">
        <v>3800</v>
      </c>
    </row>
    <row r="2107" spans="1:10" x14ac:dyDescent="0.3">
      <c r="A2107" t="s">
        <v>70</v>
      </c>
      <c r="B2107" t="s">
        <v>17</v>
      </c>
      <c r="C2107" t="s">
        <v>11</v>
      </c>
      <c r="D2107" t="s">
        <v>47</v>
      </c>
      <c r="E2107">
        <v>86</v>
      </c>
      <c r="F2107">
        <v>182</v>
      </c>
      <c r="G2107" s="1">
        <v>1500</v>
      </c>
      <c r="H2107" s="1">
        <v>1050</v>
      </c>
      <c r="I2107" s="1">
        <v>3255</v>
      </c>
      <c r="J2107" s="1">
        <v>3100</v>
      </c>
    </row>
    <row r="2108" spans="1:10" x14ac:dyDescent="0.3">
      <c r="A2108" t="s">
        <v>70</v>
      </c>
      <c r="B2108" t="s">
        <v>18</v>
      </c>
      <c r="C2108" t="s">
        <v>11</v>
      </c>
      <c r="D2108" t="s">
        <v>47</v>
      </c>
      <c r="E2108">
        <v>86</v>
      </c>
      <c r="F2108">
        <v>182</v>
      </c>
      <c r="G2108" s="1">
        <v>1350</v>
      </c>
      <c r="H2108" s="1">
        <v>700</v>
      </c>
      <c r="I2108" s="1">
        <v>2100</v>
      </c>
      <c r="J2108" s="1">
        <v>3000</v>
      </c>
    </row>
    <row r="2109" spans="1:10" x14ac:dyDescent="0.3">
      <c r="A2109" t="s">
        <v>70</v>
      </c>
      <c r="B2109" t="s">
        <v>19</v>
      </c>
      <c r="C2109" t="s">
        <v>11</v>
      </c>
      <c r="D2109" t="s">
        <v>47</v>
      </c>
      <c r="E2109">
        <v>86</v>
      </c>
      <c r="F2109">
        <v>182</v>
      </c>
      <c r="G2109" s="1">
        <v>1280</v>
      </c>
      <c r="H2109" s="1">
        <v>630</v>
      </c>
      <c r="I2109" s="1">
        <v>1764</v>
      </c>
      <c r="J2109" s="1">
        <v>2800</v>
      </c>
    </row>
    <row r="2110" spans="1:10" x14ac:dyDescent="0.3">
      <c r="A2110" t="s">
        <v>70</v>
      </c>
      <c r="B2110" t="s">
        <v>20</v>
      </c>
      <c r="C2110" t="s">
        <v>11</v>
      </c>
      <c r="D2110" t="s">
        <v>47</v>
      </c>
      <c r="E2110">
        <v>86</v>
      </c>
      <c r="F2110">
        <v>182</v>
      </c>
      <c r="G2110" s="1">
        <v>800</v>
      </c>
      <c r="H2110" s="1">
        <v>800</v>
      </c>
      <c r="I2110" s="1">
        <v>1200</v>
      </c>
      <c r="J2110" s="1">
        <v>1500</v>
      </c>
    </row>
    <row r="2111" spans="1:10" x14ac:dyDescent="0.3">
      <c r="A2111" t="s">
        <v>70</v>
      </c>
      <c r="B2111" t="s">
        <v>21</v>
      </c>
      <c r="C2111" t="s">
        <v>11</v>
      </c>
      <c r="D2111" t="s">
        <v>47</v>
      </c>
      <c r="E2111">
        <v>86</v>
      </c>
      <c r="F2111">
        <v>182</v>
      </c>
      <c r="G2111" s="1">
        <v>950</v>
      </c>
      <c r="H2111" s="1">
        <v>950</v>
      </c>
      <c r="I2111" s="1">
        <v>3420</v>
      </c>
      <c r="J2111" s="1">
        <v>3600</v>
      </c>
    </row>
    <row r="2112" spans="1:10" x14ac:dyDescent="0.3">
      <c r="A2112" t="s">
        <v>70</v>
      </c>
      <c r="B2112" t="s">
        <v>22</v>
      </c>
      <c r="C2112" t="s">
        <v>11</v>
      </c>
      <c r="D2112" t="s">
        <v>47</v>
      </c>
      <c r="E2112">
        <v>86</v>
      </c>
      <c r="F2112">
        <v>182</v>
      </c>
      <c r="G2112" s="1">
        <v>902</v>
      </c>
      <c r="H2112" s="1">
        <v>552</v>
      </c>
      <c r="I2112" s="1">
        <v>1766</v>
      </c>
      <c r="J2112" s="1">
        <v>3199</v>
      </c>
    </row>
    <row r="2113" spans="1:10" x14ac:dyDescent="0.3">
      <c r="A2113" t="s">
        <v>70</v>
      </c>
      <c r="B2113" t="s">
        <v>23</v>
      </c>
      <c r="C2113" t="s">
        <v>11</v>
      </c>
      <c r="D2113" t="s">
        <v>47</v>
      </c>
      <c r="E2113">
        <v>86</v>
      </c>
      <c r="F2113">
        <v>182</v>
      </c>
      <c r="G2113" s="1">
        <v>903</v>
      </c>
      <c r="H2113" s="1">
        <v>903</v>
      </c>
      <c r="I2113" s="1">
        <v>2077</v>
      </c>
      <c r="J2113" s="1">
        <v>2300</v>
      </c>
    </row>
    <row r="2114" spans="1:10" x14ac:dyDescent="0.3">
      <c r="A2114" t="s">
        <v>70</v>
      </c>
      <c r="B2114" t="s">
        <v>24</v>
      </c>
      <c r="C2114" t="s">
        <v>11</v>
      </c>
      <c r="D2114" t="s">
        <v>47</v>
      </c>
      <c r="E2114">
        <v>86</v>
      </c>
      <c r="F2114">
        <v>182</v>
      </c>
      <c r="G2114" s="1">
        <v>1050</v>
      </c>
      <c r="H2114" s="1">
        <v>540</v>
      </c>
      <c r="I2114" s="1">
        <v>1296</v>
      </c>
      <c r="J2114" s="1">
        <v>2400</v>
      </c>
    </row>
    <row r="2115" spans="1:10" x14ac:dyDescent="0.3">
      <c r="A2115" t="s">
        <v>70</v>
      </c>
      <c r="B2115" t="s">
        <v>25</v>
      </c>
      <c r="C2115" t="s">
        <v>11</v>
      </c>
      <c r="D2115" t="s">
        <v>47</v>
      </c>
      <c r="E2115">
        <v>86</v>
      </c>
      <c r="F2115">
        <v>182</v>
      </c>
      <c r="G2115" s="1">
        <v>1410</v>
      </c>
      <c r="H2115" s="1">
        <v>1300</v>
      </c>
      <c r="I2115" s="1">
        <v>2730</v>
      </c>
      <c r="J2115" s="1">
        <v>2100</v>
      </c>
    </row>
    <row r="2116" spans="1:10" x14ac:dyDescent="0.3">
      <c r="A2116" t="s">
        <v>70</v>
      </c>
      <c r="B2116" t="s">
        <v>15</v>
      </c>
      <c r="C2116" t="s">
        <v>11</v>
      </c>
      <c r="D2116" t="s">
        <v>48</v>
      </c>
      <c r="E2116">
        <v>86</v>
      </c>
      <c r="F2116">
        <v>189</v>
      </c>
      <c r="G2116" s="1">
        <v>2200</v>
      </c>
      <c r="H2116" s="1">
        <v>1200</v>
      </c>
      <c r="I2116" s="1">
        <v>4560</v>
      </c>
      <c r="J2116" s="1">
        <v>3800</v>
      </c>
    </row>
    <row r="2117" spans="1:10" x14ac:dyDescent="0.3">
      <c r="A2117" t="s">
        <v>70</v>
      </c>
      <c r="B2117" t="s">
        <v>17</v>
      </c>
      <c r="C2117" t="s">
        <v>11</v>
      </c>
      <c r="D2117" t="s">
        <v>48</v>
      </c>
      <c r="E2117">
        <v>86</v>
      </c>
      <c r="F2117">
        <v>189</v>
      </c>
      <c r="G2117" s="1">
        <v>3500</v>
      </c>
      <c r="H2117" s="1">
        <v>3150</v>
      </c>
      <c r="I2117" s="1">
        <v>14175</v>
      </c>
      <c r="J2117" s="1">
        <v>4500</v>
      </c>
    </row>
    <row r="2118" spans="1:10" x14ac:dyDescent="0.3">
      <c r="A2118" t="s">
        <v>70</v>
      </c>
      <c r="B2118" t="s">
        <v>18</v>
      </c>
      <c r="C2118" t="s">
        <v>11</v>
      </c>
      <c r="D2118" t="s">
        <v>48</v>
      </c>
      <c r="E2118">
        <v>86</v>
      </c>
      <c r="F2118">
        <v>189</v>
      </c>
      <c r="G2118" s="1">
        <v>1500</v>
      </c>
      <c r="H2118" s="1">
        <v>1350</v>
      </c>
      <c r="I2118" s="1">
        <v>4455</v>
      </c>
      <c r="J2118" s="1">
        <v>3300</v>
      </c>
    </row>
    <row r="2119" spans="1:10" x14ac:dyDescent="0.3">
      <c r="A2119" t="s">
        <v>70</v>
      </c>
      <c r="B2119" t="s">
        <v>19</v>
      </c>
      <c r="C2119" t="s">
        <v>11</v>
      </c>
      <c r="D2119" t="s">
        <v>48</v>
      </c>
      <c r="E2119">
        <v>86</v>
      </c>
      <c r="F2119">
        <v>189</v>
      </c>
      <c r="G2119" s="1">
        <v>1500</v>
      </c>
      <c r="H2119" s="1">
        <v>1300</v>
      </c>
      <c r="I2119" s="1">
        <v>6500</v>
      </c>
      <c r="J2119" s="1">
        <v>5000</v>
      </c>
    </row>
    <row r="2120" spans="1:10" x14ac:dyDescent="0.3">
      <c r="A2120" t="s">
        <v>70</v>
      </c>
      <c r="B2120" t="s">
        <v>20</v>
      </c>
      <c r="C2120" t="s">
        <v>11</v>
      </c>
      <c r="D2120" t="s">
        <v>48</v>
      </c>
      <c r="E2120">
        <v>86</v>
      </c>
      <c r="F2120">
        <v>189</v>
      </c>
      <c r="G2120" s="1">
        <v>1500</v>
      </c>
      <c r="H2120" s="1">
        <v>1350</v>
      </c>
      <c r="I2120" s="1">
        <v>6075</v>
      </c>
      <c r="J2120" s="1">
        <v>4500</v>
      </c>
    </row>
    <row r="2121" spans="1:10" x14ac:dyDescent="0.3">
      <c r="A2121" t="s">
        <v>70</v>
      </c>
      <c r="B2121" t="s">
        <v>21</v>
      </c>
      <c r="C2121" t="s">
        <v>11</v>
      </c>
      <c r="D2121" t="s">
        <v>48</v>
      </c>
      <c r="E2121">
        <v>86</v>
      </c>
      <c r="F2121">
        <v>189</v>
      </c>
      <c r="G2121" s="1">
        <v>2500</v>
      </c>
      <c r="H2121" s="1">
        <v>2250</v>
      </c>
      <c r="I2121" s="1">
        <v>10125</v>
      </c>
      <c r="J2121" s="1">
        <v>4500</v>
      </c>
    </row>
    <row r="2122" spans="1:10" x14ac:dyDescent="0.3">
      <c r="A2122" t="s">
        <v>70</v>
      </c>
      <c r="B2122" t="s">
        <v>22</v>
      </c>
      <c r="C2122" t="s">
        <v>11</v>
      </c>
      <c r="D2122" t="s">
        <v>48</v>
      </c>
      <c r="E2122">
        <v>86</v>
      </c>
      <c r="F2122">
        <v>189</v>
      </c>
      <c r="G2122" s="1">
        <v>2500</v>
      </c>
      <c r="H2122" s="1">
        <v>2250</v>
      </c>
      <c r="I2122" s="1">
        <v>10125</v>
      </c>
      <c r="J2122" s="1">
        <v>4500</v>
      </c>
    </row>
    <row r="2123" spans="1:10" x14ac:dyDescent="0.3">
      <c r="A2123" t="s">
        <v>70</v>
      </c>
      <c r="B2123" t="s">
        <v>23</v>
      </c>
      <c r="C2123" t="s">
        <v>11</v>
      </c>
      <c r="D2123" t="s">
        <v>48</v>
      </c>
      <c r="E2123">
        <v>86</v>
      </c>
      <c r="F2123">
        <v>189</v>
      </c>
      <c r="G2123" s="1">
        <v>2500</v>
      </c>
      <c r="H2123" s="1">
        <v>2000</v>
      </c>
      <c r="I2123" s="1">
        <v>11000</v>
      </c>
      <c r="J2123" s="1">
        <v>5500</v>
      </c>
    </row>
    <row r="2124" spans="1:10" x14ac:dyDescent="0.3">
      <c r="A2124" t="s">
        <v>70</v>
      </c>
      <c r="B2124" t="s">
        <v>24</v>
      </c>
      <c r="C2124" t="s">
        <v>11</v>
      </c>
      <c r="D2124" t="s">
        <v>48</v>
      </c>
      <c r="E2124">
        <v>86</v>
      </c>
      <c r="F2124">
        <v>189</v>
      </c>
      <c r="G2124" s="1">
        <v>2500</v>
      </c>
      <c r="H2124" s="1">
        <v>1970</v>
      </c>
      <c r="I2124" s="1">
        <v>6895</v>
      </c>
      <c r="J2124" s="1">
        <v>3500</v>
      </c>
    </row>
    <row r="2125" spans="1:10" x14ac:dyDescent="0.3">
      <c r="A2125" t="s">
        <v>70</v>
      </c>
      <c r="B2125" t="s">
        <v>25</v>
      </c>
      <c r="C2125" t="s">
        <v>11</v>
      </c>
      <c r="D2125" t="s">
        <v>48</v>
      </c>
      <c r="E2125">
        <v>86</v>
      </c>
      <c r="F2125">
        <v>189</v>
      </c>
      <c r="G2125" s="1">
        <v>2750</v>
      </c>
      <c r="H2125" s="1">
        <v>2355</v>
      </c>
      <c r="I2125" s="1">
        <v>9420</v>
      </c>
      <c r="J2125" s="1">
        <v>4000</v>
      </c>
    </row>
    <row r="2126" spans="1:10" x14ac:dyDescent="0.3">
      <c r="A2126" t="s">
        <v>71</v>
      </c>
      <c r="B2126" t="s">
        <v>22</v>
      </c>
      <c r="C2126" t="s">
        <v>11</v>
      </c>
      <c r="D2126" t="s">
        <v>30</v>
      </c>
      <c r="E2126">
        <v>86</v>
      </c>
      <c r="F2126">
        <v>42</v>
      </c>
      <c r="G2126" s="1">
        <v>700</v>
      </c>
      <c r="H2126" s="1">
        <v>200</v>
      </c>
      <c r="I2126" s="1">
        <v>300</v>
      </c>
      <c r="J2126" s="1">
        <v>1500</v>
      </c>
    </row>
    <row r="2127" spans="1:10" x14ac:dyDescent="0.3">
      <c r="A2127" t="s">
        <v>71</v>
      </c>
      <c r="B2127" t="s">
        <v>22</v>
      </c>
      <c r="C2127" t="s">
        <v>11</v>
      </c>
      <c r="D2127" t="s">
        <v>35</v>
      </c>
      <c r="E2127">
        <v>86</v>
      </c>
      <c r="F2127">
        <v>77</v>
      </c>
      <c r="G2127" s="1">
        <v>800</v>
      </c>
      <c r="H2127" s="1">
        <v>200</v>
      </c>
      <c r="I2127" s="1">
        <v>280</v>
      </c>
      <c r="J2127" s="1">
        <v>1400</v>
      </c>
    </row>
    <row r="2128" spans="1:10" x14ac:dyDescent="0.3">
      <c r="A2128" t="s">
        <v>71</v>
      </c>
      <c r="B2128" t="s">
        <v>22</v>
      </c>
      <c r="C2128" t="s">
        <v>11</v>
      </c>
      <c r="D2128" t="s">
        <v>43</v>
      </c>
      <c r="E2128">
        <v>86</v>
      </c>
      <c r="F2128">
        <v>133</v>
      </c>
      <c r="G2128" s="1">
        <v>200</v>
      </c>
      <c r="H2128" s="1">
        <v>200</v>
      </c>
      <c r="I2128" s="1">
        <v>360</v>
      </c>
      <c r="J2128" s="1">
        <v>1800</v>
      </c>
    </row>
    <row r="2129" spans="1:10" x14ac:dyDescent="0.3">
      <c r="A2129" t="s">
        <v>71</v>
      </c>
      <c r="B2129" t="s">
        <v>23</v>
      </c>
      <c r="C2129" t="s">
        <v>11</v>
      </c>
      <c r="D2129" t="s">
        <v>43</v>
      </c>
      <c r="E2129">
        <v>86</v>
      </c>
      <c r="F2129">
        <v>133</v>
      </c>
      <c r="G2129" s="1">
        <v>200</v>
      </c>
      <c r="H2129" s="1">
        <v>200</v>
      </c>
      <c r="I2129" s="1">
        <v>200</v>
      </c>
      <c r="J2129" s="1">
        <v>1000</v>
      </c>
    </row>
    <row r="2130" spans="1:10" x14ac:dyDescent="0.3">
      <c r="A2130" t="s">
        <v>71</v>
      </c>
      <c r="B2130" t="s">
        <v>24</v>
      </c>
      <c r="C2130" t="s">
        <v>11</v>
      </c>
      <c r="D2130" t="s">
        <v>43</v>
      </c>
      <c r="E2130">
        <v>86</v>
      </c>
      <c r="F2130">
        <v>133</v>
      </c>
      <c r="G2130" s="1">
        <v>200</v>
      </c>
      <c r="H2130" s="1">
        <v>200</v>
      </c>
      <c r="I2130" s="1">
        <v>400</v>
      </c>
      <c r="J2130" s="1">
        <v>2000</v>
      </c>
    </row>
    <row r="2131" spans="1:10" x14ac:dyDescent="0.3">
      <c r="A2131" t="s">
        <v>71</v>
      </c>
      <c r="B2131" t="s">
        <v>25</v>
      </c>
      <c r="C2131" t="s">
        <v>11</v>
      </c>
      <c r="D2131" t="s">
        <v>43</v>
      </c>
      <c r="E2131">
        <v>86</v>
      </c>
      <c r="F2131">
        <v>133</v>
      </c>
      <c r="G2131" s="1">
        <v>200</v>
      </c>
      <c r="H2131" s="1">
        <v>200</v>
      </c>
      <c r="I2131" s="1">
        <v>180</v>
      </c>
      <c r="J2131" s="1">
        <v>900</v>
      </c>
    </row>
    <row r="2132" spans="1:10" x14ac:dyDescent="0.3">
      <c r="A2132" t="s">
        <v>71</v>
      </c>
      <c r="B2132" t="s">
        <v>50</v>
      </c>
      <c r="C2132" t="s">
        <v>11</v>
      </c>
      <c r="D2132" t="s">
        <v>43</v>
      </c>
      <c r="E2132">
        <v>86</v>
      </c>
      <c r="F2132">
        <v>133</v>
      </c>
      <c r="G2132" s="1">
        <v>200</v>
      </c>
      <c r="H2132" s="1">
        <v>140</v>
      </c>
      <c r="I2132" s="1">
        <v>112</v>
      </c>
      <c r="J2132" s="1">
        <v>800</v>
      </c>
    </row>
    <row r="2133" spans="1:10" x14ac:dyDescent="0.3">
      <c r="A2133" t="s">
        <v>71</v>
      </c>
      <c r="B2133" t="s">
        <v>21</v>
      </c>
      <c r="C2133" t="s">
        <v>11</v>
      </c>
      <c r="D2133" t="s">
        <v>44</v>
      </c>
      <c r="E2133">
        <v>86</v>
      </c>
      <c r="F2133">
        <v>147</v>
      </c>
      <c r="G2133" s="1">
        <v>2674</v>
      </c>
      <c r="H2133" s="1">
        <v>2674</v>
      </c>
      <c r="I2133" s="1">
        <v>4011</v>
      </c>
      <c r="J2133" s="1">
        <v>1500</v>
      </c>
    </row>
    <row r="2134" spans="1:10" x14ac:dyDescent="0.3">
      <c r="A2134" t="s">
        <v>71</v>
      </c>
      <c r="B2134" t="s">
        <v>22</v>
      </c>
      <c r="C2134" t="s">
        <v>11</v>
      </c>
      <c r="D2134" t="s">
        <v>44</v>
      </c>
      <c r="E2134">
        <v>86</v>
      </c>
      <c r="F2134">
        <v>147</v>
      </c>
      <c r="G2134" s="1">
        <v>1500</v>
      </c>
      <c r="H2134" s="1">
        <v>1500</v>
      </c>
      <c r="I2134" s="1">
        <v>2700</v>
      </c>
      <c r="J2134" s="1">
        <v>1800</v>
      </c>
    </row>
    <row r="2135" spans="1:10" x14ac:dyDescent="0.3">
      <c r="A2135" t="s">
        <v>71</v>
      </c>
      <c r="B2135" t="s">
        <v>23</v>
      </c>
      <c r="C2135" t="s">
        <v>11</v>
      </c>
      <c r="D2135" t="s">
        <v>44</v>
      </c>
      <c r="E2135">
        <v>86</v>
      </c>
      <c r="F2135">
        <v>147</v>
      </c>
      <c r="G2135" s="1">
        <v>1500</v>
      </c>
      <c r="H2135" s="1">
        <v>1500</v>
      </c>
      <c r="I2135" s="1">
        <v>1500</v>
      </c>
      <c r="J2135" s="1">
        <v>1000</v>
      </c>
    </row>
    <row r="2136" spans="1:10" x14ac:dyDescent="0.3">
      <c r="A2136" t="s">
        <v>71</v>
      </c>
      <c r="B2136" t="s">
        <v>24</v>
      </c>
      <c r="C2136" t="s">
        <v>11</v>
      </c>
      <c r="D2136" t="s">
        <v>44</v>
      </c>
      <c r="E2136">
        <v>86</v>
      </c>
      <c r="F2136">
        <v>147</v>
      </c>
      <c r="G2136" s="1">
        <v>1500</v>
      </c>
      <c r="H2136" s="1">
        <v>1500</v>
      </c>
      <c r="I2136" s="1">
        <v>2550</v>
      </c>
      <c r="J2136" s="1">
        <v>1700</v>
      </c>
    </row>
    <row r="2137" spans="1:10" x14ac:dyDescent="0.3">
      <c r="A2137" t="s">
        <v>71</v>
      </c>
      <c r="B2137" t="s">
        <v>25</v>
      </c>
      <c r="C2137" t="s">
        <v>11</v>
      </c>
      <c r="D2137" t="s">
        <v>44</v>
      </c>
      <c r="E2137">
        <v>86</v>
      </c>
      <c r="F2137">
        <v>147</v>
      </c>
      <c r="G2137" s="1">
        <v>1500</v>
      </c>
      <c r="H2137" s="1">
        <v>1450</v>
      </c>
      <c r="I2137" s="1">
        <v>1595</v>
      </c>
      <c r="J2137" s="1">
        <v>1100</v>
      </c>
    </row>
    <row r="2138" spans="1:10" x14ac:dyDescent="0.3">
      <c r="A2138" t="s">
        <v>71</v>
      </c>
      <c r="B2138" t="s">
        <v>50</v>
      </c>
      <c r="C2138" t="s">
        <v>11</v>
      </c>
      <c r="D2138" t="s">
        <v>44</v>
      </c>
      <c r="E2138">
        <v>86</v>
      </c>
      <c r="F2138">
        <v>147</v>
      </c>
      <c r="G2138" s="1">
        <v>1500</v>
      </c>
      <c r="H2138" s="1">
        <v>1300</v>
      </c>
      <c r="I2138" s="1">
        <v>1170</v>
      </c>
      <c r="J2138" s="1">
        <v>900</v>
      </c>
    </row>
    <row r="2139" spans="1:10" x14ac:dyDescent="0.3">
      <c r="A2139" t="s">
        <v>71</v>
      </c>
      <c r="B2139" t="s">
        <v>22</v>
      </c>
      <c r="C2139" t="s">
        <v>11</v>
      </c>
      <c r="D2139" t="s">
        <v>45</v>
      </c>
      <c r="E2139">
        <v>86</v>
      </c>
      <c r="F2139">
        <v>161</v>
      </c>
      <c r="G2139" s="1">
        <v>1200</v>
      </c>
      <c r="H2139" s="1">
        <v>1200</v>
      </c>
      <c r="I2139" s="1">
        <v>2160</v>
      </c>
      <c r="J2139" s="1">
        <v>1800</v>
      </c>
    </row>
    <row r="2140" spans="1:10" x14ac:dyDescent="0.3">
      <c r="A2140" t="s">
        <v>71</v>
      </c>
      <c r="B2140" t="s">
        <v>23</v>
      </c>
      <c r="C2140" t="s">
        <v>11</v>
      </c>
      <c r="D2140" t="s">
        <v>45</v>
      </c>
      <c r="E2140">
        <v>86</v>
      </c>
      <c r="F2140">
        <v>161</v>
      </c>
      <c r="G2140" s="1">
        <v>1200</v>
      </c>
      <c r="H2140" s="1">
        <v>1200</v>
      </c>
      <c r="I2140" s="1">
        <v>1800</v>
      </c>
      <c r="J2140" s="1">
        <v>1500</v>
      </c>
    </row>
    <row r="2141" spans="1:10" x14ac:dyDescent="0.3">
      <c r="A2141" t="s">
        <v>71</v>
      </c>
      <c r="B2141" t="s">
        <v>24</v>
      </c>
      <c r="C2141" t="s">
        <v>11</v>
      </c>
      <c r="D2141" t="s">
        <v>45</v>
      </c>
      <c r="E2141">
        <v>86</v>
      </c>
      <c r="F2141">
        <v>161</v>
      </c>
      <c r="G2141" s="1">
        <v>1000</v>
      </c>
      <c r="H2141" s="1">
        <v>1000</v>
      </c>
      <c r="I2141" s="1">
        <v>1700</v>
      </c>
      <c r="J2141" s="1">
        <v>1700</v>
      </c>
    </row>
    <row r="2142" spans="1:10" x14ac:dyDescent="0.3">
      <c r="A2142" t="s">
        <v>71</v>
      </c>
      <c r="B2142" t="s">
        <v>25</v>
      </c>
      <c r="C2142" t="s">
        <v>11</v>
      </c>
      <c r="D2142" t="s">
        <v>45</v>
      </c>
      <c r="E2142">
        <v>86</v>
      </c>
      <c r="F2142">
        <v>161</v>
      </c>
      <c r="G2142" s="1">
        <v>1000</v>
      </c>
      <c r="H2142" s="1">
        <v>955</v>
      </c>
      <c r="I2142" s="1">
        <v>1051</v>
      </c>
      <c r="J2142" s="1">
        <v>1101</v>
      </c>
    </row>
    <row r="2143" spans="1:10" x14ac:dyDescent="0.3">
      <c r="A2143" t="s">
        <v>71</v>
      </c>
      <c r="B2143" t="s">
        <v>50</v>
      </c>
      <c r="C2143" t="s">
        <v>11</v>
      </c>
      <c r="D2143" t="s">
        <v>45</v>
      </c>
      <c r="E2143">
        <v>86</v>
      </c>
      <c r="F2143">
        <v>161</v>
      </c>
      <c r="G2143" s="1">
        <v>1000</v>
      </c>
      <c r="H2143" s="1">
        <v>920</v>
      </c>
      <c r="I2143" s="1">
        <v>828</v>
      </c>
      <c r="J2143" s="1">
        <v>900</v>
      </c>
    </row>
    <row r="2144" spans="1:10" x14ac:dyDescent="0.3">
      <c r="A2144" t="s">
        <v>71</v>
      </c>
      <c r="B2144" t="s">
        <v>24</v>
      </c>
      <c r="C2144" t="s">
        <v>11</v>
      </c>
      <c r="D2144" t="s">
        <v>48</v>
      </c>
      <c r="E2144">
        <v>86</v>
      </c>
      <c r="F2144">
        <v>189</v>
      </c>
      <c r="G2144" s="1">
        <v>500</v>
      </c>
      <c r="H2144" s="1">
        <v>500</v>
      </c>
      <c r="I2144" s="1">
        <v>1000</v>
      </c>
      <c r="J2144" s="1">
        <v>2000</v>
      </c>
    </row>
    <row r="2145" spans="1:10" x14ac:dyDescent="0.3">
      <c r="A2145" t="s">
        <v>71</v>
      </c>
      <c r="B2145" t="s">
        <v>25</v>
      </c>
      <c r="C2145" t="s">
        <v>11</v>
      </c>
      <c r="D2145" t="s">
        <v>48</v>
      </c>
      <c r="E2145">
        <v>86</v>
      </c>
      <c r="F2145">
        <v>189</v>
      </c>
      <c r="G2145" s="1">
        <v>500</v>
      </c>
      <c r="H2145" s="1">
        <v>445</v>
      </c>
      <c r="I2145" s="1">
        <v>490</v>
      </c>
      <c r="J2145" s="1">
        <v>1101</v>
      </c>
    </row>
    <row r="2146" spans="1:10" x14ac:dyDescent="0.3">
      <c r="A2146" t="s">
        <v>71</v>
      </c>
      <c r="B2146" t="s">
        <v>50</v>
      </c>
      <c r="C2146" t="s">
        <v>11</v>
      </c>
      <c r="D2146" t="s">
        <v>48</v>
      </c>
      <c r="E2146">
        <v>86</v>
      </c>
      <c r="F2146">
        <v>189</v>
      </c>
      <c r="G2146" s="1">
        <v>500</v>
      </c>
      <c r="H2146" s="1">
        <v>440</v>
      </c>
      <c r="I2146" s="1">
        <v>396</v>
      </c>
      <c r="J2146" s="1">
        <v>900</v>
      </c>
    </row>
    <row r="2147" spans="1:10" x14ac:dyDescent="0.3">
      <c r="A2147" t="s">
        <v>72</v>
      </c>
      <c r="B2147" t="s">
        <v>16</v>
      </c>
      <c r="C2147" t="s">
        <v>11</v>
      </c>
      <c r="D2147" t="s">
        <v>12</v>
      </c>
      <c r="E2147">
        <v>86</v>
      </c>
      <c r="F2147">
        <v>7</v>
      </c>
      <c r="G2147" s="1">
        <v>2400</v>
      </c>
      <c r="H2147" s="1">
        <v>2000</v>
      </c>
      <c r="I2147" s="1">
        <v>4200</v>
      </c>
      <c r="J2147" s="1">
        <v>2100</v>
      </c>
    </row>
    <row r="2148" spans="1:10" x14ac:dyDescent="0.3">
      <c r="A2148" t="s">
        <v>72</v>
      </c>
      <c r="B2148" t="s">
        <v>17</v>
      </c>
      <c r="C2148" t="s">
        <v>11</v>
      </c>
      <c r="D2148" t="s">
        <v>12</v>
      </c>
      <c r="E2148">
        <v>86</v>
      </c>
      <c r="F2148">
        <v>7</v>
      </c>
      <c r="G2148" s="1">
        <v>10000</v>
      </c>
      <c r="H2148" s="1">
        <v>6590</v>
      </c>
      <c r="I2148" s="1">
        <v>15157</v>
      </c>
      <c r="J2148" s="1">
        <v>2300</v>
      </c>
    </row>
    <row r="2149" spans="1:10" x14ac:dyDescent="0.3">
      <c r="A2149" t="s">
        <v>72</v>
      </c>
      <c r="B2149" t="s">
        <v>18</v>
      </c>
      <c r="C2149" t="s">
        <v>11</v>
      </c>
      <c r="D2149" t="s">
        <v>12</v>
      </c>
      <c r="E2149">
        <v>86</v>
      </c>
      <c r="F2149">
        <v>7</v>
      </c>
      <c r="G2149" s="1">
        <v>16820</v>
      </c>
      <c r="H2149" s="1">
        <v>16820</v>
      </c>
      <c r="I2149" s="1">
        <v>28594</v>
      </c>
      <c r="J2149" s="1">
        <v>1700</v>
      </c>
    </row>
    <row r="2150" spans="1:10" x14ac:dyDescent="0.3">
      <c r="A2150" t="s">
        <v>72</v>
      </c>
      <c r="B2150" t="s">
        <v>19</v>
      </c>
      <c r="C2150" t="s">
        <v>11</v>
      </c>
      <c r="D2150" t="s">
        <v>12</v>
      </c>
      <c r="E2150">
        <v>86</v>
      </c>
      <c r="F2150">
        <v>7</v>
      </c>
      <c r="G2150" s="1">
        <v>10800</v>
      </c>
      <c r="H2150" s="1">
        <v>10800</v>
      </c>
      <c r="I2150" s="1">
        <v>25920</v>
      </c>
      <c r="J2150" s="1">
        <v>2400</v>
      </c>
    </row>
    <row r="2151" spans="1:10" x14ac:dyDescent="0.3">
      <c r="A2151" t="s">
        <v>72</v>
      </c>
      <c r="B2151" t="s">
        <v>20</v>
      </c>
      <c r="C2151" t="s">
        <v>11</v>
      </c>
      <c r="D2151" t="s">
        <v>12</v>
      </c>
      <c r="E2151">
        <v>86</v>
      </c>
      <c r="F2151">
        <v>7</v>
      </c>
      <c r="G2151" s="1">
        <v>21000</v>
      </c>
      <c r="H2151" s="1">
        <v>21000</v>
      </c>
      <c r="I2151" s="1">
        <v>52500</v>
      </c>
      <c r="J2151" s="1">
        <v>2500</v>
      </c>
    </row>
    <row r="2152" spans="1:10" x14ac:dyDescent="0.3">
      <c r="A2152" t="s">
        <v>72</v>
      </c>
      <c r="B2152" t="s">
        <v>21</v>
      </c>
      <c r="C2152" t="s">
        <v>11</v>
      </c>
      <c r="D2152" t="s">
        <v>12</v>
      </c>
      <c r="E2152">
        <v>86</v>
      </c>
      <c r="F2152">
        <v>7</v>
      </c>
      <c r="G2152" s="1">
        <v>16500</v>
      </c>
      <c r="H2152" s="1">
        <v>7500</v>
      </c>
      <c r="I2152" s="1">
        <v>6000</v>
      </c>
      <c r="J2152" s="1">
        <v>800</v>
      </c>
    </row>
    <row r="2153" spans="1:10" x14ac:dyDescent="0.3">
      <c r="A2153" t="s">
        <v>72</v>
      </c>
      <c r="B2153" t="s">
        <v>22</v>
      </c>
      <c r="C2153" t="s">
        <v>11</v>
      </c>
      <c r="D2153" t="s">
        <v>12</v>
      </c>
      <c r="E2153">
        <v>86</v>
      </c>
      <c r="F2153">
        <v>7</v>
      </c>
      <c r="G2153" s="1">
        <v>26800</v>
      </c>
      <c r="H2153" s="1">
        <v>26800</v>
      </c>
      <c r="I2153" s="1">
        <v>29480</v>
      </c>
      <c r="J2153" s="1">
        <v>1100</v>
      </c>
    </row>
    <row r="2154" spans="1:10" x14ac:dyDescent="0.3">
      <c r="A2154" t="s">
        <v>72</v>
      </c>
      <c r="B2154" t="s">
        <v>23</v>
      </c>
      <c r="C2154" t="s">
        <v>11</v>
      </c>
      <c r="D2154" t="s">
        <v>12</v>
      </c>
      <c r="E2154">
        <v>86</v>
      </c>
      <c r="F2154">
        <v>7</v>
      </c>
      <c r="G2154" s="1">
        <v>8920</v>
      </c>
      <c r="H2154" s="1">
        <v>4920</v>
      </c>
      <c r="I2154" s="1">
        <v>5904</v>
      </c>
      <c r="J2154" s="1">
        <v>1200</v>
      </c>
    </row>
    <row r="2155" spans="1:10" x14ac:dyDescent="0.3">
      <c r="A2155" t="s">
        <v>72</v>
      </c>
      <c r="B2155" t="s">
        <v>24</v>
      </c>
      <c r="C2155" t="s">
        <v>11</v>
      </c>
      <c r="D2155" t="s">
        <v>12</v>
      </c>
      <c r="E2155">
        <v>86</v>
      </c>
      <c r="F2155">
        <v>7</v>
      </c>
      <c r="G2155" s="1">
        <v>11200</v>
      </c>
      <c r="H2155" s="1">
        <v>11200</v>
      </c>
      <c r="I2155" s="1">
        <v>14560</v>
      </c>
      <c r="J2155" s="1">
        <v>1300</v>
      </c>
    </row>
    <row r="2156" spans="1:10" x14ac:dyDescent="0.3">
      <c r="A2156" t="s">
        <v>72</v>
      </c>
      <c r="B2156" t="s">
        <v>25</v>
      </c>
      <c r="C2156" t="s">
        <v>11</v>
      </c>
      <c r="D2156" t="s">
        <v>12</v>
      </c>
      <c r="E2156">
        <v>86</v>
      </c>
      <c r="F2156">
        <v>7</v>
      </c>
      <c r="G2156" s="1">
        <v>16100</v>
      </c>
      <c r="H2156" s="1">
        <v>13630</v>
      </c>
      <c r="I2156" s="1">
        <v>12267</v>
      </c>
      <c r="J2156" s="1">
        <v>900</v>
      </c>
    </row>
    <row r="2157" spans="1:10" x14ac:dyDescent="0.3">
      <c r="A2157" t="s">
        <v>72</v>
      </c>
      <c r="B2157" t="s">
        <v>50</v>
      </c>
      <c r="C2157" t="s">
        <v>11</v>
      </c>
      <c r="D2157" t="s">
        <v>12</v>
      </c>
      <c r="E2157">
        <v>86</v>
      </c>
      <c r="F2157">
        <v>7</v>
      </c>
      <c r="G2157" s="1">
        <v>17900</v>
      </c>
      <c r="H2157" s="1">
        <v>17720</v>
      </c>
      <c r="I2157" s="1">
        <v>40756</v>
      </c>
      <c r="J2157" s="1">
        <v>2300</v>
      </c>
    </row>
    <row r="2158" spans="1:10" x14ac:dyDescent="0.3">
      <c r="A2158" t="s">
        <v>72</v>
      </c>
      <c r="B2158" t="s">
        <v>15</v>
      </c>
      <c r="C2158" t="s">
        <v>11</v>
      </c>
      <c r="D2158" t="s">
        <v>26</v>
      </c>
      <c r="E2158">
        <v>86</v>
      </c>
      <c r="F2158">
        <v>14</v>
      </c>
      <c r="G2158" s="1">
        <v>8000</v>
      </c>
      <c r="H2158" s="1">
        <v>4700</v>
      </c>
      <c r="I2158" s="1">
        <v>4700</v>
      </c>
      <c r="J2158" s="1">
        <v>1000</v>
      </c>
    </row>
    <row r="2159" spans="1:10" x14ac:dyDescent="0.3">
      <c r="A2159" t="s">
        <v>72</v>
      </c>
      <c r="B2159" t="s">
        <v>16</v>
      </c>
      <c r="C2159" t="s">
        <v>11</v>
      </c>
      <c r="D2159" t="s">
        <v>26</v>
      </c>
      <c r="E2159">
        <v>86</v>
      </c>
      <c r="F2159">
        <v>14</v>
      </c>
      <c r="G2159" s="1">
        <v>13670</v>
      </c>
      <c r="H2159" s="1">
        <v>11870</v>
      </c>
      <c r="I2159" s="1">
        <v>23740</v>
      </c>
      <c r="J2159" s="1">
        <v>2000</v>
      </c>
    </row>
    <row r="2160" spans="1:10" x14ac:dyDescent="0.3">
      <c r="A2160" t="s">
        <v>72</v>
      </c>
      <c r="B2160" t="s">
        <v>17</v>
      </c>
      <c r="C2160" t="s">
        <v>11</v>
      </c>
      <c r="D2160" t="s">
        <v>26</v>
      </c>
      <c r="E2160">
        <v>86</v>
      </c>
      <c r="F2160">
        <v>14</v>
      </c>
      <c r="G2160" s="1">
        <v>8800</v>
      </c>
      <c r="H2160" s="1">
        <v>5800</v>
      </c>
      <c r="I2160" s="1">
        <v>14500</v>
      </c>
      <c r="J2160" s="1">
        <v>2500</v>
      </c>
    </row>
    <row r="2161" spans="1:10" x14ac:dyDescent="0.3">
      <c r="A2161" t="s">
        <v>72</v>
      </c>
      <c r="B2161" t="s">
        <v>18</v>
      </c>
      <c r="C2161" t="s">
        <v>11</v>
      </c>
      <c r="D2161" t="s">
        <v>26</v>
      </c>
      <c r="E2161">
        <v>86</v>
      </c>
      <c r="F2161">
        <v>14</v>
      </c>
      <c r="G2161" s="1">
        <v>20500</v>
      </c>
      <c r="H2161" s="1">
        <v>20500</v>
      </c>
      <c r="I2161" s="1">
        <v>20500</v>
      </c>
      <c r="J2161" s="1">
        <v>1000</v>
      </c>
    </row>
    <row r="2162" spans="1:10" x14ac:dyDescent="0.3">
      <c r="A2162" t="s">
        <v>72</v>
      </c>
      <c r="B2162" t="s">
        <v>19</v>
      </c>
      <c r="C2162" t="s">
        <v>11</v>
      </c>
      <c r="D2162" t="s">
        <v>26</v>
      </c>
      <c r="E2162">
        <v>86</v>
      </c>
      <c r="F2162">
        <v>14</v>
      </c>
      <c r="G2162" s="1">
        <v>26093</v>
      </c>
      <c r="H2162" s="1">
        <v>26093</v>
      </c>
      <c r="I2162" s="1">
        <v>52186</v>
      </c>
      <c r="J2162" s="1">
        <v>2000</v>
      </c>
    </row>
    <row r="2163" spans="1:10" x14ac:dyDescent="0.3">
      <c r="A2163" t="s">
        <v>72</v>
      </c>
      <c r="B2163" t="s">
        <v>20</v>
      </c>
      <c r="C2163" t="s">
        <v>11</v>
      </c>
      <c r="D2163" t="s">
        <v>26</v>
      </c>
      <c r="E2163">
        <v>86</v>
      </c>
      <c r="F2163">
        <v>14</v>
      </c>
      <c r="G2163" s="1">
        <v>42500</v>
      </c>
      <c r="H2163" s="1">
        <v>42500</v>
      </c>
      <c r="I2163" s="1">
        <v>119000</v>
      </c>
      <c r="J2163" s="1">
        <v>2800</v>
      </c>
    </row>
    <row r="2164" spans="1:10" x14ac:dyDescent="0.3">
      <c r="A2164" t="s">
        <v>72</v>
      </c>
      <c r="B2164" t="s">
        <v>21</v>
      </c>
      <c r="C2164" t="s">
        <v>11</v>
      </c>
      <c r="D2164" t="s">
        <v>26</v>
      </c>
      <c r="E2164">
        <v>86</v>
      </c>
      <c r="F2164">
        <v>14</v>
      </c>
      <c r="G2164" s="1">
        <v>16300</v>
      </c>
      <c r="H2164" s="1">
        <v>9100</v>
      </c>
      <c r="I2164" s="1">
        <v>5460</v>
      </c>
      <c r="J2164" s="1">
        <v>600</v>
      </c>
    </row>
    <row r="2165" spans="1:10" x14ac:dyDescent="0.3">
      <c r="A2165" t="s">
        <v>72</v>
      </c>
      <c r="B2165" t="s">
        <v>22</v>
      </c>
      <c r="C2165" t="s">
        <v>11</v>
      </c>
      <c r="D2165" t="s">
        <v>26</v>
      </c>
      <c r="E2165">
        <v>86</v>
      </c>
      <c r="F2165">
        <v>14</v>
      </c>
      <c r="G2165" s="1">
        <v>30100</v>
      </c>
      <c r="H2165" s="1">
        <v>23400</v>
      </c>
      <c r="I2165" s="1">
        <v>23400</v>
      </c>
      <c r="J2165" s="1">
        <v>1000</v>
      </c>
    </row>
    <row r="2166" spans="1:10" x14ac:dyDescent="0.3">
      <c r="A2166" t="s">
        <v>72</v>
      </c>
      <c r="B2166" t="s">
        <v>23</v>
      </c>
      <c r="C2166" t="s">
        <v>11</v>
      </c>
      <c r="D2166" t="s">
        <v>26</v>
      </c>
      <c r="E2166">
        <v>86</v>
      </c>
      <c r="F2166">
        <v>14</v>
      </c>
      <c r="G2166" s="1">
        <v>5000</v>
      </c>
      <c r="H2166" s="1">
        <v>1900</v>
      </c>
      <c r="I2166" s="1">
        <v>2090</v>
      </c>
      <c r="J2166" s="1">
        <v>1100</v>
      </c>
    </row>
    <row r="2167" spans="1:10" x14ac:dyDescent="0.3">
      <c r="A2167" t="s">
        <v>72</v>
      </c>
      <c r="B2167" t="s">
        <v>24</v>
      </c>
      <c r="C2167" t="s">
        <v>11</v>
      </c>
      <c r="D2167" t="s">
        <v>26</v>
      </c>
      <c r="E2167">
        <v>86</v>
      </c>
      <c r="F2167">
        <v>14</v>
      </c>
      <c r="G2167" s="1">
        <v>15450</v>
      </c>
      <c r="H2167" s="1">
        <v>14580</v>
      </c>
      <c r="I2167" s="1">
        <v>17496</v>
      </c>
      <c r="J2167" s="1">
        <v>1200</v>
      </c>
    </row>
    <row r="2168" spans="1:10" x14ac:dyDescent="0.3">
      <c r="A2168" t="s">
        <v>72</v>
      </c>
      <c r="B2168" t="s">
        <v>25</v>
      </c>
      <c r="C2168" t="s">
        <v>11</v>
      </c>
      <c r="D2168" t="s">
        <v>26</v>
      </c>
      <c r="E2168">
        <v>86</v>
      </c>
      <c r="F2168">
        <v>14</v>
      </c>
      <c r="G2168" s="1">
        <v>20700</v>
      </c>
      <c r="H2168" s="1">
        <v>15840</v>
      </c>
      <c r="I2168" s="1">
        <v>14256</v>
      </c>
      <c r="J2168" s="1">
        <v>900</v>
      </c>
    </row>
    <row r="2169" spans="1:10" x14ac:dyDescent="0.3">
      <c r="A2169" t="s">
        <v>72</v>
      </c>
      <c r="B2169" t="s">
        <v>50</v>
      </c>
      <c r="C2169" t="s">
        <v>11</v>
      </c>
      <c r="D2169" t="s">
        <v>26</v>
      </c>
      <c r="E2169">
        <v>86</v>
      </c>
      <c r="F2169">
        <v>14</v>
      </c>
      <c r="G2169" s="1">
        <v>30200</v>
      </c>
      <c r="H2169" s="1">
        <v>29780</v>
      </c>
      <c r="I2169" s="1">
        <v>56582</v>
      </c>
      <c r="J2169" s="1">
        <v>1900</v>
      </c>
    </row>
    <row r="2170" spans="1:10" x14ac:dyDescent="0.3">
      <c r="A2170" t="s">
        <v>72</v>
      </c>
      <c r="B2170" t="s">
        <v>25</v>
      </c>
      <c r="C2170" t="s">
        <v>11</v>
      </c>
      <c r="D2170" t="s">
        <v>28</v>
      </c>
      <c r="E2170">
        <v>86</v>
      </c>
      <c r="F2170">
        <v>28</v>
      </c>
      <c r="G2170" s="1">
        <v>470</v>
      </c>
      <c r="H2170" s="1">
        <v>350</v>
      </c>
      <c r="I2170" s="1">
        <v>315</v>
      </c>
      <c r="J2170" s="1">
        <v>900</v>
      </c>
    </row>
    <row r="2171" spans="1:10" x14ac:dyDescent="0.3">
      <c r="A2171" t="s">
        <v>72</v>
      </c>
      <c r="B2171" t="s">
        <v>50</v>
      </c>
      <c r="C2171" t="s">
        <v>11</v>
      </c>
      <c r="D2171" t="s">
        <v>28</v>
      </c>
      <c r="E2171">
        <v>86</v>
      </c>
      <c r="F2171">
        <v>28</v>
      </c>
      <c r="G2171" s="1">
        <v>7300</v>
      </c>
      <c r="H2171" s="1">
        <v>7300</v>
      </c>
      <c r="I2171" s="1">
        <v>11680</v>
      </c>
      <c r="J2171" s="1">
        <v>1600</v>
      </c>
    </row>
    <row r="2172" spans="1:10" x14ac:dyDescent="0.3">
      <c r="A2172" t="s">
        <v>72</v>
      </c>
      <c r="B2172" t="s">
        <v>15</v>
      </c>
      <c r="C2172" t="s">
        <v>11</v>
      </c>
      <c r="D2172" t="s">
        <v>29</v>
      </c>
      <c r="E2172">
        <v>86</v>
      </c>
      <c r="F2172">
        <v>35</v>
      </c>
      <c r="G2172" s="1">
        <v>2000</v>
      </c>
      <c r="H2172" s="1">
        <v>1300</v>
      </c>
      <c r="I2172" s="1">
        <v>2080</v>
      </c>
      <c r="J2172" s="1">
        <v>1600</v>
      </c>
    </row>
    <row r="2173" spans="1:10" x14ac:dyDescent="0.3">
      <c r="A2173" t="s">
        <v>72</v>
      </c>
      <c r="B2173" t="s">
        <v>16</v>
      </c>
      <c r="C2173" t="s">
        <v>11</v>
      </c>
      <c r="D2173" t="s">
        <v>29</v>
      </c>
      <c r="E2173">
        <v>86</v>
      </c>
      <c r="F2173">
        <v>35</v>
      </c>
      <c r="G2173" s="1">
        <v>500</v>
      </c>
      <c r="H2173" s="1">
        <v>500</v>
      </c>
      <c r="I2173" s="1">
        <v>750</v>
      </c>
      <c r="J2173" s="1">
        <v>1500</v>
      </c>
    </row>
    <row r="2174" spans="1:10" x14ac:dyDescent="0.3">
      <c r="A2174" t="s">
        <v>72</v>
      </c>
      <c r="B2174" t="s">
        <v>17</v>
      </c>
      <c r="C2174" t="s">
        <v>11</v>
      </c>
      <c r="D2174" t="s">
        <v>29</v>
      </c>
      <c r="E2174">
        <v>86</v>
      </c>
      <c r="F2174">
        <v>35</v>
      </c>
      <c r="G2174" s="1">
        <v>1000</v>
      </c>
      <c r="H2174" s="1">
        <v>650</v>
      </c>
      <c r="I2174" s="1">
        <v>1755</v>
      </c>
      <c r="J2174" s="1">
        <v>2700</v>
      </c>
    </row>
    <row r="2175" spans="1:10" x14ac:dyDescent="0.3">
      <c r="A2175" t="s">
        <v>72</v>
      </c>
      <c r="B2175" t="s">
        <v>18</v>
      </c>
      <c r="C2175" t="s">
        <v>11</v>
      </c>
      <c r="D2175" t="s">
        <v>29</v>
      </c>
      <c r="E2175">
        <v>86</v>
      </c>
      <c r="F2175">
        <v>35</v>
      </c>
      <c r="G2175" s="1">
        <v>2000</v>
      </c>
      <c r="H2175" s="1">
        <v>2000</v>
      </c>
      <c r="I2175" s="1">
        <v>5000</v>
      </c>
      <c r="J2175" s="1">
        <v>2500</v>
      </c>
    </row>
    <row r="2176" spans="1:10" x14ac:dyDescent="0.3">
      <c r="A2176" t="s">
        <v>72</v>
      </c>
      <c r="B2176" t="s">
        <v>19</v>
      </c>
      <c r="C2176" t="s">
        <v>11</v>
      </c>
      <c r="D2176" t="s">
        <v>29</v>
      </c>
      <c r="E2176">
        <v>86</v>
      </c>
      <c r="F2176">
        <v>35</v>
      </c>
      <c r="G2176" s="1">
        <v>2400</v>
      </c>
      <c r="H2176" s="1">
        <v>2400</v>
      </c>
      <c r="I2176" s="1">
        <v>4800</v>
      </c>
      <c r="J2176" s="1">
        <v>2000</v>
      </c>
    </row>
    <row r="2177" spans="1:10" x14ac:dyDescent="0.3">
      <c r="A2177" t="s">
        <v>72</v>
      </c>
      <c r="B2177" t="s">
        <v>20</v>
      </c>
      <c r="C2177" t="s">
        <v>11</v>
      </c>
      <c r="D2177" t="s">
        <v>29</v>
      </c>
      <c r="E2177">
        <v>86</v>
      </c>
      <c r="F2177">
        <v>35</v>
      </c>
      <c r="G2177" s="1">
        <v>1000</v>
      </c>
      <c r="H2177" s="1">
        <v>1000</v>
      </c>
      <c r="I2177" s="1">
        <v>2400</v>
      </c>
      <c r="J2177" s="1">
        <v>2400</v>
      </c>
    </row>
    <row r="2178" spans="1:10" x14ac:dyDescent="0.3">
      <c r="A2178" t="s">
        <v>72</v>
      </c>
      <c r="B2178" t="s">
        <v>21</v>
      </c>
      <c r="C2178" t="s">
        <v>11</v>
      </c>
      <c r="D2178" t="s">
        <v>29</v>
      </c>
      <c r="E2178">
        <v>86</v>
      </c>
      <c r="F2178">
        <v>35</v>
      </c>
      <c r="G2178" s="1">
        <v>1000</v>
      </c>
      <c r="H2178" s="1">
        <v>1000</v>
      </c>
      <c r="I2178" s="1">
        <v>2500</v>
      </c>
      <c r="J2178" s="1">
        <v>2500</v>
      </c>
    </row>
    <row r="2179" spans="1:10" x14ac:dyDescent="0.3">
      <c r="A2179" t="s">
        <v>72</v>
      </c>
      <c r="B2179" t="s">
        <v>22</v>
      </c>
      <c r="C2179" t="s">
        <v>11</v>
      </c>
      <c r="D2179" t="s">
        <v>29</v>
      </c>
      <c r="E2179">
        <v>86</v>
      </c>
      <c r="F2179">
        <v>35</v>
      </c>
      <c r="G2179" s="1">
        <v>1000</v>
      </c>
      <c r="H2179" s="1">
        <v>1000</v>
      </c>
      <c r="I2179" s="1">
        <v>2200</v>
      </c>
      <c r="J2179" s="1">
        <v>2200</v>
      </c>
    </row>
    <row r="2180" spans="1:10" x14ac:dyDescent="0.3">
      <c r="A2180" t="s">
        <v>72</v>
      </c>
      <c r="B2180" t="s">
        <v>23</v>
      </c>
      <c r="C2180" t="s">
        <v>11</v>
      </c>
      <c r="D2180" t="s">
        <v>29</v>
      </c>
      <c r="E2180">
        <v>86</v>
      </c>
      <c r="F2180">
        <v>35</v>
      </c>
      <c r="G2180" s="1">
        <v>1000</v>
      </c>
      <c r="H2180" s="1">
        <v>1000</v>
      </c>
      <c r="I2180" s="1">
        <v>2000</v>
      </c>
      <c r="J2180" s="1">
        <v>2000</v>
      </c>
    </row>
    <row r="2181" spans="1:10" x14ac:dyDescent="0.3">
      <c r="A2181" t="s">
        <v>72</v>
      </c>
      <c r="B2181" t="s">
        <v>24</v>
      </c>
      <c r="C2181" t="s">
        <v>11</v>
      </c>
      <c r="D2181" t="s">
        <v>29</v>
      </c>
      <c r="E2181">
        <v>86</v>
      </c>
      <c r="F2181">
        <v>35</v>
      </c>
      <c r="G2181" s="1">
        <v>4000</v>
      </c>
      <c r="H2181" s="1">
        <v>4000</v>
      </c>
      <c r="I2181" s="1">
        <v>8000</v>
      </c>
      <c r="J2181" s="1">
        <v>2000</v>
      </c>
    </row>
    <row r="2182" spans="1:10" x14ac:dyDescent="0.3">
      <c r="A2182" t="s">
        <v>72</v>
      </c>
      <c r="B2182" t="s">
        <v>25</v>
      </c>
      <c r="C2182" t="s">
        <v>11</v>
      </c>
      <c r="D2182" t="s">
        <v>29</v>
      </c>
      <c r="E2182">
        <v>86</v>
      </c>
      <c r="F2182">
        <v>35</v>
      </c>
      <c r="G2182" s="1">
        <v>4000</v>
      </c>
      <c r="H2182" s="1">
        <v>3980</v>
      </c>
      <c r="I2182" s="1">
        <v>4378</v>
      </c>
      <c r="J2182" s="1">
        <v>1100</v>
      </c>
    </row>
    <row r="2183" spans="1:10" x14ac:dyDescent="0.3">
      <c r="A2183" t="s">
        <v>72</v>
      </c>
      <c r="B2183" t="s">
        <v>50</v>
      </c>
      <c r="C2183" t="s">
        <v>11</v>
      </c>
      <c r="D2183" t="s">
        <v>29</v>
      </c>
      <c r="E2183">
        <v>86</v>
      </c>
      <c r="F2183">
        <v>35</v>
      </c>
      <c r="G2183" s="1">
        <v>4000</v>
      </c>
      <c r="H2183" s="1">
        <v>3900</v>
      </c>
      <c r="I2183" s="1">
        <v>3510</v>
      </c>
      <c r="J2183" s="1">
        <v>900</v>
      </c>
    </row>
    <row r="2184" spans="1:10" x14ac:dyDescent="0.3">
      <c r="A2184" t="s">
        <v>72</v>
      </c>
      <c r="B2184" t="s">
        <v>15</v>
      </c>
      <c r="C2184" t="s">
        <v>11</v>
      </c>
      <c r="D2184" t="s">
        <v>30</v>
      </c>
      <c r="E2184">
        <v>86</v>
      </c>
      <c r="F2184">
        <v>42</v>
      </c>
      <c r="G2184" s="1">
        <v>15000</v>
      </c>
      <c r="H2184" s="1">
        <v>8900</v>
      </c>
      <c r="I2184" s="1">
        <v>11570</v>
      </c>
      <c r="J2184" s="1">
        <v>1300</v>
      </c>
    </row>
    <row r="2185" spans="1:10" x14ac:dyDescent="0.3">
      <c r="A2185" t="s">
        <v>72</v>
      </c>
      <c r="B2185" t="s">
        <v>16</v>
      </c>
      <c r="C2185" t="s">
        <v>11</v>
      </c>
      <c r="D2185" t="s">
        <v>30</v>
      </c>
      <c r="E2185">
        <v>86</v>
      </c>
      <c r="F2185">
        <v>42</v>
      </c>
      <c r="G2185" s="1">
        <v>69680</v>
      </c>
      <c r="H2185" s="1">
        <v>61180</v>
      </c>
      <c r="I2185" s="1">
        <v>140710</v>
      </c>
      <c r="J2185" s="1">
        <v>2300</v>
      </c>
    </row>
    <row r="2186" spans="1:10" x14ac:dyDescent="0.3">
      <c r="A2186" t="s">
        <v>72</v>
      </c>
      <c r="B2186" t="s">
        <v>17</v>
      </c>
      <c r="C2186" t="s">
        <v>11</v>
      </c>
      <c r="D2186" t="s">
        <v>30</v>
      </c>
      <c r="E2186">
        <v>86</v>
      </c>
      <c r="F2186">
        <v>42</v>
      </c>
      <c r="G2186" s="1">
        <v>77400</v>
      </c>
      <c r="H2186" s="1">
        <v>51080</v>
      </c>
      <c r="I2186" s="1">
        <v>137916</v>
      </c>
      <c r="J2186" s="1">
        <v>2700</v>
      </c>
    </row>
    <row r="2187" spans="1:10" x14ac:dyDescent="0.3">
      <c r="A2187" t="s">
        <v>72</v>
      </c>
      <c r="B2187" t="s">
        <v>18</v>
      </c>
      <c r="C2187" t="s">
        <v>11</v>
      </c>
      <c r="D2187" t="s">
        <v>30</v>
      </c>
      <c r="E2187">
        <v>86</v>
      </c>
      <c r="F2187">
        <v>42</v>
      </c>
      <c r="G2187" s="1">
        <v>95950</v>
      </c>
      <c r="H2187" s="1">
        <v>95950</v>
      </c>
      <c r="I2187" s="1">
        <v>220685</v>
      </c>
      <c r="J2187" s="1">
        <v>2300</v>
      </c>
    </row>
    <row r="2188" spans="1:10" x14ac:dyDescent="0.3">
      <c r="A2188" t="s">
        <v>72</v>
      </c>
      <c r="B2188" t="s">
        <v>19</v>
      </c>
      <c r="C2188" t="s">
        <v>11</v>
      </c>
      <c r="D2188" t="s">
        <v>30</v>
      </c>
      <c r="E2188">
        <v>86</v>
      </c>
      <c r="F2188">
        <v>42</v>
      </c>
      <c r="G2188" s="1">
        <v>61600</v>
      </c>
      <c r="H2188" s="1">
        <v>61600</v>
      </c>
      <c r="I2188" s="1">
        <v>147840</v>
      </c>
      <c r="J2188" s="1">
        <v>2400</v>
      </c>
    </row>
    <row r="2189" spans="1:10" x14ac:dyDescent="0.3">
      <c r="A2189" t="s">
        <v>72</v>
      </c>
      <c r="B2189" t="s">
        <v>20</v>
      </c>
      <c r="C2189" t="s">
        <v>11</v>
      </c>
      <c r="D2189" t="s">
        <v>30</v>
      </c>
      <c r="E2189">
        <v>86</v>
      </c>
      <c r="F2189">
        <v>42</v>
      </c>
      <c r="G2189" s="1">
        <v>75500</v>
      </c>
      <c r="H2189" s="1">
        <v>75500</v>
      </c>
      <c r="I2189" s="1">
        <v>211400</v>
      </c>
      <c r="J2189" s="1">
        <v>2800</v>
      </c>
    </row>
    <row r="2190" spans="1:10" x14ac:dyDescent="0.3">
      <c r="A2190" t="s">
        <v>72</v>
      </c>
      <c r="B2190" t="s">
        <v>21</v>
      </c>
      <c r="C2190" t="s">
        <v>11</v>
      </c>
      <c r="D2190" t="s">
        <v>30</v>
      </c>
      <c r="E2190">
        <v>86</v>
      </c>
      <c r="F2190">
        <v>42</v>
      </c>
      <c r="G2190" s="1">
        <v>76800</v>
      </c>
      <c r="H2190" s="1">
        <v>68500</v>
      </c>
      <c r="I2190" s="1">
        <v>109600</v>
      </c>
      <c r="J2190" s="1">
        <v>1600</v>
      </c>
    </row>
    <row r="2191" spans="1:10" x14ac:dyDescent="0.3">
      <c r="A2191" t="s">
        <v>72</v>
      </c>
      <c r="B2191" t="s">
        <v>22</v>
      </c>
      <c r="C2191" t="s">
        <v>11</v>
      </c>
      <c r="D2191" t="s">
        <v>30</v>
      </c>
      <c r="E2191">
        <v>86</v>
      </c>
      <c r="F2191">
        <v>42</v>
      </c>
      <c r="G2191" s="1">
        <v>92900</v>
      </c>
      <c r="H2191" s="1">
        <v>90550</v>
      </c>
      <c r="I2191" s="1">
        <v>144860</v>
      </c>
      <c r="J2191" s="1">
        <v>1600</v>
      </c>
    </row>
    <row r="2192" spans="1:10" x14ac:dyDescent="0.3">
      <c r="A2192" t="s">
        <v>72</v>
      </c>
      <c r="B2192" t="s">
        <v>23</v>
      </c>
      <c r="C2192" t="s">
        <v>11</v>
      </c>
      <c r="D2192" t="s">
        <v>30</v>
      </c>
      <c r="E2192">
        <v>86</v>
      </c>
      <c r="F2192">
        <v>42</v>
      </c>
      <c r="G2192" s="1">
        <v>41200</v>
      </c>
      <c r="H2192" s="1">
        <v>22200</v>
      </c>
      <c r="I2192" s="1">
        <v>26640</v>
      </c>
      <c r="J2192" s="1">
        <v>1200</v>
      </c>
    </row>
    <row r="2193" spans="1:10" x14ac:dyDescent="0.3">
      <c r="A2193" t="s">
        <v>72</v>
      </c>
      <c r="B2193" t="s">
        <v>24</v>
      </c>
      <c r="C2193" t="s">
        <v>11</v>
      </c>
      <c r="D2193" t="s">
        <v>30</v>
      </c>
      <c r="E2193">
        <v>86</v>
      </c>
      <c r="F2193">
        <v>42</v>
      </c>
      <c r="G2193" s="1">
        <v>48700</v>
      </c>
      <c r="H2193" s="1">
        <v>46750</v>
      </c>
      <c r="I2193" s="1">
        <v>56100</v>
      </c>
      <c r="J2193" s="1">
        <v>1200</v>
      </c>
    </row>
    <row r="2194" spans="1:10" x14ac:dyDescent="0.3">
      <c r="A2194" t="s">
        <v>72</v>
      </c>
      <c r="B2194" t="s">
        <v>25</v>
      </c>
      <c r="C2194" t="s">
        <v>11</v>
      </c>
      <c r="D2194" t="s">
        <v>30</v>
      </c>
      <c r="E2194">
        <v>86</v>
      </c>
      <c r="F2194">
        <v>42</v>
      </c>
      <c r="G2194" s="1">
        <v>68260</v>
      </c>
      <c r="H2194" s="1">
        <v>58830</v>
      </c>
      <c r="I2194" s="1">
        <v>70596</v>
      </c>
      <c r="J2194" s="1">
        <v>1200</v>
      </c>
    </row>
    <row r="2195" spans="1:10" x14ac:dyDescent="0.3">
      <c r="A2195" t="s">
        <v>72</v>
      </c>
      <c r="B2195" t="s">
        <v>50</v>
      </c>
      <c r="C2195" t="s">
        <v>11</v>
      </c>
      <c r="D2195" t="s">
        <v>30</v>
      </c>
      <c r="E2195">
        <v>86</v>
      </c>
      <c r="F2195">
        <v>42</v>
      </c>
      <c r="G2195" s="1">
        <v>31000</v>
      </c>
      <c r="H2195" s="1">
        <v>31000</v>
      </c>
      <c r="I2195" s="1">
        <v>86800</v>
      </c>
      <c r="J2195" s="1">
        <v>2800</v>
      </c>
    </row>
    <row r="2196" spans="1:10" x14ac:dyDescent="0.3">
      <c r="A2196" t="s">
        <v>72</v>
      </c>
      <c r="B2196" t="s">
        <v>15</v>
      </c>
      <c r="C2196" t="s">
        <v>11</v>
      </c>
      <c r="D2196" t="s">
        <v>31</v>
      </c>
      <c r="E2196">
        <v>86</v>
      </c>
      <c r="F2196">
        <v>49</v>
      </c>
      <c r="G2196" s="1">
        <v>2000</v>
      </c>
      <c r="H2196" s="1">
        <v>1300</v>
      </c>
      <c r="I2196" s="1">
        <v>3510</v>
      </c>
      <c r="J2196" s="1">
        <v>2700</v>
      </c>
    </row>
    <row r="2197" spans="1:10" x14ac:dyDescent="0.3">
      <c r="A2197" t="s">
        <v>72</v>
      </c>
      <c r="B2197" t="s">
        <v>16</v>
      </c>
      <c r="C2197" t="s">
        <v>11</v>
      </c>
      <c r="D2197" t="s">
        <v>31</v>
      </c>
      <c r="E2197">
        <v>86</v>
      </c>
      <c r="F2197">
        <v>49</v>
      </c>
      <c r="G2197" s="1">
        <v>500</v>
      </c>
      <c r="H2197" s="1">
        <v>500</v>
      </c>
      <c r="I2197" s="1">
        <v>1100</v>
      </c>
      <c r="J2197" s="1">
        <v>2200</v>
      </c>
    </row>
    <row r="2198" spans="1:10" x14ac:dyDescent="0.3">
      <c r="A2198" t="s">
        <v>72</v>
      </c>
      <c r="B2198" t="s">
        <v>17</v>
      </c>
      <c r="C2198" t="s">
        <v>11</v>
      </c>
      <c r="D2198" t="s">
        <v>31</v>
      </c>
      <c r="E2198">
        <v>86</v>
      </c>
      <c r="F2198">
        <v>49</v>
      </c>
      <c r="G2198" s="1">
        <v>1000</v>
      </c>
      <c r="H2198" s="1">
        <v>650</v>
      </c>
      <c r="I2198" s="1">
        <v>1560</v>
      </c>
      <c r="J2198" s="1">
        <v>2400</v>
      </c>
    </row>
    <row r="2199" spans="1:10" x14ac:dyDescent="0.3">
      <c r="A2199" t="s">
        <v>72</v>
      </c>
      <c r="B2199" t="s">
        <v>18</v>
      </c>
      <c r="C2199" t="s">
        <v>11</v>
      </c>
      <c r="D2199" t="s">
        <v>31</v>
      </c>
      <c r="E2199">
        <v>86</v>
      </c>
      <c r="F2199">
        <v>49</v>
      </c>
      <c r="G2199" s="1">
        <v>1500</v>
      </c>
      <c r="H2199" s="1">
        <v>1500</v>
      </c>
      <c r="I2199" s="1">
        <v>3750</v>
      </c>
      <c r="J2199" s="1">
        <v>2500</v>
      </c>
    </row>
    <row r="2200" spans="1:10" x14ac:dyDescent="0.3">
      <c r="A2200" t="s">
        <v>72</v>
      </c>
      <c r="B2200" t="s">
        <v>19</v>
      </c>
      <c r="C2200" t="s">
        <v>11</v>
      </c>
      <c r="D2200" t="s">
        <v>31</v>
      </c>
      <c r="E2200">
        <v>86</v>
      </c>
      <c r="F2200">
        <v>49</v>
      </c>
      <c r="G2200" s="1">
        <v>2000</v>
      </c>
      <c r="H2200" s="1">
        <v>2000</v>
      </c>
      <c r="I2200" s="1">
        <v>4000</v>
      </c>
      <c r="J2200" s="1">
        <v>2000</v>
      </c>
    </row>
    <row r="2201" spans="1:10" x14ac:dyDescent="0.3">
      <c r="A2201" t="s">
        <v>72</v>
      </c>
      <c r="B2201" t="s">
        <v>20</v>
      </c>
      <c r="C2201" t="s">
        <v>11</v>
      </c>
      <c r="D2201" t="s">
        <v>31</v>
      </c>
      <c r="E2201">
        <v>86</v>
      </c>
      <c r="F2201">
        <v>49</v>
      </c>
      <c r="G2201" s="1">
        <v>1000</v>
      </c>
      <c r="H2201" s="1">
        <v>1000</v>
      </c>
      <c r="I2201" s="1">
        <v>2400</v>
      </c>
      <c r="J2201" s="1">
        <v>2400</v>
      </c>
    </row>
    <row r="2202" spans="1:10" x14ac:dyDescent="0.3">
      <c r="A2202" t="s">
        <v>72</v>
      </c>
      <c r="B2202" t="s">
        <v>21</v>
      </c>
      <c r="C2202" t="s">
        <v>11</v>
      </c>
      <c r="D2202" t="s">
        <v>31</v>
      </c>
      <c r="E2202">
        <v>86</v>
      </c>
      <c r="F2202">
        <v>49</v>
      </c>
      <c r="G2202" s="1">
        <v>7500</v>
      </c>
      <c r="H2202" s="1">
        <v>7500</v>
      </c>
      <c r="I2202" s="1">
        <v>18750</v>
      </c>
      <c r="J2202" s="1">
        <v>2500</v>
      </c>
    </row>
    <row r="2203" spans="1:10" x14ac:dyDescent="0.3">
      <c r="A2203" t="s">
        <v>72</v>
      </c>
      <c r="B2203" t="s">
        <v>22</v>
      </c>
      <c r="C2203" t="s">
        <v>11</v>
      </c>
      <c r="D2203" t="s">
        <v>31</v>
      </c>
      <c r="E2203">
        <v>86</v>
      </c>
      <c r="F2203">
        <v>49</v>
      </c>
      <c r="G2203" s="1">
        <v>7500</v>
      </c>
      <c r="H2203" s="1">
        <v>7500</v>
      </c>
      <c r="I2203" s="1">
        <v>15000</v>
      </c>
      <c r="J2203" s="1">
        <v>2000</v>
      </c>
    </row>
    <row r="2204" spans="1:10" x14ac:dyDescent="0.3">
      <c r="A2204" t="s">
        <v>72</v>
      </c>
      <c r="B2204" t="s">
        <v>23</v>
      </c>
      <c r="C2204" t="s">
        <v>11</v>
      </c>
      <c r="D2204" t="s">
        <v>31</v>
      </c>
      <c r="E2204">
        <v>86</v>
      </c>
      <c r="F2204">
        <v>49</v>
      </c>
      <c r="G2204" s="1">
        <v>5000</v>
      </c>
      <c r="H2204" s="1">
        <v>5000</v>
      </c>
      <c r="I2204" s="1">
        <v>10000</v>
      </c>
      <c r="J2204" s="1">
        <v>2000</v>
      </c>
    </row>
    <row r="2205" spans="1:10" x14ac:dyDescent="0.3">
      <c r="A2205" t="s">
        <v>72</v>
      </c>
      <c r="B2205" t="s">
        <v>24</v>
      </c>
      <c r="C2205" t="s">
        <v>11</v>
      </c>
      <c r="D2205" t="s">
        <v>31</v>
      </c>
      <c r="E2205">
        <v>86</v>
      </c>
      <c r="F2205">
        <v>49</v>
      </c>
      <c r="G2205" s="1">
        <v>5000</v>
      </c>
      <c r="H2205" s="1">
        <v>5000</v>
      </c>
      <c r="I2205" s="1">
        <v>10000</v>
      </c>
      <c r="J2205" s="1">
        <v>2000</v>
      </c>
    </row>
    <row r="2206" spans="1:10" x14ac:dyDescent="0.3">
      <c r="A2206" t="s">
        <v>72</v>
      </c>
      <c r="B2206" t="s">
        <v>25</v>
      </c>
      <c r="C2206" t="s">
        <v>11</v>
      </c>
      <c r="D2206" t="s">
        <v>31</v>
      </c>
      <c r="E2206">
        <v>86</v>
      </c>
      <c r="F2206">
        <v>49</v>
      </c>
      <c r="G2206" s="1">
        <v>5000</v>
      </c>
      <c r="H2206" s="1">
        <v>4970</v>
      </c>
      <c r="I2206" s="1">
        <v>5467</v>
      </c>
      <c r="J2206" s="1">
        <v>1100</v>
      </c>
    </row>
    <row r="2207" spans="1:10" x14ac:dyDescent="0.3">
      <c r="A2207" t="s">
        <v>72</v>
      </c>
      <c r="B2207" t="s">
        <v>50</v>
      </c>
      <c r="C2207" t="s">
        <v>11</v>
      </c>
      <c r="D2207" t="s">
        <v>31</v>
      </c>
      <c r="E2207">
        <v>86</v>
      </c>
      <c r="F2207">
        <v>49</v>
      </c>
      <c r="G2207" s="1">
        <v>5000</v>
      </c>
      <c r="H2207" s="1">
        <v>4800</v>
      </c>
      <c r="I2207" s="1">
        <v>4320</v>
      </c>
      <c r="J2207" s="1">
        <v>900</v>
      </c>
    </row>
    <row r="2208" spans="1:10" x14ac:dyDescent="0.3">
      <c r="A2208" t="s">
        <v>72</v>
      </c>
      <c r="B2208" t="s">
        <v>21</v>
      </c>
      <c r="C2208" t="s">
        <v>11</v>
      </c>
      <c r="D2208" t="s">
        <v>32</v>
      </c>
      <c r="E2208">
        <v>86</v>
      </c>
      <c r="F2208">
        <v>63</v>
      </c>
      <c r="G2208" s="1">
        <v>1000</v>
      </c>
      <c r="H2208" s="1">
        <v>0</v>
      </c>
      <c r="I2208" s="1">
        <v>0</v>
      </c>
      <c r="J2208" s="1">
        <v>0</v>
      </c>
    </row>
    <row r="2209" spans="1:10" x14ac:dyDescent="0.3">
      <c r="A2209" t="s">
        <v>72</v>
      </c>
      <c r="B2209" t="s">
        <v>22</v>
      </c>
      <c r="C2209" t="s">
        <v>11</v>
      </c>
      <c r="D2209" t="s">
        <v>32</v>
      </c>
      <c r="E2209">
        <v>86</v>
      </c>
      <c r="F2209">
        <v>63</v>
      </c>
      <c r="G2209" s="1">
        <v>1000</v>
      </c>
      <c r="H2209" s="1">
        <v>1000</v>
      </c>
      <c r="I2209" s="1">
        <v>1500</v>
      </c>
      <c r="J2209" s="1">
        <v>1500</v>
      </c>
    </row>
    <row r="2210" spans="1:10" x14ac:dyDescent="0.3">
      <c r="A2210" t="s">
        <v>72</v>
      </c>
      <c r="B2210" t="s">
        <v>23</v>
      </c>
      <c r="C2210" t="s">
        <v>11</v>
      </c>
      <c r="D2210" t="s">
        <v>32</v>
      </c>
      <c r="E2210">
        <v>86</v>
      </c>
      <c r="F2210">
        <v>63</v>
      </c>
      <c r="G2210" s="1">
        <v>1000</v>
      </c>
      <c r="H2210" s="1">
        <v>1000</v>
      </c>
      <c r="I2210" s="1">
        <v>1000</v>
      </c>
      <c r="J2210" s="1">
        <v>1000</v>
      </c>
    </row>
    <row r="2211" spans="1:10" x14ac:dyDescent="0.3">
      <c r="A2211" t="s">
        <v>72</v>
      </c>
      <c r="B2211" t="s">
        <v>24</v>
      </c>
      <c r="C2211" t="s">
        <v>11</v>
      </c>
      <c r="D2211" t="s">
        <v>32</v>
      </c>
      <c r="E2211">
        <v>86</v>
      </c>
      <c r="F2211">
        <v>63</v>
      </c>
      <c r="G2211" s="1">
        <v>2000</v>
      </c>
      <c r="H2211" s="1">
        <v>2000</v>
      </c>
      <c r="I2211" s="1">
        <v>2800</v>
      </c>
      <c r="J2211" s="1">
        <v>1400</v>
      </c>
    </row>
    <row r="2212" spans="1:10" x14ac:dyDescent="0.3">
      <c r="A2212" t="s">
        <v>72</v>
      </c>
      <c r="B2212" t="s">
        <v>25</v>
      </c>
      <c r="C2212" t="s">
        <v>11</v>
      </c>
      <c r="D2212" t="s">
        <v>32</v>
      </c>
      <c r="E2212">
        <v>86</v>
      </c>
      <c r="F2212">
        <v>63</v>
      </c>
      <c r="G2212" s="1">
        <v>2000</v>
      </c>
      <c r="H2212" s="1">
        <v>1970</v>
      </c>
      <c r="I2212" s="1">
        <v>2167</v>
      </c>
      <c r="J2212" s="1">
        <v>1100</v>
      </c>
    </row>
    <row r="2213" spans="1:10" x14ac:dyDescent="0.3">
      <c r="A2213" t="s">
        <v>72</v>
      </c>
      <c r="B2213" t="s">
        <v>50</v>
      </c>
      <c r="C2213" t="s">
        <v>11</v>
      </c>
      <c r="D2213" t="s">
        <v>32</v>
      </c>
      <c r="E2213">
        <v>86</v>
      </c>
      <c r="F2213">
        <v>63</v>
      </c>
      <c r="G2213" s="1">
        <v>2000</v>
      </c>
      <c r="H2213" s="1">
        <v>1850</v>
      </c>
      <c r="I2213" s="1">
        <v>1850</v>
      </c>
      <c r="J2213" s="1">
        <v>1000</v>
      </c>
    </row>
    <row r="2214" spans="1:10" x14ac:dyDescent="0.3">
      <c r="A2214" t="s">
        <v>72</v>
      </c>
      <c r="B2214" t="s">
        <v>20</v>
      </c>
      <c r="C2214" t="s">
        <v>11</v>
      </c>
      <c r="D2214" t="s">
        <v>33</v>
      </c>
      <c r="E2214">
        <v>86</v>
      </c>
      <c r="F2214">
        <v>56</v>
      </c>
      <c r="G2214" s="1">
        <v>1900</v>
      </c>
      <c r="H2214" s="1">
        <v>1900</v>
      </c>
      <c r="I2214" s="1">
        <v>4370</v>
      </c>
      <c r="J2214" s="1">
        <v>2300</v>
      </c>
    </row>
    <row r="2215" spans="1:10" x14ac:dyDescent="0.3">
      <c r="A2215" t="s">
        <v>72</v>
      </c>
      <c r="B2215" t="s">
        <v>21</v>
      </c>
      <c r="C2215" t="s">
        <v>11</v>
      </c>
      <c r="D2215" t="s">
        <v>33</v>
      </c>
      <c r="E2215">
        <v>86</v>
      </c>
      <c r="F2215">
        <v>56</v>
      </c>
      <c r="G2215" s="1">
        <v>700</v>
      </c>
      <c r="H2215" s="1">
        <v>200</v>
      </c>
      <c r="I2215" s="1">
        <v>140</v>
      </c>
      <c r="J2215" s="1">
        <v>700</v>
      </c>
    </row>
    <row r="2216" spans="1:10" x14ac:dyDescent="0.3">
      <c r="A2216" t="s">
        <v>72</v>
      </c>
      <c r="B2216" t="s">
        <v>22</v>
      </c>
      <c r="C2216" t="s">
        <v>11</v>
      </c>
      <c r="D2216" t="s">
        <v>33</v>
      </c>
      <c r="E2216">
        <v>86</v>
      </c>
      <c r="F2216">
        <v>56</v>
      </c>
      <c r="G2216" s="1">
        <v>1430</v>
      </c>
      <c r="H2216" s="1">
        <v>1080</v>
      </c>
      <c r="I2216" s="1">
        <v>1188</v>
      </c>
      <c r="J2216" s="1">
        <v>1100</v>
      </c>
    </row>
    <row r="2217" spans="1:10" x14ac:dyDescent="0.3">
      <c r="A2217" t="s">
        <v>72</v>
      </c>
      <c r="B2217" t="s">
        <v>23</v>
      </c>
      <c r="C2217" t="s">
        <v>11</v>
      </c>
      <c r="D2217" t="s">
        <v>33</v>
      </c>
      <c r="E2217">
        <v>86</v>
      </c>
      <c r="F2217">
        <v>56</v>
      </c>
      <c r="G2217" s="1">
        <v>510</v>
      </c>
      <c r="H2217" s="1">
        <v>230</v>
      </c>
      <c r="I2217" s="1">
        <v>207</v>
      </c>
      <c r="J2217" s="1">
        <v>900</v>
      </c>
    </row>
    <row r="2218" spans="1:10" x14ac:dyDescent="0.3">
      <c r="A2218" t="s">
        <v>72</v>
      </c>
      <c r="B2218" t="s">
        <v>24</v>
      </c>
      <c r="C2218" t="s">
        <v>11</v>
      </c>
      <c r="D2218" t="s">
        <v>33</v>
      </c>
      <c r="E2218">
        <v>86</v>
      </c>
      <c r="F2218">
        <v>56</v>
      </c>
      <c r="G2218" s="1">
        <v>1380</v>
      </c>
      <c r="H2218" s="1">
        <v>1380</v>
      </c>
      <c r="I2218" s="1">
        <v>1656</v>
      </c>
      <c r="J2218" s="1">
        <v>1200</v>
      </c>
    </row>
    <row r="2219" spans="1:10" x14ac:dyDescent="0.3">
      <c r="A2219" t="s">
        <v>72</v>
      </c>
      <c r="B2219" t="s">
        <v>25</v>
      </c>
      <c r="C2219" t="s">
        <v>11</v>
      </c>
      <c r="D2219" t="s">
        <v>33</v>
      </c>
      <c r="E2219">
        <v>86</v>
      </c>
      <c r="F2219">
        <v>56</v>
      </c>
      <c r="G2219" s="1">
        <v>1850</v>
      </c>
      <c r="H2219" s="1">
        <v>1460</v>
      </c>
      <c r="I2219" s="1">
        <v>1314</v>
      </c>
      <c r="J2219" s="1">
        <v>900</v>
      </c>
    </row>
    <row r="2220" spans="1:10" x14ac:dyDescent="0.3">
      <c r="A2220" t="s">
        <v>72</v>
      </c>
      <c r="B2220" t="s">
        <v>50</v>
      </c>
      <c r="C2220" t="s">
        <v>11</v>
      </c>
      <c r="D2220" t="s">
        <v>33</v>
      </c>
      <c r="E2220">
        <v>86</v>
      </c>
      <c r="F2220">
        <v>56</v>
      </c>
      <c r="G2220" s="1">
        <v>17000</v>
      </c>
      <c r="H2220" s="1">
        <v>16930</v>
      </c>
      <c r="I2220" s="1">
        <v>30474</v>
      </c>
      <c r="J2220" s="1">
        <v>1800</v>
      </c>
    </row>
    <row r="2221" spans="1:10" x14ac:dyDescent="0.3">
      <c r="A2221" t="s">
        <v>72</v>
      </c>
      <c r="B2221" t="s">
        <v>15</v>
      </c>
      <c r="C2221" t="s">
        <v>11</v>
      </c>
      <c r="D2221" t="s">
        <v>34</v>
      </c>
      <c r="E2221">
        <v>86</v>
      </c>
      <c r="F2221">
        <v>70</v>
      </c>
      <c r="G2221" s="1">
        <v>500</v>
      </c>
      <c r="H2221" s="1">
        <v>350</v>
      </c>
      <c r="I2221" s="1">
        <v>350</v>
      </c>
      <c r="J2221" s="1">
        <v>1000</v>
      </c>
    </row>
    <row r="2222" spans="1:10" x14ac:dyDescent="0.3">
      <c r="A2222" t="s">
        <v>72</v>
      </c>
      <c r="B2222" t="s">
        <v>20</v>
      </c>
      <c r="C2222" t="s">
        <v>11</v>
      </c>
      <c r="D2222" t="s">
        <v>34</v>
      </c>
      <c r="E2222">
        <v>86</v>
      </c>
      <c r="F2222">
        <v>70</v>
      </c>
      <c r="G2222" s="1">
        <v>1000</v>
      </c>
      <c r="H2222" s="1">
        <v>1000</v>
      </c>
      <c r="I2222" s="1">
        <v>2000</v>
      </c>
      <c r="J2222" s="1">
        <v>2000</v>
      </c>
    </row>
    <row r="2223" spans="1:10" x14ac:dyDescent="0.3">
      <c r="A2223" t="s">
        <v>72</v>
      </c>
      <c r="B2223" t="s">
        <v>21</v>
      </c>
      <c r="C2223" t="s">
        <v>11</v>
      </c>
      <c r="D2223" t="s">
        <v>34</v>
      </c>
      <c r="E2223">
        <v>86</v>
      </c>
      <c r="F2223">
        <v>70</v>
      </c>
      <c r="G2223" s="1">
        <v>3500</v>
      </c>
      <c r="H2223" s="1">
        <v>3500</v>
      </c>
      <c r="I2223" s="1">
        <v>7000</v>
      </c>
      <c r="J2223" s="1">
        <v>2000</v>
      </c>
    </row>
    <row r="2224" spans="1:10" x14ac:dyDescent="0.3">
      <c r="A2224" t="s">
        <v>72</v>
      </c>
      <c r="B2224" t="s">
        <v>22</v>
      </c>
      <c r="C2224" t="s">
        <v>11</v>
      </c>
      <c r="D2224" t="s">
        <v>34</v>
      </c>
      <c r="E2224">
        <v>86</v>
      </c>
      <c r="F2224">
        <v>70</v>
      </c>
      <c r="G2224" s="1">
        <v>10000</v>
      </c>
      <c r="H2224" s="1">
        <v>10000</v>
      </c>
      <c r="I2224" s="1">
        <v>20000</v>
      </c>
      <c r="J2224" s="1">
        <v>2000</v>
      </c>
    </row>
    <row r="2225" spans="1:10" x14ac:dyDescent="0.3">
      <c r="A2225" t="s">
        <v>72</v>
      </c>
      <c r="B2225" t="s">
        <v>23</v>
      </c>
      <c r="C2225" t="s">
        <v>11</v>
      </c>
      <c r="D2225" t="s">
        <v>34</v>
      </c>
      <c r="E2225">
        <v>86</v>
      </c>
      <c r="F2225">
        <v>70</v>
      </c>
      <c r="G2225" s="1">
        <v>3500</v>
      </c>
      <c r="H2225" s="1">
        <v>3500</v>
      </c>
      <c r="I2225" s="1">
        <v>7000</v>
      </c>
      <c r="J2225" s="1">
        <v>2000</v>
      </c>
    </row>
    <row r="2226" spans="1:10" x14ac:dyDescent="0.3">
      <c r="A2226" t="s">
        <v>72</v>
      </c>
      <c r="B2226" t="s">
        <v>24</v>
      </c>
      <c r="C2226" t="s">
        <v>11</v>
      </c>
      <c r="D2226" t="s">
        <v>34</v>
      </c>
      <c r="E2226">
        <v>86</v>
      </c>
      <c r="F2226">
        <v>70</v>
      </c>
      <c r="G2226" s="1">
        <v>3500</v>
      </c>
      <c r="H2226" s="1">
        <v>3500</v>
      </c>
      <c r="I2226" s="1">
        <v>7000</v>
      </c>
      <c r="J2226" s="1">
        <v>2000</v>
      </c>
    </row>
    <row r="2227" spans="1:10" x14ac:dyDescent="0.3">
      <c r="A2227" t="s">
        <v>72</v>
      </c>
      <c r="B2227" t="s">
        <v>25</v>
      </c>
      <c r="C2227" t="s">
        <v>11</v>
      </c>
      <c r="D2227" t="s">
        <v>34</v>
      </c>
      <c r="E2227">
        <v>86</v>
      </c>
      <c r="F2227">
        <v>70</v>
      </c>
      <c r="G2227" s="1">
        <v>3500</v>
      </c>
      <c r="H2227" s="1">
        <v>3470</v>
      </c>
      <c r="I2227" s="1">
        <v>3817</v>
      </c>
      <c r="J2227" s="1">
        <v>1100</v>
      </c>
    </row>
    <row r="2228" spans="1:10" x14ac:dyDescent="0.3">
      <c r="A2228" t="s">
        <v>72</v>
      </c>
      <c r="B2228" t="s">
        <v>50</v>
      </c>
      <c r="C2228" t="s">
        <v>11</v>
      </c>
      <c r="D2228" t="s">
        <v>34</v>
      </c>
      <c r="E2228">
        <v>86</v>
      </c>
      <c r="F2228">
        <v>70</v>
      </c>
      <c r="G2228" s="1">
        <v>3500</v>
      </c>
      <c r="H2228" s="1">
        <v>3100</v>
      </c>
      <c r="I2228" s="1">
        <v>2790</v>
      </c>
      <c r="J2228" s="1">
        <v>900</v>
      </c>
    </row>
    <row r="2229" spans="1:10" x14ac:dyDescent="0.3">
      <c r="A2229" t="s">
        <v>72</v>
      </c>
      <c r="B2229" t="s">
        <v>15</v>
      </c>
      <c r="C2229" t="s">
        <v>11</v>
      </c>
      <c r="D2229" t="s">
        <v>35</v>
      </c>
      <c r="E2229">
        <v>86</v>
      </c>
      <c r="F2229">
        <v>77</v>
      </c>
      <c r="G2229" s="1">
        <v>18000</v>
      </c>
      <c r="H2229" s="1">
        <v>10700</v>
      </c>
      <c r="I2229" s="1">
        <v>12840</v>
      </c>
      <c r="J2229" s="1">
        <v>1200</v>
      </c>
    </row>
    <row r="2230" spans="1:10" x14ac:dyDescent="0.3">
      <c r="A2230" t="s">
        <v>72</v>
      </c>
      <c r="B2230" t="s">
        <v>16</v>
      </c>
      <c r="C2230" t="s">
        <v>11</v>
      </c>
      <c r="D2230" t="s">
        <v>35</v>
      </c>
      <c r="E2230">
        <v>86</v>
      </c>
      <c r="F2230">
        <v>77</v>
      </c>
      <c r="G2230" s="1">
        <v>88370</v>
      </c>
      <c r="H2230" s="1">
        <v>79370</v>
      </c>
      <c r="I2230" s="1">
        <v>166680</v>
      </c>
      <c r="J2230" s="1">
        <v>2100</v>
      </c>
    </row>
    <row r="2231" spans="1:10" x14ac:dyDescent="0.3">
      <c r="A2231" t="s">
        <v>72</v>
      </c>
      <c r="B2231" t="s">
        <v>17</v>
      </c>
      <c r="C2231" t="s">
        <v>11</v>
      </c>
      <c r="D2231" t="s">
        <v>35</v>
      </c>
      <c r="E2231">
        <v>86</v>
      </c>
      <c r="F2231">
        <v>77</v>
      </c>
      <c r="G2231" s="1">
        <v>85000</v>
      </c>
      <c r="H2231" s="1">
        <v>56090</v>
      </c>
      <c r="I2231" s="1">
        <v>151443</v>
      </c>
      <c r="J2231" s="1">
        <v>2700</v>
      </c>
    </row>
    <row r="2232" spans="1:10" x14ac:dyDescent="0.3">
      <c r="A2232" t="s">
        <v>72</v>
      </c>
      <c r="B2232" t="s">
        <v>18</v>
      </c>
      <c r="C2232" t="s">
        <v>11</v>
      </c>
      <c r="D2232" t="s">
        <v>35</v>
      </c>
      <c r="E2232">
        <v>86</v>
      </c>
      <c r="F2232">
        <v>77</v>
      </c>
      <c r="G2232" s="1">
        <v>164500</v>
      </c>
      <c r="H2232" s="1">
        <v>164500</v>
      </c>
      <c r="I2232" s="1">
        <v>411250</v>
      </c>
      <c r="J2232" s="1">
        <v>2500</v>
      </c>
    </row>
    <row r="2233" spans="1:10" x14ac:dyDescent="0.3">
      <c r="A2233" t="s">
        <v>72</v>
      </c>
      <c r="B2233" t="s">
        <v>19</v>
      </c>
      <c r="C2233" t="s">
        <v>11</v>
      </c>
      <c r="D2233" t="s">
        <v>35</v>
      </c>
      <c r="E2233">
        <v>86</v>
      </c>
      <c r="F2233">
        <v>77</v>
      </c>
      <c r="G2233" s="1">
        <v>85910</v>
      </c>
      <c r="H2233" s="1">
        <v>85910</v>
      </c>
      <c r="I2233" s="1">
        <v>197593</v>
      </c>
      <c r="J2233" s="1">
        <v>2300</v>
      </c>
    </row>
    <row r="2234" spans="1:10" x14ac:dyDescent="0.3">
      <c r="A2234" t="s">
        <v>72</v>
      </c>
      <c r="B2234" t="s">
        <v>20</v>
      </c>
      <c r="C2234" t="s">
        <v>11</v>
      </c>
      <c r="D2234" t="s">
        <v>35</v>
      </c>
      <c r="E2234">
        <v>86</v>
      </c>
      <c r="F2234">
        <v>77</v>
      </c>
      <c r="G2234" s="1">
        <v>117000</v>
      </c>
      <c r="H2234" s="1">
        <v>117000</v>
      </c>
      <c r="I2234" s="1">
        <v>362700</v>
      </c>
      <c r="J2234" s="1">
        <v>3100</v>
      </c>
    </row>
    <row r="2235" spans="1:10" x14ac:dyDescent="0.3">
      <c r="A2235" t="s">
        <v>72</v>
      </c>
      <c r="B2235" t="s">
        <v>21</v>
      </c>
      <c r="C2235" t="s">
        <v>11</v>
      </c>
      <c r="D2235" t="s">
        <v>35</v>
      </c>
      <c r="E2235">
        <v>86</v>
      </c>
      <c r="F2235">
        <v>77</v>
      </c>
      <c r="G2235" s="1">
        <v>125700</v>
      </c>
      <c r="H2235" s="1">
        <v>117200</v>
      </c>
      <c r="I2235" s="1">
        <v>175800</v>
      </c>
      <c r="J2235" s="1">
        <v>1500</v>
      </c>
    </row>
    <row r="2236" spans="1:10" x14ac:dyDescent="0.3">
      <c r="A2236" t="s">
        <v>72</v>
      </c>
      <c r="B2236" t="s">
        <v>22</v>
      </c>
      <c r="C2236" t="s">
        <v>11</v>
      </c>
      <c r="D2236" t="s">
        <v>35</v>
      </c>
      <c r="E2236">
        <v>86</v>
      </c>
      <c r="F2236">
        <v>77</v>
      </c>
      <c r="G2236" s="1">
        <v>149600</v>
      </c>
      <c r="H2236" s="1">
        <v>141620</v>
      </c>
      <c r="I2236" s="1">
        <v>212410</v>
      </c>
      <c r="J2236" s="1">
        <v>1500</v>
      </c>
    </row>
    <row r="2237" spans="1:10" x14ac:dyDescent="0.3">
      <c r="A2237" t="s">
        <v>72</v>
      </c>
      <c r="B2237" t="s">
        <v>23</v>
      </c>
      <c r="C2237" t="s">
        <v>11</v>
      </c>
      <c r="D2237" t="s">
        <v>35</v>
      </c>
      <c r="E2237">
        <v>86</v>
      </c>
      <c r="F2237">
        <v>77</v>
      </c>
      <c r="G2237" s="1">
        <v>72700</v>
      </c>
      <c r="H2237" s="1">
        <v>39430</v>
      </c>
      <c r="I2237" s="1">
        <v>43373</v>
      </c>
      <c r="J2237" s="1">
        <v>1100</v>
      </c>
    </row>
    <row r="2238" spans="1:10" x14ac:dyDescent="0.3">
      <c r="A2238" t="s">
        <v>72</v>
      </c>
      <c r="B2238" t="s">
        <v>24</v>
      </c>
      <c r="C2238" t="s">
        <v>11</v>
      </c>
      <c r="D2238" t="s">
        <v>35</v>
      </c>
      <c r="E2238">
        <v>86</v>
      </c>
      <c r="F2238">
        <v>77</v>
      </c>
      <c r="G2238" s="1">
        <v>96300</v>
      </c>
      <c r="H2238" s="1">
        <v>94740</v>
      </c>
      <c r="I2238" s="1">
        <v>113688</v>
      </c>
      <c r="J2238" s="1">
        <v>1200</v>
      </c>
    </row>
    <row r="2239" spans="1:10" x14ac:dyDescent="0.3">
      <c r="A2239" t="s">
        <v>72</v>
      </c>
      <c r="B2239" t="s">
        <v>25</v>
      </c>
      <c r="C2239" t="s">
        <v>11</v>
      </c>
      <c r="D2239" t="s">
        <v>35</v>
      </c>
      <c r="E2239">
        <v>86</v>
      </c>
      <c r="F2239">
        <v>77</v>
      </c>
      <c r="G2239" s="1">
        <v>134200</v>
      </c>
      <c r="H2239" s="1">
        <v>117370</v>
      </c>
      <c r="I2239" s="1">
        <v>140844</v>
      </c>
      <c r="J2239" s="1">
        <v>1200</v>
      </c>
    </row>
    <row r="2240" spans="1:10" x14ac:dyDescent="0.3">
      <c r="A2240" t="s">
        <v>72</v>
      </c>
      <c r="B2240" t="s">
        <v>50</v>
      </c>
      <c r="C2240" t="s">
        <v>11</v>
      </c>
      <c r="D2240" t="s">
        <v>35</v>
      </c>
      <c r="E2240">
        <v>86</v>
      </c>
      <c r="F2240">
        <v>77</v>
      </c>
      <c r="G2240" s="1">
        <v>100684</v>
      </c>
      <c r="H2240" s="1">
        <v>100684</v>
      </c>
      <c r="I2240" s="1">
        <v>271847</v>
      </c>
      <c r="J2240" s="1">
        <v>2700</v>
      </c>
    </row>
    <row r="2241" spans="1:10" x14ac:dyDescent="0.3">
      <c r="A2241" t="s">
        <v>72</v>
      </c>
      <c r="B2241" t="s">
        <v>15</v>
      </c>
      <c r="C2241" t="s">
        <v>11</v>
      </c>
      <c r="D2241" t="s">
        <v>36</v>
      </c>
      <c r="E2241">
        <v>86</v>
      </c>
      <c r="F2241">
        <v>84</v>
      </c>
      <c r="G2241" s="1">
        <v>500</v>
      </c>
      <c r="H2241" s="1">
        <v>250</v>
      </c>
      <c r="I2241" s="1">
        <v>180</v>
      </c>
      <c r="J2241" s="1">
        <v>720</v>
      </c>
    </row>
    <row r="2242" spans="1:10" x14ac:dyDescent="0.3">
      <c r="A2242" t="s">
        <v>72</v>
      </c>
      <c r="B2242" t="s">
        <v>17</v>
      </c>
      <c r="C2242" t="s">
        <v>11</v>
      </c>
      <c r="D2242" t="s">
        <v>36</v>
      </c>
      <c r="E2242">
        <v>86</v>
      </c>
      <c r="F2242">
        <v>84</v>
      </c>
      <c r="G2242" s="1">
        <v>2500</v>
      </c>
      <c r="H2242" s="1">
        <v>1640</v>
      </c>
      <c r="I2242" s="1">
        <v>2296</v>
      </c>
      <c r="J2242" s="1">
        <v>1400</v>
      </c>
    </row>
    <row r="2243" spans="1:10" x14ac:dyDescent="0.3">
      <c r="A2243" t="s">
        <v>72</v>
      </c>
      <c r="B2243" t="s">
        <v>18</v>
      </c>
      <c r="C2243" t="s">
        <v>11</v>
      </c>
      <c r="D2243" t="s">
        <v>36</v>
      </c>
      <c r="E2243">
        <v>86</v>
      </c>
      <c r="F2243">
        <v>84</v>
      </c>
      <c r="G2243" s="1">
        <v>2000</v>
      </c>
      <c r="H2243" s="1">
        <v>2000</v>
      </c>
      <c r="I2243" s="1">
        <v>3000</v>
      </c>
      <c r="J2243" s="1">
        <v>1500</v>
      </c>
    </row>
    <row r="2244" spans="1:10" x14ac:dyDescent="0.3">
      <c r="A2244" t="s">
        <v>72</v>
      </c>
      <c r="B2244" t="s">
        <v>19</v>
      </c>
      <c r="C2244" t="s">
        <v>11</v>
      </c>
      <c r="D2244" t="s">
        <v>36</v>
      </c>
      <c r="E2244">
        <v>86</v>
      </c>
      <c r="F2244">
        <v>84</v>
      </c>
      <c r="G2244" s="1">
        <v>2000</v>
      </c>
      <c r="H2244" s="1">
        <v>2000</v>
      </c>
      <c r="I2244" s="1">
        <v>3600</v>
      </c>
      <c r="J2244" s="1">
        <v>1800</v>
      </c>
    </row>
    <row r="2245" spans="1:10" x14ac:dyDescent="0.3">
      <c r="A2245" t="s">
        <v>72</v>
      </c>
      <c r="B2245" t="s">
        <v>20</v>
      </c>
      <c r="C2245" t="s">
        <v>11</v>
      </c>
      <c r="D2245" t="s">
        <v>36</v>
      </c>
      <c r="E2245">
        <v>86</v>
      </c>
      <c r="F2245">
        <v>84</v>
      </c>
      <c r="G2245" s="1">
        <v>1500</v>
      </c>
      <c r="H2245" s="1">
        <v>1500</v>
      </c>
      <c r="I2245" s="1">
        <v>2700</v>
      </c>
      <c r="J2245" s="1">
        <v>1800</v>
      </c>
    </row>
    <row r="2246" spans="1:10" x14ac:dyDescent="0.3">
      <c r="A2246" t="s">
        <v>72</v>
      </c>
      <c r="B2246" t="s">
        <v>21</v>
      </c>
      <c r="C2246" t="s">
        <v>11</v>
      </c>
      <c r="D2246" t="s">
        <v>36</v>
      </c>
      <c r="E2246">
        <v>86</v>
      </c>
      <c r="F2246">
        <v>84</v>
      </c>
      <c r="G2246" s="1">
        <v>5000</v>
      </c>
      <c r="H2246" s="1">
        <v>5000</v>
      </c>
      <c r="I2246" s="1">
        <v>7500</v>
      </c>
      <c r="J2246" s="1">
        <v>1500</v>
      </c>
    </row>
    <row r="2247" spans="1:10" x14ac:dyDescent="0.3">
      <c r="A2247" t="s">
        <v>72</v>
      </c>
      <c r="B2247" t="s">
        <v>22</v>
      </c>
      <c r="C2247" t="s">
        <v>11</v>
      </c>
      <c r="D2247" t="s">
        <v>36</v>
      </c>
      <c r="E2247">
        <v>86</v>
      </c>
      <c r="F2247">
        <v>84</v>
      </c>
      <c r="G2247" s="1">
        <v>5000</v>
      </c>
      <c r="H2247" s="1">
        <v>5000</v>
      </c>
      <c r="I2247" s="1">
        <v>7500</v>
      </c>
      <c r="J2247" s="1">
        <v>1500</v>
      </c>
    </row>
    <row r="2248" spans="1:10" x14ac:dyDescent="0.3">
      <c r="A2248" t="s">
        <v>72</v>
      </c>
      <c r="B2248" t="s">
        <v>23</v>
      </c>
      <c r="C2248" t="s">
        <v>11</v>
      </c>
      <c r="D2248" t="s">
        <v>36</v>
      </c>
      <c r="E2248">
        <v>86</v>
      </c>
      <c r="F2248">
        <v>84</v>
      </c>
      <c r="G2248" s="1">
        <v>5000</v>
      </c>
      <c r="H2248" s="1">
        <v>5000</v>
      </c>
      <c r="I2248" s="1">
        <v>5000</v>
      </c>
      <c r="J2248" s="1">
        <v>1000</v>
      </c>
    </row>
    <row r="2249" spans="1:10" x14ac:dyDescent="0.3">
      <c r="A2249" t="s">
        <v>72</v>
      </c>
      <c r="B2249" t="s">
        <v>24</v>
      </c>
      <c r="C2249" t="s">
        <v>11</v>
      </c>
      <c r="D2249" t="s">
        <v>36</v>
      </c>
      <c r="E2249">
        <v>86</v>
      </c>
      <c r="F2249">
        <v>84</v>
      </c>
      <c r="G2249" s="1">
        <v>5000</v>
      </c>
      <c r="H2249" s="1">
        <v>5000</v>
      </c>
      <c r="I2249" s="1">
        <v>7000</v>
      </c>
      <c r="J2249" s="1">
        <v>1400</v>
      </c>
    </row>
    <row r="2250" spans="1:10" x14ac:dyDescent="0.3">
      <c r="A2250" t="s">
        <v>72</v>
      </c>
      <c r="B2250" t="s">
        <v>25</v>
      </c>
      <c r="C2250" t="s">
        <v>11</v>
      </c>
      <c r="D2250" t="s">
        <v>36</v>
      </c>
      <c r="E2250">
        <v>86</v>
      </c>
      <c r="F2250">
        <v>84</v>
      </c>
      <c r="G2250" s="1">
        <v>5000</v>
      </c>
      <c r="H2250" s="1">
        <v>4850</v>
      </c>
      <c r="I2250" s="1">
        <v>5335</v>
      </c>
      <c r="J2250" s="1">
        <v>1100</v>
      </c>
    </row>
    <row r="2251" spans="1:10" x14ac:dyDescent="0.3">
      <c r="A2251" t="s">
        <v>72</v>
      </c>
      <c r="B2251" t="s">
        <v>50</v>
      </c>
      <c r="C2251" t="s">
        <v>11</v>
      </c>
      <c r="D2251" t="s">
        <v>36</v>
      </c>
      <c r="E2251">
        <v>86</v>
      </c>
      <c r="F2251">
        <v>84</v>
      </c>
      <c r="G2251" s="1">
        <v>5000</v>
      </c>
      <c r="H2251" s="1">
        <v>4700</v>
      </c>
      <c r="I2251" s="1">
        <v>4700</v>
      </c>
      <c r="J2251" s="1">
        <v>1000</v>
      </c>
    </row>
    <row r="2252" spans="1:10" x14ac:dyDescent="0.3">
      <c r="A2252" t="s">
        <v>72</v>
      </c>
      <c r="B2252" t="s">
        <v>15</v>
      </c>
      <c r="C2252" t="s">
        <v>11</v>
      </c>
      <c r="D2252" t="s">
        <v>37</v>
      </c>
      <c r="E2252">
        <v>86</v>
      </c>
      <c r="F2252">
        <v>91</v>
      </c>
      <c r="G2252" s="1">
        <v>25000</v>
      </c>
      <c r="H2252" s="1">
        <v>13000</v>
      </c>
      <c r="I2252" s="1">
        <v>19500</v>
      </c>
      <c r="J2252" s="1">
        <v>1500</v>
      </c>
    </row>
    <row r="2253" spans="1:10" x14ac:dyDescent="0.3">
      <c r="A2253" t="s">
        <v>72</v>
      </c>
      <c r="B2253" t="s">
        <v>16</v>
      </c>
      <c r="C2253" t="s">
        <v>11</v>
      </c>
      <c r="D2253" t="s">
        <v>37</v>
      </c>
      <c r="E2253">
        <v>86</v>
      </c>
      <c r="F2253">
        <v>91</v>
      </c>
      <c r="G2253" s="1">
        <v>33320</v>
      </c>
      <c r="H2253" s="1">
        <v>29820</v>
      </c>
      <c r="I2253" s="1">
        <v>41750</v>
      </c>
      <c r="J2253" s="1">
        <v>1400</v>
      </c>
    </row>
    <row r="2254" spans="1:10" x14ac:dyDescent="0.3">
      <c r="A2254" t="s">
        <v>72</v>
      </c>
      <c r="B2254" t="s">
        <v>17</v>
      </c>
      <c r="C2254" t="s">
        <v>11</v>
      </c>
      <c r="D2254" t="s">
        <v>37</v>
      </c>
      <c r="E2254">
        <v>86</v>
      </c>
      <c r="F2254">
        <v>91</v>
      </c>
      <c r="G2254" s="1">
        <v>38700</v>
      </c>
      <c r="H2254" s="1">
        <v>25530</v>
      </c>
      <c r="I2254" s="1">
        <v>53613</v>
      </c>
      <c r="J2254" s="1">
        <v>2100</v>
      </c>
    </row>
    <row r="2255" spans="1:10" x14ac:dyDescent="0.3">
      <c r="A2255" t="s">
        <v>72</v>
      </c>
      <c r="B2255" t="s">
        <v>18</v>
      </c>
      <c r="C2255" t="s">
        <v>11</v>
      </c>
      <c r="D2255" t="s">
        <v>37</v>
      </c>
      <c r="E2255">
        <v>86</v>
      </c>
      <c r="F2255">
        <v>91</v>
      </c>
      <c r="G2255" s="1">
        <v>48580</v>
      </c>
      <c r="H2255" s="1">
        <v>48580</v>
      </c>
      <c r="I2255" s="1">
        <v>106876</v>
      </c>
      <c r="J2255" s="1">
        <v>2200</v>
      </c>
    </row>
    <row r="2256" spans="1:10" x14ac:dyDescent="0.3">
      <c r="A2256" t="s">
        <v>72</v>
      </c>
      <c r="B2256" t="s">
        <v>19</v>
      </c>
      <c r="C2256" t="s">
        <v>11</v>
      </c>
      <c r="D2256" t="s">
        <v>37</v>
      </c>
      <c r="E2256">
        <v>86</v>
      </c>
      <c r="F2256">
        <v>91</v>
      </c>
      <c r="G2256" s="1">
        <v>27234</v>
      </c>
      <c r="H2256" s="1">
        <v>27234</v>
      </c>
      <c r="I2256" s="1">
        <v>49021</v>
      </c>
      <c r="J2256" s="1">
        <v>1800</v>
      </c>
    </row>
    <row r="2257" spans="1:10" x14ac:dyDescent="0.3">
      <c r="A2257" t="s">
        <v>72</v>
      </c>
      <c r="B2257" t="s">
        <v>20</v>
      </c>
      <c r="C2257" t="s">
        <v>11</v>
      </c>
      <c r="D2257" t="s">
        <v>37</v>
      </c>
      <c r="E2257">
        <v>86</v>
      </c>
      <c r="F2257">
        <v>91</v>
      </c>
      <c r="G2257" s="1">
        <v>30000</v>
      </c>
      <c r="H2257" s="1">
        <v>30000</v>
      </c>
      <c r="I2257" s="1">
        <v>72000</v>
      </c>
      <c r="J2257" s="1">
        <v>2400</v>
      </c>
    </row>
    <row r="2258" spans="1:10" x14ac:dyDescent="0.3">
      <c r="A2258" t="s">
        <v>72</v>
      </c>
      <c r="B2258" t="s">
        <v>21</v>
      </c>
      <c r="C2258" t="s">
        <v>11</v>
      </c>
      <c r="D2258" t="s">
        <v>37</v>
      </c>
      <c r="E2258">
        <v>86</v>
      </c>
      <c r="F2258">
        <v>91</v>
      </c>
      <c r="G2258" s="1">
        <v>30000</v>
      </c>
      <c r="H2258" s="1">
        <v>26000</v>
      </c>
      <c r="I2258" s="1">
        <v>39000</v>
      </c>
      <c r="J2258" s="1">
        <v>1500</v>
      </c>
    </row>
    <row r="2259" spans="1:10" x14ac:dyDescent="0.3">
      <c r="A2259" t="s">
        <v>72</v>
      </c>
      <c r="B2259" t="s">
        <v>22</v>
      </c>
      <c r="C2259" t="s">
        <v>11</v>
      </c>
      <c r="D2259" t="s">
        <v>37</v>
      </c>
      <c r="E2259">
        <v>86</v>
      </c>
      <c r="F2259">
        <v>91</v>
      </c>
      <c r="G2259" s="1">
        <v>28000</v>
      </c>
      <c r="H2259" s="1">
        <v>28000</v>
      </c>
      <c r="I2259" s="1">
        <v>56000</v>
      </c>
      <c r="J2259" s="1">
        <v>2000</v>
      </c>
    </row>
    <row r="2260" spans="1:10" x14ac:dyDescent="0.3">
      <c r="A2260" t="s">
        <v>72</v>
      </c>
      <c r="B2260" t="s">
        <v>23</v>
      </c>
      <c r="C2260" t="s">
        <v>11</v>
      </c>
      <c r="D2260" t="s">
        <v>37</v>
      </c>
      <c r="E2260">
        <v>86</v>
      </c>
      <c r="F2260">
        <v>91</v>
      </c>
      <c r="G2260" s="1">
        <v>30000</v>
      </c>
      <c r="H2260" s="1">
        <v>30000</v>
      </c>
      <c r="I2260" s="1">
        <v>45000</v>
      </c>
      <c r="J2260" s="1">
        <v>1500</v>
      </c>
    </row>
    <row r="2261" spans="1:10" x14ac:dyDescent="0.3">
      <c r="A2261" t="s">
        <v>72</v>
      </c>
      <c r="B2261" t="s">
        <v>24</v>
      </c>
      <c r="C2261" t="s">
        <v>11</v>
      </c>
      <c r="D2261" t="s">
        <v>37</v>
      </c>
      <c r="E2261">
        <v>86</v>
      </c>
      <c r="F2261">
        <v>91</v>
      </c>
      <c r="G2261" s="1">
        <v>30000</v>
      </c>
      <c r="H2261" s="1">
        <v>30000</v>
      </c>
      <c r="I2261" s="1">
        <v>60000</v>
      </c>
      <c r="J2261" s="1">
        <v>2000</v>
      </c>
    </row>
    <row r="2262" spans="1:10" x14ac:dyDescent="0.3">
      <c r="A2262" t="s">
        <v>72</v>
      </c>
      <c r="B2262" t="s">
        <v>25</v>
      </c>
      <c r="C2262" t="s">
        <v>11</v>
      </c>
      <c r="D2262" t="s">
        <v>37</v>
      </c>
      <c r="E2262">
        <v>86</v>
      </c>
      <c r="F2262">
        <v>91</v>
      </c>
      <c r="G2262" s="1">
        <v>30000</v>
      </c>
      <c r="H2262" s="1">
        <v>29920</v>
      </c>
      <c r="I2262" s="1">
        <v>32912</v>
      </c>
      <c r="J2262" s="1">
        <v>1100</v>
      </c>
    </row>
    <row r="2263" spans="1:10" x14ac:dyDescent="0.3">
      <c r="A2263" t="s">
        <v>72</v>
      </c>
      <c r="B2263" t="s">
        <v>50</v>
      </c>
      <c r="C2263" t="s">
        <v>11</v>
      </c>
      <c r="D2263" t="s">
        <v>37</v>
      </c>
      <c r="E2263">
        <v>86</v>
      </c>
      <c r="F2263">
        <v>91</v>
      </c>
      <c r="G2263" s="1">
        <v>30000</v>
      </c>
      <c r="H2263" s="1">
        <v>29200</v>
      </c>
      <c r="I2263" s="1">
        <v>29200</v>
      </c>
      <c r="J2263" s="1">
        <v>1000</v>
      </c>
    </row>
    <row r="2264" spans="1:10" x14ac:dyDescent="0.3">
      <c r="A2264" t="s">
        <v>72</v>
      </c>
      <c r="B2264" t="s">
        <v>15</v>
      </c>
      <c r="C2264" t="s">
        <v>11</v>
      </c>
      <c r="D2264" t="s">
        <v>38</v>
      </c>
      <c r="E2264">
        <v>86</v>
      </c>
      <c r="F2264">
        <v>98</v>
      </c>
      <c r="G2264" s="1">
        <v>10000</v>
      </c>
      <c r="H2264" s="1">
        <v>6000</v>
      </c>
      <c r="I2264" s="1">
        <v>6600</v>
      </c>
      <c r="J2264" s="1">
        <v>1100</v>
      </c>
    </row>
    <row r="2265" spans="1:10" x14ac:dyDescent="0.3">
      <c r="A2265" t="s">
        <v>72</v>
      </c>
      <c r="B2265" t="s">
        <v>16</v>
      </c>
      <c r="C2265" t="s">
        <v>11</v>
      </c>
      <c r="D2265" t="s">
        <v>38</v>
      </c>
      <c r="E2265">
        <v>86</v>
      </c>
      <c r="F2265">
        <v>98</v>
      </c>
      <c r="G2265" s="1">
        <v>7680</v>
      </c>
      <c r="H2265" s="1">
        <v>6980</v>
      </c>
      <c r="I2265" s="1">
        <v>14660</v>
      </c>
      <c r="J2265" s="1">
        <v>2100</v>
      </c>
    </row>
    <row r="2266" spans="1:10" x14ac:dyDescent="0.3">
      <c r="A2266" t="s">
        <v>72</v>
      </c>
      <c r="B2266" t="s">
        <v>17</v>
      </c>
      <c r="C2266" t="s">
        <v>11</v>
      </c>
      <c r="D2266" t="s">
        <v>38</v>
      </c>
      <c r="E2266">
        <v>86</v>
      </c>
      <c r="F2266">
        <v>98</v>
      </c>
      <c r="G2266" s="1">
        <v>15000</v>
      </c>
      <c r="H2266" s="1">
        <v>9900</v>
      </c>
      <c r="I2266" s="1">
        <v>26730</v>
      </c>
      <c r="J2266" s="1">
        <v>2700</v>
      </c>
    </row>
    <row r="2267" spans="1:10" x14ac:dyDescent="0.3">
      <c r="A2267" t="s">
        <v>72</v>
      </c>
      <c r="B2267" t="s">
        <v>18</v>
      </c>
      <c r="C2267" t="s">
        <v>11</v>
      </c>
      <c r="D2267" t="s">
        <v>38</v>
      </c>
      <c r="E2267">
        <v>86</v>
      </c>
      <c r="F2267">
        <v>98</v>
      </c>
      <c r="G2267" s="1">
        <v>15100</v>
      </c>
      <c r="H2267" s="1">
        <v>15100</v>
      </c>
      <c r="I2267" s="1">
        <v>16610</v>
      </c>
      <c r="J2267" s="1">
        <v>1100</v>
      </c>
    </row>
    <row r="2268" spans="1:10" x14ac:dyDescent="0.3">
      <c r="A2268" t="s">
        <v>72</v>
      </c>
      <c r="B2268" t="s">
        <v>19</v>
      </c>
      <c r="C2268" t="s">
        <v>11</v>
      </c>
      <c r="D2268" t="s">
        <v>38</v>
      </c>
      <c r="E2268">
        <v>86</v>
      </c>
      <c r="F2268">
        <v>98</v>
      </c>
      <c r="G2268" s="1">
        <v>12077</v>
      </c>
      <c r="H2268" s="1">
        <v>12077</v>
      </c>
      <c r="I2268" s="1">
        <v>26569</v>
      </c>
      <c r="J2268" s="1">
        <v>2200</v>
      </c>
    </row>
    <row r="2269" spans="1:10" x14ac:dyDescent="0.3">
      <c r="A2269" t="s">
        <v>72</v>
      </c>
      <c r="B2269" t="s">
        <v>20</v>
      </c>
      <c r="C2269" t="s">
        <v>11</v>
      </c>
      <c r="D2269" t="s">
        <v>38</v>
      </c>
      <c r="E2269">
        <v>86</v>
      </c>
      <c r="F2269">
        <v>98</v>
      </c>
      <c r="G2269" s="1">
        <v>27200</v>
      </c>
      <c r="H2269" s="1">
        <v>27200</v>
      </c>
      <c r="I2269" s="1">
        <v>73440</v>
      </c>
      <c r="J2269" s="1">
        <v>2700</v>
      </c>
    </row>
    <row r="2270" spans="1:10" x14ac:dyDescent="0.3">
      <c r="A2270" t="s">
        <v>72</v>
      </c>
      <c r="B2270" t="s">
        <v>21</v>
      </c>
      <c r="C2270" t="s">
        <v>11</v>
      </c>
      <c r="D2270" t="s">
        <v>38</v>
      </c>
      <c r="E2270">
        <v>86</v>
      </c>
      <c r="F2270">
        <v>98</v>
      </c>
      <c r="G2270" s="1">
        <v>12300</v>
      </c>
      <c r="H2270" s="1">
        <v>2500</v>
      </c>
      <c r="I2270" s="1">
        <v>2250</v>
      </c>
      <c r="J2270" s="1">
        <v>900</v>
      </c>
    </row>
    <row r="2271" spans="1:10" x14ac:dyDescent="0.3">
      <c r="A2271" t="s">
        <v>72</v>
      </c>
      <c r="B2271" t="s">
        <v>22</v>
      </c>
      <c r="C2271" t="s">
        <v>11</v>
      </c>
      <c r="D2271" t="s">
        <v>38</v>
      </c>
      <c r="E2271">
        <v>86</v>
      </c>
      <c r="F2271">
        <v>98</v>
      </c>
      <c r="G2271" s="1">
        <v>24800</v>
      </c>
      <c r="H2271" s="1">
        <v>16670</v>
      </c>
      <c r="I2271" s="1">
        <v>18337</v>
      </c>
      <c r="J2271" s="1">
        <v>1100</v>
      </c>
    </row>
    <row r="2272" spans="1:10" x14ac:dyDescent="0.3">
      <c r="A2272" t="s">
        <v>72</v>
      </c>
      <c r="B2272" t="s">
        <v>23</v>
      </c>
      <c r="C2272" t="s">
        <v>11</v>
      </c>
      <c r="D2272" t="s">
        <v>38</v>
      </c>
      <c r="E2272">
        <v>86</v>
      </c>
      <c r="F2272">
        <v>98</v>
      </c>
      <c r="G2272" s="1">
        <v>5060</v>
      </c>
      <c r="H2272" s="1">
        <v>2950</v>
      </c>
      <c r="I2272" s="1">
        <v>3245</v>
      </c>
      <c r="J2272" s="1">
        <v>1100</v>
      </c>
    </row>
    <row r="2273" spans="1:10" x14ac:dyDescent="0.3">
      <c r="A2273" t="s">
        <v>72</v>
      </c>
      <c r="B2273" t="s">
        <v>24</v>
      </c>
      <c r="C2273" t="s">
        <v>11</v>
      </c>
      <c r="D2273" t="s">
        <v>38</v>
      </c>
      <c r="E2273">
        <v>86</v>
      </c>
      <c r="F2273">
        <v>98</v>
      </c>
      <c r="G2273" s="1">
        <v>12550</v>
      </c>
      <c r="H2273" s="1">
        <v>12550</v>
      </c>
      <c r="I2273" s="1">
        <v>15060</v>
      </c>
      <c r="J2273" s="1">
        <v>1200</v>
      </c>
    </row>
    <row r="2274" spans="1:10" x14ac:dyDescent="0.3">
      <c r="A2274" t="s">
        <v>72</v>
      </c>
      <c r="B2274" t="s">
        <v>25</v>
      </c>
      <c r="C2274" t="s">
        <v>11</v>
      </c>
      <c r="D2274" t="s">
        <v>38</v>
      </c>
      <c r="E2274">
        <v>86</v>
      </c>
      <c r="F2274">
        <v>98</v>
      </c>
      <c r="G2274" s="1">
        <v>20900</v>
      </c>
      <c r="H2274" s="1">
        <v>17680</v>
      </c>
      <c r="I2274" s="1">
        <v>15912</v>
      </c>
      <c r="J2274" s="1">
        <v>900</v>
      </c>
    </row>
    <row r="2275" spans="1:10" x14ac:dyDescent="0.3">
      <c r="A2275" t="s">
        <v>72</v>
      </c>
      <c r="B2275" t="s">
        <v>50</v>
      </c>
      <c r="C2275" t="s">
        <v>11</v>
      </c>
      <c r="D2275" t="s">
        <v>38</v>
      </c>
      <c r="E2275">
        <v>86</v>
      </c>
      <c r="F2275">
        <v>98</v>
      </c>
      <c r="G2275" s="1">
        <v>20800</v>
      </c>
      <c r="H2275" s="1">
        <v>20660</v>
      </c>
      <c r="I2275" s="1">
        <v>49584</v>
      </c>
      <c r="J2275" s="1">
        <v>2400</v>
      </c>
    </row>
    <row r="2276" spans="1:10" x14ac:dyDescent="0.3">
      <c r="A2276" t="s">
        <v>72</v>
      </c>
      <c r="B2276" t="s">
        <v>18</v>
      </c>
      <c r="C2276" t="s">
        <v>11</v>
      </c>
      <c r="D2276" t="s">
        <v>39</v>
      </c>
      <c r="E2276">
        <v>86</v>
      </c>
      <c r="F2276">
        <v>105</v>
      </c>
      <c r="G2276" s="1">
        <v>1000</v>
      </c>
      <c r="H2276" s="1">
        <v>1000</v>
      </c>
      <c r="I2276" s="1">
        <v>2200</v>
      </c>
      <c r="J2276" s="1">
        <v>2200</v>
      </c>
    </row>
    <row r="2277" spans="1:10" x14ac:dyDescent="0.3">
      <c r="A2277" t="s">
        <v>72</v>
      </c>
      <c r="B2277" t="s">
        <v>19</v>
      </c>
      <c r="C2277" t="s">
        <v>11</v>
      </c>
      <c r="D2277" t="s">
        <v>39</v>
      </c>
      <c r="E2277">
        <v>86</v>
      </c>
      <c r="F2277">
        <v>105</v>
      </c>
      <c r="G2277" s="1">
        <v>1200</v>
      </c>
      <c r="H2277" s="1">
        <v>1200</v>
      </c>
      <c r="I2277" s="1">
        <v>2400</v>
      </c>
      <c r="J2277" s="1">
        <v>2000</v>
      </c>
    </row>
    <row r="2278" spans="1:10" x14ac:dyDescent="0.3">
      <c r="A2278" t="s">
        <v>72</v>
      </c>
      <c r="B2278" t="s">
        <v>20</v>
      </c>
      <c r="C2278" t="s">
        <v>11</v>
      </c>
      <c r="D2278" t="s">
        <v>39</v>
      </c>
      <c r="E2278">
        <v>86</v>
      </c>
      <c r="F2278">
        <v>105</v>
      </c>
      <c r="G2278" s="1">
        <v>1000</v>
      </c>
      <c r="H2278" s="1">
        <v>1000</v>
      </c>
      <c r="I2278" s="1">
        <v>2000</v>
      </c>
      <c r="J2278" s="1">
        <v>2000</v>
      </c>
    </row>
    <row r="2279" spans="1:10" x14ac:dyDescent="0.3">
      <c r="A2279" t="s">
        <v>72</v>
      </c>
      <c r="B2279" t="s">
        <v>21</v>
      </c>
      <c r="C2279" t="s">
        <v>11</v>
      </c>
      <c r="D2279" t="s">
        <v>39</v>
      </c>
      <c r="E2279">
        <v>86</v>
      </c>
      <c r="F2279">
        <v>105</v>
      </c>
      <c r="G2279" s="1">
        <v>1000</v>
      </c>
      <c r="H2279" s="1">
        <v>1000</v>
      </c>
      <c r="I2279" s="1">
        <v>2000</v>
      </c>
      <c r="J2279" s="1">
        <v>2000</v>
      </c>
    </row>
    <row r="2280" spans="1:10" x14ac:dyDescent="0.3">
      <c r="A2280" t="s">
        <v>72</v>
      </c>
      <c r="B2280" t="s">
        <v>22</v>
      </c>
      <c r="C2280" t="s">
        <v>11</v>
      </c>
      <c r="D2280" t="s">
        <v>39</v>
      </c>
      <c r="E2280">
        <v>86</v>
      </c>
      <c r="F2280">
        <v>105</v>
      </c>
      <c r="G2280" s="1">
        <v>1000</v>
      </c>
      <c r="H2280" s="1">
        <v>1000</v>
      </c>
      <c r="I2280" s="1">
        <v>2000</v>
      </c>
      <c r="J2280" s="1">
        <v>2000</v>
      </c>
    </row>
    <row r="2281" spans="1:10" x14ac:dyDescent="0.3">
      <c r="A2281" t="s">
        <v>72</v>
      </c>
      <c r="B2281" t="s">
        <v>23</v>
      </c>
      <c r="C2281" t="s">
        <v>11</v>
      </c>
      <c r="D2281" t="s">
        <v>39</v>
      </c>
      <c r="E2281">
        <v>86</v>
      </c>
      <c r="F2281">
        <v>105</v>
      </c>
      <c r="G2281" s="1">
        <v>1000</v>
      </c>
      <c r="H2281" s="1">
        <v>1000</v>
      </c>
      <c r="I2281" s="1">
        <v>2000</v>
      </c>
      <c r="J2281" s="1">
        <v>2000</v>
      </c>
    </row>
    <row r="2282" spans="1:10" x14ac:dyDescent="0.3">
      <c r="A2282" t="s">
        <v>72</v>
      </c>
      <c r="B2282" t="s">
        <v>24</v>
      </c>
      <c r="C2282" t="s">
        <v>11</v>
      </c>
      <c r="D2282" t="s">
        <v>39</v>
      </c>
      <c r="E2282">
        <v>86</v>
      </c>
      <c r="F2282">
        <v>105</v>
      </c>
      <c r="G2282" s="1">
        <v>1000</v>
      </c>
      <c r="H2282" s="1">
        <v>1000</v>
      </c>
      <c r="I2282" s="1">
        <v>1600</v>
      </c>
      <c r="J2282" s="1">
        <v>1600</v>
      </c>
    </row>
    <row r="2283" spans="1:10" x14ac:dyDescent="0.3">
      <c r="A2283" t="s">
        <v>72</v>
      </c>
      <c r="B2283" t="s">
        <v>25</v>
      </c>
      <c r="C2283" t="s">
        <v>11</v>
      </c>
      <c r="D2283" t="s">
        <v>39</v>
      </c>
      <c r="E2283">
        <v>86</v>
      </c>
      <c r="F2283">
        <v>105</v>
      </c>
      <c r="G2283" s="1">
        <v>1000</v>
      </c>
      <c r="H2283" s="1">
        <v>975</v>
      </c>
      <c r="I2283" s="1">
        <v>1073</v>
      </c>
      <c r="J2283" s="1">
        <v>1100</v>
      </c>
    </row>
    <row r="2284" spans="1:10" x14ac:dyDescent="0.3">
      <c r="A2284" t="s">
        <v>72</v>
      </c>
      <c r="B2284" t="s">
        <v>50</v>
      </c>
      <c r="C2284" t="s">
        <v>11</v>
      </c>
      <c r="D2284" t="s">
        <v>39</v>
      </c>
      <c r="E2284">
        <v>86</v>
      </c>
      <c r="F2284">
        <v>105</v>
      </c>
      <c r="G2284" s="1">
        <v>1000</v>
      </c>
      <c r="H2284" s="1">
        <v>850</v>
      </c>
      <c r="I2284" s="1">
        <v>765</v>
      </c>
      <c r="J2284" s="1">
        <v>900</v>
      </c>
    </row>
    <row r="2285" spans="1:10" x14ac:dyDescent="0.3">
      <c r="A2285" t="s">
        <v>72</v>
      </c>
      <c r="B2285" t="s">
        <v>15</v>
      </c>
      <c r="C2285" t="s">
        <v>11</v>
      </c>
      <c r="D2285" t="s">
        <v>40</v>
      </c>
      <c r="E2285">
        <v>86</v>
      </c>
      <c r="F2285">
        <v>112</v>
      </c>
      <c r="G2285" s="1">
        <v>2500</v>
      </c>
      <c r="H2285" s="1">
        <v>1600</v>
      </c>
      <c r="I2285" s="1">
        <v>1920</v>
      </c>
      <c r="J2285" s="1">
        <v>1200</v>
      </c>
    </row>
    <row r="2286" spans="1:10" x14ac:dyDescent="0.3">
      <c r="A2286" t="s">
        <v>72</v>
      </c>
      <c r="B2286" t="s">
        <v>16</v>
      </c>
      <c r="C2286" t="s">
        <v>11</v>
      </c>
      <c r="D2286" t="s">
        <v>40</v>
      </c>
      <c r="E2286">
        <v>86</v>
      </c>
      <c r="F2286">
        <v>112</v>
      </c>
      <c r="G2286" s="1">
        <v>3000</v>
      </c>
      <c r="H2286" s="1">
        <v>3000</v>
      </c>
      <c r="I2286" s="1">
        <v>4500</v>
      </c>
      <c r="J2286" s="1">
        <v>1500</v>
      </c>
    </row>
    <row r="2287" spans="1:10" x14ac:dyDescent="0.3">
      <c r="A2287" t="s">
        <v>72</v>
      </c>
      <c r="B2287" t="s">
        <v>17</v>
      </c>
      <c r="C2287" t="s">
        <v>11</v>
      </c>
      <c r="D2287" t="s">
        <v>40</v>
      </c>
      <c r="E2287">
        <v>86</v>
      </c>
      <c r="F2287">
        <v>112</v>
      </c>
      <c r="G2287" s="1">
        <v>5000</v>
      </c>
      <c r="H2287" s="1">
        <v>3290</v>
      </c>
      <c r="I2287" s="1">
        <v>4606</v>
      </c>
      <c r="J2287" s="1">
        <v>1400</v>
      </c>
    </row>
    <row r="2288" spans="1:10" x14ac:dyDescent="0.3">
      <c r="A2288" t="s">
        <v>72</v>
      </c>
      <c r="B2288" t="s">
        <v>18</v>
      </c>
      <c r="C2288" t="s">
        <v>11</v>
      </c>
      <c r="D2288" t="s">
        <v>40</v>
      </c>
      <c r="E2288">
        <v>86</v>
      </c>
      <c r="F2288">
        <v>112</v>
      </c>
      <c r="G2288" s="1">
        <v>5000</v>
      </c>
      <c r="H2288" s="1">
        <v>5000</v>
      </c>
      <c r="I2288" s="1">
        <v>11000</v>
      </c>
      <c r="J2288" s="1">
        <v>2200</v>
      </c>
    </row>
    <row r="2289" spans="1:10" x14ac:dyDescent="0.3">
      <c r="A2289" t="s">
        <v>72</v>
      </c>
      <c r="B2289" t="s">
        <v>19</v>
      </c>
      <c r="C2289" t="s">
        <v>11</v>
      </c>
      <c r="D2289" t="s">
        <v>40</v>
      </c>
      <c r="E2289">
        <v>86</v>
      </c>
      <c r="F2289">
        <v>112</v>
      </c>
      <c r="G2289" s="1">
        <v>3000</v>
      </c>
      <c r="H2289" s="1">
        <v>3000</v>
      </c>
      <c r="I2289" s="1">
        <v>4500</v>
      </c>
      <c r="J2289" s="1">
        <v>1500</v>
      </c>
    </row>
    <row r="2290" spans="1:10" x14ac:dyDescent="0.3">
      <c r="A2290" t="s">
        <v>72</v>
      </c>
      <c r="B2290" t="s">
        <v>20</v>
      </c>
      <c r="C2290" t="s">
        <v>11</v>
      </c>
      <c r="D2290" t="s">
        <v>40</v>
      </c>
      <c r="E2290">
        <v>86</v>
      </c>
      <c r="F2290">
        <v>112</v>
      </c>
      <c r="G2290" s="1">
        <v>3000</v>
      </c>
      <c r="H2290" s="1">
        <v>3000</v>
      </c>
      <c r="I2290" s="1">
        <v>6000</v>
      </c>
      <c r="J2290" s="1">
        <v>2000</v>
      </c>
    </row>
    <row r="2291" spans="1:10" x14ac:dyDescent="0.3">
      <c r="A2291" t="s">
        <v>72</v>
      </c>
      <c r="B2291" t="s">
        <v>21</v>
      </c>
      <c r="C2291" t="s">
        <v>11</v>
      </c>
      <c r="D2291" t="s">
        <v>40</v>
      </c>
      <c r="E2291">
        <v>86</v>
      </c>
      <c r="F2291">
        <v>112</v>
      </c>
      <c r="G2291" s="1">
        <v>3000</v>
      </c>
      <c r="H2291" s="1">
        <v>2600</v>
      </c>
      <c r="I2291" s="1">
        <v>3900</v>
      </c>
      <c r="J2291" s="1">
        <v>1500</v>
      </c>
    </row>
    <row r="2292" spans="1:10" x14ac:dyDescent="0.3">
      <c r="A2292" t="s">
        <v>72</v>
      </c>
      <c r="B2292" t="s">
        <v>22</v>
      </c>
      <c r="C2292" t="s">
        <v>11</v>
      </c>
      <c r="D2292" t="s">
        <v>40</v>
      </c>
      <c r="E2292">
        <v>86</v>
      </c>
      <c r="F2292">
        <v>112</v>
      </c>
      <c r="G2292" s="1">
        <v>2100</v>
      </c>
      <c r="H2292" s="1">
        <v>2100</v>
      </c>
      <c r="I2292" s="1">
        <v>3780</v>
      </c>
      <c r="J2292" s="1">
        <v>1800</v>
      </c>
    </row>
    <row r="2293" spans="1:10" x14ac:dyDescent="0.3">
      <c r="A2293" t="s">
        <v>72</v>
      </c>
      <c r="B2293" t="s">
        <v>23</v>
      </c>
      <c r="C2293" t="s">
        <v>11</v>
      </c>
      <c r="D2293" t="s">
        <v>40</v>
      </c>
      <c r="E2293">
        <v>86</v>
      </c>
      <c r="F2293">
        <v>112</v>
      </c>
      <c r="G2293" s="1">
        <v>4000</v>
      </c>
      <c r="H2293" s="1">
        <v>4000</v>
      </c>
      <c r="I2293" s="1">
        <v>4800</v>
      </c>
      <c r="J2293" s="1">
        <v>1200</v>
      </c>
    </row>
    <row r="2294" spans="1:10" x14ac:dyDescent="0.3">
      <c r="A2294" t="s">
        <v>72</v>
      </c>
      <c r="B2294" t="s">
        <v>24</v>
      </c>
      <c r="C2294" t="s">
        <v>11</v>
      </c>
      <c r="D2294" t="s">
        <v>40</v>
      </c>
      <c r="E2294">
        <v>86</v>
      </c>
      <c r="F2294">
        <v>112</v>
      </c>
      <c r="G2294" s="1">
        <v>4000</v>
      </c>
      <c r="H2294" s="1">
        <v>4000</v>
      </c>
      <c r="I2294" s="1">
        <v>5600</v>
      </c>
      <c r="J2294" s="1">
        <v>1400</v>
      </c>
    </row>
    <row r="2295" spans="1:10" x14ac:dyDescent="0.3">
      <c r="A2295" t="s">
        <v>72</v>
      </c>
      <c r="B2295" t="s">
        <v>25</v>
      </c>
      <c r="C2295" t="s">
        <v>11</v>
      </c>
      <c r="D2295" t="s">
        <v>40</v>
      </c>
      <c r="E2295">
        <v>86</v>
      </c>
      <c r="F2295">
        <v>112</v>
      </c>
      <c r="G2295" s="1">
        <v>4000</v>
      </c>
      <c r="H2295" s="1">
        <v>3910</v>
      </c>
      <c r="I2295" s="1">
        <v>4301</v>
      </c>
      <c r="J2295" s="1">
        <v>1100</v>
      </c>
    </row>
    <row r="2296" spans="1:10" x14ac:dyDescent="0.3">
      <c r="A2296" t="s">
        <v>72</v>
      </c>
      <c r="B2296" t="s">
        <v>50</v>
      </c>
      <c r="C2296" t="s">
        <v>11</v>
      </c>
      <c r="D2296" t="s">
        <v>40</v>
      </c>
      <c r="E2296">
        <v>86</v>
      </c>
      <c r="F2296">
        <v>112</v>
      </c>
      <c r="G2296" s="1">
        <v>4000</v>
      </c>
      <c r="H2296" s="1">
        <v>3450</v>
      </c>
      <c r="I2296" s="1">
        <v>2760</v>
      </c>
      <c r="J2296" s="1">
        <v>800</v>
      </c>
    </row>
    <row r="2297" spans="1:10" x14ac:dyDescent="0.3">
      <c r="A2297" t="s">
        <v>72</v>
      </c>
      <c r="B2297" t="s">
        <v>15</v>
      </c>
      <c r="C2297" t="s">
        <v>11</v>
      </c>
      <c r="D2297" t="s">
        <v>41</v>
      </c>
      <c r="E2297">
        <v>86</v>
      </c>
      <c r="F2297">
        <v>119</v>
      </c>
      <c r="G2297" s="1">
        <v>25000</v>
      </c>
      <c r="H2297" s="1">
        <v>13000</v>
      </c>
      <c r="I2297" s="1">
        <v>14300</v>
      </c>
      <c r="J2297" s="1">
        <v>1100</v>
      </c>
    </row>
    <row r="2298" spans="1:10" x14ac:dyDescent="0.3">
      <c r="A2298" t="s">
        <v>72</v>
      </c>
      <c r="B2298" t="s">
        <v>16</v>
      </c>
      <c r="C2298" t="s">
        <v>11</v>
      </c>
      <c r="D2298" t="s">
        <v>41</v>
      </c>
      <c r="E2298">
        <v>86</v>
      </c>
      <c r="F2298">
        <v>119</v>
      </c>
      <c r="G2298" s="1">
        <v>7750</v>
      </c>
      <c r="H2298" s="1">
        <v>6950</v>
      </c>
      <c r="I2298" s="1">
        <v>14600</v>
      </c>
      <c r="J2298" s="1">
        <v>2101</v>
      </c>
    </row>
    <row r="2299" spans="1:10" x14ac:dyDescent="0.3">
      <c r="A2299" t="s">
        <v>72</v>
      </c>
      <c r="B2299" t="s">
        <v>17</v>
      </c>
      <c r="C2299" t="s">
        <v>11</v>
      </c>
      <c r="D2299" t="s">
        <v>41</v>
      </c>
      <c r="E2299">
        <v>86</v>
      </c>
      <c r="F2299">
        <v>119</v>
      </c>
      <c r="G2299" s="1">
        <v>18700</v>
      </c>
      <c r="H2299" s="1">
        <v>12340</v>
      </c>
      <c r="I2299" s="1">
        <v>33318</v>
      </c>
      <c r="J2299" s="1">
        <v>2700</v>
      </c>
    </row>
    <row r="2300" spans="1:10" x14ac:dyDescent="0.3">
      <c r="A2300" t="s">
        <v>72</v>
      </c>
      <c r="B2300" t="s">
        <v>18</v>
      </c>
      <c r="C2300" t="s">
        <v>11</v>
      </c>
      <c r="D2300" t="s">
        <v>41</v>
      </c>
      <c r="E2300">
        <v>86</v>
      </c>
      <c r="F2300">
        <v>119</v>
      </c>
      <c r="G2300" s="1">
        <v>90000</v>
      </c>
      <c r="H2300" s="1">
        <v>90000</v>
      </c>
      <c r="I2300" s="1">
        <v>135000</v>
      </c>
      <c r="J2300" s="1">
        <v>1500</v>
      </c>
    </row>
    <row r="2301" spans="1:10" x14ac:dyDescent="0.3">
      <c r="A2301" t="s">
        <v>72</v>
      </c>
      <c r="B2301" t="s">
        <v>19</v>
      </c>
      <c r="C2301" t="s">
        <v>11</v>
      </c>
      <c r="D2301" t="s">
        <v>41</v>
      </c>
      <c r="E2301">
        <v>86</v>
      </c>
      <c r="F2301">
        <v>119</v>
      </c>
      <c r="G2301" s="1">
        <v>32516</v>
      </c>
      <c r="H2301" s="1">
        <v>32516</v>
      </c>
      <c r="I2301" s="1">
        <v>74787</v>
      </c>
      <c r="J2301" s="1">
        <v>2300</v>
      </c>
    </row>
    <row r="2302" spans="1:10" x14ac:dyDescent="0.3">
      <c r="A2302" t="s">
        <v>72</v>
      </c>
      <c r="B2302" t="s">
        <v>20</v>
      </c>
      <c r="C2302" t="s">
        <v>11</v>
      </c>
      <c r="D2302" t="s">
        <v>41</v>
      </c>
      <c r="E2302">
        <v>86</v>
      </c>
      <c r="F2302">
        <v>119</v>
      </c>
      <c r="G2302" s="1">
        <v>106000</v>
      </c>
      <c r="H2302" s="1">
        <v>106000</v>
      </c>
      <c r="I2302" s="1">
        <v>275600</v>
      </c>
      <c r="J2302" s="1">
        <v>2600</v>
      </c>
    </row>
    <row r="2303" spans="1:10" x14ac:dyDescent="0.3">
      <c r="A2303" t="s">
        <v>72</v>
      </c>
      <c r="B2303" t="s">
        <v>21</v>
      </c>
      <c r="C2303" t="s">
        <v>11</v>
      </c>
      <c r="D2303" t="s">
        <v>41</v>
      </c>
      <c r="E2303">
        <v>86</v>
      </c>
      <c r="F2303">
        <v>119</v>
      </c>
      <c r="G2303" s="1">
        <v>35200</v>
      </c>
      <c r="H2303" s="1">
        <v>11400</v>
      </c>
      <c r="I2303" s="1">
        <v>6840</v>
      </c>
      <c r="J2303" s="1">
        <v>600</v>
      </c>
    </row>
    <row r="2304" spans="1:10" x14ac:dyDescent="0.3">
      <c r="A2304" t="s">
        <v>72</v>
      </c>
      <c r="B2304" t="s">
        <v>22</v>
      </c>
      <c r="C2304" t="s">
        <v>11</v>
      </c>
      <c r="D2304" t="s">
        <v>41</v>
      </c>
      <c r="E2304">
        <v>86</v>
      </c>
      <c r="F2304">
        <v>119</v>
      </c>
      <c r="G2304" s="1">
        <v>70030</v>
      </c>
      <c r="H2304" s="1">
        <v>51090</v>
      </c>
      <c r="I2304" s="1">
        <v>56199</v>
      </c>
      <c r="J2304" s="1">
        <v>1100</v>
      </c>
    </row>
    <row r="2305" spans="1:10" x14ac:dyDescent="0.3">
      <c r="A2305" t="s">
        <v>72</v>
      </c>
      <c r="B2305" t="s">
        <v>23</v>
      </c>
      <c r="C2305" t="s">
        <v>11</v>
      </c>
      <c r="D2305" t="s">
        <v>41</v>
      </c>
      <c r="E2305">
        <v>86</v>
      </c>
      <c r="F2305">
        <v>119</v>
      </c>
      <c r="G2305" s="1">
        <v>21800</v>
      </c>
      <c r="H2305" s="1">
        <v>10030</v>
      </c>
      <c r="I2305" s="1">
        <v>12036</v>
      </c>
      <c r="J2305" s="1">
        <v>1200</v>
      </c>
    </row>
    <row r="2306" spans="1:10" x14ac:dyDescent="0.3">
      <c r="A2306" t="s">
        <v>72</v>
      </c>
      <c r="B2306" t="s">
        <v>24</v>
      </c>
      <c r="C2306" t="s">
        <v>11</v>
      </c>
      <c r="D2306" t="s">
        <v>41</v>
      </c>
      <c r="E2306">
        <v>86</v>
      </c>
      <c r="F2306">
        <v>119</v>
      </c>
      <c r="G2306" s="1">
        <v>33400</v>
      </c>
      <c r="H2306" s="1">
        <v>33160</v>
      </c>
      <c r="I2306" s="1">
        <v>39792</v>
      </c>
      <c r="J2306" s="1">
        <v>1200</v>
      </c>
    </row>
    <row r="2307" spans="1:10" x14ac:dyDescent="0.3">
      <c r="A2307" t="s">
        <v>72</v>
      </c>
      <c r="B2307" t="s">
        <v>25</v>
      </c>
      <c r="C2307" t="s">
        <v>11</v>
      </c>
      <c r="D2307" t="s">
        <v>41</v>
      </c>
      <c r="E2307">
        <v>86</v>
      </c>
      <c r="F2307">
        <v>119</v>
      </c>
      <c r="G2307" s="1">
        <v>52790</v>
      </c>
      <c r="H2307" s="1">
        <v>45630</v>
      </c>
      <c r="I2307" s="1">
        <v>41067</v>
      </c>
      <c r="J2307" s="1">
        <v>900</v>
      </c>
    </row>
    <row r="2308" spans="1:10" x14ac:dyDescent="0.3">
      <c r="A2308" t="s">
        <v>72</v>
      </c>
      <c r="B2308" t="s">
        <v>50</v>
      </c>
      <c r="C2308" t="s">
        <v>11</v>
      </c>
      <c r="D2308" t="s">
        <v>41</v>
      </c>
      <c r="E2308">
        <v>86</v>
      </c>
      <c r="F2308">
        <v>119</v>
      </c>
      <c r="G2308" s="1">
        <v>51870</v>
      </c>
      <c r="H2308" s="1">
        <v>51490</v>
      </c>
      <c r="I2308" s="1">
        <v>108129</v>
      </c>
      <c r="J2308" s="1">
        <v>2100</v>
      </c>
    </row>
    <row r="2309" spans="1:10" x14ac:dyDescent="0.3">
      <c r="A2309" t="s">
        <v>72</v>
      </c>
      <c r="B2309" t="s">
        <v>15</v>
      </c>
      <c r="C2309" t="s">
        <v>11</v>
      </c>
      <c r="D2309" t="s">
        <v>43</v>
      </c>
      <c r="E2309">
        <v>86</v>
      </c>
      <c r="F2309">
        <v>133</v>
      </c>
      <c r="G2309" s="1">
        <v>33000</v>
      </c>
      <c r="H2309" s="1">
        <v>19000</v>
      </c>
      <c r="I2309" s="1">
        <v>28500</v>
      </c>
      <c r="J2309" s="1">
        <v>1500</v>
      </c>
    </row>
    <row r="2310" spans="1:10" x14ac:dyDescent="0.3">
      <c r="A2310" t="s">
        <v>72</v>
      </c>
      <c r="B2310" t="s">
        <v>16</v>
      </c>
      <c r="C2310" t="s">
        <v>11</v>
      </c>
      <c r="D2310" t="s">
        <v>43</v>
      </c>
      <c r="E2310">
        <v>86</v>
      </c>
      <c r="F2310">
        <v>133</v>
      </c>
      <c r="G2310" s="1">
        <v>13180</v>
      </c>
      <c r="H2310" s="1">
        <v>11380</v>
      </c>
      <c r="I2310" s="1">
        <v>15930</v>
      </c>
      <c r="J2310" s="1">
        <v>1400</v>
      </c>
    </row>
    <row r="2311" spans="1:10" x14ac:dyDescent="0.3">
      <c r="A2311" t="s">
        <v>72</v>
      </c>
      <c r="B2311" t="s">
        <v>17</v>
      </c>
      <c r="C2311" t="s">
        <v>11</v>
      </c>
      <c r="D2311" t="s">
        <v>43</v>
      </c>
      <c r="E2311">
        <v>86</v>
      </c>
      <c r="F2311">
        <v>133</v>
      </c>
      <c r="G2311" s="1">
        <v>23400</v>
      </c>
      <c r="H2311" s="1">
        <v>15440</v>
      </c>
      <c r="I2311" s="1">
        <v>29336</v>
      </c>
      <c r="J2311" s="1">
        <v>1900</v>
      </c>
    </row>
    <row r="2312" spans="1:10" x14ac:dyDescent="0.3">
      <c r="A2312" t="s">
        <v>72</v>
      </c>
      <c r="B2312" t="s">
        <v>18</v>
      </c>
      <c r="C2312" t="s">
        <v>11</v>
      </c>
      <c r="D2312" t="s">
        <v>43</v>
      </c>
      <c r="E2312">
        <v>86</v>
      </c>
      <c r="F2312">
        <v>133</v>
      </c>
      <c r="G2312" s="1">
        <v>25680</v>
      </c>
      <c r="H2312" s="1">
        <v>25680</v>
      </c>
      <c r="I2312" s="1">
        <v>56496</v>
      </c>
      <c r="J2312" s="1">
        <v>2200</v>
      </c>
    </row>
    <row r="2313" spans="1:10" x14ac:dyDescent="0.3">
      <c r="A2313" t="s">
        <v>72</v>
      </c>
      <c r="B2313" t="s">
        <v>19</v>
      </c>
      <c r="C2313" t="s">
        <v>11</v>
      </c>
      <c r="D2313" t="s">
        <v>43</v>
      </c>
      <c r="E2313">
        <v>86</v>
      </c>
      <c r="F2313">
        <v>133</v>
      </c>
      <c r="G2313" s="1">
        <v>21594</v>
      </c>
      <c r="H2313" s="1">
        <v>21594</v>
      </c>
      <c r="I2313" s="1">
        <v>38869</v>
      </c>
      <c r="J2313" s="1">
        <v>1800</v>
      </c>
    </row>
    <row r="2314" spans="1:10" x14ac:dyDescent="0.3">
      <c r="A2314" t="s">
        <v>72</v>
      </c>
      <c r="B2314" t="s">
        <v>20</v>
      </c>
      <c r="C2314" t="s">
        <v>11</v>
      </c>
      <c r="D2314" t="s">
        <v>43</v>
      </c>
      <c r="E2314">
        <v>86</v>
      </c>
      <c r="F2314">
        <v>133</v>
      </c>
      <c r="G2314" s="1">
        <v>25000</v>
      </c>
      <c r="H2314" s="1">
        <v>25000</v>
      </c>
      <c r="I2314" s="1">
        <v>60000</v>
      </c>
      <c r="J2314" s="1">
        <v>2400</v>
      </c>
    </row>
    <row r="2315" spans="1:10" x14ac:dyDescent="0.3">
      <c r="A2315" t="s">
        <v>72</v>
      </c>
      <c r="B2315" t="s">
        <v>21</v>
      </c>
      <c r="C2315" t="s">
        <v>11</v>
      </c>
      <c r="D2315" t="s">
        <v>43</v>
      </c>
      <c r="E2315">
        <v>86</v>
      </c>
      <c r="F2315">
        <v>133</v>
      </c>
      <c r="G2315" s="1">
        <v>25000</v>
      </c>
      <c r="H2315" s="1">
        <v>21700</v>
      </c>
      <c r="I2315" s="1">
        <v>32550</v>
      </c>
      <c r="J2315" s="1">
        <v>1500</v>
      </c>
    </row>
    <row r="2316" spans="1:10" x14ac:dyDescent="0.3">
      <c r="A2316" t="s">
        <v>72</v>
      </c>
      <c r="B2316" t="s">
        <v>22</v>
      </c>
      <c r="C2316" t="s">
        <v>11</v>
      </c>
      <c r="D2316" t="s">
        <v>43</v>
      </c>
      <c r="E2316">
        <v>86</v>
      </c>
      <c r="F2316">
        <v>133</v>
      </c>
      <c r="G2316" s="1">
        <v>23200</v>
      </c>
      <c r="H2316" s="1">
        <v>23200</v>
      </c>
      <c r="I2316" s="1">
        <v>46360</v>
      </c>
      <c r="J2316" s="1">
        <v>1998</v>
      </c>
    </row>
    <row r="2317" spans="1:10" x14ac:dyDescent="0.3">
      <c r="A2317" t="s">
        <v>72</v>
      </c>
      <c r="B2317" t="s">
        <v>23</v>
      </c>
      <c r="C2317" t="s">
        <v>11</v>
      </c>
      <c r="D2317" t="s">
        <v>43</v>
      </c>
      <c r="E2317">
        <v>86</v>
      </c>
      <c r="F2317">
        <v>133</v>
      </c>
      <c r="G2317" s="1">
        <v>25200</v>
      </c>
      <c r="H2317" s="1">
        <v>25200</v>
      </c>
      <c r="I2317" s="1">
        <v>37700</v>
      </c>
      <c r="J2317" s="1">
        <v>1496</v>
      </c>
    </row>
    <row r="2318" spans="1:10" x14ac:dyDescent="0.3">
      <c r="A2318" t="s">
        <v>72</v>
      </c>
      <c r="B2318" t="s">
        <v>24</v>
      </c>
      <c r="C2318" t="s">
        <v>11</v>
      </c>
      <c r="D2318" t="s">
        <v>43</v>
      </c>
      <c r="E2318">
        <v>86</v>
      </c>
      <c r="F2318">
        <v>133</v>
      </c>
      <c r="G2318" s="1">
        <v>25200</v>
      </c>
      <c r="H2318" s="1">
        <v>25200</v>
      </c>
      <c r="I2318" s="1">
        <v>42900</v>
      </c>
      <c r="J2318" s="1">
        <v>1702</v>
      </c>
    </row>
    <row r="2319" spans="1:10" x14ac:dyDescent="0.3">
      <c r="A2319" t="s">
        <v>72</v>
      </c>
      <c r="B2319" t="s">
        <v>25</v>
      </c>
      <c r="C2319" t="s">
        <v>11</v>
      </c>
      <c r="D2319" t="s">
        <v>43</v>
      </c>
      <c r="E2319">
        <v>86</v>
      </c>
      <c r="F2319">
        <v>133</v>
      </c>
      <c r="G2319" s="1">
        <v>25200</v>
      </c>
      <c r="H2319" s="1">
        <v>25100</v>
      </c>
      <c r="I2319" s="1">
        <v>27570</v>
      </c>
      <c r="J2319" s="1">
        <v>1098</v>
      </c>
    </row>
    <row r="2320" spans="1:10" x14ac:dyDescent="0.3">
      <c r="A2320" t="s">
        <v>72</v>
      </c>
      <c r="B2320" t="s">
        <v>50</v>
      </c>
      <c r="C2320" t="s">
        <v>11</v>
      </c>
      <c r="D2320" t="s">
        <v>43</v>
      </c>
      <c r="E2320">
        <v>86</v>
      </c>
      <c r="F2320">
        <v>133</v>
      </c>
      <c r="G2320" s="1">
        <v>25200</v>
      </c>
      <c r="H2320" s="1">
        <v>24140</v>
      </c>
      <c r="I2320" s="1">
        <v>24112</v>
      </c>
      <c r="J2320" s="1">
        <v>999</v>
      </c>
    </row>
    <row r="2321" spans="1:10" x14ac:dyDescent="0.3">
      <c r="A2321" t="s">
        <v>72</v>
      </c>
      <c r="B2321" t="s">
        <v>15</v>
      </c>
      <c r="C2321" t="s">
        <v>11</v>
      </c>
      <c r="D2321" t="s">
        <v>44</v>
      </c>
      <c r="E2321">
        <v>86</v>
      </c>
      <c r="F2321">
        <v>147</v>
      </c>
      <c r="G2321" s="1">
        <v>1500</v>
      </c>
      <c r="H2321" s="1">
        <v>1000</v>
      </c>
      <c r="I2321" s="1">
        <v>1000</v>
      </c>
      <c r="J2321" s="1">
        <v>1000</v>
      </c>
    </row>
    <row r="2322" spans="1:10" x14ac:dyDescent="0.3">
      <c r="A2322" t="s">
        <v>72</v>
      </c>
      <c r="B2322" t="s">
        <v>16</v>
      </c>
      <c r="C2322" t="s">
        <v>11</v>
      </c>
      <c r="D2322" t="s">
        <v>44</v>
      </c>
      <c r="E2322">
        <v>86</v>
      </c>
      <c r="F2322">
        <v>147</v>
      </c>
      <c r="G2322" s="1">
        <v>1000</v>
      </c>
      <c r="H2322" s="1">
        <v>1000</v>
      </c>
      <c r="I2322" s="1">
        <v>1000</v>
      </c>
      <c r="J2322" s="1">
        <v>1000</v>
      </c>
    </row>
    <row r="2323" spans="1:10" x14ac:dyDescent="0.3">
      <c r="A2323" t="s">
        <v>72</v>
      </c>
      <c r="B2323" t="s">
        <v>17</v>
      </c>
      <c r="C2323" t="s">
        <v>11</v>
      </c>
      <c r="D2323" t="s">
        <v>44</v>
      </c>
      <c r="E2323">
        <v>86</v>
      </c>
      <c r="F2323">
        <v>147</v>
      </c>
      <c r="G2323" s="1">
        <v>11700</v>
      </c>
      <c r="H2323" s="1">
        <v>7710</v>
      </c>
      <c r="I2323" s="1">
        <v>14649</v>
      </c>
      <c r="J2323" s="1">
        <v>1900</v>
      </c>
    </row>
    <row r="2324" spans="1:10" x14ac:dyDescent="0.3">
      <c r="A2324" t="s">
        <v>72</v>
      </c>
      <c r="B2324" t="s">
        <v>18</v>
      </c>
      <c r="C2324" t="s">
        <v>11</v>
      </c>
      <c r="D2324" t="s">
        <v>44</v>
      </c>
      <c r="E2324">
        <v>86</v>
      </c>
      <c r="F2324">
        <v>147</v>
      </c>
      <c r="G2324" s="1">
        <v>12430</v>
      </c>
      <c r="H2324" s="1">
        <v>12430</v>
      </c>
      <c r="I2324" s="1">
        <v>27346</v>
      </c>
      <c r="J2324" s="1">
        <v>2200</v>
      </c>
    </row>
    <row r="2325" spans="1:10" x14ac:dyDescent="0.3">
      <c r="A2325" t="s">
        <v>72</v>
      </c>
      <c r="B2325" t="s">
        <v>19</v>
      </c>
      <c r="C2325" t="s">
        <v>11</v>
      </c>
      <c r="D2325" t="s">
        <v>44</v>
      </c>
      <c r="E2325">
        <v>86</v>
      </c>
      <c r="F2325">
        <v>147</v>
      </c>
      <c r="G2325" s="1">
        <v>8804</v>
      </c>
      <c r="H2325" s="1">
        <v>8804</v>
      </c>
      <c r="I2325" s="1">
        <v>15847</v>
      </c>
      <c r="J2325" s="1">
        <v>1800</v>
      </c>
    </row>
    <row r="2326" spans="1:10" x14ac:dyDescent="0.3">
      <c r="A2326" t="s">
        <v>72</v>
      </c>
      <c r="B2326" t="s">
        <v>20</v>
      </c>
      <c r="C2326" t="s">
        <v>11</v>
      </c>
      <c r="D2326" t="s">
        <v>44</v>
      </c>
      <c r="E2326">
        <v>86</v>
      </c>
      <c r="F2326">
        <v>147</v>
      </c>
      <c r="G2326" s="1">
        <v>10000</v>
      </c>
      <c r="H2326" s="1">
        <v>10000</v>
      </c>
      <c r="I2326" s="1">
        <v>24000</v>
      </c>
      <c r="J2326" s="1">
        <v>2400</v>
      </c>
    </row>
    <row r="2327" spans="1:10" x14ac:dyDescent="0.3">
      <c r="A2327" t="s">
        <v>72</v>
      </c>
      <c r="B2327" t="s">
        <v>21</v>
      </c>
      <c r="C2327" t="s">
        <v>11</v>
      </c>
      <c r="D2327" t="s">
        <v>44</v>
      </c>
      <c r="E2327">
        <v>86</v>
      </c>
      <c r="F2327">
        <v>147</v>
      </c>
      <c r="G2327" s="1">
        <v>12674</v>
      </c>
      <c r="H2327" s="1">
        <v>11174</v>
      </c>
      <c r="I2327" s="1">
        <v>16761</v>
      </c>
      <c r="J2327" s="1">
        <v>1500</v>
      </c>
    </row>
    <row r="2328" spans="1:10" x14ac:dyDescent="0.3">
      <c r="A2328" t="s">
        <v>72</v>
      </c>
      <c r="B2328" t="s">
        <v>22</v>
      </c>
      <c r="C2328" t="s">
        <v>11</v>
      </c>
      <c r="D2328" t="s">
        <v>44</v>
      </c>
      <c r="E2328">
        <v>86</v>
      </c>
      <c r="F2328">
        <v>147</v>
      </c>
      <c r="G2328" s="1">
        <v>9500</v>
      </c>
      <c r="H2328" s="1">
        <v>9500</v>
      </c>
      <c r="I2328" s="1">
        <v>18700</v>
      </c>
      <c r="J2328" s="1">
        <v>1968</v>
      </c>
    </row>
    <row r="2329" spans="1:10" x14ac:dyDescent="0.3">
      <c r="A2329" t="s">
        <v>72</v>
      </c>
      <c r="B2329" t="s">
        <v>23</v>
      </c>
      <c r="C2329" t="s">
        <v>11</v>
      </c>
      <c r="D2329" t="s">
        <v>44</v>
      </c>
      <c r="E2329">
        <v>86</v>
      </c>
      <c r="F2329">
        <v>147</v>
      </c>
      <c r="G2329" s="1">
        <v>11500</v>
      </c>
      <c r="H2329" s="1">
        <v>11500</v>
      </c>
      <c r="I2329" s="1">
        <v>16500</v>
      </c>
      <c r="J2329" s="1">
        <v>1435</v>
      </c>
    </row>
    <row r="2330" spans="1:10" x14ac:dyDescent="0.3">
      <c r="A2330" t="s">
        <v>72</v>
      </c>
      <c r="B2330" t="s">
        <v>24</v>
      </c>
      <c r="C2330" t="s">
        <v>11</v>
      </c>
      <c r="D2330" t="s">
        <v>44</v>
      </c>
      <c r="E2330">
        <v>86</v>
      </c>
      <c r="F2330">
        <v>147</v>
      </c>
      <c r="G2330" s="1">
        <v>11500</v>
      </c>
      <c r="H2330" s="1">
        <v>11500</v>
      </c>
      <c r="I2330" s="1">
        <v>22550</v>
      </c>
      <c r="J2330" s="1">
        <v>1961</v>
      </c>
    </row>
    <row r="2331" spans="1:10" x14ac:dyDescent="0.3">
      <c r="A2331" t="s">
        <v>72</v>
      </c>
      <c r="B2331" t="s">
        <v>25</v>
      </c>
      <c r="C2331" t="s">
        <v>11</v>
      </c>
      <c r="D2331" t="s">
        <v>44</v>
      </c>
      <c r="E2331">
        <v>86</v>
      </c>
      <c r="F2331">
        <v>147</v>
      </c>
      <c r="G2331" s="1">
        <v>11500</v>
      </c>
      <c r="H2331" s="1">
        <v>11370</v>
      </c>
      <c r="I2331" s="1">
        <v>12507</v>
      </c>
      <c r="J2331" s="1">
        <v>1100</v>
      </c>
    </row>
    <row r="2332" spans="1:10" x14ac:dyDescent="0.3">
      <c r="A2332" t="s">
        <v>72</v>
      </c>
      <c r="B2332" t="s">
        <v>50</v>
      </c>
      <c r="C2332" t="s">
        <v>11</v>
      </c>
      <c r="D2332" t="s">
        <v>44</v>
      </c>
      <c r="E2332">
        <v>86</v>
      </c>
      <c r="F2332">
        <v>147</v>
      </c>
      <c r="G2332" s="1">
        <v>11500</v>
      </c>
      <c r="H2332" s="1">
        <v>10800</v>
      </c>
      <c r="I2332" s="1">
        <v>10670</v>
      </c>
      <c r="J2332" s="1">
        <v>988</v>
      </c>
    </row>
    <row r="2333" spans="1:10" x14ac:dyDescent="0.3">
      <c r="A2333" t="s">
        <v>72</v>
      </c>
      <c r="B2333" t="s">
        <v>15</v>
      </c>
      <c r="C2333" t="s">
        <v>11</v>
      </c>
      <c r="D2333" t="s">
        <v>51</v>
      </c>
      <c r="E2333">
        <v>86</v>
      </c>
      <c r="F2333">
        <v>154</v>
      </c>
      <c r="G2333" s="1">
        <v>4000</v>
      </c>
      <c r="H2333" s="1">
        <v>2400</v>
      </c>
      <c r="I2333" s="1">
        <v>3360</v>
      </c>
      <c r="J2333" s="1">
        <v>1400</v>
      </c>
    </row>
    <row r="2334" spans="1:10" x14ac:dyDescent="0.3">
      <c r="A2334" t="s">
        <v>72</v>
      </c>
      <c r="B2334" t="s">
        <v>16</v>
      </c>
      <c r="C2334" t="s">
        <v>11</v>
      </c>
      <c r="D2334" t="s">
        <v>51</v>
      </c>
      <c r="E2334">
        <v>86</v>
      </c>
      <c r="F2334">
        <v>154</v>
      </c>
      <c r="G2334" s="1">
        <v>2500</v>
      </c>
      <c r="H2334" s="1">
        <v>2500</v>
      </c>
      <c r="I2334" s="1">
        <v>6000</v>
      </c>
      <c r="J2334" s="1">
        <v>2400</v>
      </c>
    </row>
    <row r="2335" spans="1:10" x14ac:dyDescent="0.3">
      <c r="A2335" t="s">
        <v>72</v>
      </c>
      <c r="B2335" t="s">
        <v>17</v>
      </c>
      <c r="C2335" t="s">
        <v>11</v>
      </c>
      <c r="D2335" t="s">
        <v>51</v>
      </c>
      <c r="E2335">
        <v>86</v>
      </c>
      <c r="F2335">
        <v>154</v>
      </c>
      <c r="G2335" s="1">
        <v>26700</v>
      </c>
      <c r="H2335" s="1">
        <v>17610</v>
      </c>
      <c r="I2335" s="1">
        <v>51069</v>
      </c>
      <c r="J2335" s="1">
        <v>2900</v>
      </c>
    </row>
    <row r="2336" spans="1:10" x14ac:dyDescent="0.3">
      <c r="A2336" t="s">
        <v>72</v>
      </c>
      <c r="B2336" t="s">
        <v>18</v>
      </c>
      <c r="C2336" t="s">
        <v>11</v>
      </c>
      <c r="D2336" t="s">
        <v>51</v>
      </c>
      <c r="E2336">
        <v>86</v>
      </c>
      <c r="F2336">
        <v>154</v>
      </c>
      <c r="G2336" s="1">
        <v>27800</v>
      </c>
      <c r="H2336" s="1">
        <v>27800</v>
      </c>
      <c r="I2336" s="1">
        <v>55600</v>
      </c>
      <c r="J2336" s="1">
        <v>2000</v>
      </c>
    </row>
    <row r="2337" spans="1:10" x14ac:dyDescent="0.3">
      <c r="A2337" t="s">
        <v>72</v>
      </c>
      <c r="B2337" t="s">
        <v>19</v>
      </c>
      <c r="C2337" t="s">
        <v>11</v>
      </c>
      <c r="D2337" t="s">
        <v>51</v>
      </c>
      <c r="E2337">
        <v>86</v>
      </c>
      <c r="F2337">
        <v>154</v>
      </c>
      <c r="G2337" s="1">
        <v>24704</v>
      </c>
      <c r="H2337" s="1">
        <v>24704</v>
      </c>
      <c r="I2337" s="1">
        <v>49408</v>
      </c>
      <c r="J2337" s="1">
        <v>2000</v>
      </c>
    </row>
    <row r="2338" spans="1:10" x14ac:dyDescent="0.3">
      <c r="A2338" t="s">
        <v>72</v>
      </c>
      <c r="B2338" t="s">
        <v>20</v>
      </c>
      <c r="C2338" t="s">
        <v>11</v>
      </c>
      <c r="D2338" t="s">
        <v>51</v>
      </c>
      <c r="E2338">
        <v>86</v>
      </c>
      <c r="F2338">
        <v>154</v>
      </c>
      <c r="G2338" s="1">
        <v>32200</v>
      </c>
      <c r="H2338" s="1">
        <v>32200</v>
      </c>
      <c r="I2338" s="1">
        <v>99820</v>
      </c>
      <c r="J2338" s="1">
        <v>3100</v>
      </c>
    </row>
    <row r="2339" spans="1:10" x14ac:dyDescent="0.3">
      <c r="A2339" t="s">
        <v>72</v>
      </c>
      <c r="B2339" t="s">
        <v>21</v>
      </c>
      <c r="C2339" t="s">
        <v>11</v>
      </c>
      <c r="D2339" t="s">
        <v>51</v>
      </c>
      <c r="E2339">
        <v>86</v>
      </c>
      <c r="F2339">
        <v>154</v>
      </c>
      <c r="G2339" s="1">
        <v>9800</v>
      </c>
      <c r="H2339" s="1">
        <v>6500</v>
      </c>
      <c r="I2339" s="1">
        <v>5850</v>
      </c>
      <c r="J2339" s="1">
        <v>900</v>
      </c>
    </row>
    <row r="2340" spans="1:10" x14ac:dyDescent="0.3">
      <c r="A2340" t="s">
        <v>72</v>
      </c>
      <c r="B2340" t="s">
        <v>22</v>
      </c>
      <c r="C2340" t="s">
        <v>11</v>
      </c>
      <c r="D2340" t="s">
        <v>51</v>
      </c>
      <c r="E2340">
        <v>86</v>
      </c>
      <c r="F2340">
        <v>154</v>
      </c>
      <c r="G2340" s="1">
        <v>13120</v>
      </c>
      <c r="H2340" s="1">
        <v>11970</v>
      </c>
      <c r="I2340" s="1">
        <v>15561</v>
      </c>
      <c r="J2340" s="1">
        <v>1300</v>
      </c>
    </row>
    <row r="2341" spans="1:10" x14ac:dyDescent="0.3">
      <c r="A2341" t="s">
        <v>72</v>
      </c>
      <c r="B2341" t="s">
        <v>23</v>
      </c>
      <c r="C2341" t="s">
        <v>11</v>
      </c>
      <c r="D2341" t="s">
        <v>51</v>
      </c>
      <c r="E2341">
        <v>86</v>
      </c>
      <c r="F2341">
        <v>154</v>
      </c>
      <c r="G2341" s="1">
        <v>7280</v>
      </c>
      <c r="H2341" s="1">
        <v>3890</v>
      </c>
      <c r="I2341" s="1">
        <v>4668</v>
      </c>
      <c r="J2341" s="1">
        <v>1200</v>
      </c>
    </row>
    <row r="2342" spans="1:10" x14ac:dyDescent="0.3">
      <c r="A2342" t="s">
        <v>72</v>
      </c>
      <c r="B2342" t="s">
        <v>24</v>
      </c>
      <c r="C2342" t="s">
        <v>11</v>
      </c>
      <c r="D2342" t="s">
        <v>51</v>
      </c>
      <c r="E2342">
        <v>86</v>
      </c>
      <c r="F2342">
        <v>154</v>
      </c>
      <c r="G2342" s="1">
        <v>12300</v>
      </c>
      <c r="H2342" s="1">
        <v>12300</v>
      </c>
      <c r="I2342" s="1">
        <v>14760</v>
      </c>
      <c r="J2342" s="1">
        <v>1200</v>
      </c>
    </row>
    <row r="2343" spans="1:10" x14ac:dyDescent="0.3">
      <c r="A2343" t="s">
        <v>72</v>
      </c>
      <c r="B2343" t="s">
        <v>25</v>
      </c>
      <c r="C2343" t="s">
        <v>11</v>
      </c>
      <c r="D2343" t="s">
        <v>51</v>
      </c>
      <c r="E2343">
        <v>86</v>
      </c>
      <c r="F2343">
        <v>154</v>
      </c>
      <c r="G2343" s="1">
        <v>17500</v>
      </c>
      <c r="H2343" s="1">
        <v>16720</v>
      </c>
      <c r="I2343" s="1">
        <v>18392</v>
      </c>
      <c r="J2343" s="1">
        <v>1100</v>
      </c>
    </row>
    <row r="2344" spans="1:10" x14ac:dyDescent="0.3">
      <c r="A2344" t="s">
        <v>72</v>
      </c>
      <c r="B2344" t="s">
        <v>50</v>
      </c>
      <c r="C2344" t="s">
        <v>11</v>
      </c>
      <c r="D2344" t="s">
        <v>51</v>
      </c>
      <c r="E2344">
        <v>86</v>
      </c>
      <c r="F2344">
        <v>154</v>
      </c>
      <c r="G2344" s="1">
        <v>17870</v>
      </c>
      <c r="H2344" s="1">
        <v>17870</v>
      </c>
      <c r="I2344" s="1">
        <v>50036</v>
      </c>
      <c r="J2344" s="1">
        <v>2800</v>
      </c>
    </row>
    <row r="2345" spans="1:10" x14ac:dyDescent="0.3">
      <c r="A2345" t="s">
        <v>72</v>
      </c>
      <c r="B2345" t="s">
        <v>15</v>
      </c>
      <c r="C2345" t="s">
        <v>11</v>
      </c>
      <c r="D2345" t="s">
        <v>45</v>
      </c>
      <c r="E2345">
        <v>86</v>
      </c>
      <c r="F2345">
        <v>161</v>
      </c>
      <c r="G2345" s="1">
        <v>2000</v>
      </c>
      <c r="H2345" s="1">
        <v>1300</v>
      </c>
      <c r="I2345" s="1">
        <v>1950</v>
      </c>
      <c r="J2345" s="1">
        <v>1500</v>
      </c>
    </row>
    <row r="2346" spans="1:10" x14ac:dyDescent="0.3">
      <c r="A2346" t="s">
        <v>72</v>
      </c>
      <c r="B2346" t="s">
        <v>16</v>
      </c>
      <c r="C2346" t="s">
        <v>11</v>
      </c>
      <c r="D2346" t="s">
        <v>45</v>
      </c>
      <c r="E2346">
        <v>86</v>
      </c>
      <c r="F2346">
        <v>161</v>
      </c>
      <c r="G2346" s="1">
        <v>1000</v>
      </c>
      <c r="H2346" s="1">
        <v>1000</v>
      </c>
      <c r="I2346" s="1">
        <v>1800</v>
      </c>
      <c r="J2346" s="1">
        <v>1800</v>
      </c>
    </row>
    <row r="2347" spans="1:10" x14ac:dyDescent="0.3">
      <c r="A2347" t="s">
        <v>72</v>
      </c>
      <c r="B2347" t="s">
        <v>17</v>
      </c>
      <c r="C2347" t="s">
        <v>11</v>
      </c>
      <c r="D2347" t="s">
        <v>45</v>
      </c>
      <c r="E2347">
        <v>86</v>
      </c>
      <c r="F2347">
        <v>161</v>
      </c>
      <c r="G2347" s="1">
        <v>2000</v>
      </c>
      <c r="H2347" s="1">
        <v>1310</v>
      </c>
      <c r="I2347" s="1">
        <v>3537</v>
      </c>
      <c r="J2347" s="1">
        <v>2700</v>
      </c>
    </row>
    <row r="2348" spans="1:10" x14ac:dyDescent="0.3">
      <c r="A2348" t="s">
        <v>72</v>
      </c>
      <c r="B2348" t="s">
        <v>18</v>
      </c>
      <c r="C2348" t="s">
        <v>11</v>
      </c>
      <c r="D2348" t="s">
        <v>45</v>
      </c>
      <c r="E2348">
        <v>86</v>
      </c>
      <c r="F2348">
        <v>161</v>
      </c>
      <c r="G2348" s="1">
        <v>2500</v>
      </c>
      <c r="H2348" s="1">
        <v>2500</v>
      </c>
      <c r="I2348" s="1">
        <v>6250</v>
      </c>
      <c r="J2348" s="1">
        <v>2500</v>
      </c>
    </row>
    <row r="2349" spans="1:10" x14ac:dyDescent="0.3">
      <c r="A2349" t="s">
        <v>72</v>
      </c>
      <c r="B2349" t="s">
        <v>19</v>
      </c>
      <c r="C2349" t="s">
        <v>11</v>
      </c>
      <c r="D2349" t="s">
        <v>45</v>
      </c>
      <c r="E2349">
        <v>86</v>
      </c>
      <c r="F2349">
        <v>161</v>
      </c>
      <c r="G2349" s="1">
        <v>3000</v>
      </c>
      <c r="H2349" s="1">
        <v>3000</v>
      </c>
      <c r="I2349" s="1">
        <v>6000</v>
      </c>
      <c r="J2349" s="1">
        <v>2000</v>
      </c>
    </row>
    <row r="2350" spans="1:10" x14ac:dyDescent="0.3">
      <c r="A2350" t="s">
        <v>72</v>
      </c>
      <c r="B2350" t="s">
        <v>20</v>
      </c>
      <c r="C2350" t="s">
        <v>11</v>
      </c>
      <c r="D2350" t="s">
        <v>45</v>
      </c>
      <c r="E2350">
        <v>86</v>
      </c>
      <c r="F2350">
        <v>161</v>
      </c>
      <c r="G2350" s="1">
        <v>2000</v>
      </c>
      <c r="H2350" s="1">
        <v>2000</v>
      </c>
      <c r="I2350" s="1">
        <v>4800</v>
      </c>
      <c r="J2350" s="1">
        <v>2400</v>
      </c>
    </row>
    <row r="2351" spans="1:10" x14ac:dyDescent="0.3">
      <c r="A2351" t="s">
        <v>72</v>
      </c>
      <c r="B2351" t="s">
        <v>21</v>
      </c>
      <c r="C2351" t="s">
        <v>11</v>
      </c>
      <c r="D2351" t="s">
        <v>45</v>
      </c>
      <c r="E2351">
        <v>86</v>
      </c>
      <c r="F2351">
        <v>161</v>
      </c>
      <c r="G2351" s="1">
        <v>1000</v>
      </c>
      <c r="H2351" s="1">
        <v>1000</v>
      </c>
      <c r="I2351" s="1">
        <v>2500</v>
      </c>
      <c r="J2351" s="1">
        <v>2500</v>
      </c>
    </row>
    <row r="2352" spans="1:10" x14ac:dyDescent="0.3">
      <c r="A2352" t="s">
        <v>72</v>
      </c>
      <c r="B2352" t="s">
        <v>22</v>
      </c>
      <c r="C2352" t="s">
        <v>11</v>
      </c>
      <c r="D2352" t="s">
        <v>45</v>
      </c>
      <c r="E2352">
        <v>86</v>
      </c>
      <c r="F2352">
        <v>161</v>
      </c>
      <c r="G2352" s="1">
        <v>2200</v>
      </c>
      <c r="H2352" s="1">
        <v>2200</v>
      </c>
      <c r="I2352" s="1">
        <v>4360</v>
      </c>
      <c r="J2352" s="1">
        <v>1982</v>
      </c>
    </row>
    <row r="2353" spans="1:10" x14ac:dyDescent="0.3">
      <c r="A2353" t="s">
        <v>72</v>
      </c>
      <c r="B2353" t="s">
        <v>23</v>
      </c>
      <c r="C2353" t="s">
        <v>11</v>
      </c>
      <c r="D2353" t="s">
        <v>45</v>
      </c>
      <c r="E2353">
        <v>86</v>
      </c>
      <c r="F2353">
        <v>161</v>
      </c>
      <c r="G2353" s="1">
        <v>3200</v>
      </c>
      <c r="H2353" s="1">
        <v>3200</v>
      </c>
      <c r="I2353" s="1">
        <v>6200</v>
      </c>
      <c r="J2353" s="1">
        <v>1938</v>
      </c>
    </row>
    <row r="2354" spans="1:10" x14ac:dyDescent="0.3">
      <c r="A2354" t="s">
        <v>72</v>
      </c>
      <c r="B2354" t="s">
        <v>24</v>
      </c>
      <c r="C2354" t="s">
        <v>11</v>
      </c>
      <c r="D2354" t="s">
        <v>45</v>
      </c>
      <c r="E2354">
        <v>86</v>
      </c>
      <c r="F2354">
        <v>161</v>
      </c>
      <c r="G2354" s="1">
        <v>5000</v>
      </c>
      <c r="H2354" s="1">
        <v>5000</v>
      </c>
      <c r="I2354" s="1">
        <v>9700</v>
      </c>
      <c r="J2354" s="1">
        <v>1940</v>
      </c>
    </row>
    <row r="2355" spans="1:10" x14ac:dyDescent="0.3">
      <c r="A2355" t="s">
        <v>72</v>
      </c>
      <c r="B2355" t="s">
        <v>25</v>
      </c>
      <c r="C2355" t="s">
        <v>11</v>
      </c>
      <c r="D2355" t="s">
        <v>45</v>
      </c>
      <c r="E2355">
        <v>86</v>
      </c>
      <c r="F2355">
        <v>161</v>
      </c>
      <c r="G2355" s="1">
        <v>5000</v>
      </c>
      <c r="H2355" s="1">
        <v>4870</v>
      </c>
      <c r="I2355" s="1">
        <v>5357</v>
      </c>
      <c r="J2355" s="1">
        <v>1100</v>
      </c>
    </row>
    <row r="2356" spans="1:10" x14ac:dyDescent="0.3">
      <c r="A2356" t="s">
        <v>72</v>
      </c>
      <c r="B2356" t="s">
        <v>50</v>
      </c>
      <c r="C2356" t="s">
        <v>11</v>
      </c>
      <c r="D2356" t="s">
        <v>45</v>
      </c>
      <c r="E2356">
        <v>86</v>
      </c>
      <c r="F2356">
        <v>161</v>
      </c>
      <c r="G2356" s="1">
        <v>5000</v>
      </c>
      <c r="H2356" s="1">
        <v>4520</v>
      </c>
      <c r="I2356" s="1">
        <v>4068</v>
      </c>
      <c r="J2356" s="1">
        <v>900</v>
      </c>
    </row>
    <row r="2357" spans="1:10" x14ac:dyDescent="0.3">
      <c r="A2357" t="s">
        <v>72</v>
      </c>
      <c r="B2357" t="s">
        <v>21</v>
      </c>
      <c r="C2357" t="s">
        <v>11</v>
      </c>
      <c r="D2357" t="s">
        <v>46</v>
      </c>
      <c r="E2357">
        <v>86</v>
      </c>
      <c r="F2357">
        <v>175</v>
      </c>
      <c r="G2357" s="1">
        <v>10500</v>
      </c>
      <c r="H2357" s="1">
        <v>10500</v>
      </c>
      <c r="I2357" s="1">
        <v>21000</v>
      </c>
      <c r="J2357" s="1">
        <v>2000</v>
      </c>
    </row>
    <row r="2358" spans="1:10" x14ac:dyDescent="0.3">
      <c r="A2358" t="s">
        <v>72</v>
      </c>
      <c r="B2358" t="s">
        <v>22</v>
      </c>
      <c r="C2358" t="s">
        <v>11</v>
      </c>
      <c r="D2358" t="s">
        <v>46</v>
      </c>
      <c r="E2358">
        <v>86</v>
      </c>
      <c r="F2358">
        <v>175</v>
      </c>
      <c r="G2358" s="1">
        <v>6000</v>
      </c>
      <c r="H2358" s="1">
        <v>6000</v>
      </c>
      <c r="I2358" s="1">
        <v>12000</v>
      </c>
      <c r="J2358" s="1">
        <v>2000</v>
      </c>
    </row>
    <row r="2359" spans="1:10" x14ac:dyDescent="0.3">
      <c r="A2359" t="s">
        <v>72</v>
      </c>
      <c r="B2359" t="s">
        <v>23</v>
      </c>
      <c r="C2359" t="s">
        <v>11</v>
      </c>
      <c r="D2359" t="s">
        <v>46</v>
      </c>
      <c r="E2359">
        <v>86</v>
      </c>
      <c r="F2359">
        <v>175</v>
      </c>
      <c r="G2359" s="1">
        <v>10000</v>
      </c>
      <c r="H2359" s="1">
        <v>10000</v>
      </c>
      <c r="I2359" s="1">
        <v>15000</v>
      </c>
      <c r="J2359" s="1">
        <v>1500</v>
      </c>
    </row>
    <row r="2360" spans="1:10" x14ac:dyDescent="0.3">
      <c r="A2360" t="s">
        <v>72</v>
      </c>
      <c r="B2360" t="s">
        <v>24</v>
      </c>
      <c r="C2360" t="s">
        <v>11</v>
      </c>
      <c r="D2360" t="s">
        <v>46</v>
      </c>
      <c r="E2360">
        <v>86</v>
      </c>
      <c r="F2360">
        <v>175</v>
      </c>
      <c r="G2360" s="1">
        <v>10000</v>
      </c>
      <c r="H2360" s="1">
        <v>10000</v>
      </c>
      <c r="I2360" s="1">
        <v>20000</v>
      </c>
      <c r="J2360" s="1">
        <v>2000</v>
      </c>
    </row>
    <row r="2361" spans="1:10" x14ac:dyDescent="0.3">
      <c r="A2361" t="s">
        <v>72</v>
      </c>
      <c r="B2361" t="s">
        <v>25</v>
      </c>
      <c r="C2361" t="s">
        <v>11</v>
      </c>
      <c r="D2361" t="s">
        <v>46</v>
      </c>
      <c r="E2361">
        <v>86</v>
      </c>
      <c r="F2361">
        <v>175</v>
      </c>
      <c r="G2361" s="1">
        <v>10000</v>
      </c>
      <c r="H2361" s="1">
        <v>9850</v>
      </c>
      <c r="I2361" s="1">
        <v>10835</v>
      </c>
      <c r="J2361" s="1">
        <v>1100</v>
      </c>
    </row>
    <row r="2362" spans="1:10" x14ac:dyDescent="0.3">
      <c r="A2362" t="s">
        <v>72</v>
      </c>
      <c r="B2362" t="s">
        <v>50</v>
      </c>
      <c r="C2362" t="s">
        <v>11</v>
      </c>
      <c r="D2362" t="s">
        <v>46</v>
      </c>
      <c r="E2362">
        <v>86</v>
      </c>
      <c r="F2362">
        <v>175</v>
      </c>
      <c r="G2362" s="1">
        <v>10000</v>
      </c>
      <c r="H2362" s="1">
        <v>9600</v>
      </c>
      <c r="I2362" s="1">
        <v>8640</v>
      </c>
      <c r="J2362" s="1">
        <v>900</v>
      </c>
    </row>
    <row r="2363" spans="1:10" x14ac:dyDescent="0.3">
      <c r="A2363" t="s">
        <v>72</v>
      </c>
      <c r="B2363" t="s">
        <v>25</v>
      </c>
      <c r="C2363" t="s">
        <v>11</v>
      </c>
      <c r="D2363" t="s">
        <v>47</v>
      </c>
      <c r="E2363">
        <v>86</v>
      </c>
      <c r="F2363">
        <v>182</v>
      </c>
      <c r="G2363" s="1">
        <v>370</v>
      </c>
      <c r="H2363" s="1">
        <v>330</v>
      </c>
      <c r="I2363" s="1">
        <v>297</v>
      </c>
      <c r="J2363" s="1">
        <v>900</v>
      </c>
    </row>
    <row r="2364" spans="1:10" x14ac:dyDescent="0.3">
      <c r="A2364" t="s">
        <v>72</v>
      </c>
      <c r="B2364" t="s">
        <v>50</v>
      </c>
      <c r="C2364" t="s">
        <v>11</v>
      </c>
      <c r="D2364" t="s">
        <v>47</v>
      </c>
      <c r="E2364">
        <v>86</v>
      </c>
      <c r="F2364">
        <v>182</v>
      </c>
      <c r="G2364" s="1">
        <v>660</v>
      </c>
      <c r="H2364" s="1">
        <v>625</v>
      </c>
      <c r="I2364" s="1">
        <v>1063</v>
      </c>
      <c r="J2364" s="1">
        <v>1701</v>
      </c>
    </row>
    <row r="2365" spans="1:10" x14ac:dyDescent="0.3">
      <c r="A2365" t="s">
        <v>72</v>
      </c>
      <c r="B2365" t="s">
        <v>15</v>
      </c>
      <c r="C2365" t="s">
        <v>11</v>
      </c>
      <c r="D2365" t="s">
        <v>48</v>
      </c>
      <c r="E2365">
        <v>86</v>
      </c>
      <c r="F2365">
        <v>189</v>
      </c>
      <c r="G2365" s="1">
        <v>1000</v>
      </c>
      <c r="H2365" s="1">
        <v>600</v>
      </c>
      <c r="I2365" s="1">
        <v>720</v>
      </c>
      <c r="J2365" s="1">
        <v>1200</v>
      </c>
    </row>
    <row r="2366" spans="1:10" x14ac:dyDescent="0.3">
      <c r="A2366" t="s">
        <v>72</v>
      </c>
      <c r="B2366" t="s">
        <v>16</v>
      </c>
      <c r="C2366" t="s">
        <v>11</v>
      </c>
      <c r="D2366" t="s">
        <v>48</v>
      </c>
      <c r="E2366">
        <v>86</v>
      </c>
      <c r="F2366">
        <v>189</v>
      </c>
      <c r="G2366" s="1">
        <v>1000</v>
      </c>
      <c r="H2366" s="1">
        <v>1000</v>
      </c>
      <c r="I2366" s="1">
        <v>2000</v>
      </c>
      <c r="J2366" s="1">
        <v>2000</v>
      </c>
    </row>
    <row r="2367" spans="1:10" x14ac:dyDescent="0.3">
      <c r="A2367" t="s">
        <v>72</v>
      </c>
      <c r="B2367" t="s">
        <v>17</v>
      </c>
      <c r="C2367" t="s">
        <v>11</v>
      </c>
      <c r="D2367" t="s">
        <v>48</v>
      </c>
      <c r="E2367">
        <v>86</v>
      </c>
      <c r="F2367">
        <v>189</v>
      </c>
      <c r="G2367" s="1">
        <v>2000</v>
      </c>
      <c r="H2367" s="1">
        <v>1310</v>
      </c>
      <c r="I2367" s="1">
        <v>3537</v>
      </c>
      <c r="J2367" s="1">
        <v>2700</v>
      </c>
    </row>
    <row r="2368" spans="1:10" x14ac:dyDescent="0.3">
      <c r="A2368" t="s">
        <v>72</v>
      </c>
      <c r="B2368" t="s">
        <v>18</v>
      </c>
      <c r="C2368" t="s">
        <v>11</v>
      </c>
      <c r="D2368" t="s">
        <v>48</v>
      </c>
      <c r="E2368">
        <v>86</v>
      </c>
      <c r="F2368">
        <v>189</v>
      </c>
      <c r="G2368" s="1">
        <v>2500</v>
      </c>
      <c r="H2368" s="1">
        <v>2500</v>
      </c>
      <c r="I2368" s="1">
        <v>5000</v>
      </c>
      <c r="J2368" s="1">
        <v>2000</v>
      </c>
    </row>
    <row r="2369" spans="1:10" x14ac:dyDescent="0.3">
      <c r="A2369" t="s">
        <v>72</v>
      </c>
      <c r="B2369" t="s">
        <v>19</v>
      </c>
      <c r="C2369" t="s">
        <v>11</v>
      </c>
      <c r="D2369" t="s">
        <v>48</v>
      </c>
      <c r="E2369">
        <v>86</v>
      </c>
      <c r="F2369">
        <v>189</v>
      </c>
      <c r="G2369" s="1">
        <v>3000</v>
      </c>
      <c r="H2369" s="1">
        <v>3000</v>
      </c>
      <c r="I2369" s="1">
        <v>6000</v>
      </c>
      <c r="J2369" s="1">
        <v>2000</v>
      </c>
    </row>
    <row r="2370" spans="1:10" x14ac:dyDescent="0.3">
      <c r="A2370" t="s">
        <v>72</v>
      </c>
      <c r="B2370" t="s">
        <v>20</v>
      </c>
      <c r="C2370" t="s">
        <v>11</v>
      </c>
      <c r="D2370" t="s">
        <v>48</v>
      </c>
      <c r="E2370">
        <v>86</v>
      </c>
      <c r="F2370">
        <v>189</v>
      </c>
      <c r="G2370" s="1">
        <v>1500</v>
      </c>
      <c r="H2370" s="1">
        <v>1500</v>
      </c>
      <c r="I2370" s="1">
        <v>3600</v>
      </c>
      <c r="J2370" s="1">
        <v>2400</v>
      </c>
    </row>
    <row r="2371" spans="1:10" x14ac:dyDescent="0.3">
      <c r="A2371" t="s">
        <v>72</v>
      </c>
      <c r="B2371" t="s">
        <v>21</v>
      </c>
      <c r="C2371" t="s">
        <v>11</v>
      </c>
      <c r="D2371" t="s">
        <v>48</v>
      </c>
      <c r="E2371">
        <v>86</v>
      </c>
      <c r="F2371">
        <v>189</v>
      </c>
      <c r="G2371" s="1">
        <v>1500</v>
      </c>
      <c r="H2371" s="1">
        <v>1500</v>
      </c>
      <c r="I2371" s="1">
        <v>3000</v>
      </c>
      <c r="J2371" s="1">
        <v>2000</v>
      </c>
    </row>
    <row r="2372" spans="1:10" x14ac:dyDescent="0.3">
      <c r="A2372" t="s">
        <v>72</v>
      </c>
      <c r="B2372" t="s">
        <v>22</v>
      </c>
      <c r="C2372" t="s">
        <v>11</v>
      </c>
      <c r="D2372" t="s">
        <v>48</v>
      </c>
      <c r="E2372">
        <v>86</v>
      </c>
      <c r="F2372">
        <v>189</v>
      </c>
      <c r="G2372" s="1">
        <v>1500</v>
      </c>
      <c r="H2372" s="1">
        <v>1500</v>
      </c>
      <c r="I2372" s="1">
        <v>3300</v>
      </c>
      <c r="J2372" s="1">
        <v>2200</v>
      </c>
    </row>
    <row r="2373" spans="1:10" x14ac:dyDescent="0.3">
      <c r="A2373" t="s">
        <v>72</v>
      </c>
      <c r="B2373" t="s">
        <v>23</v>
      </c>
      <c r="C2373" t="s">
        <v>11</v>
      </c>
      <c r="D2373" t="s">
        <v>48</v>
      </c>
      <c r="E2373">
        <v>86</v>
      </c>
      <c r="F2373">
        <v>189</v>
      </c>
      <c r="G2373" s="1">
        <v>1500</v>
      </c>
      <c r="H2373" s="1">
        <v>1500</v>
      </c>
      <c r="I2373" s="1">
        <v>3000</v>
      </c>
      <c r="J2373" s="1">
        <v>2000</v>
      </c>
    </row>
    <row r="2374" spans="1:10" x14ac:dyDescent="0.3">
      <c r="A2374" t="s">
        <v>72</v>
      </c>
      <c r="B2374" t="s">
        <v>24</v>
      </c>
      <c r="C2374" t="s">
        <v>11</v>
      </c>
      <c r="D2374" t="s">
        <v>48</v>
      </c>
      <c r="E2374">
        <v>86</v>
      </c>
      <c r="F2374">
        <v>189</v>
      </c>
      <c r="G2374" s="1">
        <v>2000</v>
      </c>
      <c r="H2374" s="1">
        <v>2000</v>
      </c>
      <c r="I2374" s="1">
        <v>4300</v>
      </c>
      <c r="J2374" s="1">
        <v>2150</v>
      </c>
    </row>
    <row r="2375" spans="1:10" x14ac:dyDescent="0.3">
      <c r="A2375" t="s">
        <v>72</v>
      </c>
      <c r="B2375" t="s">
        <v>25</v>
      </c>
      <c r="C2375" t="s">
        <v>11</v>
      </c>
      <c r="D2375" t="s">
        <v>48</v>
      </c>
      <c r="E2375">
        <v>86</v>
      </c>
      <c r="F2375">
        <v>189</v>
      </c>
      <c r="G2375" s="1">
        <v>2000</v>
      </c>
      <c r="H2375" s="1">
        <v>1890</v>
      </c>
      <c r="I2375" s="1">
        <v>2079</v>
      </c>
      <c r="J2375" s="1">
        <v>1100</v>
      </c>
    </row>
    <row r="2376" spans="1:10" x14ac:dyDescent="0.3">
      <c r="A2376" t="s">
        <v>72</v>
      </c>
      <c r="B2376" t="s">
        <v>50</v>
      </c>
      <c r="C2376" t="s">
        <v>11</v>
      </c>
      <c r="D2376" t="s">
        <v>48</v>
      </c>
      <c r="E2376">
        <v>86</v>
      </c>
      <c r="F2376">
        <v>189</v>
      </c>
      <c r="G2376" s="1">
        <v>2000</v>
      </c>
      <c r="H2376" s="1">
        <v>1690</v>
      </c>
      <c r="I2376" s="1">
        <v>1521</v>
      </c>
      <c r="J2376" s="1">
        <v>900</v>
      </c>
    </row>
    <row r="2377" spans="1:10" x14ac:dyDescent="0.3">
      <c r="A2377" t="s">
        <v>10</v>
      </c>
      <c r="B2377" t="s">
        <v>15</v>
      </c>
      <c r="C2377" t="s">
        <v>11</v>
      </c>
      <c r="D2377" t="s">
        <v>595</v>
      </c>
      <c r="E2377">
        <v>86</v>
      </c>
      <c r="F2377">
        <v>0</v>
      </c>
      <c r="G2377" s="1">
        <v>130500</v>
      </c>
      <c r="H2377" s="1">
        <v>124200</v>
      </c>
      <c r="I2377" s="1">
        <v>326120</v>
      </c>
      <c r="J2377" s="1">
        <v>2626</v>
      </c>
    </row>
    <row r="2378" spans="1:10" x14ac:dyDescent="0.3">
      <c r="A2378" t="s">
        <v>10</v>
      </c>
      <c r="B2378" t="s">
        <v>16</v>
      </c>
      <c r="C2378" t="s">
        <v>11</v>
      </c>
      <c r="D2378" t="s">
        <v>595</v>
      </c>
      <c r="E2378">
        <v>86</v>
      </c>
      <c r="F2378">
        <v>0</v>
      </c>
      <c r="G2378" s="1">
        <v>136700</v>
      </c>
      <c r="H2378" s="1">
        <v>129700</v>
      </c>
      <c r="I2378" s="1">
        <v>292090</v>
      </c>
      <c r="J2378" s="1">
        <v>2252</v>
      </c>
    </row>
    <row r="2379" spans="1:10" x14ac:dyDescent="0.3">
      <c r="A2379" t="s">
        <v>10</v>
      </c>
      <c r="B2379" t="s">
        <v>17</v>
      </c>
      <c r="C2379" t="s">
        <v>11</v>
      </c>
      <c r="D2379" t="s">
        <v>595</v>
      </c>
      <c r="E2379">
        <v>86</v>
      </c>
      <c r="F2379">
        <v>0</v>
      </c>
      <c r="G2379" s="1">
        <v>115300</v>
      </c>
      <c r="H2379" s="1">
        <v>114120</v>
      </c>
      <c r="I2379" s="1">
        <v>330448</v>
      </c>
      <c r="J2379" s="1">
        <v>2896</v>
      </c>
    </row>
    <row r="2380" spans="1:10" x14ac:dyDescent="0.3">
      <c r="A2380" t="s">
        <v>10</v>
      </c>
      <c r="B2380" t="s">
        <v>18</v>
      </c>
      <c r="C2380" t="s">
        <v>11</v>
      </c>
      <c r="D2380" t="s">
        <v>595</v>
      </c>
      <c r="E2380">
        <v>86</v>
      </c>
      <c r="F2380">
        <v>0</v>
      </c>
      <c r="G2380" s="1">
        <v>130080</v>
      </c>
      <c r="H2380" s="1">
        <v>128230</v>
      </c>
      <c r="I2380" s="1">
        <v>394649</v>
      </c>
      <c r="J2380" s="1">
        <v>3078</v>
      </c>
    </row>
    <row r="2381" spans="1:10" x14ac:dyDescent="0.3">
      <c r="A2381" t="s">
        <v>10</v>
      </c>
      <c r="B2381" t="s">
        <v>19</v>
      </c>
      <c r="C2381" t="s">
        <v>11</v>
      </c>
      <c r="D2381" t="s">
        <v>595</v>
      </c>
      <c r="E2381">
        <v>86</v>
      </c>
      <c r="F2381">
        <v>0</v>
      </c>
      <c r="G2381" s="1">
        <v>182004</v>
      </c>
      <c r="H2381" s="1">
        <v>167694</v>
      </c>
      <c r="I2381" s="1">
        <v>551040</v>
      </c>
      <c r="J2381" s="1">
        <v>3286</v>
      </c>
    </row>
    <row r="2382" spans="1:10" x14ac:dyDescent="0.3">
      <c r="A2382" t="s">
        <v>10</v>
      </c>
      <c r="B2382" t="s">
        <v>20</v>
      </c>
      <c r="C2382" t="s">
        <v>11</v>
      </c>
      <c r="D2382" t="s">
        <v>595</v>
      </c>
      <c r="E2382">
        <v>86</v>
      </c>
      <c r="F2382">
        <v>0</v>
      </c>
      <c r="G2382" s="1">
        <v>190650</v>
      </c>
      <c r="H2382" s="1">
        <v>185150</v>
      </c>
      <c r="I2382" s="1">
        <v>555715</v>
      </c>
      <c r="J2382" s="1">
        <v>3001</v>
      </c>
    </row>
    <row r="2383" spans="1:10" x14ac:dyDescent="0.3">
      <c r="A2383" t="s">
        <v>10</v>
      </c>
      <c r="B2383" t="s">
        <v>21</v>
      </c>
      <c r="C2383" t="s">
        <v>11</v>
      </c>
      <c r="D2383" t="s">
        <v>595</v>
      </c>
      <c r="E2383">
        <v>86</v>
      </c>
      <c r="F2383">
        <v>0</v>
      </c>
      <c r="G2383" s="1">
        <v>174250</v>
      </c>
      <c r="H2383" s="1">
        <v>169450</v>
      </c>
      <c r="I2383" s="1">
        <v>500110</v>
      </c>
      <c r="J2383" s="1">
        <v>2951</v>
      </c>
    </row>
    <row r="2384" spans="1:10" x14ac:dyDescent="0.3">
      <c r="A2384" t="s">
        <v>10</v>
      </c>
      <c r="B2384" t="s">
        <v>22</v>
      </c>
      <c r="C2384" t="s">
        <v>11</v>
      </c>
      <c r="D2384" t="s">
        <v>595</v>
      </c>
      <c r="E2384">
        <v>86</v>
      </c>
      <c r="F2384">
        <v>0</v>
      </c>
      <c r="G2384" s="1">
        <v>225800</v>
      </c>
      <c r="H2384" s="1">
        <v>223520</v>
      </c>
      <c r="I2384" s="1">
        <v>642082</v>
      </c>
      <c r="J2384" s="1">
        <v>2873</v>
      </c>
    </row>
    <row r="2385" spans="1:10" x14ac:dyDescent="0.3">
      <c r="A2385" t="s">
        <v>10</v>
      </c>
      <c r="B2385" t="s">
        <v>23</v>
      </c>
      <c r="C2385" t="s">
        <v>11</v>
      </c>
      <c r="D2385" t="s">
        <v>595</v>
      </c>
      <c r="E2385">
        <v>86</v>
      </c>
      <c r="F2385">
        <v>0</v>
      </c>
      <c r="G2385" s="1">
        <v>183750</v>
      </c>
      <c r="H2385" s="1">
        <v>175500</v>
      </c>
      <c r="I2385" s="1">
        <v>339228</v>
      </c>
      <c r="J2385" s="1">
        <v>1933</v>
      </c>
    </row>
    <row r="2386" spans="1:10" x14ac:dyDescent="0.3">
      <c r="A2386" t="s">
        <v>10</v>
      </c>
      <c r="B2386" t="s">
        <v>24</v>
      </c>
      <c r="C2386" t="s">
        <v>11</v>
      </c>
      <c r="D2386" t="s">
        <v>595</v>
      </c>
      <c r="E2386">
        <v>86</v>
      </c>
      <c r="F2386">
        <v>0</v>
      </c>
      <c r="G2386" s="1">
        <v>233900</v>
      </c>
      <c r="H2386" s="1">
        <v>232773</v>
      </c>
      <c r="I2386" s="1">
        <v>595011</v>
      </c>
      <c r="J2386" s="1">
        <v>2556</v>
      </c>
    </row>
    <row r="2387" spans="1:10" x14ac:dyDescent="0.3">
      <c r="A2387" t="s">
        <v>10</v>
      </c>
      <c r="B2387" t="s">
        <v>25</v>
      </c>
      <c r="C2387" t="s">
        <v>11</v>
      </c>
      <c r="D2387" t="s">
        <v>595</v>
      </c>
      <c r="E2387">
        <v>86</v>
      </c>
      <c r="F2387">
        <v>0</v>
      </c>
      <c r="G2387" s="1">
        <v>232900</v>
      </c>
      <c r="H2387" s="1">
        <v>217700</v>
      </c>
      <c r="I2387" s="1">
        <v>440033</v>
      </c>
      <c r="J2387" s="1">
        <v>2021</v>
      </c>
    </row>
    <row r="2388" spans="1:10" x14ac:dyDescent="0.3">
      <c r="A2388" t="s">
        <v>49</v>
      </c>
      <c r="B2388" t="s">
        <v>15</v>
      </c>
      <c r="C2388" t="s">
        <v>11</v>
      </c>
      <c r="D2388" t="s">
        <v>595</v>
      </c>
      <c r="E2388">
        <v>86</v>
      </c>
      <c r="F2388">
        <v>0</v>
      </c>
      <c r="G2388" s="1">
        <v>6500</v>
      </c>
      <c r="H2388" s="1">
        <v>600</v>
      </c>
      <c r="I2388" s="1">
        <v>720</v>
      </c>
      <c r="J2388" s="1">
        <v>1200</v>
      </c>
    </row>
    <row r="2389" spans="1:10" x14ac:dyDescent="0.3">
      <c r="A2389" t="s">
        <v>49</v>
      </c>
      <c r="B2389" t="s">
        <v>16</v>
      </c>
      <c r="C2389" t="s">
        <v>11</v>
      </c>
      <c r="D2389" t="s">
        <v>595</v>
      </c>
      <c r="E2389">
        <v>86</v>
      </c>
      <c r="F2389">
        <v>0</v>
      </c>
      <c r="G2389" s="1">
        <v>4600</v>
      </c>
      <c r="H2389" s="1">
        <v>400</v>
      </c>
      <c r="I2389" s="1">
        <v>400</v>
      </c>
      <c r="J2389" s="1">
        <v>1000</v>
      </c>
    </row>
    <row r="2390" spans="1:10" x14ac:dyDescent="0.3">
      <c r="A2390" t="s">
        <v>49</v>
      </c>
      <c r="B2390" t="s">
        <v>18</v>
      </c>
      <c r="C2390" t="s">
        <v>11</v>
      </c>
      <c r="D2390" t="s">
        <v>595</v>
      </c>
      <c r="E2390">
        <v>86</v>
      </c>
      <c r="F2390">
        <v>0</v>
      </c>
      <c r="G2390" s="1">
        <v>8700</v>
      </c>
      <c r="H2390" s="1">
        <v>0</v>
      </c>
      <c r="I2390" s="1">
        <v>0</v>
      </c>
      <c r="J2390" s="1">
        <v>0</v>
      </c>
    </row>
    <row r="2391" spans="1:10" x14ac:dyDescent="0.3">
      <c r="A2391" t="s">
        <v>49</v>
      </c>
      <c r="B2391" t="s">
        <v>19</v>
      </c>
      <c r="C2391" t="s">
        <v>11</v>
      </c>
      <c r="D2391" t="s">
        <v>595</v>
      </c>
      <c r="E2391">
        <v>86</v>
      </c>
      <c r="F2391">
        <v>0</v>
      </c>
      <c r="G2391" s="1">
        <v>9300</v>
      </c>
      <c r="H2391" s="1">
        <v>200</v>
      </c>
      <c r="I2391" s="1">
        <v>200</v>
      </c>
      <c r="J2391" s="1">
        <v>1000</v>
      </c>
    </row>
    <row r="2392" spans="1:10" x14ac:dyDescent="0.3">
      <c r="A2392" t="s">
        <v>49</v>
      </c>
      <c r="B2392" t="s">
        <v>20</v>
      </c>
      <c r="C2392" t="s">
        <v>11</v>
      </c>
      <c r="D2392" t="s">
        <v>595</v>
      </c>
      <c r="E2392">
        <v>86</v>
      </c>
      <c r="F2392">
        <v>0</v>
      </c>
      <c r="G2392" s="1">
        <v>9700</v>
      </c>
      <c r="H2392" s="1">
        <v>970</v>
      </c>
      <c r="I2392" s="1">
        <v>1435</v>
      </c>
      <c r="J2392" s="1">
        <v>1479</v>
      </c>
    </row>
    <row r="2393" spans="1:10" x14ac:dyDescent="0.3">
      <c r="A2393" t="s">
        <v>49</v>
      </c>
      <c r="B2393" t="s">
        <v>21</v>
      </c>
      <c r="C2393" t="s">
        <v>11</v>
      </c>
      <c r="D2393" t="s">
        <v>595</v>
      </c>
      <c r="E2393">
        <v>86</v>
      </c>
      <c r="F2393">
        <v>0</v>
      </c>
      <c r="G2393" s="1">
        <v>10850</v>
      </c>
      <c r="H2393" s="1">
        <v>980</v>
      </c>
      <c r="I2393" s="1">
        <v>485</v>
      </c>
      <c r="J2393" s="1">
        <v>495</v>
      </c>
    </row>
    <row r="2394" spans="1:10" x14ac:dyDescent="0.3">
      <c r="A2394" t="s">
        <v>49</v>
      </c>
      <c r="B2394" t="s">
        <v>22</v>
      </c>
      <c r="C2394" t="s">
        <v>11</v>
      </c>
      <c r="D2394" t="s">
        <v>595</v>
      </c>
      <c r="E2394">
        <v>86</v>
      </c>
      <c r="F2394">
        <v>0</v>
      </c>
      <c r="G2394" s="1">
        <v>15670</v>
      </c>
      <c r="H2394" s="1">
        <v>2050</v>
      </c>
      <c r="I2394" s="1">
        <v>2710</v>
      </c>
      <c r="J2394" s="1">
        <v>1322</v>
      </c>
    </row>
    <row r="2395" spans="1:10" x14ac:dyDescent="0.3">
      <c r="A2395" t="s">
        <v>49</v>
      </c>
      <c r="B2395" t="s">
        <v>23</v>
      </c>
      <c r="C2395" t="s">
        <v>11</v>
      </c>
      <c r="D2395" t="s">
        <v>595</v>
      </c>
      <c r="E2395">
        <v>86</v>
      </c>
      <c r="F2395">
        <v>0</v>
      </c>
      <c r="G2395" s="1">
        <v>16000</v>
      </c>
      <c r="H2395" s="1">
        <v>500</v>
      </c>
      <c r="I2395" s="1">
        <v>850</v>
      </c>
      <c r="J2395" s="1">
        <v>1700</v>
      </c>
    </row>
    <row r="2396" spans="1:10" x14ac:dyDescent="0.3">
      <c r="A2396" t="s">
        <v>49</v>
      </c>
      <c r="B2396" t="s">
        <v>24</v>
      </c>
      <c r="C2396" t="s">
        <v>11</v>
      </c>
      <c r="D2396" t="s">
        <v>595</v>
      </c>
      <c r="E2396">
        <v>86</v>
      </c>
      <c r="F2396">
        <v>0</v>
      </c>
      <c r="G2396" s="1">
        <v>15500</v>
      </c>
      <c r="H2396" s="1">
        <v>2970</v>
      </c>
      <c r="I2396" s="1">
        <v>3320</v>
      </c>
      <c r="J2396" s="1">
        <v>1118</v>
      </c>
    </row>
    <row r="2397" spans="1:10" x14ac:dyDescent="0.3">
      <c r="A2397" t="s">
        <v>49</v>
      </c>
      <c r="B2397" t="s">
        <v>25</v>
      </c>
      <c r="C2397" t="s">
        <v>11</v>
      </c>
      <c r="D2397" t="s">
        <v>595</v>
      </c>
      <c r="E2397">
        <v>86</v>
      </c>
      <c r="F2397">
        <v>0</v>
      </c>
      <c r="G2397" s="1">
        <v>15460</v>
      </c>
      <c r="H2397" s="1">
        <v>1650</v>
      </c>
      <c r="I2397" s="1">
        <v>1305</v>
      </c>
      <c r="J2397" s="1">
        <v>791</v>
      </c>
    </row>
    <row r="2398" spans="1:10" x14ac:dyDescent="0.3">
      <c r="A2398" t="s">
        <v>49</v>
      </c>
      <c r="B2398" t="s">
        <v>50</v>
      </c>
      <c r="C2398" t="s">
        <v>11</v>
      </c>
      <c r="D2398" t="s">
        <v>595</v>
      </c>
      <c r="E2398">
        <v>86</v>
      </c>
      <c r="F2398">
        <v>0</v>
      </c>
      <c r="G2398" s="1">
        <v>18101</v>
      </c>
      <c r="H2398" s="1">
        <v>5951</v>
      </c>
      <c r="I2398" s="1">
        <v>8994</v>
      </c>
      <c r="J2398" s="1">
        <v>1511</v>
      </c>
    </row>
    <row r="2399" spans="1:10" x14ac:dyDescent="0.3">
      <c r="A2399" t="s">
        <v>52</v>
      </c>
      <c r="B2399" t="s">
        <v>19</v>
      </c>
      <c r="C2399" t="s">
        <v>11</v>
      </c>
      <c r="D2399" t="s">
        <v>595</v>
      </c>
      <c r="E2399">
        <v>86</v>
      </c>
      <c r="F2399">
        <v>0</v>
      </c>
      <c r="G2399" s="1">
        <v>1300</v>
      </c>
      <c r="H2399" s="1">
        <v>1300</v>
      </c>
      <c r="I2399" s="1">
        <v>2450</v>
      </c>
      <c r="J2399" s="1">
        <v>1885</v>
      </c>
    </row>
    <row r="2400" spans="1:10" x14ac:dyDescent="0.3">
      <c r="A2400" t="s">
        <v>52</v>
      </c>
      <c r="B2400" t="s">
        <v>25</v>
      </c>
      <c r="C2400" t="s">
        <v>11</v>
      </c>
      <c r="D2400" t="s">
        <v>595</v>
      </c>
      <c r="E2400">
        <v>86</v>
      </c>
      <c r="F2400">
        <v>0</v>
      </c>
      <c r="G2400" s="1">
        <v>1086</v>
      </c>
      <c r="H2400" s="1">
        <v>1086</v>
      </c>
      <c r="I2400" s="1">
        <v>1195</v>
      </c>
      <c r="J2400" s="1">
        <v>1100</v>
      </c>
    </row>
    <row r="2401" spans="1:10" x14ac:dyDescent="0.3">
      <c r="A2401" t="s">
        <v>52</v>
      </c>
      <c r="B2401" t="s">
        <v>50</v>
      </c>
      <c r="C2401" t="s">
        <v>11</v>
      </c>
      <c r="D2401" t="s">
        <v>595</v>
      </c>
      <c r="E2401">
        <v>86</v>
      </c>
      <c r="F2401">
        <v>0</v>
      </c>
      <c r="G2401" s="1">
        <v>6515</v>
      </c>
      <c r="H2401" s="1">
        <v>6515</v>
      </c>
      <c r="I2401" s="1">
        <v>11046</v>
      </c>
      <c r="J2401" s="1">
        <v>1695</v>
      </c>
    </row>
    <row r="2402" spans="1:10" x14ac:dyDescent="0.3">
      <c r="A2402" t="s">
        <v>53</v>
      </c>
      <c r="B2402" t="s">
        <v>17</v>
      </c>
      <c r="C2402" t="s">
        <v>11</v>
      </c>
      <c r="D2402" t="s">
        <v>595</v>
      </c>
      <c r="E2402">
        <v>86</v>
      </c>
      <c r="F2402">
        <v>0</v>
      </c>
      <c r="G2402" s="1">
        <v>6166</v>
      </c>
      <c r="H2402" s="1">
        <v>0</v>
      </c>
      <c r="I2402" s="1">
        <v>0</v>
      </c>
      <c r="J2402" s="1">
        <v>0</v>
      </c>
    </row>
    <row r="2403" spans="1:10" x14ac:dyDescent="0.3">
      <c r="A2403" t="s">
        <v>53</v>
      </c>
      <c r="B2403" t="s">
        <v>18</v>
      </c>
      <c r="C2403" t="s">
        <v>11</v>
      </c>
      <c r="D2403" t="s">
        <v>595</v>
      </c>
      <c r="E2403">
        <v>86</v>
      </c>
      <c r="F2403">
        <v>0</v>
      </c>
      <c r="G2403" s="1">
        <v>13370</v>
      </c>
      <c r="H2403" s="1">
        <v>6570</v>
      </c>
      <c r="I2403" s="1">
        <v>10569</v>
      </c>
      <c r="J2403" s="1">
        <v>1609</v>
      </c>
    </row>
    <row r="2404" spans="1:10" x14ac:dyDescent="0.3">
      <c r="A2404" t="s">
        <v>53</v>
      </c>
      <c r="B2404" t="s">
        <v>19</v>
      </c>
      <c r="C2404" t="s">
        <v>11</v>
      </c>
      <c r="D2404" t="s">
        <v>595</v>
      </c>
      <c r="E2404">
        <v>86</v>
      </c>
      <c r="F2404">
        <v>0</v>
      </c>
      <c r="G2404" s="1">
        <v>12900</v>
      </c>
      <c r="H2404" s="1">
        <v>8500</v>
      </c>
      <c r="I2404" s="1">
        <v>15300</v>
      </c>
      <c r="J2404" s="1">
        <v>1800</v>
      </c>
    </row>
    <row r="2405" spans="1:10" x14ac:dyDescent="0.3">
      <c r="A2405" t="s">
        <v>53</v>
      </c>
      <c r="B2405" t="s">
        <v>20</v>
      </c>
      <c r="C2405" t="s">
        <v>11</v>
      </c>
      <c r="D2405" t="s">
        <v>595</v>
      </c>
      <c r="E2405">
        <v>86</v>
      </c>
      <c r="F2405">
        <v>0</v>
      </c>
      <c r="G2405" s="1">
        <v>12200</v>
      </c>
      <c r="H2405" s="1">
        <v>12200</v>
      </c>
      <c r="I2405" s="1">
        <v>23890</v>
      </c>
      <c r="J2405" s="1">
        <v>1958</v>
      </c>
    </row>
    <row r="2406" spans="1:10" x14ac:dyDescent="0.3">
      <c r="A2406" t="s">
        <v>53</v>
      </c>
      <c r="B2406" t="s">
        <v>21</v>
      </c>
      <c r="C2406" t="s">
        <v>11</v>
      </c>
      <c r="D2406" t="s">
        <v>595</v>
      </c>
      <c r="E2406">
        <v>86</v>
      </c>
      <c r="F2406">
        <v>0</v>
      </c>
      <c r="G2406" s="1">
        <v>15220</v>
      </c>
      <c r="H2406" s="1">
        <v>13980</v>
      </c>
      <c r="I2406" s="1">
        <v>20035</v>
      </c>
      <c r="J2406" s="1">
        <v>1433</v>
      </c>
    </row>
    <row r="2407" spans="1:10" x14ac:dyDescent="0.3">
      <c r="A2407" t="s">
        <v>53</v>
      </c>
      <c r="B2407" t="s">
        <v>22</v>
      </c>
      <c r="C2407" t="s">
        <v>11</v>
      </c>
      <c r="D2407" t="s">
        <v>595</v>
      </c>
      <c r="E2407">
        <v>86</v>
      </c>
      <c r="F2407">
        <v>0</v>
      </c>
      <c r="G2407" s="1">
        <v>20640</v>
      </c>
      <c r="H2407" s="1">
        <v>18820</v>
      </c>
      <c r="I2407" s="1">
        <v>32284</v>
      </c>
      <c r="J2407" s="1">
        <v>1715</v>
      </c>
    </row>
    <row r="2408" spans="1:10" x14ac:dyDescent="0.3">
      <c r="A2408" t="s">
        <v>53</v>
      </c>
      <c r="B2408" t="s">
        <v>23</v>
      </c>
      <c r="C2408" t="s">
        <v>11</v>
      </c>
      <c r="D2408" t="s">
        <v>595</v>
      </c>
      <c r="E2408">
        <v>86</v>
      </c>
      <c r="F2408">
        <v>0</v>
      </c>
      <c r="G2408" s="1">
        <v>20700</v>
      </c>
      <c r="H2408" s="1">
        <v>17540</v>
      </c>
      <c r="I2408" s="1">
        <v>19586</v>
      </c>
      <c r="J2408" s="1">
        <v>1117</v>
      </c>
    </row>
    <row r="2409" spans="1:10" x14ac:dyDescent="0.3">
      <c r="A2409" t="s">
        <v>53</v>
      </c>
      <c r="B2409" t="s">
        <v>24</v>
      </c>
      <c r="C2409" t="s">
        <v>11</v>
      </c>
      <c r="D2409" t="s">
        <v>595</v>
      </c>
      <c r="E2409">
        <v>86</v>
      </c>
      <c r="F2409">
        <v>0</v>
      </c>
      <c r="G2409" s="1">
        <v>21390</v>
      </c>
      <c r="H2409" s="1">
        <v>19440</v>
      </c>
      <c r="I2409" s="1">
        <v>27448</v>
      </c>
      <c r="J2409" s="1">
        <v>1412</v>
      </c>
    </row>
    <row r="2410" spans="1:10" x14ac:dyDescent="0.3">
      <c r="A2410" t="s">
        <v>53</v>
      </c>
      <c r="B2410" t="s">
        <v>25</v>
      </c>
      <c r="C2410" t="s">
        <v>11</v>
      </c>
      <c r="D2410" t="s">
        <v>595</v>
      </c>
      <c r="E2410">
        <v>86</v>
      </c>
      <c r="F2410">
        <v>0</v>
      </c>
      <c r="G2410" s="1">
        <v>21390</v>
      </c>
      <c r="H2410" s="1">
        <v>19519</v>
      </c>
      <c r="I2410" s="1">
        <v>15334</v>
      </c>
      <c r="J2410" s="1">
        <v>786</v>
      </c>
    </row>
    <row r="2411" spans="1:10" x14ac:dyDescent="0.3">
      <c r="A2411" t="s">
        <v>53</v>
      </c>
      <c r="B2411" t="s">
        <v>50</v>
      </c>
      <c r="C2411" t="s">
        <v>11</v>
      </c>
      <c r="D2411" t="s">
        <v>595</v>
      </c>
      <c r="E2411">
        <v>86</v>
      </c>
      <c r="F2411">
        <v>0</v>
      </c>
      <c r="G2411" s="1">
        <v>17050</v>
      </c>
      <c r="H2411" s="1">
        <v>5980</v>
      </c>
      <c r="I2411" s="1">
        <v>7924</v>
      </c>
      <c r="J2411" s="1">
        <v>1325</v>
      </c>
    </row>
    <row r="2412" spans="1:10" x14ac:dyDescent="0.3">
      <c r="A2412" t="s">
        <v>54</v>
      </c>
      <c r="B2412" t="s">
        <v>18</v>
      </c>
      <c r="C2412" t="s">
        <v>11</v>
      </c>
      <c r="D2412" t="s">
        <v>595</v>
      </c>
      <c r="E2412">
        <v>86</v>
      </c>
      <c r="F2412">
        <v>0</v>
      </c>
      <c r="G2412" s="1">
        <v>700</v>
      </c>
      <c r="H2412" s="1">
        <v>0</v>
      </c>
      <c r="I2412" s="1">
        <v>0</v>
      </c>
      <c r="J2412" s="1">
        <v>0</v>
      </c>
    </row>
    <row r="2413" spans="1:10" x14ac:dyDescent="0.3">
      <c r="A2413" t="s">
        <v>54</v>
      </c>
      <c r="B2413" t="s">
        <v>19</v>
      </c>
      <c r="C2413" t="s">
        <v>11</v>
      </c>
      <c r="D2413" t="s">
        <v>595</v>
      </c>
      <c r="E2413">
        <v>86</v>
      </c>
      <c r="F2413">
        <v>0</v>
      </c>
      <c r="G2413" s="1">
        <v>1900</v>
      </c>
      <c r="H2413" s="1">
        <v>0</v>
      </c>
      <c r="I2413" s="1">
        <v>0</v>
      </c>
      <c r="J2413" s="1">
        <v>0</v>
      </c>
    </row>
    <row r="2414" spans="1:10" x14ac:dyDescent="0.3">
      <c r="A2414" t="s">
        <v>54</v>
      </c>
      <c r="B2414" t="s">
        <v>20</v>
      </c>
      <c r="C2414" t="s">
        <v>11</v>
      </c>
      <c r="D2414" t="s">
        <v>595</v>
      </c>
      <c r="E2414">
        <v>86</v>
      </c>
      <c r="F2414">
        <v>0</v>
      </c>
      <c r="G2414" s="1">
        <v>14400</v>
      </c>
      <c r="H2414" s="1">
        <v>0</v>
      </c>
      <c r="I2414" s="1">
        <v>0</v>
      </c>
      <c r="J2414" s="1">
        <v>0</v>
      </c>
    </row>
    <row r="2415" spans="1:10" x14ac:dyDescent="0.3">
      <c r="A2415" t="s">
        <v>54</v>
      </c>
      <c r="B2415" t="s">
        <v>21</v>
      </c>
      <c r="C2415" t="s">
        <v>11</v>
      </c>
      <c r="D2415" t="s">
        <v>595</v>
      </c>
      <c r="E2415">
        <v>86</v>
      </c>
      <c r="F2415">
        <v>0</v>
      </c>
      <c r="G2415" s="1">
        <v>22370</v>
      </c>
      <c r="H2415" s="1">
        <v>5050</v>
      </c>
      <c r="I2415" s="1">
        <v>8505</v>
      </c>
      <c r="J2415" s="1">
        <v>1684</v>
      </c>
    </row>
    <row r="2416" spans="1:10" x14ac:dyDescent="0.3">
      <c r="A2416" t="s">
        <v>54</v>
      </c>
      <c r="B2416" t="s">
        <v>22</v>
      </c>
      <c r="C2416" t="s">
        <v>11</v>
      </c>
      <c r="D2416" t="s">
        <v>595</v>
      </c>
      <c r="E2416">
        <v>86</v>
      </c>
      <c r="F2416">
        <v>0</v>
      </c>
      <c r="G2416" s="1">
        <v>35910</v>
      </c>
      <c r="H2416" s="1">
        <v>5150</v>
      </c>
      <c r="I2416" s="1">
        <v>9270</v>
      </c>
      <c r="J2416" s="1">
        <v>1800</v>
      </c>
    </row>
    <row r="2417" spans="1:10" x14ac:dyDescent="0.3">
      <c r="A2417" t="s">
        <v>54</v>
      </c>
      <c r="B2417" t="s">
        <v>23</v>
      </c>
      <c r="C2417" t="s">
        <v>11</v>
      </c>
      <c r="D2417" t="s">
        <v>595</v>
      </c>
      <c r="E2417">
        <v>86</v>
      </c>
      <c r="F2417">
        <v>0</v>
      </c>
      <c r="G2417" s="1">
        <v>29600</v>
      </c>
      <c r="H2417" s="1">
        <v>2800</v>
      </c>
      <c r="I2417" s="1">
        <v>3740</v>
      </c>
      <c r="J2417" s="1">
        <v>1336</v>
      </c>
    </row>
    <row r="2418" spans="1:10" x14ac:dyDescent="0.3">
      <c r="A2418" t="s">
        <v>54</v>
      </c>
      <c r="B2418" t="s">
        <v>24</v>
      </c>
      <c r="C2418" t="s">
        <v>11</v>
      </c>
      <c r="D2418" t="s">
        <v>595</v>
      </c>
      <c r="E2418">
        <v>86</v>
      </c>
      <c r="F2418">
        <v>0</v>
      </c>
      <c r="G2418" s="1">
        <v>30000</v>
      </c>
      <c r="H2418" s="1">
        <v>4230</v>
      </c>
      <c r="I2418" s="1">
        <v>6830</v>
      </c>
      <c r="J2418" s="1">
        <v>1615</v>
      </c>
    </row>
    <row r="2419" spans="1:10" x14ac:dyDescent="0.3">
      <c r="A2419" t="s">
        <v>54</v>
      </c>
      <c r="B2419" t="s">
        <v>25</v>
      </c>
      <c r="C2419" t="s">
        <v>11</v>
      </c>
      <c r="D2419" t="s">
        <v>595</v>
      </c>
      <c r="E2419">
        <v>86</v>
      </c>
      <c r="F2419">
        <v>0</v>
      </c>
      <c r="G2419" s="1">
        <v>34230</v>
      </c>
      <c r="H2419" s="1">
        <v>5205</v>
      </c>
      <c r="I2419" s="1">
        <v>4079</v>
      </c>
      <c r="J2419" s="1">
        <v>784</v>
      </c>
    </row>
    <row r="2420" spans="1:10" x14ac:dyDescent="0.3">
      <c r="A2420" t="s">
        <v>54</v>
      </c>
      <c r="B2420" t="s">
        <v>50</v>
      </c>
      <c r="C2420" t="s">
        <v>11</v>
      </c>
      <c r="D2420" t="s">
        <v>595</v>
      </c>
      <c r="E2420">
        <v>86</v>
      </c>
      <c r="F2420">
        <v>0</v>
      </c>
      <c r="G2420" s="1">
        <v>38169</v>
      </c>
      <c r="H2420" s="1">
        <v>15919</v>
      </c>
      <c r="I2420" s="1">
        <v>25402</v>
      </c>
      <c r="J2420" s="1">
        <v>1596</v>
      </c>
    </row>
    <row r="2421" spans="1:10" x14ac:dyDescent="0.3">
      <c r="A2421" t="s">
        <v>55</v>
      </c>
      <c r="B2421" t="s">
        <v>24</v>
      </c>
      <c r="C2421" t="s">
        <v>11</v>
      </c>
      <c r="D2421" t="s">
        <v>595</v>
      </c>
      <c r="E2421">
        <v>86</v>
      </c>
      <c r="F2421">
        <v>0</v>
      </c>
      <c r="G2421" s="1">
        <v>1500</v>
      </c>
      <c r="H2421" s="1">
        <v>1000</v>
      </c>
      <c r="I2421" s="1">
        <v>1050</v>
      </c>
      <c r="J2421" s="1">
        <v>1050</v>
      </c>
    </row>
    <row r="2422" spans="1:10" x14ac:dyDescent="0.3">
      <c r="A2422" t="s">
        <v>55</v>
      </c>
      <c r="B2422" t="s">
        <v>25</v>
      </c>
      <c r="C2422" t="s">
        <v>11</v>
      </c>
      <c r="D2422" t="s">
        <v>595</v>
      </c>
      <c r="E2422">
        <v>86</v>
      </c>
      <c r="F2422">
        <v>0</v>
      </c>
      <c r="G2422" s="1">
        <v>1500</v>
      </c>
      <c r="H2422" s="1">
        <v>1440</v>
      </c>
      <c r="I2422" s="1">
        <v>1199</v>
      </c>
      <c r="J2422" s="1">
        <v>832</v>
      </c>
    </row>
    <row r="2423" spans="1:10" x14ac:dyDescent="0.3">
      <c r="A2423" t="s">
        <v>55</v>
      </c>
      <c r="B2423" t="s">
        <v>50</v>
      </c>
      <c r="C2423" t="s">
        <v>11</v>
      </c>
      <c r="D2423" t="s">
        <v>595</v>
      </c>
      <c r="E2423">
        <v>86</v>
      </c>
      <c r="F2423">
        <v>0</v>
      </c>
      <c r="G2423" s="1">
        <v>1500</v>
      </c>
      <c r="H2423" s="1">
        <v>1370</v>
      </c>
      <c r="I2423" s="1">
        <v>1324</v>
      </c>
      <c r="J2423" s="1">
        <v>966</v>
      </c>
    </row>
    <row r="2424" spans="1:10" x14ac:dyDescent="0.3">
      <c r="A2424" t="s">
        <v>56</v>
      </c>
      <c r="B2424" t="s">
        <v>19</v>
      </c>
      <c r="C2424" t="s">
        <v>11</v>
      </c>
      <c r="D2424" t="s">
        <v>595</v>
      </c>
      <c r="E2424">
        <v>86</v>
      </c>
      <c r="F2424">
        <v>0</v>
      </c>
      <c r="G2424" s="1">
        <v>6000</v>
      </c>
      <c r="H2424" s="1">
        <v>6000</v>
      </c>
      <c r="I2424" s="1">
        <v>10500</v>
      </c>
      <c r="J2424" s="1">
        <v>1750</v>
      </c>
    </row>
    <row r="2425" spans="1:10" x14ac:dyDescent="0.3">
      <c r="A2425" t="s">
        <v>56</v>
      </c>
      <c r="B2425" t="s">
        <v>20</v>
      </c>
      <c r="C2425" t="s">
        <v>11</v>
      </c>
      <c r="D2425" t="s">
        <v>595</v>
      </c>
      <c r="E2425">
        <v>86</v>
      </c>
      <c r="F2425">
        <v>0</v>
      </c>
      <c r="G2425" s="1">
        <v>21680</v>
      </c>
      <c r="H2425" s="1">
        <v>21680</v>
      </c>
      <c r="I2425" s="1">
        <v>39688</v>
      </c>
      <c r="J2425" s="1">
        <v>1831</v>
      </c>
    </row>
    <row r="2426" spans="1:10" x14ac:dyDescent="0.3">
      <c r="A2426" t="s">
        <v>56</v>
      </c>
      <c r="B2426" t="s">
        <v>21</v>
      </c>
      <c r="C2426" t="s">
        <v>11</v>
      </c>
      <c r="D2426" t="s">
        <v>595</v>
      </c>
      <c r="E2426">
        <v>86</v>
      </c>
      <c r="F2426">
        <v>0</v>
      </c>
      <c r="G2426" s="1">
        <v>7650</v>
      </c>
      <c r="H2426" s="1">
        <v>7200</v>
      </c>
      <c r="I2426" s="1">
        <v>12615</v>
      </c>
      <c r="J2426" s="1">
        <v>1752</v>
      </c>
    </row>
    <row r="2427" spans="1:10" x14ac:dyDescent="0.3">
      <c r="A2427" t="s">
        <v>56</v>
      </c>
      <c r="B2427" t="s">
        <v>22</v>
      </c>
      <c r="C2427" t="s">
        <v>11</v>
      </c>
      <c r="D2427" t="s">
        <v>595</v>
      </c>
      <c r="E2427">
        <v>86</v>
      </c>
      <c r="F2427">
        <v>0</v>
      </c>
      <c r="G2427" s="1">
        <v>14850</v>
      </c>
      <c r="H2427" s="1">
        <v>14190</v>
      </c>
      <c r="I2427" s="1">
        <v>24766</v>
      </c>
      <c r="J2427" s="1">
        <v>1745</v>
      </c>
    </row>
    <row r="2428" spans="1:10" x14ac:dyDescent="0.3">
      <c r="A2428" t="s">
        <v>56</v>
      </c>
      <c r="B2428" t="s">
        <v>23</v>
      </c>
      <c r="C2428" t="s">
        <v>11</v>
      </c>
      <c r="D2428" t="s">
        <v>595</v>
      </c>
      <c r="E2428">
        <v>86</v>
      </c>
      <c r="F2428">
        <v>0</v>
      </c>
      <c r="G2428" s="1">
        <v>15800</v>
      </c>
      <c r="H2428" s="1">
        <v>12650</v>
      </c>
      <c r="I2428" s="1">
        <v>15760</v>
      </c>
      <c r="J2428" s="1">
        <v>1246</v>
      </c>
    </row>
    <row r="2429" spans="1:10" x14ac:dyDescent="0.3">
      <c r="A2429" t="s">
        <v>56</v>
      </c>
      <c r="B2429" t="s">
        <v>24</v>
      </c>
      <c r="C2429" t="s">
        <v>11</v>
      </c>
      <c r="D2429" t="s">
        <v>595</v>
      </c>
      <c r="E2429">
        <v>86</v>
      </c>
      <c r="F2429">
        <v>0</v>
      </c>
      <c r="G2429" s="1">
        <v>19200</v>
      </c>
      <c r="H2429" s="1">
        <v>19200</v>
      </c>
      <c r="I2429" s="1">
        <v>34720</v>
      </c>
      <c r="J2429" s="1">
        <v>1808</v>
      </c>
    </row>
    <row r="2430" spans="1:10" x14ac:dyDescent="0.3">
      <c r="A2430" t="s">
        <v>56</v>
      </c>
      <c r="B2430" t="s">
        <v>25</v>
      </c>
      <c r="C2430" t="s">
        <v>11</v>
      </c>
      <c r="D2430" t="s">
        <v>595</v>
      </c>
      <c r="E2430">
        <v>86</v>
      </c>
      <c r="F2430">
        <v>0</v>
      </c>
      <c r="G2430" s="1">
        <v>23230</v>
      </c>
      <c r="H2430" s="1">
        <v>20595</v>
      </c>
      <c r="I2430" s="1">
        <v>19326</v>
      </c>
      <c r="J2430" s="1">
        <v>938</v>
      </c>
    </row>
    <row r="2431" spans="1:10" x14ac:dyDescent="0.3">
      <c r="A2431" t="s">
        <v>56</v>
      </c>
      <c r="B2431" t="s">
        <v>50</v>
      </c>
      <c r="C2431" t="s">
        <v>11</v>
      </c>
      <c r="D2431" t="s">
        <v>595</v>
      </c>
      <c r="E2431">
        <v>86</v>
      </c>
      <c r="F2431">
        <v>0</v>
      </c>
      <c r="G2431" s="1">
        <v>19230</v>
      </c>
      <c r="H2431" s="1">
        <v>18730</v>
      </c>
      <c r="I2431" s="1">
        <v>26146</v>
      </c>
      <c r="J2431" s="1">
        <v>1396</v>
      </c>
    </row>
    <row r="2432" spans="1:10" x14ac:dyDescent="0.3">
      <c r="A2432" t="s">
        <v>57</v>
      </c>
      <c r="B2432" t="s">
        <v>15</v>
      </c>
      <c r="C2432" t="s">
        <v>11</v>
      </c>
      <c r="D2432" t="s">
        <v>595</v>
      </c>
      <c r="E2432">
        <v>86</v>
      </c>
      <c r="F2432">
        <v>0</v>
      </c>
      <c r="G2432" s="1">
        <v>12000</v>
      </c>
      <c r="H2432" s="1">
        <v>10740</v>
      </c>
      <c r="I2432" s="1">
        <v>17610</v>
      </c>
      <c r="J2432" s="1">
        <v>1640</v>
      </c>
    </row>
    <row r="2433" spans="1:10" x14ac:dyDescent="0.3">
      <c r="A2433" t="s">
        <v>57</v>
      </c>
      <c r="B2433" t="s">
        <v>16</v>
      </c>
      <c r="C2433" t="s">
        <v>11</v>
      </c>
      <c r="D2433" t="s">
        <v>595</v>
      </c>
      <c r="E2433">
        <v>86</v>
      </c>
      <c r="F2433">
        <v>0</v>
      </c>
      <c r="G2433" s="1">
        <v>5700</v>
      </c>
      <c r="H2433" s="1">
        <v>5700</v>
      </c>
      <c r="I2433" s="1">
        <v>10300</v>
      </c>
      <c r="J2433" s="1">
        <v>1807</v>
      </c>
    </row>
    <row r="2434" spans="1:10" x14ac:dyDescent="0.3">
      <c r="A2434" t="s">
        <v>57</v>
      </c>
      <c r="B2434" t="s">
        <v>17</v>
      </c>
      <c r="C2434" t="s">
        <v>11</v>
      </c>
      <c r="D2434" t="s">
        <v>595</v>
      </c>
      <c r="E2434">
        <v>86</v>
      </c>
      <c r="F2434">
        <v>0</v>
      </c>
      <c r="G2434" s="1">
        <v>45800</v>
      </c>
      <c r="H2434" s="1">
        <v>45800</v>
      </c>
      <c r="I2434" s="1">
        <v>71530</v>
      </c>
      <c r="J2434" s="1">
        <v>1562</v>
      </c>
    </row>
    <row r="2435" spans="1:10" x14ac:dyDescent="0.3">
      <c r="A2435" t="s">
        <v>57</v>
      </c>
      <c r="B2435" t="s">
        <v>18</v>
      </c>
      <c r="C2435" t="s">
        <v>11</v>
      </c>
      <c r="D2435" t="s">
        <v>595</v>
      </c>
      <c r="E2435">
        <v>86</v>
      </c>
      <c r="F2435">
        <v>0</v>
      </c>
      <c r="G2435" s="1">
        <v>25400</v>
      </c>
      <c r="H2435" s="1">
        <v>25400</v>
      </c>
      <c r="I2435" s="1">
        <v>47470</v>
      </c>
      <c r="J2435" s="1">
        <v>1869</v>
      </c>
    </row>
    <row r="2436" spans="1:10" x14ac:dyDescent="0.3">
      <c r="A2436" t="s">
        <v>57</v>
      </c>
      <c r="B2436" t="s">
        <v>19</v>
      </c>
      <c r="C2436" t="s">
        <v>11</v>
      </c>
      <c r="D2436" t="s">
        <v>595</v>
      </c>
      <c r="E2436">
        <v>86</v>
      </c>
      <c r="F2436">
        <v>0</v>
      </c>
      <c r="G2436" s="1">
        <v>97670</v>
      </c>
      <c r="H2436" s="1">
        <v>97600</v>
      </c>
      <c r="I2436" s="1">
        <v>222218</v>
      </c>
      <c r="J2436" s="1">
        <v>2277</v>
      </c>
    </row>
    <row r="2437" spans="1:10" x14ac:dyDescent="0.3">
      <c r="A2437" t="s">
        <v>57</v>
      </c>
      <c r="B2437" t="s">
        <v>20</v>
      </c>
      <c r="C2437" t="s">
        <v>11</v>
      </c>
      <c r="D2437" t="s">
        <v>595</v>
      </c>
      <c r="E2437">
        <v>86</v>
      </c>
      <c r="F2437">
        <v>0</v>
      </c>
      <c r="G2437" s="1">
        <v>68454</v>
      </c>
      <c r="H2437" s="1">
        <v>68454</v>
      </c>
      <c r="I2437" s="1">
        <v>151461</v>
      </c>
      <c r="J2437" s="1">
        <v>2213</v>
      </c>
    </row>
    <row r="2438" spans="1:10" x14ac:dyDescent="0.3">
      <c r="A2438" t="s">
        <v>57</v>
      </c>
      <c r="B2438" t="s">
        <v>21</v>
      </c>
      <c r="C2438" t="s">
        <v>11</v>
      </c>
      <c r="D2438" t="s">
        <v>595</v>
      </c>
      <c r="E2438">
        <v>86</v>
      </c>
      <c r="F2438">
        <v>0</v>
      </c>
      <c r="G2438" s="1">
        <v>38540</v>
      </c>
      <c r="H2438" s="1">
        <v>38540</v>
      </c>
      <c r="I2438" s="1">
        <v>54443</v>
      </c>
      <c r="J2438" s="1">
        <v>1413</v>
      </c>
    </row>
    <row r="2439" spans="1:10" x14ac:dyDescent="0.3">
      <c r="A2439" t="s">
        <v>57</v>
      </c>
      <c r="B2439" t="s">
        <v>22</v>
      </c>
      <c r="C2439" t="s">
        <v>11</v>
      </c>
      <c r="D2439" t="s">
        <v>595</v>
      </c>
      <c r="E2439">
        <v>86</v>
      </c>
      <c r="F2439">
        <v>0</v>
      </c>
      <c r="G2439" s="1">
        <v>26700</v>
      </c>
      <c r="H2439" s="1">
        <v>26700</v>
      </c>
      <c r="I2439" s="1">
        <v>45026</v>
      </c>
      <c r="J2439" s="1">
        <v>1686</v>
      </c>
    </row>
    <row r="2440" spans="1:10" x14ac:dyDescent="0.3">
      <c r="A2440" t="s">
        <v>57</v>
      </c>
      <c r="B2440" t="s">
        <v>23</v>
      </c>
      <c r="C2440" t="s">
        <v>11</v>
      </c>
      <c r="D2440" t="s">
        <v>595</v>
      </c>
      <c r="E2440">
        <v>86</v>
      </c>
      <c r="F2440">
        <v>0</v>
      </c>
      <c r="G2440" s="1">
        <v>61370</v>
      </c>
      <c r="H2440" s="1">
        <v>61370</v>
      </c>
      <c r="I2440" s="1">
        <v>70695</v>
      </c>
      <c r="J2440" s="1">
        <v>1152</v>
      </c>
    </row>
    <row r="2441" spans="1:10" x14ac:dyDescent="0.3">
      <c r="A2441" t="s">
        <v>57</v>
      </c>
      <c r="B2441" t="s">
        <v>24</v>
      </c>
      <c r="C2441" t="s">
        <v>11</v>
      </c>
      <c r="D2441" t="s">
        <v>595</v>
      </c>
      <c r="E2441">
        <v>86</v>
      </c>
      <c r="F2441">
        <v>0</v>
      </c>
      <c r="G2441" s="1">
        <v>12360</v>
      </c>
      <c r="H2441" s="1">
        <v>12360</v>
      </c>
      <c r="I2441" s="1">
        <v>21457</v>
      </c>
      <c r="J2441" s="1">
        <v>1736</v>
      </c>
    </row>
    <row r="2442" spans="1:10" x14ac:dyDescent="0.3">
      <c r="A2442" t="s">
        <v>57</v>
      </c>
      <c r="B2442" t="s">
        <v>25</v>
      </c>
      <c r="C2442" t="s">
        <v>11</v>
      </c>
      <c r="D2442" t="s">
        <v>595</v>
      </c>
      <c r="E2442">
        <v>86</v>
      </c>
      <c r="F2442">
        <v>0</v>
      </c>
      <c r="G2442" s="1">
        <v>37520</v>
      </c>
      <c r="H2442" s="1">
        <v>37295</v>
      </c>
      <c r="I2442" s="1">
        <v>73052</v>
      </c>
      <c r="J2442" s="1">
        <v>1959</v>
      </c>
    </row>
    <row r="2443" spans="1:10" x14ac:dyDescent="0.3">
      <c r="A2443" t="s">
        <v>59</v>
      </c>
      <c r="B2443" t="s">
        <v>21</v>
      </c>
      <c r="C2443" t="s">
        <v>11</v>
      </c>
      <c r="D2443" t="s">
        <v>595</v>
      </c>
      <c r="E2443">
        <v>86</v>
      </c>
      <c r="F2443">
        <v>0</v>
      </c>
      <c r="G2443" s="1">
        <v>70</v>
      </c>
      <c r="H2443" s="1">
        <v>0</v>
      </c>
      <c r="I2443" s="1">
        <v>0</v>
      </c>
      <c r="J2443" s="1">
        <v>0</v>
      </c>
    </row>
    <row r="2444" spans="1:10" x14ac:dyDescent="0.3">
      <c r="A2444" t="s">
        <v>61</v>
      </c>
      <c r="B2444" t="s">
        <v>14</v>
      </c>
      <c r="C2444" t="s">
        <v>11</v>
      </c>
      <c r="D2444" t="s">
        <v>595</v>
      </c>
      <c r="E2444">
        <v>86</v>
      </c>
      <c r="F2444">
        <v>0</v>
      </c>
      <c r="G2444" s="1">
        <v>728430</v>
      </c>
      <c r="H2444" s="1">
        <v>607990</v>
      </c>
      <c r="I2444" s="1">
        <v>4634110</v>
      </c>
      <c r="J2444" s="1">
        <v>7622</v>
      </c>
    </row>
    <row r="2445" spans="1:10" x14ac:dyDescent="0.3">
      <c r="A2445" t="s">
        <v>61</v>
      </c>
      <c r="B2445" t="s">
        <v>15</v>
      </c>
      <c r="C2445" t="s">
        <v>11</v>
      </c>
      <c r="D2445" t="s">
        <v>595</v>
      </c>
      <c r="E2445">
        <v>86</v>
      </c>
      <c r="F2445">
        <v>0</v>
      </c>
      <c r="G2445" s="1">
        <v>490200</v>
      </c>
      <c r="H2445" s="1">
        <v>377900</v>
      </c>
      <c r="I2445" s="1">
        <v>2407550</v>
      </c>
      <c r="J2445" s="1">
        <v>6371</v>
      </c>
    </row>
    <row r="2446" spans="1:10" x14ac:dyDescent="0.3">
      <c r="A2446" t="s">
        <v>61</v>
      </c>
      <c r="B2446" t="s">
        <v>16</v>
      </c>
      <c r="C2446" t="s">
        <v>11</v>
      </c>
      <c r="D2446" t="s">
        <v>595</v>
      </c>
      <c r="E2446">
        <v>86</v>
      </c>
      <c r="F2446">
        <v>0</v>
      </c>
      <c r="G2446" s="1">
        <v>672320</v>
      </c>
      <c r="H2446" s="1">
        <v>593910</v>
      </c>
      <c r="I2446" s="1">
        <v>4262476</v>
      </c>
      <c r="J2446" s="1">
        <v>7177</v>
      </c>
    </row>
    <row r="2447" spans="1:10" x14ac:dyDescent="0.3">
      <c r="A2447" t="s">
        <v>61</v>
      </c>
      <c r="B2447" t="s">
        <v>17</v>
      </c>
      <c r="C2447" t="s">
        <v>11</v>
      </c>
      <c r="D2447" t="s">
        <v>595</v>
      </c>
      <c r="E2447">
        <v>86</v>
      </c>
      <c r="F2447">
        <v>0</v>
      </c>
      <c r="G2447" s="1">
        <v>684500</v>
      </c>
      <c r="H2447" s="1">
        <v>627350</v>
      </c>
      <c r="I2447" s="1">
        <v>4483905</v>
      </c>
      <c r="J2447" s="1">
        <v>7147</v>
      </c>
    </row>
    <row r="2448" spans="1:10" x14ac:dyDescent="0.3">
      <c r="A2448" t="s">
        <v>61</v>
      </c>
      <c r="B2448" t="s">
        <v>18</v>
      </c>
      <c r="C2448" t="s">
        <v>11</v>
      </c>
      <c r="D2448" t="s">
        <v>595</v>
      </c>
      <c r="E2448">
        <v>86</v>
      </c>
      <c r="F2448">
        <v>0</v>
      </c>
      <c r="G2448" s="1">
        <v>731890</v>
      </c>
      <c r="H2448" s="1">
        <v>625550</v>
      </c>
      <c r="I2448" s="1">
        <v>3661765</v>
      </c>
      <c r="J2448" s="1">
        <v>5854</v>
      </c>
    </row>
    <row r="2449" spans="1:10" x14ac:dyDescent="0.3">
      <c r="A2449" t="s">
        <v>61</v>
      </c>
      <c r="B2449" t="s">
        <v>19</v>
      </c>
      <c r="C2449" t="s">
        <v>11</v>
      </c>
      <c r="D2449" t="s">
        <v>595</v>
      </c>
      <c r="E2449">
        <v>86</v>
      </c>
      <c r="F2449">
        <v>0</v>
      </c>
      <c r="G2449" s="1">
        <v>747900</v>
      </c>
      <c r="H2449" s="1">
        <v>660750</v>
      </c>
      <c r="I2449" s="1">
        <v>4405979</v>
      </c>
      <c r="J2449" s="1">
        <v>6668</v>
      </c>
    </row>
    <row r="2450" spans="1:10" x14ac:dyDescent="0.3">
      <c r="A2450" t="s">
        <v>61</v>
      </c>
      <c r="B2450" t="s">
        <v>20</v>
      </c>
      <c r="C2450" t="s">
        <v>11</v>
      </c>
      <c r="D2450" t="s">
        <v>595</v>
      </c>
      <c r="E2450">
        <v>86</v>
      </c>
      <c r="F2450">
        <v>0</v>
      </c>
      <c r="G2450" s="1">
        <v>811060</v>
      </c>
      <c r="H2450" s="1">
        <v>760760</v>
      </c>
      <c r="I2450" s="1">
        <v>5653025</v>
      </c>
      <c r="J2450" s="1">
        <v>7431</v>
      </c>
    </row>
    <row r="2451" spans="1:10" x14ac:dyDescent="0.3">
      <c r="A2451" t="s">
        <v>61</v>
      </c>
      <c r="B2451" t="s">
        <v>21</v>
      </c>
      <c r="C2451" t="s">
        <v>11</v>
      </c>
      <c r="D2451" t="s">
        <v>595</v>
      </c>
      <c r="E2451">
        <v>86</v>
      </c>
      <c r="F2451">
        <v>0</v>
      </c>
      <c r="G2451" s="1">
        <v>744900</v>
      </c>
      <c r="H2451" s="1">
        <v>688611</v>
      </c>
      <c r="I2451" s="1">
        <v>5138847</v>
      </c>
      <c r="J2451" s="1">
        <v>7463</v>
      </c>
    </row>
    <row r="2452" spans="1:10" x14ac:dyDescent="0.3">
      <c r="A2452" t="s">
        <v>61</v>
      </c>
      <c r="B2452" t="s">
        <v>22</v>
      </c>
      <c r="C2452" t="s">
        <v>11</v>
      </c>
      <c r="D2452" t="s">
        <v>595</v>
      </c>
      <c r="E2452">
        <v>86</v>
      </c>
      <c r="F2452">
        <v>0</v>
      </c>
      <c r="G2452" s="1">
        <v>777100</v>
      </c>
      <c r="H2452" s="1">
        <v>725980</v>
      </c>
      <c r="I2452" s="1">
        <v>5386950</v>
      </c>
      <c r="J2452" s="1">
        <v>7420</v>
      </c>
    </row>
    <row r="2453" spans="1:10" x14ac:dyDescent="0.3">
      <c r="A2453" t="s">
        <v>61</v>
      </c>
      <c r="B2453" t="s">
        <v>23</v>
      </c>
      <c r="C2453" t="s">
        <v>11</v>
      </c>
      <c r="D2453" t="s">
        <v>595</v>
      </c>
      <c r="E2453">
        <v>86</v>
      </c>
      <c r="F2453">
        <v>0</v>
      </c>
      <c r="G2453" s="1">
        <v>822100</v>
      </c>
      <c r="H2453" s="1">
        <v>734246</v>
      </c>
      <c r="I2453" s="1">
        <v>4549312</v>
      </c>
      <c r="J2453" s="1">
        <v>6196</v>
      </c>
    </row>
    <row r="2454" spans="1:10" x14ac:dyDescent="0.3">
      <c r="A2454" t="s">
        <v>61</v>
      </c>
      <c r="B2454" t="s">
        <v>24</v>
      </c>
      <c r="C2454" t="s">
        <v>11</v>
      </c>
      <c r="D2454" t="s">
        <v>595</v>
      </c>
      <c r="E2454">
        <v>86</v>
      </c>
      <c r="F2454">
        <v>0</v>
      </c>
      <c r="G2454" s="1">
        <v>827700</v>
      </c>
      <c r="H2454" s="1">
        <v>512275</v>
      </c>
      <c r="I2454" s="1">
        <v>1551073</v>
      </c>
      <c r="J2454" s="1">
        <v>3028</v>
      </c>
    </row>
    <row r="2455" spans="1:10" x14ac:dyDescent="0.3">
      <c r="A2455" t="s">
        <v>61</v>
      </c>
      <c r="B2455" t="s">
        <v>25</v>
      </c>
      <c r="C2455" t="s">
        <v>11</v>
      </c>
      <c r="D2455" t="s">
        <v>595</v>
      </c>
      <c r="E2455">
        <v>86</v>
      </c>
      <c r="F2455">
        <v>0</v>
      </c>
      <c r="G2455" s="1">
        <v>550700</v>
      </c>
      <c r="H2455" s="1">
        <v>413985</v>
      </c>
      <c r="I2455" s="1">
        <v>1612241</v>
      </c>
      <c r="J2455" s="1">
        <v>3894</v>
      </c>
    </row>
    <row r="2456" spans="1:10" x14ac:dyDescent="0.3">
      <c r="A2456" t="s">
        <v>62</v>
      </c>
      <c r="B2456" t="s">
        <v>24</v>
      </c>
      <c r="C2456" t="s">
        <v>11</v>
      </c>
      <c r="D2456" t="s">
        <v>595</v>
      </c>
      <c r="E2456">
        <v>86</v>
      </c>
      <c r="F2456">
        <v>0</v>
      </c>
      <c r="G2456" s="1">
        <v>300</v>
      </c>
      <c r="H2456" s="1">
        <v>295</v>
      </c>
      <c r="I2456" s="1">
        <v>738</v>
      </c>
      <c r="J2456" s="1">
        <v>2500</v>
      </c>
    </row>
    <row r="2457" spans="1:10" x14ac:dyDescent="0.3">
      <c r="A2457" t="s">
        <v>62</v>
      </c>
      <c r="B2457" t="s">
        <v>25</v>
      </c>
      <c r="C2457" t="s">
        <v>11</v>
      </c>
      <c r="D2457" t="s">
        <v>595</v>
      </c>
      <c r="E2457">
        <v>86</v>
      </c>
      <c r="F2457">
        <v>0</v>
      </c>
      <c r="G2457" s="1">
        <v>300</v>
      </c>
      <c r="H2457" s="1">
        <v>285</v>
      </c>
      <c r="I2457" s="1">
        <v>627</v>
      </c>
      <c r="J2457" s="1">
        <v>2200</v>
      </c>
    </row>
    <row r="2458" spans="1:10" x14ac:dyDescent="0.3">
      <c r="A2458" t="s">
        <v>66</v>
      </c>
      <c r="B2458" t="s">
        <v>25</v>
      </c>
      <c r="C2458" t="s">
        <v>11</v>
      </c>
      <c r="D2458" t="s">
        <v>41</v>
      </c>
      <c r="E2458">
        <v>86</v>
      </c>
      <c r="F2458">
        <v>119</v>
      </c>
      <c r="G2458" s="1">
        <v>5660</v>
      </c>
      <c r="H2458" s="1">
        <v>4910</v>
      </c>
      <c r="I2458" s="1">
        <v>3633</v>
      </c>
      <c r="J2458" s="1">
        <v>740</v>
      </c>
    </row>
    <row r="2459" spans="1:10" x14ac:dyDescent="0.3">
      <c r="A2459" t="s">
        <v>66</v>
      </c>
      <c r="B2459" t="s">
        <v>25</v>
      </c>
      <c r="C2459" t="s">
        <v>11</v>
      </c>
      <c r="D2459" t="s">
        <v>42</v>
      </c>
      <c r="E2459">
        <v>86</v>
      </c>
      <c r="F2459">
        <v>126</v>
      </c>
      <c r="G2459" s="1">
        <v>15150</v>
      </c>
      <c r="H2459" s="1">
        <v>14965</v>
      </c>
      <c r="I2459" s="1">
        <v>25502</v>
      </c>
      <c r="J2459" s="1">
        <v>1704</v>
      </c>
    </row>
    <row r="2460" spans="1:10" x14ac:dyDescent="0.3">
      <c r="A2460" t="s">
        <v>66</v>
      </c>
      <c r="B2460" t="s">
        <v>25</v>
      </c>
      <c r="C2460" t="s">
        <v>11</v>
      </c>
      <c r="D2460" t="s">
        <v>43</v>
      </c>
      <c r="E2460">
        <v>86</v>
      </c>
      <c r="F2460">
        <v>133</v>
      </c>
      <c r="G2460" s="1">
        <v>19675</v>
      </c>
      <c r="H2460" s="1">
        <v>19468</v>
      </c>
      <c r="I2460" s="1">
        <v>35548</v>
      </c>
      <c r="J2460" s="1">
        <v>1826</v>
      </c>
    </row>
    <row r="2461" spans="1:10" x14ac:dyDescent="0.3">
      <c r="A2461" t="s">
        <v>66</v>
      </c>
      <c r="B2461" t="s">
        <v>25</v>
      </c>
      <c r="C2461" t="s">
        <v>11</v>
      </c>
      <c r="D2461" t="s">
        <v>58</v>
      </c>
      <c r="E2461">
        <v>86</v>
      </c>
      <c r="F2461">
        <v>140</v>
      </c>
      <c r="G2461" s="1">
        <v>2800</v>
      </c>
      <c r="H2461" s="1">
        <v>2670</v>
      </c>
      <c r="I2461" s="1">
        <v>4539</v>
      </c>
      <c r="J2461" s="1">
        <v>1700</v>
      </c>
    </row>
    <row r="2462" spans="1:10" x14ac:dyDescent="0.3">
      <c r="A2462" t="s">
        <v>66</v>
      </c>
      <c r="B2462" t="s">
        <v>25</v>
      </c>
      <c r="C2462" t="s">
        <v>11</v>
      </c>
      <c r="D2462" t="s">
        <v>44</v>
      </c>
      <c r="E2462">
        <v>86</v>
      </c>
      <c r="F2462">
        <v>147</v>
      </c>
      <c r="G2462" s="1">
        <v>12500</v>
      </c>
      <c r="H2462" s="1">
        <v>12415</v>
      </c>
      <c r="I2462" s="1">
        <v>21106</v>
      </c>
      <c r="J2462" s="1">
        <v>1700</v>
      </c>
    </row>
    <row r="2463" spans="1:10" x14ac:dyDescent="0.3">
      <c r="A2463" t="s">
        <v>66</v>
      </c>
      <c r="B2463" t="s">
        <v>25</v>
      </c>
      <c r="C2463" t="s">
        <v>11</v>
      </c>
      <c r="D2463" t="s">
        <v>48</v>
      </c>
      <c r="E2463">
        <v>86</v>
      </c>
      <c r="F2463">
        <v>189</v>
      </c>
      <c r="G2463" s="1">
        <v>150</v>
      </c>
      <c r="H2463" s="1">
        <v>130</v>
      </c>
      <c r="I2463" s="1">
        <v>234</v>
      </c>
      <c r="J2463" s="1">
        <v>1800</v>
      </c>
    </row>
    <row r="2464" spans="1:10" x14ac:dyDescent="0.3">
      <c r="A2464" t="s">
        <v>64</v>
      </c>
      <c r="B2464" t="s">
        <v>25</v>
      </c>
      <c r="C2464" t="s">
        <v>11</v>
      </c>
      <c r="D2464" t="s">
        <v>595</v>
      </c>
      <c r="E2464">
        <v>86</v>
      </c>
      <c r="F2464">
        <v>0</v>
      </c>
      <c r="G2464" s="1">
        <v>108360</v>
      </c>
      <c r="H2464" s="1">
        <v>105213</v>
      </c>
      <c r="I2464" s="1">
        <v>180585</v>
      </c>
      <c r="J2464" s="1">
        <v>1716</v>
      </c>
    </row>
    <row r="2465" spans="1:10" x14ac:dyDescent="0.3">
      <c r="A2465" t="s">
        <v>65</v>
      </c>
      <c r="B2465" t="s">
        <v>25</v>
      </c>
      <c r="C2465" t="s">
        <v>11</v>
      </c>
      <c r="D2465" t="s">
        <v>595</v>
      </c>
      <c r="E2465">
        <v>86</v>
      </c>
      <c r="F2465">
        <v>0</v>
      </c>
      <c r="G2465" s="1">
        <v>7850</v>
      </c>
      <c r="H2465" s="1">
        <v>7601</v>
      </c>
      <c r="I2465" s="1">
        <v>13358</v>
      </c>
      <c r="J2465" s="1">
        <v>1757</v>
      </c>
    </row>
    <row r="2466" spans="1:10" x14ac:dyDescent="0.3">
      <c r="A2466" t="s">
        <v>67</v>
      </c>
      <c r="B2466" t="s">
        <v>14</v>
      </c>
      <c r="C2466" t="s">
        <v>11</v>
      </c>
      <c r="D2466" t="s">
        <v>595</v>
      </c>
      <c r="E2466">
        <v>86</v>
      </c>
      <c r="F2466">
        <v>0</v>
      </c>
      <c r="G2466" s="1">
        <v>923353</v>
      </c>
      <c r="H2466" s="1">
        <v>923353</v>
      </c>
      <c r="I2466" s="1">
        <v>2606977</v>
      </c>
      <c r="J2466" s="1">
        <v>2823</v>
      </c>
    </row>
    <row r="2467" spans="1:10" x14ac:dyDescent="0.3">
      <c r="A2467" t="s">
        <v>67</v>
      </c>
      <c r="B2467" t="s">
        <v>15</v>
      </c>
      <c r="C2467" t="s">
        <v>11</v>
      </c>
      <c r="D2467" t="s">
        <v>595</v>
      </c>
      <c r="E2467">
        <v>86</v>
      </c>
      <c r="F2467">
        <v>0</v>
      </c>
      <c r="G2467" s="1">
        <v>720325</v>
      </c>
      <c r="H2467" s="1">
        <v>641269</v>
      </c>
      <c r="I2467" s="1">
        <v>1575210</v>
      </c>
      <c r="J2467" s="1">
        <v>2456</v>
      </c>
    </row>
    <row r="2468" spans="1:10" x14ac:dyDescent="0.3">
      <c r="A2468" t="s">
        <v>67</v>
      </c>
      <c r="B2468" t="s">
        <v>16</v>
      </c>
      <c r="C2468" t="s">
        <v>11</v>
      </c>
      <c r="D2468" t="s">
        <v>595</v>
      </c>
      <c r="E2468">
        <v>86</v>
      </c>
      <c r="F2468">
        <v>0</v>
      </c>
      <c r="G2468" s="1">
        <v>744356</v>
      </c>
      <c r="H2468" s="1">
        <v>720773</v>
      </c>
      <c r="I2468" s="1">
        <v>1893857</v>
      </c>
      <c r="J2468" s="1">
        <v>2628</v>
      </c>
    </row>
    <row r="2469" spans="1:10" x14ac:dyDescent="0.3">
      <c r="A2469" t="s">
        <v>67</v>
      </c>
      <c r="B2469" t="s">
        <v>17</v>
      </c>
      <c r="C2469" t="s">
        <v>11</v>
      </c>
      <c r="D2469" t="s">
        <v>595</v>
      </c>
      <c r="E2469">
        <v>86</v>
      </c>
      <c r="F2469">
        <v>0</v>
      </c>
      <c r="G2469" s="1">
        <v>586304</v>
      </c>
      <c r="H2469" s="1">
        <v>582919</v>
      </c>
      <c r="I2469" s="1">
        <v>2119781</v>
      </c>
      <c r="J2469" s="1">
        <v>3636</v>
      </c>
    </row>
    <row r="2470" spans="1:10" x14ac:dyDescent="0.3">
      <c r="A2470" t="s">
        <v>67</v>
      </c>
      <c r="B2470" t="s">
        <v>18</v>
      </c>
      <c r="C2470" t="s">
        <v>11</v>
      </c>
      <c r="D2470" t="s">
        <v>595</v>
      </c>
      <c r="E2470">
        <v>86</v>
      </c>
      <c r="F2470">
        <v>0</v>
      </c>
      <c r="G2470" s="1">
        <v>395864</v>
      </c>
      <c r="H2470" s="1">
        <v>390748</v>
      </c>
      <c r="I2470" s="1">
        <v>1023177</v>
      </c>
      <c r="J2470" s="1">
        <v>2619</v>
      </c>
    </row>
    <row r="2471" spans="1:10" x14ac:dyDescent="0.3">
      <c r="A2471" t="s">
        <v>67</v>
      </c>
      <c r="B2471" t="s">
        <v>19</v>
      </c>
      <c r="C2471" t="s">
        <v>11</v>
      </c>
      <c r="D2471" t="s">
        <v>595</v>
      </c>
      <c r="E2471">
        <v>86</v>
      </c>
      <c r="F2471">
        <v>0</v>
      </c>
      <c r="G2471" s="1">
        <v>768872</v>
      </c>
      <c r="H2471" s="1">
        <v>729792</v>
      </c>
      <c r="I2471" s="1">
        <v>2440435</v>
      </c>
      <c r="J2471" s="1">
        <v>3344</v>
      </c>
    </row>
    <row r="2472" spans="1:10" x14ac:dyDescent="0.3">
      <c r="A2472" t="s">
        <v>67</v>
      </c>
      <c r="B2472" t="s">
        <v>20</v>
      </c>
      <c r="C2472" t="s">
        <v>11</v>
      </c>
      <c r="D2472" t="s">
        <v>595</v>
      </c>
      <c r="E2472">
        <v>86</v>
      </c>
      <c r="F2472">
        <v>0</v>
      </c>
      <c r="G2472" s="1">
        <v>578200</v>
      </c>
      <c r="H2472" s="1">
        <v>575380</v>
      </c>
      <c r="I2472" s="1">
        <v>1888602</v>
      </c>
      <c r="J2472" s="1">
        <v>3282</v>
      </c>
    </row>
    <row r="2473" spans="1:10" x14ac:dyDescent="0.3">
      <c r="A2473" t="s">
        <v>67</v>
      </c>
      <c r="B2473" t="s">
        <v>21</v>
      </c>
      <c r="C2473" t="s">
        <v>11</v>
      </c>
      <c r="D2473" t="s">
        <v>595</v>
      </c>
      <c r="E2473">
        <v>86</v>
      </c>
      <c r="F2473">
        <v>0</v>
      </c>
      <c r="G2473" s="1">
        <v>677700</v>
      </c>
      <c r="H2473" s="1">
        <v>677700</v>
      </c>
      <c r="I2473" s="1">
        <v>2285170</v>
      </c>
      <c r="J2473" s="1">
        <v>3372</v>
      </c>
    </row>
    <row r="2474" spans="1:10" x14ac:dyDescent="0.3">
      <c r="A2474" t="s">
        <v>67</v>
      </c>
      <c r="B2474" t="s">
        <v>22</v>
      </c>
      <c r="C2474" t="s">
        <v>11</v>
      </c>
      <c r="D2474" t="s">
        <v>595</v>
      </c>
      <c r="E2474">
        <v>86</v>
      </c>
      <c r="F2474">
        <v>0</v>
      </c>
      <c r="G2474" s="1">
        <v>683500</v>
      </c>
      <c r="H2474" s="1">
        <v>683500</v>
      </c>
      <c r="I2474" s="1">
        <v>2159880</v>
      </c>
      <c r="J2474" s="1">
        <v>3160</v>
      </c>
    </row>
    <row r="2475" spans="1:10" x14ac:dyDescent="0.3">
      <c r="A2475" t="s">
        <v>67</v>
      </c>
      <c r="B2475" t="s">
        <v>23</v>
      </c>
      <c r="C2475" t="s">
        <v>11</v>
      </c>
      <c r="D2475" t="s">
        <v>595</v>
      </c>
      <c r="E2475">
        <v>86</v>
      </c>
      <c r="F2475">
        <v>0</v>
      </c>
      <c r="G2475" s="1">
        <v>842500</v>
      </c>
      <c r="H2475" s="1">
        <v>842500</v>
      </c>
      <c r="I2475" s="1">
        <v>2177220</v>
      </c>
      <c r="J2475" s="1">
        <v>2584</v>
      </c>
    </row>
    <row r="2476" spans="1:10" x14ac:dyDescent="0.3">
      <c r="A2476" t="s">
        <v>67</v>
      </c>
      <c r="B2476" t="s">
        <v>24</v>
      </c>
      <c r="C2476" t="s">
        <v>11</v>
      </c>
      <c r="D2476" t="s">
        <v>595</v>
      </c>
      <c r="E2476">
        <v>86</v>
      </c>
      <c r="F2476">
        <v>0</v>
      </c>
      <c r="G2476" s="1">
        <v>809680</v>
      </c>
      <c r="H2476" s="1">
        <v>792130</v>
      </c>
      <c r="I2476" s="1">
        <v>2141315</v>
      </c>
      <c r="J2476" s="1">
        <v>2703</v>
      </c>
    </row>
    <row r="2477" spans="1:10" x14ac:dyDescent="0.3">
      <c r="A2477" t="s">
        <v>67</v>
      </c>
      <c r="B2477" t="s">
        <v>25</v>
      </c>
      <c r="C2477" t="s">
        <v>11</v>
      </c>
      <c r="D2477" t="s">
        <v>595</v>
      </c>
      <c r="E2477">
        <v>86</v>
      </c>
      <c r="F2477">
        <v>0</v>
      </c>
      <c r="G2477" s="1">
        <v>1072995</v>
      </c>
      <c r="H2477" s="1">
        <v>936988</v>
      </c>
      <c r="I2477" s="1">
        <v>2067079</v>
      </c>
      <c r="J2477" s="1">
        <v>2206</v>
      </c>
    </row>
    <row r="2478" spans="1:10" x14ac:dyDescent="0.3">
      <c r="A2478" t="s">
        <v>68</v>
      </c>
      <c r="B2478" t="s">
        <v>13</v>
      </c>
      <c r="C2478" t="s">
        <v>11</v>
      </c>
      <c r="D2478" t="s">
        <v>595</v>
      </c>
      <c r="E2478">
        <v>86</v>
      </c>
      <c r="F2478">
        <v>0</v>
      </c>
      <c r="G2478" s="1">
        <v>100700</v>
      </c>
      <c r="H2478" s="1">
        <v>85018</v>
      </c>
      <c r="I2478" s="1">
        <v>158813</v>
      </c>
      <c r="J2478" s="1">
        <v>1868</v>
      </c>
    </row>
    <row r="2479" spans="1:10" x14ac:dyDescent="0.3">
      <c r="A2479" t="s">
        <v>68</v>
      </c>
      <c r="B2479" t="s">
        <v>14</v>
      </c>
      <c r="C2479" t="s">
        <v>11</v>
      </c>
      <c r="D2479" t="s">
        <v>595</v>
      </c>
      <c r="E2479">
        <v>86</v>
      </c>
      <c r="F2479">
        <v>0</v>
      </c>
      <c r="G2479" s="1">
        <v>46997</v>
      </c>
      <c r="H2479" s="1">
        <v>46997</v>
      </c>
      <c r="I2479" s="1">
        <v>130968</v>
      </c>
      <c r="J2479" s="1">
        <v>2787</v>
      </c>
    </row>
    <row r="2480" spans="1:10" x14ac:dyDescent="0.3">
      <c r="A2480" t="s">
        <v>68</v>
      </c>
      <c r="B2480" t="s">
        <v>15</v>
      </c>
      <c r="C2480" t="s">
        <v>11</v>
      </c>
      <c r="D2480" t="s">
        <v>595</v>
      </c>
      <c r="E2480">
        <v>86</v>
      </c>
      <c r="F2480">
        <v>0</v>
      </c>
      <c r="G2480" s="1">
        <v>148675</v>
      </c>
      <c r="H2480" s="1">
        <v>137231</v>
      </c>
      <c r="I2480" s="1">
        <v>340100</v>
      </c>
      <c r="J2480" s="1">
        <v>2478</v>
      </c>
    </row>
    <row r="2481" spans="1:10" x14ac:dyDescent="0.3">
      <c r="A2481" t="s">
        <v>68</v>
      </c>
      <c r="B2481" t="s">
        <v>16</v>
      </c>
      <c r="C2481" t="s">
        <v>11</v>
      </c>
      <c r="D2481" t="s">
        <v>595</v>
      </c>
      <c r="E2481">
        <v>86</v>
      </c>
      <c r="F2481">
        <v>0</v>
      </c>
      <c r="G2481" s="1">
        <v>236216</v>
      </c>
      <c r="H2481" s="1">
        <v>220799</v>
      </c>
      <c r="I2481" s="1">
        <v>604277</v>
      </c>
      <c r="J2481" s="1">
        <v>2737</v>
      </c>
    </row>
    <row r="2482" spans="1:10" x14ac:dyDescent="0.3">
      <c r="A2482" t="s">
        <v>68</v>
      </c>
      <c r="B2482" t="s">
        <v>17</v>
      </c>
      <c r="C2482" t="s">
        <v>11</v>
      </c>
      <c r="D2482" t="s">
        <v>595</v>
      </c>
      <c r="E2482">
        <v>86</v>
      </c>
      <c r="F2482">
        <v>0</v>
      </c>
      <c r="G2482" s="1">
        <v>285536</v>
      </c>
      <c r="H2482" s="1">
        <v>282771</v>
      </c>
      <c r="I2482" s="1">
        <v>1040081</v>
      </c>
      <c r="J2482" s="1">
        <v>3678</v>
      </c>
    </row>
    <row r="2483" spans="1:10" x14ac:dyDescent="0.3">
      <c r="A2483" t="s">
        <v>68</v>
      </c>
      <c r="B2483" t="s">
        <v>18</v>
      </c>
      <c r="C2483" t="s">
        <v>11</v>
      </c>
      <c r="D2483" t="s">
        <v>595</v>
      </c>
      <c r="E2483">
        <v>86</v>
      </c>
      <c r="F2483">
        <v>0</v>
      </c>
      <c r="G2483" s="1">
        <v>498426</v>
      </c>
      <c r="H2483" s="1">
        <v>496492</v>
      </c>
      <c r="I2483" s="1">
        <v>1330619</v>
      </c>
      <c r="J2483" s="1">
        <v>2680</v>
      </c>
    </row>
    <row r="2484" spans="1:10" x14ac:dyDescent="0.3">
      <c r="A2484" t="s">
        <v>68</v>
      </c>
      <c r="B2484" t="s">
        <v>19</v>
      </c>
      <c r="C2484" t="s">
        <v>11</v>
      </c>
      <c r="D2484" t="s">
        <v>595</v>
      </c>
      <c r="E2484">
        <v>86</v>
      </c>
      <c r="F2484">
        <v>0</v>
      </c>
      <c r="G2484" s="1">
        <v>259900</v>
      </c>
      <c r="H2484" s="1">
        <v>249700</v>
      </c>
      <c r="I2484" s="1">
        <v>702108</v>
      </c>
      <c r="J2484" s="1">
        <v>2812</v>
      </c>
    </row>
    <row r="2485" spans="1:10" x14ac:dyDescent="0.3">
      <c r="A2485" t="s">
        <v>68</v>
      </c>
      <c r="B2485" t="s">
        <v>20</v>
      </c>
      <c r="C2485" t="s">
        <v>11</v>
      </c>
      <c r="D2485" t="s">
        <v>595</v>
      </c>
      <c r="E2485">
        <v>86</v>
      </c>
      <c r="F2485">
        <v>0</v>
      </c>
      <c r="G2485" s="1">
        <v>479080</v>
      </c>
      <c r="H2485" s="1">
        <v>476400</v>
      </c>
      <c r="I2485" s="1">
        <v>1489365</v>
      </c>
      <c r="J2485" s="1">
        <v>3126</v>
      </c>
    </row>
    <row r="2486" spans="1:10" x14ac:dyDescent="0.3">
      <c r="A2486" t="s">
        <v>68</v>
      </c>
      <c r="B2486" t="s">
        <v>21</v>
      </c>
      <c r="C2486" t="s">
        <v>11</v>
      </c>
      <c r="D2486" t="s">
        <v>595</v>
      </c>
      <c r="E2486">
        <v>86</v>
      </c>
      <c r="F2486">
        <v>0</v>
      </c>
      <c r="G2486" s="1">
        <v>400450</v>
      </c>
      <c r="H2486" s="1">
        <v>400450</v>
      </c>
      <c r="I2486" s="1">
        <v>1318060</v>
      </c>
      <c r="J2486" s="1">
        <v>3291</v>
      </c>
    </row>
    <row r="2487" spans="1:10" x14ac:dyDescent="0.3">
      <c r="A2487" t="s">
        <v>68</v>
      </c>
      <c r="B2487" t="s">
        <v>22</v>
      </c>
      <c r="C2487" t="s">
        <v>11</v>
      </c>
      <c r="D2487" t="s">
        <v>595</v>
      </c>
      <c r="E2487">
        <v>86</v>
      </c>
      <c r="F2487">
        <v>0</v>
      </c>
      <c r="G2487" s="1">
        <v>394620</v>
      </c>
      <c r="H2487" s="1">
        <v>394620</v>
      </c>
      <c r="I2487" s="1">
        <v>1181105</v>
      </c>
      <c r="J2487" s="1">
        <v>2993</v>
      </c>
    </row>
    <row r="2488" spans="1:10" x14ac:dyDescent="0.3">
      <c r="A2488" t="s">
        <v>68</v>
      </c>
      <c r="B2488" t="s">
        <v>23</v>
      </c>
      <c r="C2488" t="s">
        <v>11</v>
      </c>
      <c r="D2488" t="s">
        <v>595</v>
      </c>
      <c r="E2488">
        <v>86</v>
      </c>
      <c r="F2488">
        <v>0</v>
      </c>
      <c r="G2488" s="1">
        <v>287000</v>
      </c>
      <c r="H2488" s="1">
        <v>287000</v>
      </c>
      <c r="I2488" s="1">
        <v>646212</v>
      </c>
      <c r="J2488" s="1">
        <v>2252</v>
      </c>
    </row>
    <row r="2489" spans="1:10" x14ac:dyDescent="0.3">
      <c r="A2489" t="s">
        <v>68</v>
      </c>
      <c r="B2489" t="s">
        <v>24</v>
      </c>
      <c r="C2489" t="s">
        <v>11</v>
      </c>
      <c r="D2489" t="s">
        <v>595</v>
      </c>
      <c r="E2489">
        <v>86</v>
      </c>
      <c r="F2489">
        <v>0</v>
      </c>
      <c r="G2489" s="1">
        <v>313500</v>
      </c>
      <c r="H2489" s="1">
        <v>313284</v>
      </c>
      <c r="I2489" s="1">
        <v>889658</v>
      </c>
      <c r="J2489" s="1">
        <v>2840</v>
      </c>
    </row>
    <row r="2490" spans="1:10" x14ac:dyDescent="0.3">
      <c r="A2490" t="s">
        <v>68</v>
      </c>
      <c r="B2490" t="s">
        <v>25</v>
      </c>
      <c r="C2490" t="s">
        <v>11</v>
      </c>
      <c r="D2490" t="s">
        <v>595</v>
      </c>
      <c r="E2490">
        <v>86</v>
      </c>
      <c r="F2490">
        <v>0</v>
      </c>
      <c r="G2490" s="1">
        <v>342050</v>
      </c>
      <c r="H2490" s="1">
        <v>317875</v>
      </c>
      <c r="I2490" s="1">
        <v>828155</v>
      </c>
      <c r="J2490" s="1">
        <v>2605</v>
      </c>
    </row>
    <row r="2491" spans="1:10" x14ac:dyDescent="0.3">
      <c r="A2491" t="s">
        <v>69</v>
      </c>
      <c r="B2491" t="s">
        <v>14</v>
      </c>
      <c r="C2491" t="s">
        <v>11</v>
      </c>
      <c r="D2491" t="s">
        <v>595</v>
      </c>
      <c r="E2491">
        <v>86</v>
      </c>
      <c r="F2491">
        <v>0</v>
      </c>
      <c r="G2491" s="1">
        <v>970350</v>
      </c>
      <c r="H2491" s="1">
        <v>970350</v>
      </c>
      <c r="I2491" s="1">
        <v>2737945</v>
      </c>
      <c r="J2491" s="1">
        <v>2822</v>
      </c>
    </row>
    <row r="2492" spans="1:10" x14ac:dyDescent="0.3">
      <c r="A2492" t="s">
        <v>69</v>
      </c>
      <c r="B2492" t="s">
        <v>15</v>
      </c>
      <c r="C2492" t="s">
        <v>11</v>
      </c>
      <c r="D2492" t="s">
        <v>595</v>
      </c>
      <c r="E2492">
        <v>86</v>
      </c>
      <c r="F2492">
        <v>0</v>
      </c>
      <c r="G2492" s="1">
        <v>869000</v>
      </c>
      <c r="H2492" s="1">
        <v>778500</v>
      </c>
      <c r="I2492" s="1">
        <v>1915310</v>
      </c>
      <c r="J2492" s="1">
        <v>2460</v>
      </c>
    </row>
    <row r="2493" spans="1:10" x14ac:dyDescent="0.3">
      <c r="A2493" t="s">
        <v>69</v>
      </c>
      <c r="B2493" t="s">
        <v>16</v>
      </c>
      <c r="C2493" t="s">
        <v>11</v>
      </c>
      <c r="D2493" t="s">
        <v>595</v>
      </c>
      <c r="E2493">
        <v>86</v>
      </c>
      <c r="F2493">
        <v>0</v>
      </c>
      <c r="G2493" s="1">
        <v>980572</v>
      </c>
      <c r="H2493" s="1">
        <v>941572</v>
      </c>
      <c r="I2493" s="1">
        <v>2498134</v>
      </c>
      <c r="J2493" s="1">
        <v>2653</v>
      </c>
    </row>
    <row r="2494" spans="1:10" x14ac:dyDescent="0.3">
      <c r="A2494" t="s">
        <v>69</v>
      </c>
      <c r="B2494" t="s">
        <v>17</v>
      </c>
      <c r="C2494" t="s">
        <v>11</v>
      </c>
      <c r="D2494" t="s">
        <v>595</v>
      </c>
      <c r="E2494">
        <v>86</v>
      </c>
      <c r="F2494">
        <v>0</v>
      </c>
      <c r="G2494" s="1">
        <v>871840</v>
      </c>
      <c r="H2494" s="1">
        <v>865690</v>
      </c>
      <c r="I2494" s="1">
        <v>3159862</v>
      </c>
      <c r="J2494" s="1">
        <v>3650</v>
      </c>
    </row>
    <row r="2495" spans="1:10" x14ac:dyDescent="0.3">
      <c r="A2495" t="s">
        <v>69</v>
      </c>
      <c r="B2495" t="s">
        <v>18</v>
      </c>
      <c r="C2495" t="s">
        <v>11</v>
      </c>
      <c r="D2495" t="s">
        <v>595</v>
      </c>
      <c r="E2495">
        <v>86</v>
      </c>
      <c r="F2495">
        <v>0</v>
      </c>
      <c r="G2495" s="1">
        <v>894290</v>
      </c>
      <c r="H2495" s="1">
        <v>887240</v>
      </c>
      <c r="I2495" s="1">
        <v>2353796</v>
      </c>
      <c r="J2495" s="1">
        <v>2653</v>
      </c>
    </row>
    <row r="2496" spans="1:10" x14ac:dyDescent="0.3">
      <c r="A2496" t="s">
        <v>69</v>
      </c>
      <c r="B2496" t="s">
        <v>19</v>
      </c>
      <c r="C2496" t="s">
        <v>11</v>
      </c>
      <c r="D2496" t="s">
        <v>595</v>
      </c>
      <c r="E2496">
        <v>86</v>
      </c>
      <c r="F2496">
        <v>0</v>
      </c>
      <c r="G2496" s="1">
        <v>1028772</v>
      </c>
      <c r="H2496" s="1">
        <v>979492</v>
      </c>
      <c r="I2496" s="1">
        <v>3142543</v>
      </c>
      <c r="J2496" s="1">
        <v>3208</v>
      </c>
    </row>
    <row r="2497" spans="1:10" x14ac:dyDescent="0.3">
      <c r="A2497" t="s">
        <v>69</v>
      </c>
      <c r="B2497" t="s">
        <v>20</v>
      </c>
      <c r="C2497" t="s">
        <v>11</v>
      </c>
      <c r="D2497" t="s">
        <v>595</v>
      </c>
      <c r="E2497">
        <v>86</v>
      </c>
      <c r="F2497">
        <v>0</v>
      </c>
      <c r="G2497" s="1">
        <v>1057280</v>
      </c>
      <c r="H2497" s="1">
        <v>1051780</v>
      </c>
      <c r="I2497" s="1">
        <v>3377967</v>
      </c>
      <c r="J2497" s="1">
        <v>3212</v>
      </c>
    </row>
    <row r="2498" spans="1:10" x14ac:dyDescent="0.3">
      <c r="A2498" t="s">
        <v>69</v>
      </c>
      <c r="B2498" t="s">
        <v>21</v>
      </c>
      <c r="C2498" t="s">
        <v>11</v>
      </c>
      <c r="D2498" t="s">
        <v>595</v>
      </c>
      <c r="E2498">
        <v>86</v>
      </c>
      <c r="F2498">
        <v>0</v>
      </c>
      <c r="G2498" s="1">
        <v>1078150</v>
      </c>
      <c r="H2498" s="1">
        <v>1078150</v>
      </c>
      <c r="I2498" s="1">
        <v>3603230</v>
      </c>
      <c r="J2498" s="1">
        <v>3342</v>
      </c>
    </row>
    <row r="2499" spans="1:10" x14ac:dyDescent="0.3">
      <c r="A2499" t="s">
        <v>69</v>
      </c>
      <c r="B2499" t="s">
        <v>22</v>
      </c>
      <c r="C2499" t="s">
        <v>11</v>
      </c>
      <c r="D2499" t="s">
        <v>595</v>
      </c>
      <c r="E2499">
        <v>86</v>
      </c>
      <c r="F2499">
        <v>0</v>
      </c>
      <c r="G2499" s="1">
        <v>1078120</v>
      </c>
      <c r="H2499" s="1">
        <v>1078120</v>
      </c>
      <c r="I2499" s="1">
        <v>3340985</v>
      </c>
      <c r="J2499" s="1">
        <v>3099</v>
      </c>
    </row>
    <row r="2500" spans="1:10" x14ac:dyDescent="0.3">
      <c r="A2500" t="s">
        <v>69</v>
      </c>
      <c r="B2500" t="s">
        <v>23</v>
      </c>
      <c r="C2500" t="s">
        <v>11</v>
      </c>
      <c r="D2500" t="s">
        <v>595</v>
      </c>
      <c r="E2500">
        <v>86</v>
      </c>
      <c r="F2500">
        <v>0</v>
      </c>
      <c r="G2500" s="1">
        <v>1129500</v>
      </c>
      <c r="H2500" s="1">
        <v>1129500</v>
      </c>
      <c r="I2500" s="1">
        <v>2823432</v>
      </c>
      <c r="J2500" s="1">
        <v>2500</v>
      </c>
    </row>
    <row r="2501" spans="1:10" x14ac:dyDescent="0.3">
      <c r="A2501" t="s">
        <v>69</v>
      </c>
      <c r="B2501" t="s">
        <v>24</v>
      </c>
      <c r="C2501" t="s">
        <v>11</v>
      </c>
      <c r="D2501" t="s">
        <v>595</v>
      </c>
      <c r="E2501">
        <v>86</v>
      </c>
      <c r="F2501">
        <v>0</v>
      </c>
      <c r="G2501" s="1">
        <v>1123180</v>
      </c>
      <c r="H2501" s="1">
        <v>1105414</v>
      </c>
      <c r="I2501" s="1">
        <v>3030971</v>
      </c>
      <c r="J2501" s="1">
        <v>2742</v>
      </c>
    </row>
    <row r="2502" spans="1:10" x14ac:dyDescent="0.3">
      <c r="A2502" t="s">
        <v>69</v>
      </c>
      <c r="B2502" t="s">
        <v>25</v>
      </c>
      <c r="C2502" t="s">
        <v>11</v>
      </c>
      <c r="D2502" t="s">
        <v>595</v>
      </c>
      <c r="E2502">
        <v>86</v>
      </c>
      <c r="F2502">
        <v>0</v>
      </c>
      <c r="G2502" s="1">
        <v>1415045</v>
      </c>
      <c r="H2502" s="1">
        <v>1254863</v>
      </c>
      <c r="I2502" s="1">
        <v>2895233</v>
      </c>
      <c r="J2502" s="1">
        <v>2307</v>
      </c>
    </row>
    <row r="2503" spans="1:10" x14ac:dyDescent="0.3">
      <c r="A2503" t="s">
        <v>70</v>
      </c>
      <c r="B2503" t="s">
        <v>14</v>
      </c>
      <c r="C2503" t="s">
        <v>11</v>
      </c>
      <c r="D2503" t="s">
        <v>595</v>
      </c>
      <c r="E2503">
        <v>86</v>
      </c>
      <c r="F2503">
        <v>0</v>
      </c>
      <c r="G2503" s="1">
        <v>111225</v>
      </c>
      <c r="H2503" s="1">
        <v>105625</v>
      </c>
      <c r="I2503" s="1">
        <v>361230</v>
      </c>
      <c r="J2503" s="1">
        <v>3420</v>
      </c>
    </row>
    <row r="2504" spans="1:10" x14ac:dyDescent="0.3">
      <c r="A2504" t="s">
        <v>70</v>
      </c>
      <c r="B2504" t="s">
        <v>15</v>
      </c>
      <c r="C2504" t="s">
        <v>11</v>
      </c>
      <c r="D2504" t="s">
        <v>595</v>
      </c>
      <c r="E2504">
        <v>86</v>
      </c>
      <c r="F2504">
        <v>0</v>
      </c>
      <c r="G2504" s="1">
        <v>116000</v>
      </c>
      <c r="H2504" s="1">
        <v>94980</v>
      </c>
      <c r="I2504" s="1">
        <v>308840</v>
      </c>
      <c r="J2504" s="1">
        <v>3252</v>
      </c>
    </row>
    <row r="2505" spans="1:10" x14ac:dyDescent="0.3">
      <c r="A2505" t="s">
        <v>70</v>
      </c>
      <c r="B2505" t="s">
        <v>16</v>
      </c>
      <c r="C2505" t="s">
        <v>11</v>
      </c>
      <c r="D2505" t="s">
        <v>595</v>
      </c>
      <c r="E2505">
        <v>86</v>
      </c>
      <c r="F2505">
        <v>0</v>
      </c>
      <c r="G2505" s="1">
        <v>137000</v>
      </c>
      <c r="H2505" s="1">
        <v>134200</v>
      </c>
      <c r="I2505" s="1">
        <v>484050</v>
      </c>
      <c r="J2505" s="1">
        <v>3607</v>
      </c>
    </row>
    <row r="2506" spans="1:10" x14ac:dyDescent="0.3">
      <c r="A2506" t="s">
        <v>70</v>
      </c>
      <c r="B2506" t="s">
        <v>17</v>
      </c>
      <c r="C2506" t="s">
        <v>11</v>
      </c>
      <c r="D2506" t="s">
        <v>595</v>
      </c>
      <c r="E2506">
        <v>86</v>
      </c>
      <c r="F2506">
        <v>0</v>
      </c>
      <c r="G2506" s="1">
        <v>87600</v>
      </c>
      <c r="H2506" s="1">
        <v>75700</v>
      </c>
      <c r="I2506" s="1">
        <v>304490</v>
      </c>
      <c r="J2506" s="1">
        <v>4022</v>
      </c>
    </row>
    <row r="2507" spans="1:10" x14ac:dyDescent="0.3">
      <c r="A2507" t="s">
        <v>70</v>
      </c>
      <c r="B2507" t="s">
        <v>18</v>
      </c>
      <c r="C2507" t="s">
        <v>11</v>
      </c>
      <c r="D2507" t="s">
        <v>595</v>
      </c>
      <c r="E2507">
        <v>86</v>
      </c>
      <c r="F2507">
        <v>0</v>
      </c>
      <c r="G2507" s="1">
        <v>81200</v>
      </c>
      <c r="H2507" s="1">
        <v>53770</v>
      </c>
      <c r="I2507" s="1">
        <v>151185</v>
      </c>
      <c r="J2507" s="1">
        <v>2812</v>
      </c>
    </row>
    <row r="2508" spans="1:10" x14ac:dyDescent="0.3">
      <c r="A2508" t="s">
        <v>70</v>
      </c>
      <c r="B2508" t="s">
        <v>19</v>
      </c>
      <c r="C2508" t="s">
        <v>11</v>
      </c>
      <c r="D2508" t="s">
        <v>595</v>
      </c>
      <c r="E2508">
        <v>86</v>
      </c>
      <c r="F2508">
        <v>0</v>
      </c>
      <c r="G2508" s="1">
        <v>85500</v>
      </c>
      <c r="H2508" s="1">
        <v>53060</v>
      </c>
      <c r="I2508" s="1">
        <v>218056</v>
      </c>
      <c r="J2508" s="1">
        <v>4110</v>
      </c>
    </row>
    <row r="2509" spans="1:10" x14ac:dyDescent="0.3">
      <c r="A2509" t="s">
        <v>70</v>
      </c>
      <c r="B2509" t="s">
        <v>20</v>
      </c>
      <c r="C2509" t="s">
        <v>11</v>
      </c>
      <c r="D2509" t="s">
        <v>595</v>
      </c>
      <c r="E2509">
        <v>86</v>
      </c>
      <c r="F2509">
        <v>0</v>
      </c>
      <c r="G2509" s="1">
        <v>81000</v>
      </c>
      <c r="H2509" s="1">
        <v>66100</v>
      </c>
      <c r="I2509" s="1">
        <v>240331</v>
      </c>
      <c r="J2509" s="1">
        <v>3636</v>
      </c>
    </row>
    <row r="2510" spans="1:10" x14ac:dyDescent="0.3">
      <c r="A2510" t="s">
        <v>70</v>
      </c>
      <c r="B2510" t="s">
        <v>21</v>
      </c>
      <c r="C2510" t="s">
        <v>11</v>
      </c>
      <c r="D2510" t="s">
        <v>595</v>
      </c>
      <c r="E2510">
        <v>86</v>
      </c>
      <c r="F2510">
        <v>0</v>
      </c>
      <c r="G2510" s="1">
        <v>123800</v>
      </c>
      <c r="H2510" s="1">
        <v>98955</v>
      </c>
      <c r="I2510" s="1">
        <v>402233</v>
      </c>
      <c r="J2510" s="1">
        <v>4065</v>
      </c>
    </row>
    <row r="2511" spans="1:10" x14ac:dyDescent="0.3">
      <c r="A2511" t="s">
        <v>70</v>
      </c>
      <c r="B2511" t="s">
        <v>22</v>
      </c>
      <c r="C2511" t="s">
        <v>11</v>
      </c>
      <c r="D2511" t="s">
        <v>595</v>
      </c>
      <c r="E2511">
        <v>86</v>
      </c>
      <c r="F2511">
        <v>0</v>
      </c>
      <c r="G2511" s="1">
        <v>128362</v>
      </c>
      <c r="H2511" s="1">
        <v>99012</v>
      </c>
      <c r="I2511" s="1">
        <v>375926</v>
      </c>
      <c r="J2511" s="1">
        <v>3797</v>
      </c>
    </row>
    <row r="2512" spans="1:10" x14ac:dyDescent="0.3">
      <c r="A2512" t="s">
        <v>70</v>
      </c>
      <c r="B2512" t="s">
        <v>23</v>
      </c>
      <c r="C2512" t="s">
        <v>11</v>
      </c>
      <c r="D2512" t="s">
        <v>595</v>
      </c>
      <c r="E2512">
        <v>86</v>
      </c>
      <c r="F2512">
        <v>0</v>
      </c>
      <c r="G2512" s="1">
        <v>131650</v>
      </c>
      <c r="H2512" s="1">
        <v>96850</v>
      </c>
      <c r="I2512" s="1">
        <v>352529</v>
      </c>
      <c r="J2512" s="1">
        <v>3640</v>
      </c>
    </row>
    <row r="2513" spans="1:10" x14ac:dyDescent="0.3">
      <c r="A2513" t="s">
        <v>70</v>
      </c>
      <c r="B2513" t="s">
        <v>24</v>
      </c>
      <c r="C2513" t="s">
        <v>11</v>
      </c>
      <c r="D2513" t="s">
        <v>595</v>
      </c>
      <c r="E2513">
        <v>86</v>
      </c>
      <c r="F2513">
        <v>0</v>
      </c>
      <c r="G2513" s="1">
        <v>135450</v>
      </c>
      <c r="H2513" s="1">
        <v>101475</v>
      </c>
      <c r="I2513" s="1">
        <v>314300</v>
      </c>
      <c r="J2513" s="1">
        <v>3097</v>
      </c>
    </row>
    <row r="2514" spans="1:10" x14ac:dyDescent="0.3">
      <c r="A2514" t="s">
        <v>70</v>
      </c>
      <c r="B2514" t="s">
        <v>25</v>
      </c>
      <c r="C2514" t="s">
        <v>11</v>
      </c>
      <c r="D2514" t="s">
        <v>595</v>
      </c>
      <c r="E2514">
        <v>86</v>
      </c>
      <c r="F2514">
        <v>0</v>
      </c>
      <c r="G2514" s="1">
        <v>148920</v>
      </c>
      <c r="H2514" s="1">
        <v>109995</v>
      </c>
      <c r="I2514" s="1">
        <v>325826</v>
      </c>
      <c r="J2514" s="1">
        <v>2962</v>
      </c>
    </row>
    <row r="2515" spans="1:10" x14ac:dyDescent="0.3">
      <c r="A2515" t="s">
        <v>71</v>
      </c>
      <c r="B2515" t="s">
        <v>21</v>
      </c>
      <c r="C2515" t="s">
        <v>11</v>
      </c>
      <c r="D2515" t="s">
        <v>595</v>
      </c>
      <c r="E2515">
        <v>86</v>
      </c>
      <c r="F2515">
        <v>0</v>
      </c>
      <c r="G2515" s="1">
        <v>2674</v>
      </c>
      <c r="H2515" s="1">
        <v>2674</v>
      </c>
      <c r="I2515" s="1">
        <v>4011</v>
      </c>
      <c r="J2515" s="1">
        <v>1500</v>
      </c>
    </row>
    <row r="2516" spans="1:10" x14ac:dyDescent="0.3">
      <c r="A2516" t="s">
        <v>71</v>
      </c>
      <c r="B2516" t="s">
        <v>22</v>
      </c>
      <c r="C2516" t="s">
        <v>11</v>
      </c>
      <c r="D2516" t="s">
        <v>595</v>
      </c>
      <c r="E2516">
        <v>86</v>
      </c>
      <c r="F2516">
        <v>0</v>
      </c>
      <c r="G2516" s="1">
        <v>4400</v>
      </c>
      <c r="H2516" s="1">
        <v>3300</v>
      </c>
      <c r="I2516" s="1">
        <v>5800</v>
      </c>
      <c r="J2516" s="1">
        <v>1758</v>
      </c>
    </row>
    <row r="2517" spans="1:10" x14ac:dyDescent="0.3">
      <c r="A2517" t="s">
        <v>71</v>
      </c>
      <c r="B2517" t="s">
        <v>23</v>
      </c>
      <c r="C2517" t="s">
        <v>11</v>
      </c>
      <c r="D2517" t="s">
        <v>595</v>
      </c>
      <c r="E2517">
        <v>86</v>
      </c>
      <c r="F2517">
        <v>0</v>
      </c>
      <c r="G2517" s="1">
        <v>2900</v>
      </c>
      <c r="H2517" s="1">
        <v>2900</v>
      </c>
      <c r="I2517" s="1">
        <v>3500</v>
      </c>
      <c r="J2517" s="1">
        <v>1207</v>
      </c>
    </row>
    <row r="2518" spans="1:10" x14ac:dyDescent="0.3">
      <c r="A2518" t="s">
        <v>71</v>
      </c>
      <c r="B2518" t="s">
        <v>24</v>
      </c>
      <c r="C2518" t="s">
        <v>11</v>
      </c>
      <c r="D2518" t="s">
        <v>595</v>
      </c>
      <c r="E2518">
        <v>86</v>
      </c>
      <c r="F2518">
        <v>0</v>
      </c>
      <c r="G2518" s="1">
        <v>3200</v>
      </c>
      <c r="H2518" s="1">
        <v>3200</v>
      </c>
      <c r="I2518" s="1">
        <v>5650</v>
      </c>
      <c r="J2518" s="1">
        <v>1766</v>
      </c>
    </row>
    <row r="2519" spans="1:10" x14ac:dyDescent="0.3">
      <c r="A2519" t="s">
        <v>71</v>
      </c>
      <c r="B2519" t="s">
        <v>25</v>
      </c>
      <c r="C2519" t="s">
        <v>11</v>
      </c>
      <c r="D2519" t="s">
        <v>595</v>
      </c>
      <c r="E2519">
        <v>86</v>
      </c>
      <c r="F2519">
        <v>0</v>
      </c>
      <c r="G2519" s="1">
        <v>3200</v>
      </c>
      <c r="H2519" s="1">
        <v>3050</v>
      </c>
      <c r="I2519" s="1">
        <v>3316</v>
      </c>
      <c r="J2519" s="1">
        <v>1087</v>
      </c>
    </row>
    <row r="2520" spans="1:10" x14ac:dyDescent="0.3">
      <c r="A2520" t="s">
        <v>71</v>
      </c>
      <c r="B2520" t="s">
        <v>50</v>
      </c>
      <c r="C2520" t="s">
        <v>11</v>
      </c>
      <c r="D2520" t="s">
        <v>595</v>
      </c>
      <c r="E2520">
        <v>86</v>
      </c>
      <c r="F2520">
        <v>0</v>
      </c>
      <c r="G2520" s="1">
        <v>3200</v>
      </c>
      <c r="H2520" s="1">
        <v>2800</v>
      </c>
      <c r="I2520" s="1">
        <v>2506</v>
      </c>
      <c r="J2520" s="1">
        <v>895</v>
      </c>
    </row>
    <row r="2521" spans="1:10" x14ac:dyDescent="0.3">
      <c r="A2521" t="s">
        <v>72</v>
      </c>
      <c r="B2521" t="s">
        <v>14</v>
      </c>
      <c r="C2521" t="s">
        <v>11</v>
      </c>
      <c r="D2521" t="s">
        <v>595</v>
      </c>
      <c r="E2521">
        <v>86</v>
      </c>
      <c r="F2521">
        <v>0</v>
      </c>
      <c r="G2521" s="1">
        <v>51050</v>
      </c>
      <c r="H2521" s="1">
        <v>17880</v>
      </c>
      <c r="I2521" s="1">
        <v>12700</v>
      </c>
      <c r="J2521" s="1">
        <v>710</v>
      </c>
    </row>
    <row r="2522" spans="1:10" x14ac:dyDescent="0.3">
      <c r="A2522" t="s">
        <v>72</v>
      </c>
      <c r="B2522" t="s">
        <v>15</v>
      </c>
      <c r="C2522" t="s">
        <v>11</v>
      </c>
      <c r="D2522" t="s">
        <v>595</v>
      </c>
      <c r="E2522">
        <v>86</v>
      </c>
      <c r="F2522">
        <v>0</v>
      </c>
      <c r="G2522" s="1">
        <v>150000</v>
      </c>
      <c r="H2522" s="1">
        <v>85400</v>
      </c>
      <c r="I2522" s="1">
        <v>113080</v>
      </c>
      <c r="J2522" s="1">
        <v>1324</v>
      </c>
    </row>
    <row r="2523" spans="1:10" x14ac:dyDescent="0.3">
      <c r="A2523" t="s">
        <v>72</v>
      </c>
      <c r="B2523" t="s">
        <v>16</v>
      </c>
      <c r="C2523" t="s">
        <v>11</v>
      </c>
      <c r="D2523" t="s">
        <v>595</v>
      </c>
      <c r="E2523">
        <v>86</v>
      </c>
      <c r="F2523">
        <v>0</v>
      </c>
      <c r="G2523" s="1">
        <v>245550</v>
      </c>
      <c r="H2523" s="1">
        <v>219050</v>
      </c>
      <c r="I2523" s="1">
        <v>439420</v>
      </c>
      <c r="J2523" s="1">
        <v>2006</v>
      </c>
    </row>
    <row r="2524" spans="1:10" x14ac:dyDescent="0.3">
      <c r="A2524" t="s">
        <v>72</v>
      </c>
      <c r="B2524" t="s">
        <v>17</v>
      </c>
      <c r="C2524" t="s">
        <v>11</v>
      </c>
      <c r="D2524" t="s">
        <v>595</v>
      </c>
      <c r="E2524">
        <v>86</v>
      </c>
      <c r="F2524">
        <v>0</v>
      </c>
      <c r="G2524" s="1">
        <v>328900</v>
      </c>
      <c r="H2524" s="1">
        <v>216940</v>
      </c>
      <c r="I2524" s="1">
        <v>545022</v>
      </c>
      <c r="J2524" s="1">
        <v>2512</v>
      </c>
    </row>
    <row r="2525" spans="1:10" x14ac:dyDescent="0.3">
      <c r="A2525" t="s">
        <v>72</v>
      </c>
      <c r="B2525" t="s">
        <v>18</v>
      </c>
      <c r="C2525" t="s">
        <v>11</v>
      </c>
      <c r="D2525" t="s">
        <v>595</v>
      </c>
      <c r="E2525">
        <v>86</v>
      </c>
      <c r="F2525">
        <v>0</v>
      </c>
      <c r="G2525" s="1">
        <v>533860</v>
      </c>
      <c r="H2525" s="1">
        <v>533860</v>
      </c>
      <c r="I2525" s="1">
        <v>1115157</v>
      </c>
      <c r="J2525" s="1">
        <v>2089</v>
      </c>
    </row>
    <row r="2526" spans="1:10" x14ac:dyDescent="0.3">
      <c r="A2526" t="s">
        <v>72</v>
      </c>
      <c r="B2526" t="s">
        <v>19</v>
      </c>
      <c r="C2526" t="s">
        <v>11</v>
      </c>
      <c r="D2526" t="s">
        <v>595</v>
      </c>
      <c r="E2526">
        <v>86</v>
      </c>
      <c r="F2526">
        <v>0</v>
      </c>
      <c r="G2526" s="1">
        <v>327932</v>
      </c>
      <c r="H2526" s="1">
        <v>327932</v>
      </c>
      <c r="I2526" s="1">
        <v>709340</v>
      </c>
      <c r="J2526" s="1">
        <v>2163</v>
      </c>
    </row>
    <row r="2527" spans="1:10" x14ac:dyDescent="0.3">
      <c r="A2527" t="s">
        <v>72</v>
      </c>
      <c r="B2527" t="s">
        <v>20</v>
      </c>
      <c r="C2527" t="s">
        <v>11</v>
      </c>
      <c r="D2527" t="s">
        <v>595</v>
      </c>
      <c r="E2527">
        <v>86</v>
      </c>
      <c r="F2527">
        <v>0</v>
      </c>
      <c r="G2527" s="1">
        <v>500300</v>
      </c>
      <c r="H2527" s="1">
        <v>500300</v>
      </c>
      <c r="I2527" s="1">
        <v>1380730</v>
      </c>
      <c r="J2527" s="1">
        <v>2760</v>
      </c>
    </row>
    <row r="2528" spans="1:10" x14ac:dyDescent="0.3">
      <c r="A2528" t="s">
        <v>72</v>
      </c>
      <c r="B2528" t="s">
        <v>21</v>
      </c>
      <c r="C2528" t="s">
        <v>11</v>
      </c>
      <c r="D2528" t="s">
        <v>595</v>
      </c>
      <c r="E2528">
        <v>86</v>
      </c>
      <c r="F2528">
        <v>0</v>
      </c>
      <c r="G2528" s="1">
        <v>395974</v>
      </c>
      <c r="H2528" s="1">
        <v>315374</v>
      </c>
      <c r="I2528" s="1">
        <v>468401</v>
      </c>
      <c r="J2528" s="1">
        <v>1485</v>
      </c>
    </row>
    <row r="2529" spans="1:10" x14ac:dyDescent="0.3">
      <c r="A2529" t="s">
        <v>72</v>
      </c>
      <c r="B2529" t="s">
        <v>22</v>
      </c>
      <c r="C2529" t="s">
        <v>11</v>
      </c>
      <c r="D2529" t="s">
        <v>595</v>
      </c>
      <c r="E2529">
        <v>86</v>
      </c>
      <c r="F2529">
        <v>0</v>
      </c>
      <c r="G2529" s="1">
        <v>506780</v>
      </c>
      <c r="H2529" s="1">
        <v>461180</v>
      </c>
      <c r="I2529" s="1">
        <v>694135</v>
      </c>
      <c r="J2529" s="1">
        <v>1505</v>
      </c>
    </row>
    <row r="2530" spans="1:10" x14ac:dyDescent="0.3">
      <c r="A2530" t="s">
        <v>72</v>
      </c>
      <c r="B2530" t="s">
        <v>23</v>
      </c>
      <c r="C2530" t="s">
        <v>11</v>
      </c>
      <c r="D2530" t="s">
        <v>595</v>
      </c>
      <c r="E2530">
        <v>86</v>
      </c>
      <c r="F2530">
        <v>0</v>
      </c>
      <c r="G2530" s="1">
        <v>264370</v>
      </c>
      <c r="H2530" s="1">
        <v>187450</v>
      </c>
      <c r="I2530" s="1">
        <v>253363</v>
      </c>
      <c r="J2530" s="1">
        <v>1352</v>
      </c>
    </row>
    <row r="2531" spans="1:10" x14ac:dyDescent="0.3">
      <c r="A2531" t="s">
        <v>72</v>
      </c>
      <c r="B2531" t="s">
        <v>24</v>
      </c>
      <c r="C2531" t="s">
        <v>11</v>
      </c>
      <c r="D2531" t="s">
        <v>595</v>
      </c>
      <c r="E2531">
        <v>86</v>
      </c>
      <c r="F2531">
        <v>0</v>
      </c>
      <c r="G2531" s="1">
        <v>339480</v>
      </c>
      <c r="H2531" s="1">
        <v>334860</v>
      </c>
      <c r="I2531" s="1">
        <v>474562</v>
      </c>
      <c r="J2531" s="1">
        <v>1417</v>
      </c>
    </row>
    <row r="2532" spans="1:10" x14ac:dyDescent="0.3">
      <c r="A2532" t="s">
        <v>72</v>
      </c>
      <c r="B2532" t="s">
        <v>25</v>
      </c>
      <c r="C2532" t="s">
        <v>11</v>
      </c>
      <c r="D2532" t="s">
        <v>595</v>
      </c>
      <c r="E2532">
        <v>86</v>
      </c>
      <c r="F2532">
        <v>0</v>
      </c>
      <c r="G2532" s="1">
        <v>441340</v>
      </c>
      <c r="H2532" s="1">
        <v>394965</v>
      </c>
      <c r="I2532" s="1">
        <v>433058</v>
      </c>
      <c r="J2532" s="1">
        <v>1096</v>
      </c>
    </row>
    <row r="2533" spans="1:10" x14ac:dyDescent="0.3">
      <c r="A2533" t="s">
        <v>72</v>
      </c>
      <c r="B2533" t="s">
        <v>50</v>
      </c>
      <c r="C2533" t="s">
        <v>11</v>
      </c>
      <c r="D2533" t="s">
        <v>595</v>
      </c>
      <c r="E2533">
        <v>86</v>
      </c>
      <c r="F2533">
        <v>0</v>
      </c>
      <c r="G2533" s="1">
        <v>403484</v>
      </c>
      <c r="H2533" s="1">
        <v>396659</v>
      </c>
      <c r="I2533" s="1">
        <v>805857</v>
      </c>
      <c r="J2533" s="1">
        <v>2032</v>
      </c>
    </row>
  </sheetData>
  <autoFilter ref="A1:J2533">
    <sortState ref="A958:J2465">
      <sortCondition ref="B1:B2533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8"/>
  <sheetViews>
    <sheetView workbookViewId="0">
      <pane ySplit="1" topLeftCell="A125" activePane="bottomLeft" state="frozen"/>
      <selection pane="bottomLeft"/>
    </sheetView>
  </sheetViews>
  <sheetFormatPr baseColWidth="10" defaultRowHeight="14.4" x14ac:dyDescent="0.3"/>
  <cols>
    <col min="1" max="1" width="12" bestFit="1" customWidth="1"/>
    <col min="2" max="2" width="11.21875" bestFit="1" customWidth="1"/>
    <col min="3" max="3" width="11" bestFit="1" customWidth="1"/>
    <col min="4" max="4" width="15.44140625" bestFit="1" customWidth="1"/>
    <col min="5" max="5" width="12.5546875" bestFit="1" customWidth="1"/>
    <col min="6" max="6" width="17" bestFit="1" customWidth="1"/>
    <col min="7" max="7" width="20.109375" bestFit="1" customWidth="1"/>
    <col min="8" max="8" width="20.6640625" bestFit="1" customWidth="1"/>
    <col min="9" max="9" width="16.6640625" bestFit="1" customWidth="1"/>
    <col min="10" max="10" width="21.109375" bestFit="1" customWidth="1"/>
  </cols>
  <sheetData>
    <row r="1" spans="1:10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t="s">
        <v>49</v>
      </c>
      <c r="B2" t="s">
        <v>25</v>
      </c>
      <c r="C2" t="s">
        <v>84</v>
      </c>
      <c r="D2" t="s">
        <v>85</v>
      </c>
      <c r="E2">
        <v>90</v>
      </c>
      <c r="F2">
        <v>7</v>
      </c>
      <c r="G2" s="1">
        <v>400</v>
      </c>
      <c r="H2" s="1">
        <v>400</v>
      </c>
      <c r="I2" s="1">
        <v>360</v>
      </c>
      <c r="J2" s="1">
        <v>900</v>
      </c>
    </row>
    <row r="3" spans="1:10" x14ac:dyDescent="0.3">
      <c r="A3" t="s">
        <v>49</v>
      </c>
      <c r="B3" t="s">
        <v>25</v>
      </c>
      <c r="C3" t="s">
        <v>84</v>
      </c>
      <c r="D3" t="s">
        <v>86</v>
      </c>
      <c r="E3">
        <v>90</v>
      </c>
      <c r="F3">
        <v>14</v>
      </c>
      <c r="G3" s="1">
        <v>140</v>
      </c>
      <c r="H3" s="1">
        <v>140</v>
      </c>
      <c r="I3" s="1">
        <v>168</v>
      </c>
      <c r="J3" s="1">
        <v>1200</v>
      </c>
    </row>
    <row r="4" spans="1:10" x14ac:dyDescent="0.3">
      <c r="A4" t="s">
        <v>49</v>
      </c>
      <c r="B4" t="s">
        <v>25</v>
      </c>
      <c r="C4" t="s">
        <v>84</v>
      </c>
      <c r="D4" t="s">
        <v>87</v>
      </c>
      <c r="E4">
        <v>90</v>
      </c>
      <c r="F4">
        <v>35</v>
      </c>
      <c r="G4" s="1">
        <v>250</v>
      </c>
      <c r="H4" s="1">
        <v>230</v>
      </c>
      <c r="I4" s="1">
        <v>230</v>
      </c>
      <c r="J4" s="1">
        <v>1000</v>
      </c>
    </row>
    <row r="5" spans="1:10" x14ac:dyDescent="0.3">
      <c r="A5" t="s">
        <v>49</v>
      </c>
      <c r="B5" t="s">
        <v>25</v>
      </c>
      <c r="C5" t="s">
        <v>84</v>
      </c>
      <c r="D5" t="s">
        <v>88</v>
      </c>
      <c r="E5">
        <v>90</v>
      </c>
      <c r="F5">
        <v>49</v>
      </c>
      <c r="G5" s="1">
        <v>300</v>
      </c>
      <c r="H5" s="1">
        <v>260</v>
      </c>
      <c r="I5" s="1">
        <v>286</v>
      </c>
      <c r="J5" s="1">
        <v>1100</v>
      </c>
    </row>
    <row r="6" spans="1:10" x14ac:dyDescent="0.3">
      <c r="A6" t="s">
        <v>49</v>
      </c>
      <c r="B6" t="s">
        <v>25</v>
      </c>
      <c r="C6" t="s">
        <v>84</v>
      </c>
      <c r="D6" t="s">
        <v>89</v>
      </c>
      <c r="E6">
        <v>90</v>
      </c>
      <c r="F6">
        <v>56</v>
      </c>
      <c r="G6" s="1">
        <v>250</v>
      </c>
      <c r="H6" s="1">
        <v>250</v>
      </c>
      <c r="I6" s="1">
        <v>275</v>
      </c>
      <c r="J6" s="1">
        <v>1100</v>
      </c>
    </row>
    <row r="7" spans="1:10" x14ac:dyDescent="0.3">
      <c r="A7" t="s">
        <v>49</v>
      </c>
      <c r="B7" t="s">
        <v>25</v>
      </c>
      <c r="C7" t="s">
        <v>84</v>
      </c>
      <c r="D7" t="s">
        <v>90</v>
      </c>
      <c r="E7">
        <v>90</v>
      </c>
      <c r="F7">
        <v>112</v>
      </c>
      <c r="G7" s="1">
        <v>50</v>
      </c>
      <c r="H7" s="1">
        <v>0</v>
      </c>
      <c r="I7" s="1">
        <v>0</v>
      </c>
      <c r="J7" s="1">
        <v>0</v>
      </c>
    </row>
    <row r="8" spans="1:10" x14ac:dyDescent="0.3">
      <c r="A8" t="s">
        <v>54</v>
      </c>
      <c r="B8" t="s">
        <v>25</v>
      </c>
      <c r="C8" t="s">
        <v>84</v>
      </c>
      <c r="D8" t="s">
        <v>85</v>
      </c>
      <c r="E8">
        <v>90</v>
      </c>
      <c r="F8">
        <v>7</v>
      </c>
      <c r="G8" s="1">
        <v>400</v>
      </c>
      <c r="H8" s="1">
        <v>400</v>
      </c>
      <c r="I8" s="1">
        <v>440</v>
      </c>
      <c r="J8" s="1">
        <v>1100</v>
      </c>
    </row>
    <row r="9" spans="1:10" x14ac:dyDescent="0.3">
      <c r="A9" t="s">
        <v>54</v>
      </c>
      <c r="B9" t="s">
        <v>25</v>
      </c>
      <c r="C9" t="s">
        <v>84</v>
      </c>
      <c r="D9" t="s">
        <v>86</v>
      </c>
      <c r="E9">
        <v>90</v>
      </c>
      <c r="F9">
        <v>14</v>
      </c>
      <c r="G9" s="1">
        <v>290</v>
      </c>
      <c r="H9" s="1">
        <v>290</v>
      </c>
      <c r="I9" s="1">
        <v>348</v>
      </c>
      <c r="J9" s="1">
        <v>1200</v>
      </c>
    </row>
    <row r="10" spans="1:10" x14ac:dyDescent="0.3">
      <c r="A10" t="s">
        <v>54</v>
      </c>
      <c r="B10" t="s">
        <v>25</v>
      </c>
      <c r="C10" t="s">
        <v>84</v>
      </c>
      <c r="D10" t="s">
        <v>87</v>
      </c>
      <c r="E10">
        <v>90</v>
      </c>
      <c r="F10">
        <v>35</v>
      </c>
      <c r="G10" s="1">
        <v>200</v>
      </c>
      <c r="H10" s="1">
        <v>200</v>
      </c>
      <c r="I10" s="1">
        <v>220</v>
      </c>
      <c r="J10" s="1">
        <v>1100</v>
      </c>
    </row>
    <row r="11" spans="1:10" x14ac:dyDescent="0.3">
      <c r="A11" t="s">
        <v>55</v>
      </c>
      <c r="B11" t="s">
        <v>25</v>
      </c>
      <c r="C11" t="s">
        <v>84</v>
      </c>
      <c r="D11" t="s">
        <v>87</v>
      </c>
      <c r="E11">
        <v>90</v>
      </c>
      <c r="F11">
        <v>35</v>
      </c>
      <c r="G11" s="1">
        <v>40</v>
      </c>
      <c r="H11" s="1">
        <v>40</v>
      </c>
      <c r="I11" s="1">
        <v>44</v>
      </c>
      <c r="J11" s="1">
        <v>1100</v>
      </c>
    </row>
    <row r="12" spans="1:10" x14ac:dyDescent="0.3">
      <c r="A12" t="s">
        <v>55</v>
      </c>
      <c r="B12" t="s">
        <v>25</v>
      </c>
      <c r="C12" t="s">
        <v>84</v>
      </c>
      <c r="D12" t="s">
        <v>88</v>
      </c>
      <c r="E12">
        <v>90</v>
      </c>
      <c r="F12">
        <v>49</v>
      </c>
      <c r="G12" s="1">
        <v>180</v>
      </c>
      <c r="H12" s="1">
        <v>180</v>
      </c>
      <c r="I12" s="1">
        <v>198</v>
      </c>
      <c r="J12" s="1">
        <v>1100</v>
      </c>
    </row>
    <row r="13" spans="1:10" x14ac:dyDescent="0.3">
      <c r="A13" t="s">
        <v>56</v>
      </c>
      <c r="B13" t="s">
        <v>25</v>
      </c>
      <c r="C13" t="s">
        <v>84</v>
      </c>
      <c r="D13" t="s">
        <v>85</v>
      </c>
      <c r="E13">
        <v>90</v>
      </c>
      <c r="F13">
        <v>7</v>
      </c>
      <c r="G13" s="1">
        <v>7500</v>
      </c>
      <c r="H13" s="1">
        <v>7390</v>
      </c>
      <c r="I13" s="1">
        <v>7390</v>
      </c>
      <c r="J13" s="1">
        <v>1000</v>
      </c>
    </row>
    <row r="14" spans="1:10" x14ac:dyDescent="0.3">
      <c r="A14" t="s">
        <v>56</v>
      </c>
      <c r="B14" t="s">
        <v>25</v>
      </c>
      <c r="C14" t="s">
        <v>84</v>
      </c>
      <c r="D14" t="s">
        <v>86</v>
      </c>
      <c r="E14">
        <v>90</v>
      </c>
      <c r="F14">
        <v>14</v>
      </c>
      <c r="G14" s="1">
        <v>3400</v>
      </c>
      <c r="H14" s="1">
        <v>3370</v>
      </c>
      <c r="I14" s="1">
        <v>4044</v>
      </c>
      <c r="J14" s="1">
        <v>1200</v>
      </c>
    </row>
    <row r="15" spans="1:10" x14ac:dyDescent="0.3">
      <c r="A15" t="s">
        <v>56</v>
      </c>
      <c r="B15" t="s">
        <v>25</v>
      </c>
      <c r="C15" t="s">
        <v>84</v>
      </c>
      <c r="D15" t="s">
        <v>87</v>
      </c>
      <c r="E15">
        <v>90</v>
      </c>
      <c r="F15">
        <v>35</v>
      </c>
      <c r="G15" s="1">
        <v>950</v>
      </c>
      <c r="H15" s="1">
        <v>910</v>
      </c>
      <c r="I15" s="1">
        <v>910</v>
      </c>
      <c r="J15" s="1">
        <v>1000</v>
      </c>
    </row>
    <row r="16" spans="1:10" x14ac:dyDescent="0.3">
      <c r="A16" t="s">
        <v>56</v>
      </c>
      <c r="B16" t="s">
        <v>25</v>
      </c>
      <c r="C16" t="s">
        <v>84</v>
      </c>
      <c r="D16" t="s">
        <v>88</v>
      </c>
      <c r="E16">
        <v>90</v>
      </c>
      <c r="F16">
        <v>49</v>
      </c>
      <c r="G16" s="1">
        <v>2200</v>
      </c>
      <c r="H16" s="1">
        <v>2070</v>
      </c>
      <c r="I16" s="1">
        <v>2070</v>
      </c>
      <c r="J16" s="1">
        <v>1000</v>
      </c>
    </row>
    <row r="17" spans="1:10" x14ac:dyDescent="0.3">
      <c r="A17" t="s">
        <v>56</v>
      </c>
      <c r="B17" t="s">
        <v>25</v>
      </c>
      <c r="C17" t="s">
        <v>84</v>
      </c>
      <c r="D17" t="s">
        <v>89</v>
      </c>
      <c r="E17">
        <v>90</v>
      </c>
      <c r="F17">
        <v>56</v>
      </c>
      <c r="G17" s="1">
        <v>1600</v>
      </c>
      <c r="H17" s="1">
        <v>1480</v>
      </c>
      <c r="I17" s="1">
        <v>1628</v>
      </c>
      <c r="J17" s="1">
        <v>1100</v>
      </c>
    </row>
    <row r="18" spans="1:10" x14ac:dyDescent="0.3">
      <c r="A18" t="s">
        <v>56</v>
      </c>
      <c r="B18" t="s">
        <v>25</v>
      </c>
      <c r="C18" t="s">
        <v>84</v>
      </c>
      <c r="D18" t="s">
        <v>90</v>
      </c>
      <c r="E18">
        <v>90</v>
      </c>
      <c r="F18">
        <v>112</v>
      </c>
      <c r="G18" s="1">
        <v>100</v>
      </c>
      <c r="H18" s="1">
        <v>100</v>
      </c>
      <c r="I18" s="1">
        <v>90</v>
      </c>
      <c r="J18" s="1">
        <v>900</v>
      </c>
    </row>
    <row r="19" spans="1:10" x14ac:dyDescent="0.3">
      <c r="A19" t="s">
        <v>57</v>
      </c>
      <c r="B19" t="s">
        <v>25</v>
      </c>
      <c r="C19" t="s">
        <v>84</v>
      </c>
      <c r="D19" t="s">
        <v>85</v>
      </c>
      <c r="E19">
        <v>90</v>
      </c>
      <c r="F19">
        <v>7</v>
      </c>
      <c r="G19" s="1">
        <v>100</v>
      </c>
      <c r="H19" s="1">
        <v>100</v>
      </c>
      <c r="I19" s="1">
        <v>250</v>
      </c>
      <c r="J19" s="1">
        <v>2500</v>
      </c>
    </row>
    <row r="20" spans="1:10" x14ac:dyDescent="0.3">
      <c r="A20" t="s">
        <v>57</v>
      </c>
      <c r="B20" t="s">
        <v>25</v>
      </c>
      <c r="C20" t="s">
        <v>84</v>
      </c>
      <c r="D20" t="s">
        <v>88</v>
      </c>
      <c r="E20">
        <v>90</v>
      </c>
      <c r="F20">
        <v>49</v>
      </c>
      <c r="G20" s="1">
        <v>150</v>
      </c>
      <c r="H20" s="1">
        <v>150</v>
      </c>
      <c r="I20" s="1">
        <v>375</v>
      </c>
      <c r="J20" s="1">
        <v>2500</v>
      </c>
    </row>
    <row r="21" spans="1:10" x14ac:dyDescent="0.3">
      <c r="A21" t="s">
        <v>61</v>
      </c>
      <c r="B21" t="s">
        <v>25</v>
      </c>
      <c r="C21" t="s">
        <v>84</v>
      </c>
      <c r="D21" t="s">
        <v>85</v>
      </c>
      <c r="E21">
        <v>90</v>
      </c>
      <c r="F21">
        <v>7</v>
      </c>
      <c r="G21" s="1">
        <v>33000</v>
      </c>
      <c r="H21" s="1">
        <v>29250</v>
      </c>
      <c r="I21" s="1">
        <v>140400</v>
      </c>
      <c r="J21" s="1">
        <v>4800</v>
      </c>
    </row>
    <row r="22" spans="1:10" x14ac:dyDescent="0.3">
      <c r="A22" t="s">
        <v>61</v>
      </c>
      <c r="B22" t="s">
        <v>25</v>
      </c>
      <c r="C22" t="s">
        <v>84</v>
      </c>
      <c r="D22" t="s">
        <v>86</v>
      </c>
      <c r="E22">
        <v>90</v>
      </c>
      <c r="F22">
        <v>14</v>
      </c>
      <c r="G22" s="1">
        <v>9000</v>
      </c>
      <c r="H22" s="1">
        <v>8260</v>
      </c>
      <c r="I22" s="1">
        <v>41300</v>
      </c>
      <c r="J22" s="1">
        <v>5000</v>
      </c>
    </row>
    <row r="23" spans="1:10" x14ac:dyDescent="0.3">
      <c r="A23" t="s">
        <v>61</v>
      </c>
      <c r="B23" t="s">
        <v>25</v>
      </c>
      <c r="C23" t="s">
        <v>84</v>
      </c>
      <c r="D23" t="s">
        <v>87</v>
      </c>
      <c r="E23">
        <v>90</v>
      </c>
      <c r="F23">
        <v>35</v>
      </c>
      <c r="G23" s="1">
        <v>6000</v>
      </c>
      <c r="H23" s="1">
        <v>5450</v>
      </c>
      <c r="I23" s="1">
        <v>24525</v>
      </c>
      <c r="J23" s="1">
        <v>4500</v>
      </c>
    </row>
    <row r="24" spans="1:10" x14ac:dyDescent="0.3">
      <c r="A24" t="s">
        <v>61</v>
      </c>
      <c r="B24" t="s">
        <v>25</v>
      </c>
      <c r="C24" t="s">
        <v>84</v>
      </c>
      <c r="D24" t="s">
        <v>88</v>
      </c>
      <c r="E24">
        <v>90</v>
      </c>
      <c r="F24">
        <v>49</v>
      </c>
      <c r="G24" s="1">
        <v>3600</v>
      </c>
      <c r="H24" s="1">
        <v>2970</v>
      </c>
      <c r="I24" s="1">
        <v>13365</v>
      </c>
      <c r="J24" s="1">
        <v>4500</v>
      </c>
    </row>
    <row r="25" spans="1:10" x14ac:dyDescent="0.3">
      <c r="A25" t="s">
        <v>61</v>
      </c>
      <c r="B25" t="s">
        <v>25</v>
      </c>
      <c r="C25" t="s">
        <v>84</v>
      </c>
      <c r="D25" t="s">
        <v>89</v>
      </c>
      <c r="E25">
        <v>90</v>
      </c>
      <c r="F25">
        <v>56</v>
      </c>
      <c r="G25" s="1">
        <v>10000</v>
      </c>
      <c r="H25" s="1">
        <v>9130</v>
      </c>
      <c r="I25" s="1">
        <v>43824</v>
      </c>
      <c r="J25" s="1">
        <v>4800</v>
      </c>
    </row>
    <row r="26" spans="1:10" x14ac:dyDescent="0.3">
      <c r="A26" t="s">
        <v>61</v>
      </c>
      <c r="B26" t="s">
        <v>25</v>
      </c>
      <c r="C26" t="s">
        <v>84</v>
      </c>
      <c r="D26" t="s">
        <v>91</v>
      </c>
      <c r="E26">
        <v>90</v>
      </c>
      <c r="F26">
        <v>91</v>
      </c>
      <c r="G26" s="1">
        <v>400</v>
      </c>
      <c r="H26" s="1">
        <v>400</v>
      </c>
      <c r="I26" s="1">
        <v>1640</v>
      </c>
      <c r="J26" s="1">
        <v>4100</v>
      </c>
    </row>
    <row r="27" spans="1:10" x14ac:dyDescent="0.3">
      <c r="A27" t="s">
        <v>61</v>
      </c>
      <c r="B27" t="s">
        <v>25</v>
      </c>
      <c r="C27" t="s">
        <v>84</v>
      </c>
      <c r="D27" t="s">
        <v>92</v>
      </c>
      <c r="E27">
        <v>90</v>
      </c>
      <c r="F27">
        <v>98</v>
      </c>
      <c r="G27" s="1">
        <v>80</v>
      </c>
      <c r="H27" s="1">
        <v>0</v>
      </c>
      <c r="I27" s="1">
        <v>0</v>
      </c>
      <c r="J27" s="1">
        <v>0</v>
      </c>
    </row>
    <row r="28" spans="1:10" x14ac:dyDescent="0.3">
      <c r="A28" t="s">
        <v>61</v>
      </c>
      <c r="B28" t="s">
        <v>25</v>
      </c>
      <c r="C28" t="s">
        <v>84</v>
      </c>
      <c r="D28" t="s">
        <v>90</v>
      </c>
      <c r="E28">
        <v>90</v>
      </c>
      <c r="F28">
        <v>112</v>
      </c>
      <c r="G28" s="1">
        <v>850</v>
      </c>
      <c r="H28" s="1">
        <v>180</v>
      </c>
      <c r="I28" s="1">
        <v>900</v>
      </c>
      <c r="J28" s="1">
        <v>5000</v>
      </c>
    </row>
    <row r="29" spans="1:10" x14ac:dyDescent="0.3">
      <c r="A29" t="s">
        <v>62</v>
      </c>
      <c r="B29" t="s">
        <v>25</v>
      </c>
      <c r="C29" t="s">
        <v>84</v>
      </c>
      <c r="D29" t="s">
        <v>88</v>
      </c>
      <c r="E29">
        <v>90</v>
      </c>
      <c r="F29">
        <v>49</v>
      </c>
      <c r="G29" s="1">
        <v>1100</v>
      </c>
      <c r="H29" s="1">
        <v>1100</v>
      </c>
      <c r="I29" s="1">
        <v>2068</v>
      </c>
      <c r="J29" s="1">
        <v>1880</v>
      </c>
    </row>
    <row r="30" spans="1:10" x14ac:dyDescent="0.3">
      <c r="A30" t="s">
        <v>62</v>
      </c>
      <c r="B30" t="s">
        <v>25</v>
      </c>
      <c r="C30" t="s">
        <v>84</v>
      </c>
      <c r="D30" t="s">
        <v>89</v>
      </c>
      <c r="E30">
        <v>90</v>
      </c>
      <c r="F30">
        <v>56</v>
      </c>
      <c r="G30" s="1">
        <v>700</v>
      </c>
      <c r="H30" s="1">
        <v>700</v>
      </c>
      <c r="I30" s="1">
        <v>1386</v>
      </c>
      <c r="J30" s="1">
        <v>1980</v>
      </c>
    </row>
    <row r="31" spans="1:10" x14ac:dyDescent="0.3">
      <c r="A31" t="s">
        <v>62</v>
      </c>
      <c r="B31" t="s">
        <v>25</v>
      </c>
      <c r="C31" t="s">
        <v>84</v>
      </c>
      <c r="D31" t="s">
        <v>91</v>
      </c>
      <c r="E31">
        <v>90</v>
      </c>
      <c r="F31">
        <v>91</v>
      </c>
      <c r="G31" s="1">
        <v>250</v>
      </c>
      <c r="H31" s="1">
        <v>250</v>
      </c>
      <c r="I31" s="1">
        <v>445</v>
      </c>
      <c r="J31" s="1">
        <v>1780</v>
      </c>
    </row>
    <row r="32" spans="1:10" x14ac:dyDescent="0.3">
      <c r="A32" t="s">
        <v>93</v>
      </c>
      <c r="B32" t="s">
        <v>25</v>
      </c>
      <c r="C32" t="s">
        <v>84</v>
      </c>
      <c r="D32" t="s">
        <v>85</v>
      </c>
      <c r="E32">
        <v>90</v>
      </c>
      <c r="F32">
        <v>7</v>
      </c>
      <c r="G32" s="1">
        <v>500</v>
      </c>
      <c r="H32" s="1">
        <v>420</v>
      </c>
      <c r="I32" s="1">
        <v>252</v>
      </c>
      <c r="J32" s="1">
        <v>600</v>
      </c>
    </row>
    <row r="33" spans="1:10" x14ac:dyDescent="0.3">
      <c r="A33" t="s">
        <v>93</v>
      </c>
      <c r="B33" t="s">
        <v>25</v>
      </c>
      <c r="C33" t="s">
        <v>84</v>
      </c>
      <c r="D33" t="s">
        <v>88</v>
      </c>
      <c r="E33">
        <v>90</v>
      </c>
      <c r="F33">
        <v>49</v>
      </c>
      <c r="G33" s="1">
        <v>400</v>
      </c>
      <c r="H33" s="1">
        <v>380</v>
      </c>
      <c r="I33" s="1">
        <v>266</v>
      </c>
      <c r="J33" s="1">
        <v>700</v>
      </c>
    </row>
    <row r="34" spans="1:10" x14ac:dyDescent="0.3">
      <c r="A34" t="s">
        <v>93</v>
      </c>
      <c r="B34" t="s">
        <v>25</v>
      </c>
      <c r="C34" t="s">
        <v>84</v>
      </c>
      <c r="D34" t="s">
        <v>90</v>
      </c>
      <c r="E34">
        <v>90</v>
      </c>
      <c r="F34">
        <v>112</v>
      </c>
      <c r="G34" s="1">
        <v>350</v>
      </c>
      <c r="H34" s="1">
        <v>340</v>
      </c>
      <c r="I34" s="1">
        <v>374</v>
      </c>
      <c r="J34" s="1">
        <v>1100</v>
      </c>
    </row>
    <row r="35" spans="1:10" x14ac:dyDescent="0.3">
      <c r="A35" t="s">
        <v>64</v>
      </c>
      <c r="B35" t="s">
        <v>25</v>
      </c>
      <c r="C35" t="s">
        <v>84</v>
      </c>
      <c r="D35" t="s">
        <v>85</v>
      </c>
      <c r="E35">
        <v>90</v>
      </c>
      <c r="F35">
        <v>7</v>
      </c>
      <c r="G35" s="1">
        <v>7500</v>
      </c>
      <c r="H35" s="1">
        <v>7010</v>
      </c>
      <c r="I35" s="1">
        <v>5678</v>
      </c>
      <c r="J35" s="1">
        <v>810</v>
      </c>
    </row>
    <row r="36" spans="1:10" x14ac:dyDescent="0.3">
      <c r="A36" t="s">
        <v>64</v>
      </c>
      <c r="B36" t="s">
        <v>25</v>
      </c>
      <c r="C36" t="s">
        <v>84</v>
      </c>
      <c r="D36" t="s">
        <v>86</v>
      </c>
      <c r="E36">
        <v>90</v>
      </c>
      <c r="F36">
        <v>14</v>
      </c>
      <c r="G36" s="1">
        <v>1400</v>
      </c>
      <c r="H36" s="1">
        <v>1290</v>
      </c>
      <c r="I36" s="1">
        <v>1045</v>
      </c>
      <c r="J36" s="1">
        <v>810</v>
      </c>
    </row>
    <row r="37" spans="1:10" x14ac:dyDescent="0.3">
      <c r="A37" t="s">
        <v>64</v>
      </c>
      <c r="B37" t="s">
        <v>25</v>
      </c>
      <c r="C37" t="s">
        <v>84</v>
      </c>
      <c r="D37" t="s">
        <v>87</v>
      </c>
      <c r="E37">
        <v>90</v>
      </c>
      <c r="F37">
        <v>35</v>
      </c>
      <c r="G37" s="1">
        <v>3100</v>
      </c>
      <c r="H37" s="1">
        <v>2850</v>
      </c>
      <c r="I37" s="1">
        <v>2024</v>
      </c>
      <c r="J37" s="1">
        <v>710</v>
      </c>
    </row>
    <row r="38" spans="1:10" x14ac:dyDescent="0.3">
      <c r="A38" t="s">
        <v>64</v>
      </c>
      <c r="B38" t="s">
        <v>25</v>
      </c>
      <c r="C38" t="s">
        <v>84</v>
      </c>
      <c r="D38" t="s">
        <v>88</v>
      </c>
      <c r="E38">
        <v>90</v>
      </c>
      <c r="F38">
        <v>49</v>
      </c>
      <c r="G38" s="1">
        <v>3400</v>
      </c>
      <c r="H38" s="1">
        <v>3140</v>
      </c>
      <c r="I38" s="1">
        <v>2575</v>
      </c>
      <c r="J38" s="1">
        <v>820</v>
      </c>
    </row>
    <row r="39" spans="1:10" x14ac:dyDescent="0.3">
      <c r="A39" t="s">
        <v>64</v>
      </c>
      <c r="B39" t="s">
        <v>25</v>
      </c>
      <c r="C39" t="s">
        <v>84</v>
      </c>
      <c r="D39" t="s">
        <v>89</v>
      </c>
      <c r="E39">
        <v>90</v>
      </c>
      <c r="F39">
        <v>56</v>
      </c>
      <c r="G39" s="1">
        <v>3200</v>
      </c>
      <c r="H39" s="1">
        <v>2900</v>
      </c>
      <c r="I39" s="1">
        <v>2088</v>
      </c>
      <c r="J39" s="1">
        <v>720</v>
      </c>
    </row>
    <row r="40" spans="1:10" x14ac:dyDescent="0.3">
      <c r="A40" t="s">
        <v>64</v>
      </c>
      <c r="B40" t="s">
        <v>25</v>
      </c>
      <c r="C40" t="s">
        <v>84</v>
      </c>
      <c r="D40" t="s">
        <v>90</v>
      </c>
      <c r="E40">
        <v>90</v>
      </c>
      <c r="F40">
        <v>112</v>
      </c>
      <c r="G40" s="1">
        <v>900</v>
      </c>
      <c r="H40" s="1">
        <v>880</v>
      </c>
      <c r="I40" s="1">
        <v>1065</v>
      </c>
      <c r="J40" s="1">
        <v>1210</v>
      </c>
    </row>
    <row r="41" spans="1:10" x14ac:dyDescent="0.3">
      <c r="A41" t="s">
        <v>65</v>
      </c>
      <c r="B41" t="s">
        <v>25</v>
      </c>
      <c r="C41" t="s">
        <v>84</v>
      </c>
      <c r="D41" t="s">
        <v>92</v>
      </c>
      <c r="E41">
        <v>90</v>
      </c>
      <c r="F41">
        <v>98</v>
      </c>
      <c r="G41" s="1">
        <v>20</v>
      </c>
      <c r="H41" s="1">
        <v>20</v>
      </c>
      <c r="I41" s="1">
        <v>28</v>
      </c>
      <c r="J41" s="1">
        <v>1420</v>
      </c>
    </row>
    <row r="42" spans="1:10" x14ac:dyDescent="0.3">
      <c r="A42" t="s">
        <v>66</v>
      </c>
      <c r="B42" t="s">
        <v>25</v>
      </c>
      <c r="C42" t="s">
        <v>84</v>
      </c>
      <c r="D42" t="s">
        <v>85</v>
      </c>
      <c r="E42">
        <v>90</v>
      </c>
      <c r="F42">
        <v>7</v>
      </c>
      <c r="G42" s="1">
        <v>8000</v>
      </c>
      <c r="H42" s="1">
        <v>7430</v>
      </c>
      <c r="I42" s="1">
        <v>5930</v>
      </c>
      <c r="J42" s="1">
        <v>798</v>
      </c>
    </row>
    <row r="43" spans="1:10" x14ac:dyDescent="0.3">
      <c r="A43" t="s">
        <v>66</v>
      </c>
      <c r="B43" t="s">
        <v>25</v>
      </c>
      <c r="C43" t="s">
        <v>84</v>
      </c>
      <c r="D43" t="s">
        <v>86</v>
      </c>
      <c r="E43">
        <v>90</v>
      </c>
      <c r="F43">
        <v>14</v>
      </c>
      <c r="G43" s="1">
        <v>1400</v>
      </c>
      <c r="H43" s="1">
        <v>1290</v>
      </c>
      <c r="I43" s="1">
        <v>1045</v>
      </c>
      <c r="J43" s="1">
        <v>810</v>
      </c>
    </row>
    <row r="44" spans="1:10" x14ac:dyDescent="0.3">
      <c r="A44" t="s">
        <v>66</v>
      </c>
      <c r="B44" t="s">
        <v>25</v>
      </c>
      <c r="C44" t="s">
        <v>84</v>
      </c>
      <c r="D44" t="s">
        <v>87</v>
      </c>
      <c r="E44">
        <v>90</v>
      </c>
      <c r="F44">
        <v>35</v>
      </c>
      <c r="G44" s="1">
        <v>3100</v>
      </c>
      <c r="H44" s="1">
        <v>2850</v>
      </c>
      <c r="I44" s="1">
        <v>2024</v>
      </c>
      <c r="J44" s="1">
        <v>710</v>
      </c>
    </row>
    <row r="45" spans="1:10" x14ac:dyDescent="0.3">
      <c r="A45" t="s">
        <v>66</v>
      </c>
      <c r="B45" t="s">
        <v>25</v>
      </c>
      <c r="C45" t="s">
        <v>84</v>
      </c>
      <c r="D45" t="s">
        <v>88</v>
      </c>
      <c r="E45">
        <v>90</v>
      </c>
      <c r="F45">
        <v>49</v>
      </c>
      <c r="G45" s="1">
        <v>3800</v>
      </c>
      <c r="H45" s="1">
        <v>3520</v>
      </c>
      <c r="I45" s="1">
        <v>2841</v>
      </c>
      <c r="J45" s="1">
        <v>807</v>
      </c>
    </row>
    <row r="46" spans="1:10" x14ac:dyDescent="0.3">
      <c r="A46" t="s">
        <v>66</v>
      </c>
      <c r="B46" t="s">
        <v>25</v>
      </c>
      <c r="C46" t="s">
        <v>84</v>
      </c>
      <c r="D46" t="s">
        <v>89</v>
      </c>
      <c r="E46">
        <v>90</v>
      </c>
      <c r="F46">
        <v>56</v>
      </c>
      <c r="G46" s="1">
        <v>3200</v>
      </c>
      <c r="H46" s="1">
        <v>2900</v>
      </c>
      <c r="I46" s="1">
        <v>2088</v>
      </c>
      <c r="J46" s="1">
        <v>720</v>
      </c>
    </row>
    <row r="47" spans="1:10" x14ac:dyDescent="0.3">
      <c r="A47" t="s">
        <v>66</v>
      </c>
      <c r="B47" t="s">
        <v>25</v>
      </c>
      <c r="C47" t="s">
        <v>84</v>
      </c>
      <c r="D47" t="s">
        <v>92</v>
      </c>
      <c r="E47">
        <v>90</v>
      </c>
      <c r="F47">
        <v>98</v>
      </c>
      <c r="G47" s="1">
        <v>20</v>
      </c>
      <c r="H47" s="1">
        <v>20</v>
      </c>
      <c r="I47" s="1">
        <v>28</v>
      </c>
      <c r="J47" s="1">
        <v>1400</v>
      </c>
    </row>
    <row r="48" spans="1:10" x14ac:dyDescent="0.3">
      <c r="A48" t="s">
        <v>66</v>
      </c>
      <c r="B48" t="s">
        <v>25</v>
      </c>
      <c r="C48" t="s">
        <v>84</v>
      </c>
      <c r="D48" t="s">
        <v>90</v>
      </c>
      <c r="E48">
        <v>90</v>
      </c>
      <c r="F48">
        <v>112</v>
      </c>
      <c r="G48" s="1">
        <v>1250</v>
      </c>
      <c r="H48" s="1">
        <v>1220</v>
      </c>
      <c r="I48" s="1">
        <v>1439</v>
      </c>
      <c r="J48" s="1">
        <v>1180</v>
      </c>
    </row>
    <row r="49" spans="1:10" x14ac:dyDescent="0.3">
      <c r="A49" t="s">
        <v>67</v>
      </c>
      <c r="B49" t="s">
        <v>25</v>
      </c>
      <c r="C49" t="s">
        <v>84</v>
      </c>
      <c r="D49" t="s">
        <v>85</v>
      </c>
      <c r="E49">
        <v>90</v>
      </c>
      <c r="F49">
        <v>7</v>
      </c>
      <c r="G49" s="1">
        <v>37500</v>
      </c>
      <c r="H49" s="1">
        <v>37300</v>
      </c>
      <c r="I49" s="1">
        <v>96980</v>
      </c>
      <c r="J49" s="1">
        <v>2600</v>
      </c>
    </row>
    <row r="50" spans="1:10" x14ac:dyDescent="0.3">
      <c r="A50" t="s">
        <v>67</v>
      </c>
      <c r="B50" t="s">
        <v>25</v>
      </c>
      <c r="C50" t="s">
        <v>84</v>
      </c>
      <c r="D50" t="s">
        <v>94</v>
      </c>
      <c r="E50">
        <v>90</v>
      </c>
      <c r="F50">
        <v>21</v>
      </c>
      <c r="G50" s="1">
        <v>850</v>
      </c>
      <c r="H50" s="1">
        <v>850</v>
      </c>
      <c r="I50" s="1">
        <v>2295</v>
      </c>
      <c r="J50" s="1">
        <v>2700</v>
      </c>
    </row>
    <row r="51" spans="1:10" x14ac:dyDescent="0.3">
      <c r="A51" t="s">
        <v>67</v>
      </c>
      <c r="B51" t="s">
        <v>25</v>
      </c>
      <c r="C51" t="s">
        <v>84</v>
      </c>
      <c r="D51" t="s">
        <v>86</v>
      </c>
      <c r="E51">
        <v>90</v>
      </c>
      <c r="F51">
        <v>14</v>
      </c>
      <c r="G51" s="1">
        <v>15500</v>
      </c>
      <c r="H51" s="1">
        <v>15340</v>
      </c>
      <c r="I51" s="1">
        <v>41418</v>
      </c>
      <c r="J51" s="1">
        <v>2700</v>
      </c>
    </row>
    <row r="52" spans="1:10" x14ac:dyDescent="0.3">
      <c r="A52" t="s">
        <v>67</v>
      </c>
      <c r="B52" t="s">
        <v>25</v>
      </c>
      <c r="C52" t="s">
        <v>84</v>
      </c>
      <c r="D52" t="s">
        <v>95</v>
      </c>
      <c r="E52">
        <v>90</v>
      </c>
      <c r="F52">
        <v>28</v>
      </c>
      <c r="G52" s="1">
        <v>700</v>
      </c>
      <c r="H52" s="1">
        <v>700</v>
      </c>
      <c r="I52" s="1">
        <v>1960</v>
      </c>
      <c r="J52" s="1">
        <v>2800</v>
      </c>
    </row>
    <row r="53" spans="1:10" x14ac:dyDescent="0.3">
      <c r="A53" t="s">
        <v>67</v>
      </c>
      <c r="B53" t="s">
        <v>25</v>
      </c>
      <c r="C53" t="s">
        <v>84</v>
      </c>
      <c r="D53" t="s">
        <v>87</v>
      </c>
      <c r="E53">
        <v>90</v>
      </c>
      <c r="F53">
        <v>35</v>
      </c>
      <c r="G53" s="1">
        <v>17700</v>
      </c>
      <c r="H53" s="1">
        <v>17490</v>
      </c>
      <c r="I53" s="1">
        <v>43725</v>
      </c>
      <c r="J53" s="1">
        <v>2500</v>
      </c>
    </row>
    <row r="54" spans="1:10" x14ac:dyDescent="0.3">
      <c r="A54" t="s">
        <v>67</v>
      </c>
      <c r="B54" t="s">
        <v>25</v>
      </c>
      <c r="C54" t="s">
        <v>84</v>
      </c>
      <c r="D54" t="s">
        <v>96</v>
      </c>
      <c r="E54">
        <v>90</v>
      </c>
      <c r="F54">
        <v>42</v>
      </c>
      <c r="G54" s="1">
        <v>2200</v>
      </c>
      <c r="H54" s="1">
        <v>2185</v>
      </c>
      <c r="I54" s="1">
        <v>5790</v>
      </c>
      <c r="J54" s="1">
        <v>2650</v>
      </c>
    </row>
    <row r="55" spans="1:10" x14ac:dyDescent="0.3">
      <c r="A55" t="s">
        <v>67</v>
      </c>
      <c r="B55" t="s">
        <v>25</v>
      </c>
      <c r="C55" t="s">
        <v>84</v>
      </c>
      <c r="D55" t="s">
        <v>88</v>
      </c>
      <c r="E55">
        <v>90</v>
      </c>
      <c r="F55">
        <v>49</v>
      </c>
      <c r="G55" s="1">
        <v>9200</v>
      </c>
      <c r="H55" s="1">
        <v>9010</v>
      </c>
      <c r="I55" s="1">
        <v>22165</v>
      </c>
      <c r="J55" s="1">
        <v>2460</v>
      </c>
    </row>
    <row r="56" spans="1:10" x14ac:dyDescent="0.3">
      <c r="A56" t="s">
        <v>67</v>
      </c>
      <c r="B56" t="s">
        <v>25</v>
      </c>
      <c r="C56" t="s">
        <v>84</v>
      </c>
      <c r="D56" t="s">
        <v>89</v>
      </c>
      <c r="E56">
        <v>90</v>
      </c>
      <c r="F56">
        <v>56</v>
      </c>
      <c r="G56" s="1">
        <v>18000</v>
      </c>
      <c r="H56" s="1">
        <v>17755</v>
      </c>
      <c r="I56" s="1">
        <v>44388</v>
      </c>
      <c r="J56" s="1">
        <v>2500</v>
      </c>
    </row>
    <row r="57" spans="1:10" x14ac:dyDescent="0.3">
      <c r="A57" t="s">
        <v>67</v>
      </c>
      <c r="B57" t="s">
        <v>25</v>
      </c>
      <c r="C57" t="s">
        <v>84</v>
      </c>
      <c r="D57" t="s">
        <v>97</v>
      </c>
      <c r="E57">
        <v>90</v>
      </c>
      <c r="F57">
        <v>63</v>
      </c>
      <c r="G57" s="1">
        <v>1200</v>
      </c>
      <c r="H57" s="1">
        <v>1200</v>
      </c>
      <c r="I57" s="1">
        <v>3360</v>
      </c>
      <c r="J57" s="1">
        <v>2800</v>
      </c>
    </row>
    <row r="58" spans="1:10" x14ac:dyDescent="0.3">
      <c r="A58" t="s">
        <v>67</v>
      </c>
      <c r="B58" t="s">
        <v>25</v>
      </c>
      <c r="C58" t="s">
        <v>84</v>
      </c>
      <c r="D58" t="s">
        <v>98</v>
      </c>
      <c r="E58">
        <v>90</v>
      </c>
      <c r="F58">
        <v>70</v>
      </c>
      <c r="G58" s="1">
        <v>550</v>
      </c>
      <c r="H58" s="1">
        <v>550</v>
      </c>
      <c r="I58" s="1">
        <v>1430</v>
      </c>
      <c r="J58" s="1">
        <v>2600</v>
      </c>
    </row>
    <row r="59" spans="1:10" x14ac:dyDescent="0.3">
      <c r="A59" t="s">
        <v>67</v>
      </c>
      <c r="B59" t="s">
        <v>25</v>
      </c>
      <c r="C59" t="s">
        <v>84</v>
      </c>
      <c r="D59" t="s">
        <v>99</v>
      </c>
      <c r="E59">
        <v>90</v>
      </c>
      <c r="F59">
        <v>77</v>
      </c>
      <c r="G59" s="1">
        <v>500</v>
      </c>
      <c r="H59" s="1">
        <v>500</v>
      </c>
      <c r="I59" s="1">
        <v>1350</v>
      </c>
      <c r="J59" s="1">
        <v>2700</v>
      </c>
    </row>
    <row r="60" spans="1:10" x14ac:dyDescent="0.3">
      <c r="A60" t="s">
        <v>67</v>
      </c>
      <c r="B60" t="s">
        <v>25</v>
      </c>
      <c r="C60" t="s">
        <v>84</v>
      </c>
      <c r="D60" t="s">
        <v>91</v>
      </c>
      <c r="E60">
        <v>90</v>
      </c>
      <c r="F60">
        <v>91</v>
      </c>
      <c r="G60" s="1">
        <v>2800</v>
      </c>
      <c r="H60" s="1">
        <v>2750</v>
      </c>
      <c r="I60" s="1">
        <v>7315</v>
      </c>
      <c r="J60" s="1">
        <v>2660</v>
      </c>
    </row>
    <row r="61" spans="1:10" x14ac:dyDescent="0.3">
      <c r="A61" t="s">
        <v>67</v>
      </c>
      <c r="B61" t="s">
        <v>25</v>
      </c>
      <c r="C61" t="s">
        <v>84</v>
      </c>
      <c r="D61" t="s">
        <v>100</v>
      </c>
      <c r="E61">
        <v>90</v>
      </c>
      <c r="F61">
        <v>105</v>
      </c>
      <c r="G61" s="1">
        <v>100</v>
      </c>
      <c r="H61" s="1">
        <v>100</v>
      </c>
      <c r="I61" s="1">
        <v>280</v>
      </c>
      <c r="J61" s="1">
        <v>2800</v>
      </c>
    </row>
    <row r="62" spans="1:10" x14ac:dyDescent="0.3">
      <c r="A62" t="s">
        <v>68</v>
      </c>
      <c r="B62" t="s">
        <v>25</v>
      </c>
      <c r="C62" t="s">
        <v>84</v>
      </c>
      <c r="D62" t="s">
        <v>85</v>
      </c>
      <c r="E62">
        <v>90</v>
      </c>
      <c r="F62">
        <v>7</v>
      </c>
      <c r="G62" s="1">
        <v>31000</v>
      </c>
      <c r="H62" s="1">
        <v>30720</v>
      </c>
      <c r="I62" s="1">
        <v>79718</v>
      </c>
      <c r="J62" s="1">
        <v>2595</v>
      </c>
    </row>
    <row r="63" spans="1:10" x14ac:dyDescent="0.3">
      <c r="A63" t="s">
        <v>68</v>
      </c>
      <c r="B63" t="s">
        <v>25</v>
      </c>
      <c r="C63" t="s">
        <v>84</v>
      </c>
      <c r="D63" t="s">
        <v>31</v>
      </c>
      <c r="E63">
        <v>90</v>
      </c>
      <c r="F63">
        <v>84</v>
      </c>
      <c r="G63" s="1">
        <v>70</v>
      </c>
      <c r="H63" s="1">
        <v>70</v>
      </c>
      <c r="I63" s="1">
        <v>193</v>
      </c>
      <c r="J63" s="1">
        <v>2760</v>
      </c>
    </row>
    <row r="64" spans="1:10" x14ac:dyDescent="0.3">
      <c r="A64" t="s">
        <v>68</v>
      </c>
      <c r="B64" t="s">
        <v>25</v>
      </c>
      <c r="C64" t="s">
        <v>84</v>
      </c>
      <c r="D64" t="s">
        <v>86</v>
      </c>
      <c r="E64">
        <v>90</v>
      </c>
      <c r="F64">
        <v>14</v>
      </c>
      <c r="G64" s="1">
        <v>10500</v>
      </c>
      <c r="H64" s="1">
        <v>10340</v>
      </c>
      <c r="I64" s="1">
        <v>27504</v>
      </c>
      <c r="J64" s="1">
        <v>2660</v>
      </c>
    </row>
    <row r="65" spans="1:10" x14ac:dyDescent="0.3">
      <c r="A65" t="s">
        <v>68</v>
      </c>
      <c r="B65" t="s">
        <v>25</v>
      </c>
      <c r="C65" t="s">
        <v>84</v>
      </c>
      <c r="D65" t="s">
        <v>87</v>
      </c>
      <c r="E65">
        <v>90</v>
      </c>
      <c r="F65">
        <v>35</v>
      </c>
      <c r="G65" s="1">
        <v>11400</v>
      </c>
      <c r="H65" s="1">
        <v>11215</v>
      </c>
      <c r="I65" s="1">
        <v>29159</v>
      </c>
      <c r="J65" s="1">
        <v>2600</v>
      </c>
    </row>
    <row r="66" spans="1:10" x14ac:dyDescent="0.3">
      <c r="A66" t="s">
        <v>68</v>
      </c>
      <c r="B66" t="s">
        <v>25</v>
      </c>
      <c r="C66" t="s">
        <v>84</v>
      </c>
      <c r="D66" t="s">
        <v>88</v>
      </c>
      <c r="E66">
        <v>90</v>
      </c>
      <c r="F66">
        <v>49</v>
      </c>
      <c r="G66" s="1">
        <v>13200</v>
      </c>
      <c r="H66" s="1">
        <v>13010</v>
      </c>
      <c r="I66" s="1">
        <v>33306</v>
      </c>
      <c r="J66" s="1">
        <v>2560</v>
      </c>
    </row>
    <row r="67" spans="1:10" x14ac:dyDescent="0.3">
      <c r="A67" t="s">
        <v>68</v>
      </c>
      <c r="B67" t="s">
        <v>25</v>
      </c>
      <c r="C67" t="s">
        <v>84</v>
      </c>
      <c r="D67" t="s">
        <v>89</v>
      </c>
      <c r="E67">
        <v>90</v>
      </c>
      <c r="F67">
        <v>56</v>
      </c>
      <c r="G67" s="1">
        <v>12000</v>
      </c>
      <c r="H67" s="1">
        <v>11760</v>
      </c>
      <c r="I67" s="1">
        <v>30576</v>
      </c>
      <c r="J67" s="1">
        <v>2600</v>
      </c>
    </row>
    <row r="68" spans="1:10" x14ac:dyDescent="0.3">
      <c r="A68" t="s">
        <v>68</v>
      </c>
      <c r="B68" t="s">
        <v>25</v>
      </c>
      <c r="C68" t="s">
        <v>84</v>
      </c>
      <c r="D68" t="s">
        <v>101</v>
      </c>
      <c r="E68">
        <v>90</v>
      </c>
      <c r="F68">
        <v>119</v>
      </c>
      <c r="G68" s="1">
        <v>50</v>
      </c>
      <c r="H68" s="1">
        <v>50</v>
      </c>
      <c r="I68" s="1">
        <v>145</v>
      </c>
      <c r="J68" s="1">
        <v>2900</v>
      </c>
    </row>
    <row r="69" spans="1:10" x14ac:dyDescent="0.3">
      <c r="A69" t="s">
        <v>69</v>
      </c>
      <c r="B69" t="s">
        <v>25</v>
      </c>
      <c r="C69" t="s">
        <v>84</v>
      </c>
      <c r="D69" t="s">
        <v>85</v>
      </c>
      <c r="E69">
        <v>90</v>
      </c>
      <c r="F69">
        <v>7</v>
      </c>
      <c r="G69" s="1">
        <v>68500</v>
      </c>
      <c r="H69" s="1">
        <v>68020</v>
      </c>
      <c r="I69" s="1">
        <v>176698</v>
      </c>
      <c r="J69" s="1">
        <v>2598</v>
      </c>
    </row>
    <row r="70" spans="1:10" x14ac:dyDescent="0.3">
      <c r="A70" t="s">
        <v>69</v>
      </c>
      <c r="B70" t="s">
        <v>25</v>
      </c>
      <c r="C70" t="s">
        <v>84</v>
      </c>
      <c r="D70" t="s">
        <v>31</v>
      </c>
      <c r="E70">
        <v>90</v>
      </c>
      <c r="F70">
        <v>84</v>
      </c>
      <c r="G70" s="1">
        <v>70</v>
      </c>
      <c r="H70" s="1">
        <v>70</v>
      </c>
      <c r="I70" s="1">
        <v>193</v>
      </c>
      <c r="J70" s="1">
        <v>2760</v>
      </c>
    </row>
    <row r="71" spans="1:10" x14ac:dyDescent="0.3">
      <c r="A71" t="s">
        <v>69</v>
      </c>
      <c r="B71" t="s">
        <v>25</v>
      </c>
      <c r="C71" t="s">
        <v>84</v>
      </c>
      <c r="D71" t="s">
        <v>94</v>
      </c>
      <c r="E71">
        <v>90</v>
      </c>
      <c r="F71">
        <v>21</v>
      </c>
      <c r="G71" s="1">
        <v>850</v>
      </c>
      <c r="H71" s="1">
        <v>850</v>
      </c>
      <c r="I71" s="1">
        <v>2295</v>
      </c>
      <c r="J71" s="1">
        <v>2700</v>
      </c>
    </row>
    <row r="72" spans="1:10" x14ac:dyDescent="0.3">
      <c r="A72" t="s">
        <v>69</v>
      </c>
      <c r="B72" t="s">
        <v>25</v>
      </c>
      <c r="C72" t="s">
        <v>84</v>
      </c>
      <c r="D72" t="s">
        <v>86</v>
      </c>
      <c r="E72">
        <v>90</v>
      </c>
      <c r="F72">
        <v>14</v>
      </c>
      <c r="G72" s="1">
        <v>26000</v>
      </c>
      <c r="H72" s="1">
        <v>25680</v>
      </c>
      <c r="I72" s="1">
        <v>68922</v>
      </c>
      <c r="J72" s="1">
        <v>2684</v>
      </c>
    </row>
    <row r="73" spans="1:10" x14ac:dyDescent="0.3">
      <c r="A73" t="s">
        <v>69</v>
      </c>
      <c r="B73" t="s">
        <v>25</v>
      </c>
      <c r="C73" t="s">
        <v>84</v>
      </c>
      <c r="D73" t="s">
        <v>95</v>
      </c>
      <c r="E73">
        <v>90</v>
      </c>
      <c r="F73">
        <v>28</v>
      </c>
      <c r="G73" s="1">
        <v>700</v>
      </c>
      <c r="H73" s="1">
        <v>700</v>
      </c>
      <c r="I73" s="1">
        <v>1960</v>
      </c>
      <c r="J73" s="1">
        <v>2800</v>
      </c>
    </row>
    <row r="74" spans="1:10" x14ac:dyDescent="0.3">
      <c r="A74" t="s">
        <v>69</v>
      </c>
      <c r="B74" t="s">
        <v>25</v>
      </c>
      <c r="C74" t="s">
        <v>84</v>
      </c>
      <c r="D74" t="s">
        <v>87</v>
      </c>
      <c r="E74">
        <v>90</v>
      </c>
      <c r="F74">
        <v>35</v>
      </c>
      <c r="G74" s="1">
        <v>29100</v>
      </c>
      <c r="H74" s="1">
        <v>28705</v>
      </c>
      <c r="I74" s="1">
        <v>72884</v>
      </c>
      <c r="J74" s="1">
        <v>2539</v>
      </c>
    </row>
    <row r="75" spans="1:10" x14ac:dyDescent="0.3">
      <c r="A75" t="s">
        <v>69</v>
      </c>
      <c r="B75" t="s">
        <v>25</v>
      </c>
      <c r="C75" t="s">
        <v>84</v>
      </c>
      <c r="D75" t="s">
        <v>96</v>
      </c>
      <c r="E75">
        <v>90</v>
      </c>
      <c r="F75">
        <v>42</v>
      </c>
      <c r="G75" s="1">
        <v>2200</v>
      </c>
      <c r="H75" s="1">
        <v>2185</v>
      </c>
      <c r="I75" s="1">
        <v>5790</v>
      </c>
      <c r="J75" s="1">
        <v>2650</v>
      </c>
    </row>
    <row r="76" spans="1:10" x14ac:dyDescent="0.3">
      <c r="A76" t="s">
        <v>69</v>
      </c>
      <c r="B76" t="s">
        <v>25</v>
      </c>
      <c r="C76" t="s">
        <v>84</v>
      </c>
      <c r="D76" t="s">
        <v>88</v>
      </c>
      <c r="E76">
        <v>90</v>
      </c>
      <c r="F76">
        <v>49</v>
      </c>
      <c r="G76" s="1">
        <v>22400</v>
      </c>
      <c r="H76" s="1">
        <v>22020</v>
      </c>
      <c r="I76" s="1">
        <v>55470</v>
      </c>
      <c r="J76" s="1">
        <v>2519</v>
      </c>
    </row>
    <row r="77" spans="1:10" x14ac:dyDescent="0.3">
      <c r="A77" t="s">
        <v>69</v>
      </c>
      <c r="B77" t="s">
        <v>25</v>
      </c>
      <c r="C77" t="s">
        <v>84</v>
      </c>
      <c r="D77" t="s">
        <v>89</v>
      </c>
      <c r="E77">
        <v>90</v>
      </c>
      <c r="F77">
        <v>56</v>
      </c>
      <c r="G77" s="1">
        <v>30000</v>
      </c>
      <c r="H77" s="1">
        <v>29515</v>
      </c>
      <c r="I77" s="1">
        <v>74964</v>
      </c>
      <c r="J77" s="1">
        <v>2540</v>
      </c>
    </row>
    <row r="78" spans="1:10" x14ac:dyDescent="0.3">
      <c r="A78" t="s">
        <v>69</v>
      </c>
      <c r="B78" t="s">
        <v>25</v>
      </c>
      <c r="C78" t="s">
        <v>84</v>
      </c>
      <c r="D78" t="s">
        <v>97</v>
      </c>
      <c r="E78">
        <v>90</v>
      </c>
      <c r="F78">
        <v>63</v>
      </c>
      <c r="G78" s="1">
        <v>1200</v>
      </c>
      <c r="H78" s="1">
        <v>1200</v>
      </c>
      <c r="I78" s="1">
        <v>3360</v>
      </c>
      <c r="J78" s="1">
        <v>2800</v>
      </c>
    </row>
    <row r="79" spans="1:10" x14ac:dyDescent="0.3">
      <c r="A79" t="s">
        <v>69</v>
      </c>
      <c r="B79" t="s">
        <v>25</v>
      </c>
      <c r="C79" t="s">
        <v>84</v>
      </c>
      <c r="D79" t="s">
        <v>98</v>
      </c>
      <c r="E79">
        <v>90</v>
      </c>
      <c r="F79">
        <v>70</v>
      </c>
      <c r="G79" s="1">
        <v>550</v>
      </c>
      <c r="H79" s="1">
        <v>550</v>
      </c>
      <c r="I79" s="1">
        <v>1430</v>
      </c>
      <c r="J79" s="1">
        <v>2600</v>
      </c>
    </row>
    <row r="80" spans="1:10" x14ac:dyDescent="0.3">
      <c r="A80" t="s">
        <v>69</v>
      </c>
      <c r="B80" t="s">
        <v>25</v>
      </c>
      <c r="C80" t="s">
        <v>84</v>
      </c>
      <c r="D80" t="s">
        <v>99</v>
      </c>
      <c r="E80">
        <v>90</v>
      </c>
      <c r="F80">
        <v>77</v>
      </c>
      <c r="G80" s="1">
        <v>500</v>
      </c>
      <c r="H80" s="1">
        <v>500</v>
      </c>
      <c r="I80" s="1">
        <v>1350</v>
      </c>
      <c r="J80" s="1">
        <v>2700</v>
      </c>
    </row>
    <row r="81" spans="1:10" x14ac:dyDescent="0.3">
      <c r="A81" t="s">
        <v>69</v>
      </c>
      <c r="B81" t="s">
        <v>25</v>
      </c>
      <c r="C81" t="s">
        <v>84</v>
      </c>
      <c r="D81" t="s">
        <v>91</v>
      </c>
      <c r="E81">
        <v>90</v>
      </c>
      <c r="F81">
        <v>91</v>
      </c>
      <c r="G81" s="1">
        <v>2800</v>
      </c>
      <c r="H81" s="1">
        <v>2750</v>
      </c>
      <c r="I81" s="1">
        <v>7315</v>
      </c>
      <c r="J81" s="1">
        <v>2660</v>
      </c>
    </row>
    <row r="82" spans="1:10" x14ac:dyDescent="0.3">
      <c r="A82" t="s">
        <v>69</v>
      </c>
      <c r="B82" t="s">
        <v>25</v>
      </c>
      <c r="C82" t="s">
        <v>84</v>
      </c>
      <c r="D82" t="s">
        <v>100</v>
      </c>
      <c r="E82">
        <v>90</v>
      </c>
      <c r="F82">
        <v>105</v>
      </c>
      <c r="G82" s="1">
        <v>100</v>
      </c>
      <c r="H82" s="1">
        <v>100</v>
      </c>
      <c r="I82" s="1">
        <v>280</v>
      </c>
      <c r="J82" s="1">
        <v>2800</v>
      </c>
    </row>
    <row r="83" spans="1:10" x14ac:dyDescent="0.3">
      <c r="A83" t="s">
        <v>69</v>
      </c>
      <c r="B83" t="s">
        <v>25</v>
      </c>
      <c r="C83" t="s">
        <v>84</v>
      </c>
      <c r="D83" t="s">
        <v>101</v>
      </c>
      <c r="E83">
        <v>90</v>
      </c>
      <c r="F83">
        <v>119</v>
      </c>
      <c r="G83" s="1">
        <v>50</v>
      </c>
      <c r="H83" s="1">
        <v>50</v>
      </c>
      <c r="I83" s="1">
        <v>145</v>
      </c>
      <c r="J83" s="1">
        <v>2900</v>
      </c>
    </row>
    <row r="84" spans="1:10" x14ac:dyDescent="0.3">
      <c r="A84" t="s">
        <v>70</v>
      </c>
      <c r="B84" t="s">
        <v>25</v>
      </c>
      <c r="C84" t="s">
        <v>84</v>
      </c>
      <c r="D84" t="s">
        <v>85</v>
      </c>
      <c r="E84">
        <v>90</v>
      </c>
      <c r="F84">
        <v>7</v>
      </c>
      <c r="G84" s="1">
        <v>8500</v>
      </c>
      <c r="H84" s="1">
        <v>6500</v>
      </c>
      <c r="I84" s="1">
        <v>15600</v>
      </c>
      <c r="J84" s="1">
        <v>2400</v>
      </c>
    </row>
    <row r="85" spans="1:10" x14ac:dyDescent="0.3">
      <c r="A85" t="s">
        <v>70</v>
      </c>
      <c r="B85" t="s">
        <v>25</v>
      </c>
      <c r="C85" t="s">
        <v>84</v>
      </c>
      <c r="D85" t="s">
        <v>86</v>
      </c>
      <c r="E85">
        <v>90</v>
      </c>
      <c r="F85">
        <v>14</v>
      </c>
      <c r="G85" s="1">
        <v>1900</v>
      </c>
      <c r="H85" s="1">
        <v>1600</v>
      </c>
      <c r="I85" s="1">
        <v>3840</v>
      </c>
      <c r="J85" s="1">
        <v>2400</v>
      </c>
    </row>
    <row r="86" spans="1:10" x14ac:dyDescent="0.3">
      <c r="A86" t="s">
        <v>70</v>
      </c>
      <c r="B86" t="s">
        <v>25</v>
      </c>
      <c r="C86" t="s">
        <v>84</v>
      </c>
      <c r="D86" t="s">
        <v>87</v>
      </c>
      <c r="E86">
        <v>90</v>
      </c>
      <c r="F86">
        <v>35</v>
      </c>
      <c r="G86" s="1">
        <v>2000</v>
      </c>
      <c r="H86" s="1">
        <v>1700</v>
      </c>
      <c r="I86" s="1">
        <v>3740</v>
      </c>
      <c r="J86" s="1">
        <v>2200</v>
      </c>
    </row>
    <row r="87" spans="1:10" x14ac:dyDescent="0.3">
      <c r="A87" t="s">
        <v>70</v>
      </c>
      <c r="B87" t="s">
        <v>25</v>
      </c>
      <c r="C87" t="s">
        <v>84</v>
      </c>
      <c r="D87" t="s">
        <v>88</v>
      </c>
      <c r="E87">
        <v>90</v>
      </c>
      <c r="F87">
        <v>49</v>
      </c>
      <c r="G87" s="1">
        <v>1000</v>
      </c>
      <c r="H87" s="1">
        <v>800</v>
      </c>
      <c r="I87" s="1">
        <v>2000</v>
      </c>
      <c r="J87" s="1">
        <v>2500</v>
      </c>
    </row>
    <row r="88" spans="1:10" x14ac:dyDescent="0.3">
      <c r="A88" t="s">
        <v>70</v>
      </c>
      <c r="B88" t="s">
        <v>25</v>
      </c>
      <c r="C88" t="s">
        <v>84</v>
      </c>
      <c r="D88" t="s">
        <v>89</v>
      </c>
      <c r="E88">
        <v>90</v>
      </c>
      <c r="F88">
        <v>56</v>
      </c>
      <c r="G88" s="1">
        <v>4000</v>
      </c>
      <c r="H88" s="1">
        <v>3650</v>
      </c>
      <c r="I88" s="1">
        <v>8760</v>
      </c>
      <c r="J88" s="1">
        <v>2400</v>
      </c>
    </row>
    <row r="89" spans="1:10" x14ac:dyDescent="0.3">
      <c r="A89" t="s">
        <v>70</v>
      </c>
      <c r="B89" t="s">
        <v>25</v>
      </c>
      <c r="C89" t="s">
        <v>84</v>
      </c>
      <c r="D89" t="s">
        <v>91</v>
      </c>
      <c r="E89">
        <v>90</v>
      </c>
      <c r="F89">
        <v>91</v>
      </c>
      <c r="G89" s="1">
        <v>250</v>
      </c>
      <c r="H89" s="1">
        <v>200</v>
      </c>
      <c r="I89" s="1">
        <v>500</v>
      </c>
      <c r="J89" s="1">
        <v>2500</v>
      </c>
    </row>
    <row r="90" spans="1:10" x14ac:dyDescent="0.3">
      <c r="A90" t="s">
        <v>70</v>
      </c>
      <c r="B90" t="s">
        <v>25</v>
      </c>
      <c r="C90" t="s">
        <v>84</v>
      </c>
      <c r="D90" t="s">
        <v>90</v>
      </c>
      <c r="E90">
        <v>90</v>
      </c>
      <c r="F90">
        <v>112</v>
      </c>
      <c r="G90" s="1">
        <v>350</v>
      </c>
      <c r="H90" s="1">
        <v>0</v>
      </c>
      <c r="I90" s="1">
        <v>0</v>
      </c>
      <c r="J90" s="1">
        <v>0</v>
      </c>
    </row>
    <row r="91" spans="1:10" x14ac:dyDescent="0.3">
      <c r="A91" t="s">
        <v>71</v>
      </c>
      <c r="B91" t="s">
        <v>25</v>
      </c>
      <c r="C91" t="s">
        <v>84</v>
      </c>
      <c r="D91" t="s">
        <v>85</v>
      </c>
      <c r="E91">
        <v>90</v>
      </c>
      <c r="F91">
        <v>7</v>
      </c>
      <c r="G91" s="1">
        <v>2800</v>
      </c>
      <c r="H91" s="1">
        <v>2680</v>
      </c>
      <c r="I91" s="1">
        <v>3216</v>
      </c>
      <c r="J91" s="1">
        <v>1200</v>
      </c>
    </row>
    <row r="92" spans="1:10" x14ac:dyDescent="0.3">
      <c r="A92" t="s">
        <v>71</v>
      </c>
      <c r="B92" t="s">
        <v>25</v>
      </c>
      <c r="C92" t="s">
        <v>84</v>
      </c>
      <c r="D92" t="s">
        <v>86</v>
      </c>
      <c r="E92">
        <v>90</v>
      </c>
      <c r="F92">
        <v>14</v>
      </c>
      <c r="G92" s="1">
        <v>800</v>
      </c>
      <c r="H92" s="1">
        <v>670</v>
      </c>
      <c r="I92" s="1">
        <v>871</v>
      </c>
      <c r="J92" s="1">
        <v>1300</v>
      </c>
    </row>
    <row r="93" spans="1:10" x14ac:dyDescent="0.3">
      <c r="A93" t="s">
        <v>71</v>
      </c>
      <c r="B93" t="s">
        <v>25</v>
      </c>
      <c r="C93" t="s">
        <v>84</v>
      </c>
      <c r="D93" t="s">
        <v>95</v>
      </c>
      <c r="E93">
        <v>90</v>
      </c>
      <c r="F93">
        <v>28</v>
      </c>
      <c r="G93" s="1">
        <v>200</v>
      </c>
      <c r="H93" s="1">
        <v>200</v>
      </c>
      <c r="I93" s="1">
        <v>200</v>
      </c>
      <c r="J93" s="1">
        <v>1000</v>
      </c>
    </row>
    <row r="94" spans="1:10" x14ac:dyDescent="0.3">
      <c r="A94" t="s">
        <v>71</v>
      </c>
      <c r="B94" t="s">
        <v>25</v>
      </c>
      <c r="C94" t="s">
        <v>84</v>
      </c>
      <c r="D94" t="s">
        <v>88</v>
      </c>
      <c r="E94">
        <v>90</v>
      </c>
      <c r="F94">
        <v>49</v>
      </c>
      <c r="G94" s="1">
        <v>650</v>
      </c>
      <c r="H94" s="1">
        <v>590</v>
      </c>
      <c r="I94" s="1">
        <v>649</v>
      </c>
      <c r="J94" s="1">
        <v>1100</v>
      </c>
    </row>
    <row r="95" spans="1:10" x14ac:dyDescent="0.3">
      <c r="A95" t="s">
        <v>71</v>
      </c>
      <c r="B95" t="s">
        <v>25</v>
      </c>
      <c r="C95" t="s">
        <v>84</v>
      </c>
      <c r="D95" t="s">
        <v>89</v>
      </c>
      <c r="E95">
        <v>90</v>
      </c>
      <c r="F95">
        <v>56</v>
      </c>
      <c r="G95" s="1">
        <v>500</v>
      </c>
      <c r="H95" s="1">
        <v>460</v>
      </c>
      <c r="I95" s="1">
        <v>506</v>
      </c>
      <c r="J95" s="1">
        <v>1100</v>
      </c>
    </row>
    <row r="96" spans="1:10" x14ac:dyDescent="0.3">
      <c r="A96" t="s">
        <v>72</v>
      </c>
      <c r="B96" t="s">
        <v>25</v>
      </c>
      <c r="C96" t="s">
        <v>84</v>
      </c>
      <c r="D96" t="s">
        <v>85</v>
      </c>
      <c r="E96">
        <v>90</v>
      </c>
      <c r="F96">
        <v>7</v>
      </c>
      <c r="G96" s="1">
        <v>30800</v>
      </c>
      <c r="H96" s="1">
        <v>30130</v>
      </c>
      <c r="I96" s="1">
        <v>33411</v>
      </c>
      <c r="J96" s="1">
        <v>1109</v>
      </c>
    </row>
    <row r="97" spans="1:10" x14ac:dyDescent="0.3">
      <c r="A97" t="s">
        <v>72</v>
      </c>
      <c r="B97" t="s">
        <v>25</v>
      </c>
      <c r="C97" t="s">
        <v>84</v>
      </c>
      <c r="D97" t="s">
        <v>31</v>
      </c>
      <c r="E97">
        <v>90</v>
      </c>
      <c r="F97">
        <v>84</v>
      </c>
      <c r="G97" s="1">
        <v>70</v>
      </c>
      <c r="H97" s="1">
        <v>70</v>
      </c>
      <c r="I97" s="1">
        <v>70</v>
      </c>
      <c r="J97" s="1">
        <v>1000</v>
      </c>
    </row>
    <row r="98" spans="1:10" x14ac:dyDescent="0.3">
      <c r="A98" t="s">
        <v>72</v>
      </c>
      <c r="B98" t="s">
        <v>25</v>
      </c>
      <c r="C98" t="s">
        <v>84</v>
      </c>
      <c r="D98" t="s">
        <v>86</v>
      </c>
      <c r="E98">
        <v>90</v>
      </c>
      <c r="F98">
        <v>14</v>
      </c>
      <c r="G98" s="1">
        <v>10300</v>
      </c>
      <c r="H98" s="1">
        <v>9980</v>
      </c>
      <c r="I98" s="1">
        <v>12043</v>
      </c>
      <c r="J98" s="1">
        <v>1207</v>
      </c>
    </row>
    <row r="99" spans="1:10" x14ac:dyDescent="0.3">
      <c r="A99" t="s">
        <v>72</v>
      </c>
      <c r="B99" t="s">
        <v>25</v>
      </c>
      <c r="C99" t="s">
        <v>84</v>
      </c>
      <c r="D99" t="s">
        <v>95</v>
      </c>
      <c r="E99">
        <v>90</v>
      </c>
      <c r="F99">
        <v>28</v>
      </c>
      <c r="G99" s="1">
        <v>500</v>
      </c>
      <c r="H99" s="1">
        <v>490</v>
      </c>
      <c r="I99" s="1">
        <v>548</v>
      </c>
      <c r="J99" s="1">
        <v>1118</v>
      </c>
    </row>
    <row r="100" spans="1:10" x14ac:dyDescent="0.3">
      <c r="A100" t="s">
        <v>72</v>
      </c>
      <c r="B100" t="s">
        <v>25</v>
      </c>
      <c r="C100" t="s">
        <v>84</v>
      </c>
      <c r="D100" t="s">
        <v>87</v>
      </c>
      <c r="E100">
        <v>90</v>
      </c>
      <c r="F100">
        <v>35</v>
      </c>
      <c r="G100" s="1">
        <v>11000</v>
      </c>
      <c r="H100" s="1">
        <v>10380</v>
      </c>
      <c r="I100" s="1">
        <v>10380</v>
      </c>
      <c r="J100" s="1">
        <v>1000</v>
      </c>
    </row>
    <row r="101" spans="1:10" x14ac:dyDescent="0.3">
      <c r="A101" t="s">
        <v>72</v>
      </c>
      <c r="B101" t="s">
        <v>25</v>
      </c>
      <c r="C101" t="s">
        <v>84</v>
      </c>
      <c r="D101" t="s">
        <v>96</v>
      </c>
      <c r="E101">
        <v>90</v>
      </c>
      <c r="F101">
        <v>42</v>
      </c>
      <c r="G101" s="1">
        <v>300</v>
      </c>
      <c r="H101" s="1">
        <v>270</v>
      </c>
      <c r="I101" s="1">
        <v>351</v>
      </c>
      <c r="J101" s="1">
        <v>1300</v>
      </c>
    </row>
    <row r="102" spans="1:10" x14ac:dyDescent="0.3">
      <c r="A102" t="s">
        <v>72</v>
      </c>
      <c r="B102" t="s">
        <v>25</v>
      </c>
      <c r="C102" t="s">
        <v>84</v>
      </c>
      <c r="D102" t="s">
        <v>88</v>
      </c>
      <c r="E102">
        <v>90</v>
      </c>
      <c r="F102">
        <v>49</v>
      </c>
      <c r="G102" s="1">
        <v>14350</v>
      </c>
      <c r="H102" s="1">
        <v>13710</v>
      </c>
      <c r="I102" s="1">
        <v>15081</v>
      </c>
      <c r="J102" s="1">
        <v>1100</v>
      </c>
    </row>
    <row r="103" spans="1:10" x14ac:dyDescent="0.3">
      <c r="A103" t="s">
        <v>72</v>
      </c>
      <c r="B103" t="s">
        <v>25</v>
      </c>
      <c r="C103" t="s">
        <v>84</v>
      </c>
      <c r="D103" t="s">
        <v>89</v>
      </c>
      <c r="E103">
        <v>90</v>
      </c>
      <c r="F103">
        <v>56</v>
      </c>
      <c r="G103" s="1">
        <v>13300</v>
      </c>
      <c r="H103" s="1">
        <v>12700</v>
      </c>
      <c r="I103" s="1">
        <v>12746</v>
      </c>
      <c r="J103" s="1">
        <v>1004</v>
      </c>
    </row>
    <row r="104" spans="1:10" x14ac:dyDescent="0.3">
      <c r="A104" t="s">
        <v>72</v>
      </c>
      <c r="B104" t="s">
        <v>25</v>
      </c>
      <c r="C104" t="s">
        <v>84</v>
      </c>
      <c r="D104" t="s">
        <v>97</v>
      </c>
      <c r="E104">
        <v>90</v>
      </c>
      <c r="F104">
        <v>63</v>
      </c>
      <c r="G104" s="1">
        <v>400</v>
      </c>
      <c r="H104" s="1">
        <v>380</v>
      </c>
      <c r="I104" s="1">
        <v>494</v>
      </c>
      <c r="J104" s="1">
        <v>1300</v>
      </c>
    </row>
    <row r="105" spans="1:10" x14ac:dyDescent="0.3">
      <c r="A105" t="s">
        <v>72</v>
      </c>
      <c r="B105" t="s">
        <v>25</v>
      </c>
      <c r="C105" t="s">
        <v>84</v>
      </c>
      <c r="D105" t="s">
        <v>91</v>
      </c>
      <c r="E105">
        <v>90</v>
      </c>
      <c r="F105">
        <v>91</v>
      </c>
      <c r="G105" s="1">
        <v>1200</v>
      </c>
      <c r="H105" s="1">
        <v>1120</v>
      </c>
      <c r="I105" s="1">
        <v>1344</v>
      </c>
      <c r="J105" s="1">
        <v>1200</v>
      </c>
    </row>
    <row r="106" spans="1:10" x14ac:dyDescent="0.3">
      <c r="A106" t="s">
        <v>72</v>
      </c>
      <c r="B106" t="s">
        <v>25</v>
      </c>
      <c r="C106" t="s">
        <v>84</v>
      </c>
      <c r="D106" t="s">
        <v>100</v>
      </c>
      <c r="E106">
        <v>90</v>
      </c>
      <c r="F106">
        <v>105</v>
      </c>
      <c r="G106" s="1">
        <v>100</v>
      </c>
      <c r="H106" s="1">
        <v>100</v>
      </c>
      <c r="I106" s="1">
        <v>120</v>
      </c>
      <c r="J106" s="1">
        <v>1200</v>
      </c>
    </row>
    <row r="107" spans="1:10" x14ac:dyDescent="0.3">
      <c r="A107" t="s">
        <v>72</v>
      </c>
      <c r="B107" t="s">
        <v>25</v>
      </c>
      <c r="C107" t="s">
        <v>84</v>
      </c>
      <c r="D107" t="s">
        <v>101</v>
      </c>
      <c r="E107">
        <v>90</v>
      </c>
      <c r="F107">
        <v>119</v>
      </c>
      <c r="G107" s="1">
        <v>50</v>
      </c>
      <c r="H107" s="1">
        <v>40</v>
      </c>
      <c r="I107" s="1">
        <v>48</v>
      </c>
      <c r="J107" s="1">
        <v>1200</v>
      </c>
    </row>
    <row r="108" spans="1:10" x14ac:dyDescent="0.3">
      <c r="A108" t="s">
        <v>10</v>
      </c>
      <c r="B108" t="s">
        <v>25</v>
      </c>
      <c r="C108" t="s">
        <v>102</v>
      </c>
      <c r="D108" t="s">
        <v>103</v>
      </c>
      <c r="E108">
        <v>66</v>
      </c>
      <c r="F108">
        <v>7</v>
      </c>
      <c r="G108" s="1">
        <v>12100</v>
      </c>
      <c r="H108" s="1">
        <v>12100</v>
      </c>
      <c r="I108" s="1">
        <v>31460</v>
      </c>
      <c r="J108" s="1">
        <v>2600</v>
      </c>
    </row>
    <row r="109" spans="1:10" x14ac:dyDescent="0.3">
      <c r="A109" t="s">
        <v>10</v>
      </c>
      <c r="B109" t="s">
        <v>25</v>
      </c>
      <c r="C109" t="s">
        <v>102</v>
      </c>
      <c r="D109" t="s">
        <v>104</v>
      </c>
      <c r="E109">
        <v>66</v>
      </c>
      <c r="F109">
        <v>112</v>
      </c>
      <c r="G109" s="1">
        <v>450</v>
      </c>
      <c r="H109" s="1">
        <v>450</v>
      </c>
      <c r="I109" s="1">
        <v>1080</v>
      </c>
      <c r="J109" s="1">
        <v>2400</v>
      </c>
    </row>
    <row r="110" spans="1:10" x14ac:dyDescent="0.3">
      <c r="A110" t="s">
        <v>105</v>
      </c>
      <c r="B110" t="s">
        <v>25</v>
      </c>
      <c r="C110" t="s">
        <v>102</v>
      </c>
      <c r="D110" t="s">
        <v>103</v>
      </c>
      <c r="E110">
        <v>66</v>
      </c>
      <c r="F110">
        <v>7</v>
      </c>
      <c r="G110" s="1">
        <v>85</v>
      </c>
      <c r="H110" s="1">
        <v>85</v>
      </c>
      <c r="I110" s="1">
        <v>68</v>
      </c>
      <c r="J110" s="1">
        <v>800</v>
      </c>
    </row>
    <row r="111" spans="1:10" x14ac:dyDescent="0.3">
      <c r="A111" t="s">
        <v>49</v>
      </c>
      <c r="B111" t="s">
        <v>25</v>
      </c>
      <c r="C111" t="s">
        <v>102</v>
      </c>
      <c r="D111" t="s">
        <v>103</v>
      </c>
      <c r="E111">
        <v>66</v>
      </c>
      <c r="F111">
        <v>7</v>
      </c>
      <c r="G111" s="1">
        <v>555</v>
      </c>
      <c r="H111" s="1">
        <v>555</v>
      </c>
      <c r="I111" s="1">
        <v>555</v>
      </c>
      <c r="J111" s="1">
        <v>1000</v>
      </c>
    </row>
    <row r="112" spans="1:10" x14ac:dyDescent="0.3">
      <c r="A112" t="s">
        <v>49</v>
      </c>
      <c r="B112" t="s">
        <v>25</v>
      </c>
      <c r="C112" t="s">
        <v>102</v>
      </c>
      <c r="D112" t="s">
        <v>106</v>
      </c>
      <c r="E112">
        <v>66</v>
      </c>
      <c r="F112">
        <v>35</v>
      </c>
      <c r="G112" s="1">
        <v>21</v>
      </c>
      <c r="H112" s="1">
        <v>21</v>
      </c>
      <c r="I112" s="1">
        <v>19</v>
      </c>
      <c r="J112" s="1">
        <v>900</v>
      </c>
    </row>
    <row r="113" spans="1:10" x14ac:dyDescent="0.3">
      <c r="A113" t="s">
        <v>49</v>
      </c>
      <c r="B113" t="s">
        <v>25</v>
      </c>
      <c r="C113" t="s">
        <v>102</v>
      </c>
      <c r="D113" t="s">
        <v>107</v>
      </c>
      <c r="E113">
        <v>66</v>
      </c>
      <c r="F113">
        <v>42</v>
      </c>
      <c r="G113" s="1">
        <v>20</v>
      </c>
      <c r="H113" s="1">
        <v>20</v>
      </c>
      <c r="I113" s="1">
        <v>18</v>
      </c>
      <c r="J113" s="1">
        <v>900</v>
      </c>
    </row>
    <row r="114" spans="1:10" x14ac:dyDescent="0.3">
      <c r="A114" t="s">
        <v>49</v>
      </c>
      <c r="B114" t="s">
        <v>25</v>
      </c>
      <c r="C114" t="s">
        <v>102</v>
      </c>
      <c r="D114" t="s">
        <v>108</v>
      </c>
      <c r="E114">
        <v>66</v>
      </c>
      <c r="F114">
        <v>49</v>
      </c>
      <c r="G114" s="1">
        <v>85</v>
      </c>
      <c r="H114" s="1">
        <v>85</v>
      </c>
      <c r="I114" s="1">
        <v>94</v>
      </c>
      <c r="J114" s="1">
        <v>1100</v>
      </c>
    </row>
    <row r="115" spans="1:10" x14ac:dyDescent="0.3">
      <c r="A115" t="s">
        <v>49</v>
      </c>
      <c r="B115" t="s">
        <v>25</v>
      </c>
      <c r="C115" t="s">
        <v>102</v>
      </c>
      <c r="D115" t="s">
        <v>109</v>
      </c>
      <c r="E115">
        <v>66</v>
      </c>
      <c r="F115">
        <v>98</v>
      </c>
      <c r="G115" s="1">
        <v>30</v>
      </c>
      <c r="H115" s="1">
        <v>30</v>
      </c>
      <c r="I115" s="1">
        <v>33</v>
      </c>
      <c r="J115" s="1">
        <v>1100</v>
      </c>
    </row>
    <row r="116" spans="1:10" x14ac:dyDescent="0.3">
      <c r="A116" t="s">
        <v>49</v>
      </c>
      <c r="B116" t="s">
        <v>25</v>
      </c>
      <c r="C116" t="s">
        <v>102</v>
      </c>
      <c r="D116" t="s">
        <v>104</v>
      </c>
      <c r="E116">
        <v>66</v>
      </c>
      <c r="F116">
        <v>112</v>
      </c>
      <c r="G116" s="1">
        <v>200</v>
      </c>
      <c r="H116" s="1">
        <v>200</v>
      </c>
      <c r="I116" s="1">
        <v>180</v>
      </c>
      <c r="J116" s="1">
        <v>900</v>
      </c>
    </row>
    <row r="117" spans="1:10" x14ac:dyDescent="0.3">
      <c r="A117" t="s">
        <v>52</v>
      </c>
      <c r="B117" t="s">
        <v>25</v>
      </c>
      <c r="C117" t="s">
        <v>102</v>
      </c>
      <c r="D117" t="s">
        <v>103</v>
      </c>
      <c r="E117">
        <v>66</v>
      </c>
      <c r="F117">
        <v>7</v>
      </c>
      <c r="G117" s="1">
        <v>6594</v>
      </c>
      <c r="H117" s="1">
        <v>6594</v>
      </c>
      <c r="I117" s="1">
        <v>6594</v>
      </c>
      <c r="J117" s="1">
        <v>1000</v>
      </c>
    </row>
    <row r="118" spans="1:10" x14ac:dyDescent="0.3">
      <c r="A118" t="s">
        <v>52</v>
      </c>
      <c r="B118" t="s">
        <v>25</v>
      </c>
      <c r="C118" t="s">
        <v>102</v>
      </c>
      <c r="D118" t="s">
        <v>110</v>
      </c>
      <c r="E118">
        <v>66</v>
      </c>
      <c r="F118">
        <v>14</v>
      </c>
      <c r="G118" s="1">
        <v>328</v>
      </c>
      <c r="H118" s="1">
        <v>328</v>
      </c>
      <c r="I118" s="1">
        <v>295</v>
      </c>
      <c r="J118" s="1">
        <v>899</v>
      </c>
    </row>
    <row r="119" spans="1:10" x14ac:dyDescent="0.3">
      <c r="A119" t="s">
        <v>52</v>
      </c>
      <c r="B119" t="s">
        <v>25</v>
      </c>
      <c r="C119" t="s">
        <v>102</v>
      </c>
      <c r="D119" t="s">
        <v>107</v>
      </c>
      <c r="E119">
        <v>66</v>
      </c>
      <c r="F119">
        <v>42</v>
      </c>
      <c r="G119" s="1">
        <v>100</v>
      </c>
      <c r="H119" s="1">
        <v>100</v>
      </c>
      <c r="I119" s="1">
        <v>130</v>
      </c>
      <c r="J119" s="1">
        <v>1300</v>
      </c>
    </row>
    <row r="120" spans="1:10" x14ac:dyDescent="0.3">
      <c r="A120" t="s">
        <v>52</v>
      </c>
      <c r="B120" t="s">
        <v>25</v>
      </c>
      <c r="C120" t="s">
        <v>102</v>
      </c>
      <c r="D120" t="s">
        <v>108</v>
      </c>
      <c r="E120">
        <v>66</v>
      </c>
      <c r="F120">
        <v>49</v>
      </c>
      <c r="G120" s="1">
        <v>135</v>
      </c>
      <c r="H120" s="1">
        <v>135</v>
      </c>
      <c r="I120" s="1">
        <v>149</v>
      </c>
      <c r="J120" s="1">
        <v>1104</v>
      </c>
    </row>
    <row r="121" spans="1:10" x14ac:dyDescent="0.3">
      <c r="A121" t="s">
        <v>52</v>
      </c>
      <c r="B121" t="s">
        <v>25</v>
      </c>
      <c r="C121" t="s">
        <v>102</v>
      </c>
      <c r="D121" t="s">
        <v>111</v>
      </c>
      <c r="E121">
        <v>66</v>
      </c>
      <c r="F121">
        <v>56</v>
      </c>
      <c r="G121" s="1">
        <v>6000</v>
      </c>
      <c r="H121" s="1">
        <v>6000</v>
      </c>
      <c r="I121" s="1">
        <v>6600</v>
      </c>
      <c r="J121" s="1">
        <v>1100</v>
      </c>
    </row>
    <row r="122" spans="1:10" x14ac:dyDescent="0.3">
      <c r="A122" t="s">
        <v>52</v>
      </c>
      <c r="B122" t="s">
        <v>25</v>
      </c>
      <c r="C122" t="s">
        <v>102</v>
      </c>
      <c r="D122" t="s">
        <v>104</v>
      </c>
      <c r="E122">
        <v>66</v>
      </c>
      <c r="F122">
        <v>112</v>
      </c>
      <c r="G122" s="1">
        <v>360</v>
      </c>
      <c r="H122" s="1">
        <v>360</v>
      </c>
      <c r="I122" s="1">
        <v>432</v>
      </c>
      <c r="J122" s="1">
        <v>1200</v>
      </c>
    </row>
    <row r="123" spans="1:10" x14ac:dyDescent="0.3">
      <c r="A123" t="s">
        <v>52</v>
      </c>
      <c r="B123" t="s">
        <v>25</v>
      </c>
      <c r="C123" t="s">
        <v>102</v>
      </c>
      <c r="D123" t="s">
        <v>112</v>
      </c>
      <c r="E123">
        <v>66</v>
      </c>
      <c r="F123">
        <v>126</v>
      </c>
      <c r="G123" s="1">
        <v>1200</v>
      </c>
      <c r="H123" s="1">
        <v>1200</v>
      </c>
      <c r="I123" s="1">
        <v>1080</v>
      </c>
      <c r="J123" s="1">
        <v>900</v>
      </c>
    </row>
    <row r="124" spans="1:10" x14ac:dyDescent="0.3">
      <c r="A124" t="s">
        <v>52</v>
      </c>
      <c r="B124" t="s">
        <v>25</v>
      </c>
      <c r="C124" t="s">
        <v>102</v>
      </c>
      <c r="D124" t="s">
        <v>51</v>
      </c>
      <c r="E124">
        <v>66</v>
      </c>
      <c r="F124">
        <v>133</v>
      </c>
      <c r="G124" s="1">
        <v>1000</v>
      </c>
      <c r="H124" s="1">
        <v>1000</v>
      </c>
      <c r="I124" s="1">
        <v>1000</v>
      </c>
      <c r="J124" s="1">
        <v>1000</v>
      </c>
    </row>
    <row r="125" spans="1:10" x14ac:dyDescent="0.3">
      <c r="A125" t="s">
        <v>52</v>
      </c>
      <c r="B125" t="s">
        <v>25</v>
      </c>
      <c r="C125" t="s">
        <v>102</v>
      </c>
      <c r="D125" t="s">
        <v>113</v>
      </c>
      <c r="E125">
        <v>66</v>
      </c>
      <c r="F125">
        <v>140</v>
      </c>
      <c r="G125" s="1">
        <v>110</v>
      </c>
      <c r="H125" s="1">
        <v>110</v>
      </c>
      <c r="I125" s="1">
        <v>99</v>
      </c>
      <c r="J125" s="1">
        <v>900</v>
      </c>
    </row>
    <row r="126" spans="1:10" x14ac:dyDescent="0.3">
      <c r="A126" t="s">
        <v>53</v>
      </c>
      <c r="B126" t="s">
        <v>25</v>
      </c>
      <c r="C126" t="s">
        <v>102</v>
      </c>
      <c r="D126" t="s">
        <v>106</v>
      </c>
      <c r="E126">
        <v>66</v>
      </c>
      <c r="F126">
        <v>35</v>
      </c>
      <c r="G126" s="1">
        <v>50</v>
      </c>
      <c r="H126" s="1">
        <v>50</v>
      </c>
      <c r="I126" s="1">
        <v>50</v>
      </c>
      <c r="J126" s="1">
        <v>1000</v>
      </c>
    </row>
    <row r="127" spans="1:10" x14ac:dyDescent="0.3">
      <c r="A127" t="s">
        <v>54</v>
      </c>
      <c r="B127" t="s">
        <v>25</v>
      </c>
      <c r="C127" t="s">
        <v>102</v>
      </c>
      <c r="D127" t="s">
        <v>103</v>
      </c>
      <c r="E127">
        <v>66</v>
      </c>
      <c r="F127">
        <v>7</v>
      </c>
      <c r="G127" s="1">
        <v>800</v>
      </c>
      <c r="H127" s="1">
        <v>800</v>
      </c>
      <c r="I127" s="1">
        <v>800</v>
      </c>
      <c r="J127" s="1">
        <v>1000</v>
      </c>
    </row>
    <row r="128" spans="1:10" x14ac:dyDescent="0.3">
      <c r="A128" t="s">
        <v>54</v>
      </c>
      <c r="B128" t="s">
        <v>25</v>
      </c>
      <c r="C128" t="s">
        <v>102</v>
      </c>
      <c r="D128" t="s">
        <v>106</v>
      </c>
      <c r="E128">
        <v>66</v>
      </c>
      <c r="F128">
        <v>35</v>
      </c>
      <c r="G128" s="1">
        <v>20</v>
      </c>
      <c r="H128" s="1">
        <v>20</v>
      </c>
      <c r="I128" s="1">
        <v>22</v>
      </c>
      <c r="J128" s="1">
        <v>1100</v>
      </c>
    </row>
    <row r="129" spans="1:10" x14ac:dyDescent="0.3">
      <c r="A129" t="s">
        <v>54</v>
      </c>
      <c r="B129" t="s">
        <v>25</v>
      </c>
      <c r="C129" t="s">
        <v>102</v>
      </c>
      <c r="D129" t="s">
        <v>104</v>
      </c>
      <c r="E129">
        <v>66</v>
      </c>
      <c r="F129">
        <v>112</v>
      </c>
      <c r="G129" s="1">
        <v>600</v>
      </c>
      <c r="H129" s="1">
        <v>600</v>
      </c>
      <c r="I129" s="1">
        <v>540</v>
      </c>
      <c r="J129" s="1">
        <v>900</v>
      </c>
    </row>
    <row r="130" spans="1:10" x14ac:dyDescent="0.3">
      <c r="A130" t="s">
        <v>54</v>
      </c>
      <c r="B130" t="s">
        <v>25</v>
      </c>
      <c r="C130" t="s">
        <v>102</v>
      </c>
      <c r="D130" t="s">
        <v>113</v>
      </c>
      <c r="E130">
        <v>66</v>
      </c>
      <c r="F130">
        <v>140</v>
      </c>
      <c r="G130" s="1">
        <v>1000</v>
      </c>
      <c r="H130" s="1">
        <v>1000</v>
      </c>
      <c r="I130" s="1">
        <v>900</v>
      </c>
      <c r="J130" s="1">
        <v>900</v>
      </c>
    </row>
    <row r="131" spans="1:10" x14ac:dyDescent="0.3">
      <c r="A131" t="s">
        <v>55</v>
      </c>
      <c r="B131" t="s">
        <v>25</v>
      </c>
      <c r="C131" t="s">
        <v>102</v>
      </c>
      <c r="D131" t="s">
        <v>103</v>
      </c>
      <c r="E131">
        <v>66</v>
      </c>
      <c r="F131">
        <v>7</v>
      </c>
      <c r="G131" s="1">
        <v>400</v>
      </c>
      <c r="H131" s="1">
        <v>400</v>
      </c>
      <c r="I131" s="1">
        <v>360</v>
      </c>
      <c r="J131" s="1">
        <v>900</v>
      </c>
    </row>
    <row r="132" spans="1:10" x14ac:dyDescent="0.3">
      <c r="A132" t="s">
        <v>55</v>
      </c>
      <c r="B132" t="s">
        <v>25</v>
      </c>
      <c r="C132" t="s">
        <v>102</v>
      </c>
      <c r="D132" t="s">
        <v>108</v>
      </c>
      <c r="E132">
        <v>66</v>
      </c>
      <c r="F132">
        <v>49</v>
      </c>
      <c r="G132" s="1">
        <v>60</v>
      </c>
      <c r="H132" s="1">
        <v>60</v>
      </c>
      <c r="I132" s="1">
        <v>60</v>
      </c>
      <c r="J132" s="1">
        <v>1000</v>
      </c>
    </row>
    <row r="133" spans="1:10" x14ac:dyDescent="0.3">
      <c r="A133" t="s">
        <v>55</v>
      </c>
      <c r="B133" t="s">
        <v>25</v>
      </c>
      <c r="C133" t="s">
        <v>102</v>
      </c>
      <c r="D133" t="s">
        <v>104</v>
      </c>
      <c r="E133">
        <v>66</v>
      </c>
      <c r="F133">
        <v>112</v>
      </c>
      <c r="G133" s="1">
        <v>105</v>
      </c>
      <c r="H133" s="1">
        <v>105</v>
      </c>
      <c r="I133" s="1">
        <v>126</v>
      </c>
      <c r="J133" s="1">
        <v>1200</v>
      </c>
    </row>
    <row r="134" spans="1:10" x14ac:dyDescent="0.3">
      <c r="A134" t="s">
        <v>55</v>
      </c>
      <c r="B134" t="s">
        <v>25</v>
      </c>
      <c r="C134" t="s">
        <v>102</v>
      </c>
      <c r="D134" t="s">
        <v>113</v>
      </c>
      <c r="E134">
        <v>66</v>
      </c>
      <c r="F134">
        <v>140</v>
      </c>
      <c r="G134" s="1">
        <v>70</v>
      </c>
      <c r="H134" s="1">
        <v>70</v>
      </c>
      <c r="I134" s="1">
        <v>63</v>
      </c>
      <c r="J134" s="1">
        <v>900</v>
      </c>
    </row>
    <row r="135" spans="1:10" x14ac:dyDescent="0.3">
      <c r="A135" t="s">
        <v>56</v>
      </c>
      <c r="B135" t="s">
        <v>25</v>
      </c>
      <c r="C135" t="s">
        <v>102</v>
      </c>
      <c r="D135" t="s">
        <v>103</v>
      </c>
      <c r="E135">
        <v>66</v>
      </c>
      <c r="F135">
        <v>7</v>
      </c>
      <c r="G135" s="1">
        <v>33100</v>
      </c>
      <c r="H135" s="1">
        <v>33100</v>
      </c>
      <c r="I135" s="1">
        <v>39720</v>
      </c>
      <c r="J135" s="1">
        <v>1200</v>
      </c>
    </row>
    <row r="136" spans="1:10" x14ac:dyDescent="0.3">
      <c r="A136" t="s">
        <v>56</v>
      </c>
      <c r="B136" t="s">
        <v>25</v>
      </c>
      <c r="C136" t="s">
        <v>102</v>
      </c>
      <c r="D136" t="s">
        <v>31</v>
      </c>
      <c r="E136">
        <v>66</v>
      </c>
      <c r="F136">
        <v>28</v>
      </c>
      <c r="G136" s="1">
        <v>450</v>
      </c>
      <c r="H136" s="1">
        <v>450</v>
      </c>
      <c r="I136" s="1">
        <v>495</v>
      </c>
      <c r="J136" s="1">
        <v>1100</v>
      </c>
    </row>
    <row r="137" spans="1:10" x14ac:dyDescent="0.3">
      <c r="A137" t="s">
        <v>56</v>
      </c>
      <c r="B137" t="s">
        <v>25</v>
      </c>
      <c r="C137" t="s">
        <v>102</v>
      </c>
      <c r="D137" t="s">
        <v>106</v>
      </c>
      <c r="E137">
        <v>66</v>
      </c>
      <c r="F137">
        <v>35</v>
      </c>
      <c r="G137" s="1">
        <v>150</v>
      </c>
      <c r="H137" s="1">
        <v>150</v>
      </c>
      <c r="I137" s="1">
        <v>195</v>
      </c>
      <c r="J137" s="1">
        <v>1300</v>
      </c>
    </row>
    <row r="138" spans="1:10" x14ac:dyDescent="0.3">
      <c r="A138" t="s">
        <v>56</v>
      </c>
      <c r="B138" t="s">
        <v>25</v>
      </c>
      <c r="C138" t="s">
        <v>102</v>
      </c>
      <c r="D138" t="s">
        <v>107</v>
      </c>
      <c r="E138">
        <v>66</v>
      </c>
      <c r="F138">
        <v>42</v>
      </c>
      <c r="G138" s="1">
        <v>350</v>
      </c>
      <c r="H138" s="1">
        <v>350</v>
      </c>
      <c r="I138" s="1">
        <v>420</v>
      </c>
      <c r="J138" s="1">
        <v>1200</v>
      </c>
    </row>
    <row r="139" spans="1:10" x14ac:dyDescent="0.3">
      <c r="A139" t="s">
        <v>56</v>
      </c>
      <c r="B139" t="s">
        <v>25</v>
      </c>
      <c r="C139" t="s">
        <v>102</v>
      </c>
      <c r="D139" t="s">
        <v>108</v>
      </c>
      <c r="E139">
        <v>66</v>
      </c>
      <c r="F139">
        <v>49</v>
      </c>
      <c r="G139" s="1">
        <v>225</v>
      </c>
      <c r="H139" s="1">
        <v>225</v>
      </c>
      <c r="I139" s="1">
        <v>270</v>
      </c>
      <c r="J139" s="1">
        <v>1200</v>
      </c>
    </row>
    <row r="140" spans="1:10" x14ac:dyDescent="0.3">
      <c r="A140" t="s">
        <v>56</v>
      </c>
      <c r="B140" t="s">
        <v>25</v>
      </c>
      <c r="C140" t="s">
        <v>102</v>
      </c>
      <c r="D140" t="s">
        <v>111</v>
      </c>
      <c r="E140">
        <v>66</v>
      </c>
      <c r="F140">
        <v>56</v>
      </c>
      <c r="G140" s="1">
        <v>9630</v>
      </c>
      <c r="H140" s="1">
        <v>9630</v>
      </c>
      <c r="I140" s="1">
        <v>9630</v>
      </c>
      <c r="J140" s="1">
        <v>1000</v>
      </c>
    </row>
    <row r="141" spans="1:10" x14ac:dyDescent="0.3">
      <c r="A141" t="s">
        <v>56</v>
      </c>
      <c r="B141" t="s">
        <v>25</v>
      </c>
      <c r="C141" t="s">
        <v>102</v>
      </c>
      <c r="D141" t="s">
        <v>104</v>
      </c>
      <c r="E141">
        <v>66</v>
      </c>
      <c r="F141">
        <v>112</v>
      </c>
      <c r="G141" s="1">
        <v>3800</v>
      </c>
      <c r="H141" s="1">
        <v>3800</v>
      </c>
      <c r="I141" s="1">
        <v>4180</v>
      </c>
      <c r="J141" s="1">
        <v>1100</v>
      </c>
    </row>
    <row r="142" spans="1:10" x14ac:dyDescent="0.3">
      <c r="A142" t="s">
        <v>56</v>
      </c>
      <c r="B142" t="s">
        <v>25</v>
      </c>
      <c r="C142" t="s">
        <v>102</v>
      </c>
      <c r="D142" t="s">
        <v>112</v>
      </c>
      <c r="E142">
        <v>66</v>
      </c>
      <c r="F142">
        <v>126</v>
      </c>
      <c r="G142" s="1">
        <v>4520</v>
      </c>
      <c r="H142" s="1">
        <v>4520</v>
      </c>
      <c r="I142" s="1">
        <v>4068</v>
      </c>
      <c r="J142" s="1">
        <v>900</v>
      </c>
    </row>
    <row r="143" spans="1:10" x14ac:dyDescent="0.3">
      <c r="A143" t="s">
        <v>56</v>
      </c>
      <c r="B143" t="s">
        <v>25</v>
      </c>
      <c r="C143" t="s">
        <v>102</v>
      </c>
      <c r="D143" t="s">
        <v>51</v>
      </c>
      <c r="E143">
        <v>66</v>
      </c>
      <c r="F143">
        <v>133</v>
      </c>
      <c r="G143" s="1">
        <v>1500</v>
      </c>
      <c r="H143" s="1">
        <v>1500</v>
      </c>
      <c r="I143" s="1">
        <v>1350</v>
      </c>
      <c r="J143" s="1">
        <v>900</v>
      </c>
    </row>
    <row r="144" spans="1:10" x14ac:dyDescent="0.3">
      <c r="A144" t="s">
        <v>56</v>
      </c>
      <c r="B144" t="s">
        <v>25</v>
      </c>
      <c r="C144" t="s">
        <v>102</v>
      </c>
      <c r="D144" t="s">
        <v>113</v>
      </c>
      <c r="E144">
        <v>66</v>
      </c>
      <c r="F144">
        <v>140</v>
      </c>
      <c r="G144" s="1">
        <v>5880</v>
      </c>
      <c r="H144" s="1">
        <v>5880</v>
      </c>
      <c r="I144" s="1">
        <v>5292</v>
      </c>
      <c r="J144" s="1">
        <v>900</v>
      </c>
    </row>
    <row r="145" spans="1:10" x14ac:dyDescent="0.3">
      <c r="A145" t="s">
        <v>56</v>
      </c>
      <c r="B145" t="s">
        <v>25</v>
      </c>
      <c r="C145" t="s">
        <v>102</v>
      </c>
      <c r="D145" t="s">
        <v>114</v>
      </c>
      <c r="E145">
        <v>66</v>
      </c>
      <c r="F145">
        <v>147</v>
      </c>
      <c r="G145" s="1">
        <v>70</v>
      </c>
      <c r="H145" s="1">
        <v>70</v>
      </c>
      <c r="I145" s="1">
        <v>77</v>
      </c>
      <c r="J145" s="1">
        <v>1100</v>
      </c>
    </row>
    <row r="146" spans="1:10" x14ac:dyDescent="0.3">
      <c r="A146" t="s">
        <v>57</v>
      </c>
      <c r="B146" t="s">
        <v>25</v>
      </c>
      <c r="C146" t="s">
        <v>102</v>
      </c>
      <c r="D146" t="s">
        <v>103</v>
      </c>
      <c r="E146">
        <v>66</v>
      </c>
      <c r="F146">
        <v>7</v>
      </c>
      <c r="G146" s="1">
        <v>114</v>
      </c>
      <c r="H146" s="1">
        <v>114</v>
      </c>
      <c r="I146" s="1">
        <v>114</v>
      </c>
      <c r="J146" s="1">
        <v>1000</v>
      </c>
    </row>
    <row r="147" spans="1:10" x14ac:dyDescent="0.3">
      <c r="A147" t="s">
        <v>57</v>
      </c>
      <c r="B147" t="s">
        <v>25</v>
      </c>
      <c r="C147" t="s">
        <v>102</v>
      </c>
      <c r="D147" t="s">
        <v>104</v>
      </c>
      <c r="E147">
        <v>66</v>
      </c>
      <c r="F147">
        <v>112</v>
      </c>
      <c r="G147" s="1">
        <v>30</v>
      </c>
      <c r="H147" s="1">
        <v>30</v>
      </c>
      <c r="I147" s="1">
        <v>33</v>
      </c>
      <c r="J147" s="1">
        <v>1100</v>
      </c>
    </row>
    <row r="148" spans="1:10" x14ac:dyDescent="0.3">
      <c r="A148" t="s">
        <v>57</v>
      </c>
      <c r="B148" t="s">
        <v>25</v>
      </c>
      <c r="C148" t="s">
        <v>102</v>
      </c>
      <c r="D148" t="s">
        <v>51</v>
      </c>
      <c r="E148">
        <v>66</v>
      </c>
      <c r="F148">
        <v>133</v>
      </c>
      <c r="G148" s="1">
        <v>265</v>
      </c>
      <c r="H148" s="1">
        <v>265</v>
      </c>
      <c r="I148" s="1">
        <v>292</v>
      </c>
      <c r="J148" s="1">
        <v>1100</v>
      </c>
    </row>
    <row r="149" spans="1:10" x14ac:dyDescent="0.3">
      <c r="A149" t="s">
        <v>57</v>
      </c>
      <c r="B149" t="s">
        <v>25</v>
      </c>
      <c r="C149" t="s">
        <v>102</v>
      </c>
      <c r="D149" t="s">
        <v>113</v>
      </c>
      <c r="E149">
        <v>66</v>
      </c>
      <c r="F149">
        <v>140</v>
      </c>
      <c r="G149" s="1">
        <v>50</v>
      </c>
      <c r="H149" s="1">
        <v>50</v>
      </c>
      <c r="I149" s="1">
        <v>55</v>
      </c>
      <c r="J149" s="1">
        <v>1100</v>
      </c>
    </row>
    <row r="150" spans="1:10" x14ac:dyDescent="0.3">
      <c r="A150" t="s">
        <v>59</v>
      </c>
      <c r="B150" t="s">
        <v>25</v>
      </c>
      <c r="C150" t="s">
        <v>102</v>
      </c>
      <c r="D150" t="s">
        <v>103</v>
      </c>
      <c r="E150">
        <v>66</v>
      </c>
      <c r="F150">
        <v>7</v>
      </c>
      <c r="G150" s="1">
        <v>600</v>
      </c>
      <c r="H150" s="1">
        <v>600</v>
      </c>
      <c r="I150" s="1">
        <v>360</v>
      </c>
      <c r="J150" s="1">
        <v>600</v>
      </c>
    </row>
    <row r="151" spans="1:10" x14ac:dyDescent="0.3">
      <c r="A151" t="s">
        <v>59</v>
      </c>
      <c r="B151" t="s">
        <v>25</v>
      </c>
      <c r="C151" t="s">
        <v>102</v>
      </c>
      <c r="D151" t="s">
        <v>111</v>
      </c>
      <c r="E151">
        <v>66</v>
      </c>
      <c r="F151">
        <v>56</v>
      </c>
      <c r="G151" s="1">
        <v>38</v>
      </c>
      <c r="H151" s="1">
        <v>38</v>
      </c>
      <c r="I151" s="1">
        <v>42</v>
      </c>
      <c r="J151" s="1">
        <v>1105</v>
      </c>
    </row>
    <row r="152" spans="1:10" x14ac:dyDescent="0.3">
      <c r="A152" t="s">
        <v>59</v>
      </c>
      <c r="B152" t="s">
        <v>25</v>
      </c>
      <c r="C152" t="s">
        <v>102</v>
      </c>
      <c r="D152" t="s">
        <v>104</v>
      </c>
      <c r="E152">
        <v>66</v>
      </c>
      <c r="F152">
        <v>112</v>
      </c>
      <c r="G152" s="1">
        <v>60</v>
      </c>
      <c r="H152" s="1">
        <v>60</v>
      </c>
      <c r="I152" s="1">
        <v>54</v>
      </c>
      <c r="J152" s="1">
        <v>900</v>
      </c>
    </row>
    <row r="153" spans="1:10" x14ac:dyDescent="0.3">
      <c r="A153" t="s">
        <v>61</v>
      </c>
      <c r="B153" t="s">
        <v>25</v>
      </c>
      <c r="C153" t="s">
        <v>102</v>
      </c>
      <c r="D153" t="s">
        <v>103</v>
      </c>
      <c r="E153">
        <v>66</v>
      </c>
      <c r="F153">
        <v>7</v>
      </c>
      <c r="G153" s="1">
        <v>145278</v>
      </c>
      <c r="H153" s="1">
        <v>123538</v>
      </c>
      <c r="I153" s="1">
        <v>741228</v>
      </c>
      <c r="J153" s="1">
        <v>6000</v>
      </c>
    </row>
    <row r="154" spans="1:10" x14ac:dyDescent="0.3">
      <c r="A154" t="s">
        <v>61</v>
      </c>
      <c r="B154" t="s">
        <v>25</v>
      </c>
      <c r="C154" t="s">
        <v>102</v>
      </c>
      <c r="D154" t="s">
        <v>110</v>
      </c>
      <c r="E154">
        <v>66</v>
      </c>
      <c r="F154">
        <v>14</v>
      </c>
      <c r="G154" s="1">
        <v>186</v>
      </c>
      <c r="H154" s="1">
        <v>186</v>
      </c>
      <c r="I154" s="1">
        <v>1023</v>
      </c>
      <c r="J154" s="1">
        <v>5500</v>
      </c>
    </row>
    <row r="155" spans="1:10" x14ac:dyDescent="0.3">
      <c r="A155" t="s">
        <v>61</v>
      </c>
      <c r="B155" t="s">
        <v>25</v>
      </c>
      <c r="C155" t="s">
        <v>102</v>
      </c>
      <c r="D155" t="s">
        <v>31</v>
      </c>
      <c r="E155">
        <v>66</v>
      </c>
      <c r="F155">
        <v>28</v>
      </c>
      <c r="G155" s="1">
        <v>720</v>
      </c>
      <c r="H155" s="1">
        <v>720</v>
      </c>
      <c r="I155" s="1">
        <v>4536</v>
      </c>
      <c r="J155" s="1">
        <v>6300</v>
      </c>
    </row>
    <row r="156" spans="1:10" x14ac:dyDescent="0.3">
      <c r="A156" t="s">
        <v>61</v>
      </c>
      <c r="B156" t="s">
        <v>25</v>
      </c>
      <c r="C156" t="s">
        <v>102</v>
      </c>
      <c r="D156" t="s">
        <v>106</v>
      </c>
      <c r="E156">
        <v>66</v>
      </c>
      <c r="F156">
        <v>35</v>
      </c>
      <c r="G156" s="1">
        <v>1300</v>
      </c>
      <c r="H156" s="1">
        <v>1300</v>
      </c>
      <c r="I156" s="1">
        <v>8190</v>
      </c>
      <c r="J156" s="1">
        <v>6300</v>
      </c>
    </row>
    <row r="157" spans="1:10" x14ac:dyDescent="0.3">
      <c r="A157" t="s">
        <v>61</v>
      </c>
      <c r="B157" t="s">
        <v>25</v>
      </c>
      <c r="C157" t="s">
        <v>102</v>
      </c>
      <c r="D157" t="s">
        <v>107</v>
      </c>
      <c r="E157">
        <v>66</v>
      </c>
      <c r="F157">
        <v>42</v>
      </c>
      <c r="G157" s="1">
        <v>1350</v>
      </c>
      <c r="H157" s="1">
        <v>1250</v>
      </c>
      <c r="I157" s="1">
        <v>7500</v>
      </c>
      <c r="J157" s="1">
        <v>6000</v>
      </c>
    </row>
    <row r="158" spans="1:10" x14ac:dyDescent="0.3">
      <c r="A158" t="s">
        <v>61</v>
      </c>
      <c r="B158" t="s">
        <v>25</v>
      </c>
      <c r="C158" t="s">
        <v>102</v>
      </c>
      <c r="D158" t="s">
        <v>108</v>
      </c>
      <c r="E158">
        <v>66</v>
      </c>
      <c r="F158">
        <v>49</v>
      </c>
      <c r="G158" s="1">
        <v>5600</v>
      </c>
      <c r="H158" s="1">
        <v>5040</v>
      </c>
      <c r="I158" s="1">
        <v>31752</v>
      </c>
      <c r="J158" s="1">
        <v>6300</v>
      </c>
    </row>
    <row r="159" spans="1:10" x14ac:dyDescent="0.3">
      <c r="A159" t="s">
        <v>61</v>
      </c>
      <c r="B159" t="s">
        <v>25</v>
      </c>
      <c r="C159" t="s">
        <v>102</v>
      </c>
      <c r="D159" t="s">
        <v>111</v>
      </c>
      <c r="E159">
        <v>66</v>
      </c>
      <c r="F159">
        <v>56</v>
      </c>
      <c r="G159" s="1">
        <v>46633</v>
      </c>
      <c r="H159" s="1">
        <v>42033</v>
      </c>
      <c r="I159" s="1">
        <v>252198</v>
      </c>
      <c r="J159" s="1">
        <v>6000</v>
      </c>
    </row>
    <row r="160" spans="1:10" x14ac:dyDescent="0.3">
      <c r="A160" t="s">
        <v>61</v>
      </c>
      <c r="B160" t="s">
        <v>25</v>
      </c>
      <c r="C160" t="s">
        <v>102</v>
      </c>
      <c r="D160" t="s">
        <v>115</v>
      </c>
      <c r="E160">
        <v>66</v>
      </c>
      <c r="F160">
        <v>63</v>
      </c>
      <c r="G160" s="1">
        <v>100</v>
      </c>
      <c r="H160" s="1">
        <v>80</v>
      </c>
      <c r="I160" s="1">
        <v>464</v>
      </c>
      <c r="J160" s="1">
        <v>5800</v>
      </c>
    </row>
    <row r="161" spans="1:10" x14ac:dyDescent="0.3">
      <c r="A161" t="s">
        <v>61</v>
      </c>
      <c r="B161" t="s">
        <v>25</v>
      </c>
      <c r="C161" t="s">
        <v>102</v>
      </c>
      <c r="D161" t="s">
        <v>116</v>
      </c>
      <c r="E161">
        <v>66</v>
      </c>
      <c r="F161">
        <v>77</v>
      </c>
      <c r="G161" s="1">
        <v>150</v>
      </c>
      <c r="H161" s="1">
        <v>150</v>
      </c>
      <c r="I161" s="1">
        <v>900</v>
      </c>
      <c r="J161" s="1">
        <v>6000</v>
      </c>
    </row>
    <row r="162" spans="1:10" x14ac:dyDescent="0.3">
      <c r="A162" t="s">
        <v>61</v>
      </c>
      <c r="B162" t="s">
        <v>25</v>
      </c>
      <c r="C162" t="s">
        <v>102</v>
      </c>
      <c r="D162" t="s">
        <v>117</v>
      </c>
      <c r="E162">
        <v>66</v>
      </c>
      <c r="F162">
        <v>84</v>
      </c>
      <c r="G162" s="1">
        <v>4550</v>
      </c>
      <c r="H162" s="1">
        <v>4550</v>
      </c>
      <c r="I162" s="1">
        <v>27300</v>
      </c>
      <c r="J162" s="1">
        <v>6000</v>
      </c>
    </row>
    <row r="163" spans="1:10" x14ac:dyDescent="0.3">
      <c r="A163" t="s">
        <v>61</v>
      </c>
      <c r="B163" t="s">
        <v>25</v>
      </c>
      <c r="C163" t="s">
        <v>102</v>
      </c>
      <c r="D163" t="s">
        <v>109</v>
      </c>
      <c r="E163">
        <v>66</v>
      </c>
      <c r="F163">
        <v>98</v>
      </c>
      <c r="G163" s="1">
        <v>150</v>
      </c>
      <c r="H163" s="1">
        <v>150</v>
      </c>
      <c r="I163" s="1">
        <v>870</v>
      </c>
      <c r="J163" s="1">
        <v>5800</v>
      </c>
    </row>
    <row r="164" spans="1:10" x14ac:dyDescent="0.3">
      <c r="A164" t="s">
        <v>61</v>
      </c>
      <c r="B164" t="s">
        <v>25</v>
      </c>
      <c r="C164" t="s">
        <v>102</v>
      </c>
      <c r="D164" t="s">
        <v>104</v>
      </c>
      <c r="E164">
        <v>66</v>
      </c>
      <c r="F164">
        <v>112</v>
      </c>
      <c r="G164" s="1">
        <v>24682</v>
      </c>
      <c r="H164" s="1">
        <v>24182</v>
      </c>
      <c r="I164" s="1">
        <v>157183</v>
      </c>
      <c r="J164" s="1">
        <v>6500</v>
      </c>
    </row>
    <row r="165" spans="1:10" x14ac:dyDescent="0.3">
      <c r="A165" t="s">
        <v>61</v>
      </c>
      <c r="B165" t="s">
        <v>25</v>
      </c>
      <c r="C165" t="s">
        <v>102</v>
      </c>
      <c r="D165" t="s">
        <v>112</v>
      </c>
      <c r="E165">
        <v>66</v>
      </c>
      <c r="F165">
        <v>126</v>
      </c>
      <c r="G165" s="1">
        <v>6668</v>
      </c>
      <c r="H165" s="1">
        <v>6668</v>
      </c>
      <c r="I165" s="1">
        <v>40008</v>
      </c>
      <c r="J165" s="1">
        <v>6000</v>
      </c>
    </row>
    <row r="166" spans="1:10" x14ac:dyDescent="0.3">
      <c r="A166" t="s">
        <v>61</v>
      </c>
      <c r="B166" t="s">
        <v>25</v>
      </c>
      <c r="C166" t="s">
        <v>102</v>
      </c>
      <c r="D166" t="s">
        <v>51</v>
      </c>
      <c r="E166">
        <v>66</v>
      </c>
      <c r="F166">
        <v>133</v>
      </c>
      <c r="G166" s="1">
        <v>11416</v>
      </c>
      <c r="H166" s="1">
        <v>10866</v>
      </c>
      <c r="I166" s="1">
        <v>68456</v>
      </c>
      <c r="J166" s="1">
        <v>6300</v>
      </c>
    </row>
    <row r="167" spans="1:10" x14ac:dyDescent="0.3">
      <c r="A167" t="s">
        <v>61</v>
      </c>
      <c r="B167" t="s">
        <v>25</v>
      </c>
      <c r="C167" t="s">
        <v>102</v>
      </c>
      <c r="D167" t="s">
        <v>113</v>
      </c>
      <c r="E167">
        <v>66</v>
      </c>
      <c r="F167">
        <v>140</v>
      </c>
      <c r="G167" s="1">
        <v>35508</v>
      </c>
      <c r="H167" s="1">
        <v>35208</v>
      </c>
      <c r="I167" s="1">
        <v>228852</v>
      </c>
      <c r="J167" s="1">
        <v>6500</v>
      </c>
    </row>
    <row r="168" spans="1:10" x14ac:dyDescent="0.3">
      <c r="A168" t="s">
        <v>61</v>
      </c>
      <c r="B168" t="s">
        <v>25</v>
      </c>
      <c r="C168" t="s">
        <v>102</v>
      </c>
      <c r="D168" t="s">
        <v>114</v>
      </c>
      <c r="E168">
        <v>66</v>
      </c>
      <c r="F168">
        <v>147</v>
      </c>
      <c r="G168" s="1">
        <v>100</v>
      </c>
      <c r="H168" s="1">
        <v>70</v>
      </c>
      <c r="I168" s="1">
        <v>441</v>
      </c>
      <c r="J168" s="1">
        <v>6300</v>
      </c>
    </row>
    <row r="169" spans="1:10" x14ac:dyDescent="0.3">
      <c r="A169" t="s">
        <v>62</v>
      </c>
      <c r="B169" t="s">
        <v>25</v>
      </c>
      <c r="C169" t="s">
        <v>102</v>
      </c>
      <c r="D169" t="s">
        <v>103</v>
      </c>
      <c r="E169">
        <v>66</v>
      </c>
      <c r="F169">
        <v>7</v>
      </c>
      <c r="G169" s="1">
        <v>260</v>
      </c>
      <c r="H169" s="1">
        <v>260</v>
      </c>
      <c r="I169" s="1">
        <v>0</v>
      </c>
      <c r="J169" s="1">
        <v>0</v>
      </c>
    </row>
    <row r="170" spans="1:10" x14ac:dyDescent="0.3">
      <c r="A170" t="s">
        <v>62</v>
      </c>
      <c r="B170" t="s">
        <v>25</v>
      </c>
      <c r="C170" t="s">
        <v>102</v>
      </c>
      <c r="D170" t="s">
        <v>111</v>
      </c>
      <c r="E170">
        <v>66</v>
      </c>
      <c r="F170">
        <v>56</v>
      </c>
      <c r="G170" s="1">
        <v>1294</v>
      </c>
      <c r="H170" s="1">
        <v>1294</v>
      </c>
      <c r="I170" s="1">
        <v>1423</v>
      </c>
      <c r="J170" s="1">
        <v>1100</v>
      </c>
    </row>
    <row r="171" spans="1:10" x14ac:dyDescent="0.3">
      <c r="A171" t="s">
        <v>62</v>
      </c>
      <c r="B171" t="s">
        <v>25</v>
      </c>
      <c r="C171" t="s">
        <v>102</v>
      </c>
      <c r="D171" t="s">
        <v>104</v>
      </c>
      <c r="E171">
        <v>66</v>
      </c>
      <c r="F171">
        <v>112</v>
      </c>
      <c r="G171" s="1">
        <v>700</v>
      </c>
      <c r="H171" s="1">
        <v>700</v>
      </c>
      <c r="I171" s="1">
        <v>840</v>
      </c>
      <c r="J171" s="1">
        <v>1200</v>
      </c>
    </row>
    <row r="172" spans="1:10" x14ac:dyDescent="0.3">
      <c r="A172" t="s">
        <v>62</v>
      </c>
      <c r="B172" t="s">
        <v>25</v>
      </c>
      <c r="C172" t="s">
        <v>102</v>
      </c>
      <c r="D172" t="s">
        <v>112</v>
      </c>
      <c r="E172">
        <v>66</v>
      </c>
      <c r="F172">
        <v>126</v>
      </c>
      <c r="G172" s="1">
        <v>50</v>
      </c>
      <c r="H172" s="1">
        <v>50</v>
      </c>
      <c r="I172" s="1">
        <v>50</v>
      </c>
      <c r="J172" s="1">
        <v>1000</v>
      </c>
    </row>
    <row r="173" spans="1:10" x14ac:dyDescent="0.3">
      <c r="A173" t="s">
        <v>62</v>
      </c>
      <c r="B173" t="s">
        <v>25</v>
      </c>
      <c r="C173" t="s">
        <v>102</v>
      </c>
      <c r="D173" t="s">
        <v>113</v>
      </c>
      <c r="E173">
        <v>66</v>
      </c>
      <c r="F173">
        <v>140</v>
      </c>
      <c r="G173" s="1">
        <v>280</v>
      </c>
      <c r="H173" s="1">
        <v>280</v>
      </c>
      <c r="I173" s="1">
        <v>280</v>
      </c>
      <c r="J173" s="1">
        <v>1000</v>
      </c>
    </row>
    <row r="174" spans="1:10" x14ac:dyDescent="0.3">
      <c r="A174" t="s">
        <v>63</v>
      </c>
      <c r="B174" t="s">
        <v>25</v>
      </c>
      <c r="C174" t="s">
        <v>102</v>
      </c>
      <c r="D174" t="s">
        <v>103</v>
      </c>
      <c r="E174">
        <v>66</v>
      </c>
      <c r="F174">
        <v>7</v>
      </c>
      <c r="G174" s="1">
        <v>170</v>
      </c>
      <c r="H174" s="1">
        <v>170</v>
      </c>
      <c r="I174" s="1">
        <v>170</v>
      </c>
      <c r="J174" s="1">
        <v>1000</v>
      </c>
    </row>
    <row r="175" spans="1:10" x14ac:dyDescent="0.3">
      <c r="A175" t="s">
        <v>63</v>
      </c>
      <c r="B175" t="s">
        <v>25</v>
      </c>
      <c r="C175" t="s">
        <v>102</v>
      </c>
      <c r="D175" t="s">
        <v>111</v>
      </c>
      <c r="E175">
        <v>66</v>
      </c>
      <c r="F175">
        <v>56</v>
      </c>
      <c r="G175" s="1">
        <v>370</v>
      </c>
      <c r="H175" s="1">
        <v>370</v>
      </c>
      <c r="I175" s="1">
        <v>370</v>
      </c>
      <c r="J175" s="1">
        <v>1000</v>
      </c>
    </row>
    <row r="176" spans="1:10" x14ac:dyDescent="0.3">
      <c r="A176" t="s">
        <v>93</v>
      </c>
      <c r="B176" t="s">
        <v>25</v>
      </c>
      <c r="C176" t="s">
        <v>102</v>
      </c>
      <c r="D176" t="s">
        <v>103</v>
      </c>
      <c r="E176">
        <v>66</v>
      </c>
      <c r="F176">
        <v>7</v>
      </c>
      <c r="G176" s="1">
        <v>9500</v>
      </c>
      <c r="H176" s="1">
        <v>9500</v>
      </c>
      <c r="I176" s="1">
        <v>12350</v>
      </c>
      <c r="J176" s="1">
        <v>1300</v>
      </c>
    </row>
    <row r="177" spans="1:10" x14ac:dyDescent="0.3">
      <c r="A177" t="s">
        <v>93</v>
      </c>
      <c r="B177" t="s">
        <v>25</v>
      </c>
      <c r="C177" t="s">
        <v>102</v>
      </c>
      <c r="D177" t="s">
        <v>111</v>
      </c>
      <c r="E177">
        <v>66</v>
      </c>
      <c r="F177">
        <v>56</v>
      </c>
      <c r="G177" s="1">
        <v>117092</v>
      </c>
      <c r="H177" s="1">
        <v>116092</v>
      </c>
      <c r="I177" s="1">
        <v>127701</v>
      </c>
      <c r="J177" s="1">
        <v>1100</v>
      </c>
    </row>
    <row r="178" spans="1:10" x14ac:dyDescent="0.3">
      <c r="A178" t="s">
        <v>93</v>
      </c>
      <c r="B178" t="s">
        <v>25</v>
      </c>
      <c r="C178" t="s">
        <v>102</v>
      </c>
      <c r="D178" t="s">
        <v>112</v>
      </c>
      <c r="E178">
        <v>66</v>
      </c>
      <c r="F178">
        <v>126</v>
      </c>
      <c r="G178" s="1">
        <v>59977</v>
      </c>
      <c r="H178" s="1">
        <v>58977</v>
      </c>
      <c r="I178" s="1">
        <v>64875</v>
      </c>
      <c r="J178" s="1">
        <v>1100</v>
      </c>
    </row>
    <row r="179" spans="1:10" x14ac:dyDescent="0.3">
      <c r="A179" t="s">
        <v>64</v>
      </c>
      <c r="B179" t="s">
        <v>25</v>
      </c>
      <c r="C179" t="s">
        <v>102</v>
      </c>
      <c r="D179" t="s">
        <v>103</v>
      </c>
      <c r="E179">
        <v>66</v>
      </c>
      <c r="F179">
        <v>7</v>
      </c>
      <c r="G179" s="1">
        <v>35173</v>
      </c>
      <c r="H179" s="1">
        <v>35173</v>
      </c>
      <c r="I179" s="1">
        <v>49242</v>
      </c>
      <c r="J179" s="1">
        <v>1400</v>
      </c>
    </row>
    <row r="180" spans="1:10" x14ac:dyDescent="0.3">
      <c r="A180" t="s">
        <v>64</v>
      </c>
      <c r="B180" t="s">
        <v>25</v>
      </c>
      <c r="C180" t="s">
        <v>102</v>
      </c>
      <c r="D180" t="s">
        <v>31</v>
      </c>
      <c r="E180">
        <v>66</v>
      </c>
      <c r="F180">
        <v>28</v>
      </c>
      <c r="G180" s="1">
        <v>2900</v>
      </c>
      <c r="H180" s="1">
        <v>400</v>
      </c>
      <c r="I180" s="1">
        <v>560</v>
      </c>
      <c r="J180" s="1">
        <v>1400</v>
      </c>
    </row>
    <row r="181" spans="1:10" x14ac:dyDescent="0.3">
      <c r="A181" t="s">
        <v>64</v>
      </c>
      <c r="B181" t="s">
        <v>25</v>
      </c>
      <c r="C181" t="s">
        <v>102</v>
      </c>
      <c r="D181" t="s">
        <v>106</v>
      </c>
      <c r="E181">
        <v>66</v>
      </c>
      <c r="F181">
        <v>35</v>
      </c>
      <c r="G181" s="1">
        <v>1210</v>
      </c>
      <c r="H181" s="1">
        <v>1210</v>
      </c>
      <c r="I181" s="1">
        <v>1694</v>
      </c>
      <c r="J181" s="1">
        <v>1400</v>
      </c>
    </row>
    <row r="182" spans="1:10" x14ac:dyDescent="0.3">
      <c r="A182" t="s">
        <v>64</v>
      </c>
      <c r="B182" t="s">
        <v>25</v>
      </c>
      <c r="C182" t="s">
        <v>102</v>
      </c>
      <c r="D182" t="s">
        <v>107</v>
      </c>
      <c r="E182">
        <v>66</v>
      </c>
      <c r="F182">
        <v>42</v>
      </c>
      <c r="G182" s="1">
        <v>80</v>
      </c>
      <c r="H182" s="1">
        <v>80</v>
      </c>
      <c r="I182" s="1">
        <v>104</v>
      </c>
      <c r="J182" s="1">
        <v>1300</v>
      </c>
    </row>
    <row r="183" spans="1:10" x14ac:dyDescent="0.3">
      <c r="A183" t="s">
        <v>64</v>
      </c>
      <c r="B183" t="s">
        <v>25</v>
      </c>
      <c r="C183" t="s">
        <v>102</v>
      </c>
      <c r="D183" t="s">
        <v>108</v>
      </c>
      <c r="E183">
        <v>66</v>
      </c>
      <c r="F183">
        <v>49</v>
      </c>
      <c r="G183" s="1">
        <v>10280</v>
      </c>
      <c r="H183" s="1">
        <v>8720</v>
      </c>
      <c r="I183" s="1">
        <v>11336</v>
      </c>
      <c r="J183" s="1">
        <v>1300</v>
      </c>
    </row>
    <row r="184" spans="1:10" x14ac:dyDescent="0.3">
      <c r="A184" t="s">
        <v>64</v>
      </c>
      <c r="B184" t="s">
        <v>25</v>
      </c>
      <c r="C184" t="s">
        <v>102</v>
      </c>
      <c r="D184" t="s">
        <v>111</v>
      </c>
      <c r="E184">
        <v>66</v>
      </c>
      <c r="F184">
        <v>56</v>
      </c>
      <c r="G184" s="1">
        <v>12337</v>
      </c>
      <c r="H184" s="1">
        <v>12337</v>
      </c>
      <c r="I184" s="1">
        <v>13571</v>
      </c>
      <c r="J184" s="1">
        <v>1100</v>
      </c>
    </row>
    <row r="185" spans="1:10" x14ac:dyDescent="0.3">
      <c r="A185" t="s">
        <v>64</v>
      </c>
      <c r="B185" t="s">
        <v>25</v>
      </c>
      <c r="C185" t="s">
        <v>102</v>
      </c>
      <c r="D185" t="s">
        <v>117</v>
      </c>
      <c r="E185">
        <v>66</v>
      </c>
      <c r="F185">
        <v>84</v>
      </c>
      <c r="G185" s="1">
        <v>3646</v>
      </c>
      <c r="H185" s="1">
        <v>3646</v>
      </c>
      <c r="I185" s="1">
        <v>4740</v>
      </c>
      <c r="J185" s="1">
        <v>1300</v>
      </c>
    </row>
    <row r="186" spans="1:10" x14ac:dyDescent="0.3">
      <c r="A186" t="s">
        <v>64</v>
      </c>
      <c r="B186" t="s">
        <v>25</v>
      </c>
      <c r="C186" t="s">
        <v>102</v>
      </c>
      <c r="D186" t="s">
        <v>109</v>
      </c>
      <c r="E186">
        <v>66</v>
      </c>
      <c r="F186">
        <v>98</v>
      </c>
      <c r="G186" s="1">
        <v>130</v>
      </c>
      <c r="H186" s="1">
        <v>130</v>
      </c>
      <c r="I186" s="1">
        <v>169</v>
      </c>
      <c r="J186" s="1">
        <v>1300</v>
      </c>
    </row>
    <row r="187" spans="1:10" x14ac:dyDescent="0.3">
      <c r="A187" t="s">
        <v>64</v>
      </c>
      <c r="B187" t="s">
        <v>25</v>
      </c>
      <c r="C187" t="s">
        <v>102</v>
      </c>
      <c r="D187" t="s">
        <v>104</v>
      </c>
      <c r="E187">
        <v>66</v>
      </c>
      <c r="F187">
        <v>112</v>
      </c>
      <c r="G187" s="1">
        <v>18580</v>
      </c>
      <c r="H187" s="1">
        <v>18580</v>
      </c>
      <c r="I187" s="1">
        <v>26012</v>
      </c>
      <c r="J187" s="1">
        <v>1400</v>
      </c>
    </row>
    <row r="188" spans="1:10" x14ac:dyDescent="0.3">
      <c r="A188" t="s">
        <v>64</v>
      </c>
      <c r="B188" t="s">
        <v>25</v>
      </c>
      <c r="C188" t="s">
        <v>102</v>
      </c>
      <c r="D188" t="s">
        <v>112</v>
      </c>
      <c r="E188">
        <v>66</v>
      </c>
      <c r="F188">
        <v>126</v>
      </c>
      <c r="G188" s="1">
        <v>22896</v>
      </c>
      <c r="H188" s="1">
        <v>22896</v>
      </c>
      <c r="I188" s="1">
        <v>25186</v>
      </c>
      <c r="J188" s="1">
        <v>1100</v>
      </c>
    </row>
    <row r="189" spans="1:10" x14ac:dyDescent="0.3">
      <c r="A189" t="s">
        <v>64</v>
      </c>
      <c r="B189" t="s">
        <v>25</v>
      </c>
      <c r="C189" t="s">
        <v>102</v>
      </c>
      <c r="D189" t="s">
        <v>51</v>
      </c>
      <c r="E189">
        <v>66</v>
      </c>
      <c r="F189">
        <v>133</v>
      </c>
      <c r="G189" s="1">
        <v>1825</v>
      </c>
      <c r="H189" s="1">
        <v>1225</v>
      </c>
      <c r="I189" s="1">
        <v>1470</v>
      </c>
      <c r="J189" s="1">
        <v>1200</v>
      </c>
    </row>
    <row r="190" spans="1:10" x14ac:dyDescent="0.3">
      <c r="A190" t="s">
        <v>64</v>
      </c>
      <c r="B190" t="s">
        <v>25</v>
      </c>
      <c r="C190" t="s">
        <v>102</v>
      </c>
      <c r="D190" t="s">
        <v>113</v>
      </c>
      <c r="E190">
        <v>66</v>
      </c>
      <c r="F190">
        <v>140</v>
      </c>
      <c r="G190" s="1">
        <v>20432</v>
      </c>
      <c r="H190" s="1">
        <v>20432</v>
      </c>
      <c r="I190" s="1">
        <v>28605</v>
      </c>
      <c r="J190" s="1">
        <v>1400</v>
      </c>
    </row>
    <row r="191" spans="1:10" x14ac:dyDescent="0.3">
      <c r="A191" t="s">
        <v>64</v>
      </c>
      <c r="B191" t="s">
        <v>25</v>
      </c>
      <c r="C191" t="s">
        <v>102</v>
      </c>
      <c r="D191" t="s">
        <v>114</v>
      </c>
      <c r="E191">
        <v>66</v>
      </c>
      <c r="F191">
        <v>147</v>
      </c>
      <c r="G191" s="1">
        <v>270</v>
      </c>
      <c r="H191" s="1">
        <v>270</v>
      </c>
      <c r="I191" s="1">
        <v>378</v>
      </c>
      <c r="J191" s="1">
        <v>1400</v>
      </c>
    </row>
    <row r="192" spans="1:10" x14ac:dyDescent="0.3">
      <c r="A192" t="s">
        <v>65</v>
      </c>
      <c r="B192" t="s">
        <v>25</v>
      </c>
      <c r="C192" t="s">
        <v>102</v>
      </c>
      <c r="D192" t="s">
        <v>103</v>
      </c>
      <c r="E192">
        <v>66</v>
      </c>
      <c r="F192">
        <v>7</v>
      </c>
      <c r="G192" s="1">
        <v>38441</v>
      </c>
      <c r="H192" s="1">
        <v>38441</v>
      </c>
      <c r="I192" s="1">
        <v>49973</v>
      </c>
      <c r="J192" s="1">
        <v>1300</v>
      </c>
    </row>
    <row r="193" spans="1:10" x14ac:dyDescent="0.3">
      <c r="A193" t="s">
        <v>65</v>
      </c>
      <c r="B193" t="s">
        <v>25</v>
      </c>
      <c r="C193" t="s">
        <v>102</v>
      </c>
      <c r="D193" t="s">
        <v>110</v>
      </c>
      <c r="E193">
        <v>66</v>
      </c>
      <c r="F193">
        <v>14</v>
      </c>
      <c r="G193" s="1">
        <v>1160</v>
      </c>
      <c r="H193" s="1">
        <v>600</v>
      </c>
      <c r="I193" s="1">
        <v>720</v>
      </c>
      <c r="J193" s="1">
        <v>1200</v>
      </c>
    </row>
    <row r="194" spans="1:10" x14ac:dyDescent="0.3">
      <c r="A194" t="s">
        <v>65</v>
      </c>
      <c r="B194" t="s">
        <v>25</v>
      </c>
      <c r="C194" t="s">
        <v>102</v>
      </c>
      <c r="D194" t="s">
        <v>31</v>
      </c>
      <c r="E194">
        <v>66</v>
      </c>
      <c r="F194">
        <v>28</v>
      </c>
      <c r="G194" s="1">
        <v>1200</v>
      </c>
      <c r="H194" s="1">
        <v>420</v>
      </c>
      <c r="I194" s="1">
        <v>546</v>
      </c>
      <c r="J194" s="1">
        <v>1300</v>
      </c>
    </row>
    <row r="195" spans="1:10" x14ac:dyDescent="0.3">
      <c r="A195" t="s">
        <v>65</v>
      </c>
      <c r="B195" t="s">
        <v>25</v>
      </c>
      <c r="C195" t="s">
        <v>102</v>
      </c>
      <c r="D195" t="s">
        <v>106</v>
      </c>
      <c r="E195">
        <v>66</v>
      </c>
      <c r="F195">
        <v>35</v>
      </c>
      <c r="G195" s="1">
        <v>800</v>
      </c>
      <c r="H195" s="1">
        <v>600</v>
      </c>
      <c r="I195" s="1">
        <v>840</v>
      </c>
      <c r="J195" s="1">
        <v>1400</v>
      </c>
    </row>
    <row r="196" spans="1:10" x14ac:dyDescent="0.3">
      <c r="A196" t="s">
        <v>65</v>
      </c>
      <c r="B196" t="s">
        <v>25</v>
      </c>
      <c r="C196" t="s">
        <v>102</v>
      </c>
      <c r="D196" t="s">
        <v>107</v>
      </c>
      <c r="E196">
        <v>66</v>
      </c>
      <c r="F196">
        <v>42</v>
      </c>
      <c r="G196" s="1">
        <v>85</v>
      </c>
      <c r="H196" s="1">
        <v>85</v>
      </c>
      <c r="I196" s="1">
        <v>111</v>
      </c>
      <c r="J196" s="1">
        <v>1300</v>
      </c>
    </row>
    <row r="197" spans="1:10" x14ac:dyDescent="0.3">
      <c r="A197" t="s">
        <v>65</v>
      </c>
      <c r="B197" t="s">
        <v>25</v>
      </c>
      <c r="C197" t="s">
        <v>102</v>
      </c>
      <c r="D197" t="s">
        <v>108</v>
      </c>
      <c r="E197">
        <v>66</v>
      </c>
      <c r="F197">
        <v>49</v>
      </c>
      <c r="G197" s="1">
        <v>8870</v>
      </c>
      <c r="H197" s="1">
        <v>8870</v>
      </c>
      <c r="I197" s="1">
        <v>9757</v>
      </c>
      <c r="J197" s="1">
        <v>1100</v>
      </c>
    </row>
    <row r="198" spans="1:10" x14ac:dyDescent="0.3">
      <c r="A198" t="s">
        <v>65</v>
      </c>
      <c r="B198" t="s">
        <v>25</v>
      </c>
      <c r="C198" t="s">
        <v>102</v>
      </c>
      <c r="D198" t="s">
        <v>111</v>
      </c>
      <c r="E198">
        <v>66</v>
      </c>
      <c r="F198">
        <v>56</v>
      </c>
      <c r="G198" s="1">
        <v>65252</v>
      </c>
      <c r="H198" s="1">
        <v>53252</v>
      </c>
      <c r="I198" s="1">
        <v>58577</v>
      </c>
      <c r="J198" s="1">
        <v>1100</v>
      </c>
    </row>
    <row r="199" spans="1:10" x14ac:dyDescent="0.3">
      <c r="A199" t="s">
        <v>65</v>
      </c>
      <c r="B199" t="s">
        <v>25</v>
      </c>
      <c r="C199" t="s">
        <v>102</v>
      </c>
      <c r="D199" t="s">
        <v>117</v>
      </c>
      <c r="E199">
        <v>66</v>
      </c>
      <c r="F199">
        <v>84</v>
      </c>
      <c r="G199" s="1">
        <v>300</v>
      </c>
      <c r="H199" s="1">
        <v>0</v>
      </c>
      <c r="I199" s="1">
        <v>0</v>
      </c>
      <c r="J199" s="1">
        <v>0</v>
      </c>
    </row>
    <row r="200" spans="1:10" x14ac:dyDescent="0.3">
      <c r="A200" t="s">
        <v>65</v>
      </c>
      <c r="B200" t="s">
        <v>25</v>
      </c>
      <c r="C200" t="s">
        <v>102</v>
      </c>
      <c r="D200" t="s">
        <v>104</v>
      </c>
      <c r="E200">
        <v>66</v>
      </c>
      <c r="F200">
        <v>112</v>
      </c>
      <c r="G200" s="1">
        <v>9103</v>
      </c>
      <c r="H200" s="1">
        <v>9103</v>
      </c>
      <c r="I200" s="1">
        <v>12744</v>
      </c>
      <c r="J200" s="1">
        <v>1400</v>
      </c>
    </row>
    <row r="201" spans="1:10" x14ac:dyDescent="0.3">
      <c r="A201" t="s">
        <v>65</v>
      </c>
      <c r="B201" t="s">
        <v>25</v>
      </c>
      <c r="C201" t="s">
        <v>102</v>
      </c>
      <c r="D201" t="s">
        <v>112</v>
      </c>
      <c r="E201">
        <v>66</v>
      </c>
      <c r="F201">
        <v>126</v>
      </c>
      <c r="G201" s="1">
        <v>26667</v>
      </c>
      <c r="H201" s="1">
        <v>24667</v>
      </c>
      <c r="I201" s="1">
        <v>27134</v>
      </c>
      <c r="J201" s="1">
        <v>1100</v>
      </c>
    </row>
    <row r="202" spans="1:10" x14ac:dyDescent="0.3">
      <c r="A202" t="s">
        <v>65</v>
      </c>
      <c r="B202" t="s">
        <v>25</v>
      </c>
      <c r="C202" t="s">
        <v>102</v>
      </c>
      <c r="D202" t="s">
        <v>51</v>
      </c>
      <c r="E202">
        <v>66</v>
      </c>
      <c r="F202">
        <v>133</v>
      </c>
      <c r="G202" s="1">
        <v>2100</v>
      </c>
      <c r="H202" s="1">
        <v>1600</v>
      </c>
      <c r="I202" s="1">
        <v>1760</v>
      </c>
      <c r="J202" s="1">
        <v>1100</v>
      </c>
    </row>
    <row r="203" spans="1:10" x14ac:dyDescent="0.3">
      <c r="A203" t="s">
        <v>65</v>
      </c>
      <c r="B203" t="s">
        <v>25</v>
      </c>
      <c r="C203" t="s">
        <v>102</v>
      </c>
      <c r="D203" t="s">
        <v>113</v>
      </c>
      <c r="E203">
        <v>66</v>
      </c>
      <c r="F203">
        <v>140</v>
      </c>
      <c r="G203" s="1">
        <v>13534</v>
      </c>
      <c r="H203" s="1">
        <v>11534</v>
      </c>
      <c r="I203" s="1">
        <v>14994</v>
      </c>
      <c r="J203" s="1">
        <v>1300</v>
      </c>
    </row>
    <row r="204" spans="1:10" x14ac:dyDescent="0.3">
      <c r="A204" t="s">
        <v>65</v>
      </c>
      <c r="B204" t="s">
        <v>25</v>
      </c>
      <c r="C204" t="s">
        <v>102</v>
      </c>
      <c r="D204" t="s">
        <v>114</v>
      </c>
      <c r="E204">
        <v>66</v>
      </c>
      <c r="F204">
        <v>147</v>
      </c>
      <c r="G204" s="1">
        <v>160</v>
      </c>
      <c r="H204" s="1">
        <v>110</v>
      </c>
      <c r="I204" s="1">
        <v>143</v>
      </c>
      <c r="J204" s="1">
        <v>1300</v>
      </c>
    </row>
    <row r="205" spans="1:10" x14ac:dyDescent="0.3">
      <c r="A205" t="s">
        <v>66</v>
      </c>
      <c r="B205" t="s">
        <v>25</v>
      </c>
      <c r="C205" t="s">
        <v>102</v>
      </c>
      <c r="D205" t="s">
        <v>103</v>
      </c>
      <c r="E205">
        <v>66</v>
      </c>
      <c r="F205">
        <v>7</v>
      </c>
      <c r="G205" s="1">
        <v>83114</v>
      </c>
      <c r="H205" s="1">
        <v>83114</v>
      </c>
      <c r="I205" s="1">
        <v>111566</v>
      </c>
      <c r="J205" s="1">
        <v>1342</v>
      </c>
    </row>
    <row r="206" spans="1:10" x14ac:dyDescent="0.3">
      <c r="A206" t="s">
        <v>66</v>
      </c>
      <c r="B206" t="s">
        <v>25</v>
      </c>
      <c r="C206" t="s">
        <v>102</v>
      </c>
      <c r="D206" t="s">
        <v>110</v>
      </c>
      <c r="E206">
        <v>66</v>
      </c>
      <c r="F206">
        <v>14</v>
      </c>
      <c r="G206" s="1">
        <v>1160</v>
      </c>
      <c r="H206" s="1">
        <v>600</v>
      </c>
      <c r="I206" s="1">
        <v>720</v>
      </c>
      <c r="J206" s="1">
        <v>1200</v>
      </c>
    </row>
    <row r="207" spans="1:10" x14ac:dyDescent="0.3">
      <c r="A207" t="s">
        <v>66</v>
      </c>
      <c r="B207" t="s">
        <v>25</v>
      </c>
      <c r="C207" t="s">
        <v>102</v>
      </c>
      <c r="D207" t="s">
        <v>31</v>
      </c>
      <c r="E207">
        <v>66</v>
      </c>
      <c r="F207">
        <v>28</v>
      </c>
      <c r="G207" s="1">
        <v>4100</v>
      </c>
      <c r="H207" s="1">
        <v>820</v>
      </c>
      <c r="I207" s="1">
        <v>1106</v>
      </c>
      <c r="J207" s="1">
        <v>1349</v>
      </c>
    </row>
    <row r="208" spans="1:10" x14ac:dyDescent="0.3">
      <c r="A208" t="s">
        <v>66</v>
      </c>
      <c r="B208" t="s">
        <v>25</v>
      </c>
      <c r="C208" t="s">
        <v>102</v>
      </c>
      <c r="D208" t="s">
        <v>106</v>
      </c>
      <c r="E208">
        <v>66</v>
      </c>
      <c r="F208">
        <v>35</v>
      </c>
      <c r="G208" s="1">
        <v>2010</v>
      </c>
      <c r="H208" s="1">
        <v>1810</v>
      </c>
      <c r="I208" s="1">
        <v>2534</v>
      </c>
      <c r="J208" s="1">
        <v>1400</v>
      </c>
    </row>
    <row r="209" spans="1:10" x14ac:dyDescent="0.3">
      <c r="A209" t="s">
        <v>66</v>
      </c>
      <c r="B209" t="s">
        <v>25</v>
      </c>
      <c r="C209" t="s">
        <v>102</v>
      </c>
      <c r="D209" t="s">
        <v>107</v>
      </c>
      <c r="E209">
        <v>66</v>
      </c>
      <c r="F209">
        <v>42</v>
      </c>
      <c r="G209" s="1">
        <v>165</v>
      </c>
      <c r="H209" s="1">
        <v>165</v>
      </c>
      <c r="I209" s="1">
        <v>215</v>
      </c>
      <c r="J209" s="1">
        <v>1303</v>
      </c>
    </row>
    <row r="210" spans="1:10" x14ac:dyDescent="0.3">
      <c r="A210" t="s">
        <v>66</v>
      </c>
      <c r="B210" t="s">
        <v>25</v>
      </c>
      <c r="C210" t="s">
        <v>102</v>
      </c>
      <c r="D210" t="s">
        <v>108</v>
      </c>
      <c r="E210">
        <v>66</v>
      </c>
      <c r="F210">
        <v>49</v>
      </c>
      <c r="G210" s="1">
        <v>19150</v>
      </c>
      <c r="H210" s="1">
        <v>17590</v>
      </c>
      <c r="I210" s="1">
        <v>21093</v>
      </c>
      <c r="J210" s="1">
        <v>1199</v>
      </c>
    </row>
    <row r="211" spans="1:10" x14ac:dyDescent="0.3">
      <c r="A211" t="s">
        <v>66</v>
      </c>
      <c r="B211" t="s">
        <v>25</v>
      </c>
      <c r="C211" t="s">
        <v>102</v>
      </c>
      <c r="D211" t="s">
        <v>111</v>
      </c>
      <c r="E211">
        <v>66</v>
      </c>
      <c r="F211">
        <v>56</v>
      </c>
      <c r="G211" s="1">
        <v>194681</v>
      </c>
      <c r="H211" s="1">
        <v>181681</v>
      </c>
      <c r="I211" s="1">
        <v>199849</v>
      </c>
      <c r="J211" s="1">
        <v>1100</v>
      </c>
    </row>
    <row r="212" spans="1:10" x14ac:dyDescent="0.3">
      <c r="A212" t="s">
        <v>66</v>
      </c>
      <c r="B212" t="s">
        <v>25</v>
      </c>
      <c r="C212" t="s">
        <v>102</v>
      </c>
      <c r="D212" t="s">
        <v>117</v>
      </c>
      <c r="E212">
        <v>66</v>
      </c>
      <c r="F212">
        <v>84</v>
      </c>
      <c r="G212" s="1">
        <v>3946</v>
      </c>
      <c r="H212" s="1">
        <v>3646</v>
      </c>
      <c r="I212" s="1">
        <v>4740</v>
      </c>
      <c r="J212" s="1">
        <v>1300</v>
      </c>
    </row>
    <row r="213" spans="1:10" x14ac:dyDescent="0.3">
      <c r="A213" t="s">
        <v>66</v>
      </c>
      <c r="B213" t="s">
        <v>25</v>
      </c>
      <c r="C213" t="s">
        <v>102</v>
      </c>
      <c r="D213" t="s">
        <v>109</v>
      </c>
      <c r="E213">
        <v>66</v>
      </c>
      <c r="F213">
        <v>98</v>
      </c>
      <c r="G213" s="1">
        <v>130</v>
      </c>
      <c r="H213" s="1">
        <v>130</v>
      </c>
      <c r="I213" s="1">
        <v>169</v>
      </c>
      <c r="J213" s="1">
        <v>1300</v>
      </c>
    </row>
    <row r="214" spans="1:10" x14ac:dyDescent="0.3">
      <c r="A214" t="s">
        <v>66</v>
      </c>
      <c r="B214" t="s">
        <v>25</v>
      </c>
      <c r="C214" t="s">
        <v>102</v>
      </c>
      <c r="D214" t="s">
        <v>104</v>
      </c>
      <c r="E214">
        <v>66</v>
      </c>
      <c r="F214">
        <v>112</v>
      </c>
      <c r="G214" s="1">
        <v>27683</v>
      </c>
      <c r="H214" s="1">
        <v>27683</v>
      </c>
      <c r="I214" s="1">
        <v>38756</v>
      </c>
      <c r="J214" s="1">
        <v>1400</v>
      </c>
    </row>
    <row r="215" spans="1:10" x14ac:dyDescent="0.3">
      <c r="A215" t="s">
        <v>66</v>
      </c>
      <c r="B215" t="s">
        <v>25</v>
      </c>
      <c r="C215" t="s">
        <v>102</v>
      </c>
      <c r="D215" t="s">
        <v>112</v>
      </c>
      <c r="E215">
        <v>66</v>
      </c>
      <c r="F215">
        <v>126</v>
      </c>
      <c r="G215" s="1">
        <v>109540</v>
      </c>
      <c r="H215" s="1">
        <v>106540</v>
      </c>
      <c r="I215" s="1">
        <v>117194</v>
      </c>
      <c r="J215" s="1">
        <v>1100</v>
      </c>
    </row>
    <row r="216" spans="1:10" x14ac:dyDescent="0.3">
      <c r="A216" t="s">
        <v>66</v>
      </c>
      <c r="B216" t="s">
        <v>25</v>
      </c>
      <c r="C216" t="s">
        <v>102</v>
      </c>
      <c r="D216" t="s">
        <v>51</v>
      </c>
      <c r="E216">
        <v>66</v>
      </c>
      <c r="F216">
        <v>133</v>
      </c>
      <c r="G216" s="1">
        <v>3925</v>
      </c>
      <c r="H216" s="1">
        <v>2825</v>
      </c>
      <c r="I216" s="1">
        <v>3230</v>
      </c>
      <c r="J216" s="1">
        <v>1143</v>
      </c>
    </row>
    <row r="217" spans="1:10" x14ac:dyDescent="0.3">
      <c r="A217" t="s">
        <v>66</v>
      </c>
      <c r="B217" t="s">
        <v>25</v>
      </c>
      <c r="C217" t="s">
        <v>102</v>
      </c>
      <c r="D217" t="s">
        <v>113</v>
      </c>
      <c r="E217">
        <v>66</v>
      </c>
      <c r="F217">
        <v>140</v>
      </c>
      <c r="G217" s="1">
        <v>33966</v>
      </c>
      <c r="H217" s="1">
        <v>31966</v>
      </c>
      <c r="I217" s="1">
        <v>43599</v>
      </c>
      <c r="J217" s="1">
        <v>1364</v>
      </c>
    </row>
    <row r="218" spans="1:10" x14ac:dyDescent="0.3">
      <c r="A218" t="s">
        <v>66</v>
      </c>
      <c r="B218" t="s">
        <v>25</v>
      </c>
      <c r="C218" t="s">
        <v>102</v>
      </c>
      <c r="D218" t="s">
        <v>114</v>
      </c>
      <c r="E218">
        <v>66</v>
      </c>
      <c r="F218">
        <v>147</v>
      </c>
      <c r="G218" s="1">
        <v>430</v>
      </c>
      <c r="H218" s="1">
        <v>380</v>
      </c>
      <c r="I218" s="1">
        <v>521</v>
      </c>
      <c r="J218" s="1">
        <v>1371</v>
      </c>
    </row>
    <row r="219" spans="1:10" x14ac:dyDescent="0.3">
      <c r="A219" t="s">
        <v>67</v>
      </c>
      <c r="B219" t="s">
        <v>25</v>
      </c>
      <c r="C219" t="s">
        <v>102</v>
      </c>
      <c r="D219" t="s">
        <v>103</v>
      </c>
      <c r="E219">
        <v>66</v>
      </c>
      <c r="F219">
        <v>7</v>
      </c>
      <c r="G219" s="1">
        <v>160817</v>
      </c>
      <c r="H219" s="1">
        <v>160817</v>
      </c>
      <c r="I219" s="1">
        <v>385961</v>
      </c>
      <c r="J219" s="1">
        <v>2400</v>
      </c>
    </row>
    <row r="220" spans="1:10" x14ac:dyDescent="0.3">
      <c r="A220" t="s">
        <v>67</v>
      </c>
      <c r="B220" t="s">
        <v>25</v>
      </c>
      <c r="C220" t="s">
        <v>102</v>
      </c>
      <c r="D220" t="s">
        <v>31</v>
      </c>
      <c r="E220">
        <v>66</v>
      </c>
      <c r="F220">
        <v>28</v>
      </c>
      <c r="G220" s="1">
        <v>950</v>
      </c>
      <c r="H220" s="1">
        <v>950</v>
      </c>
      <c r="I220" s="1">
        <v>2375</v>
      </c>
      <c r="J220" s="1">
        <v>2500</v>
      </c>
    </row>
    <row r="221" spans="1:10" x14ac:dyDescent="0.3">
      <c r="A221" t="s">
        <v>67</v>
      </c>
      <c r="B221" t="s">
        <v>25</v>
      </c>
      <c r="C221" t="s">
        <v>102</v>
      </c>
      <c r="D221" t="s">
        <v>106</v>
      </c>
      <c r="E221">
        <v>66</v>
      </c>
      <c r="F221">
        <v>35</v>
      </c>
      <c r="G221" s="1">
        <v>300</v>
      </c>
      <c r="H221" s="1">
        <v>300</v>
      </c>
      <c r="I221" s="1">
        <v>750</v>
      </c>
      <c r="J221" s="1">
        <v>2500</v>
      </c>
    </row>
    <row r="222" spans="1:10" x14ac:dyDescent="0.3">
      <c r="A222" t="s">
        <v>67</v>
      </c>
      <c r="B222" t="s">
        <v>25</v>
      </c>
      <c r="C222" t="s">
        <v>102</v>
      </c>
      <c r="D222" t="s">
        <v>107</v>
      </c>
      <c r="E222">
        <v>66</v>
      </c>
      <c r="F222">
        <v>42</v>
      </c>
      <c r="G222" s="1">
        <v>210</v>
      </c>
      <c r="H222" s="1">
        <v>210</v>
      </c>
      <c r="I222" s="1">
        <v>525</v>
      </c>
      <c r="J222" s="1">
        <v>2500</v>
      </c>
    </row>
    <row r="223" spans="1:10" x14ac:dyDescent="0.3">
      <c r="A223" t="s">
        <v>67</v>
      </c>
      <c r="B223" t="s">
        <v>25</v>
      </c>
      <c r="C223" t="s">
        <v>102</v>
      </c>
      <c r="D223" t="s">
        <v>108</v>
      </c>
      <c r="E223">
        <v>66</v>
      </c>
      <c r="F223">
        <v>49</v>
      </c>
      <c r="G223" s="1">
        <v>2000</v>
      </c>
      <c r="H223" s="1">
        <v>2000</v>
      </c>
      <c r="I223" s="1">
        <v>4800</v>
      </c>
      <c r="J223" s="1">
        <v>2400</v>
      </c>
    </row>
    <row r="224" spans="1:10" x14ac:dyDescent="0.3">
      <c r="A224" t="s">
        <v>67</v>
      </c>
      <c r="B224" t="s">
        <v>25</v>
      </c>
      <c r="C224" t="s">
        <v>102</v>
      </c>
      <c r="D224" t="s">
        <v>111</v>
      </c>
      <c r="E224">
        <v>66</v>
      </c>
      <c r="F224">
        <v>56</v>
      </c>
      <c r="G224" s="1">
        <v>34827</v>
      </c>
      <c r="H224" s="1">
        <v>34727</v>
      </c>
      <c r="I224" s="1">
        <v>79872</v>
      </c>
      <c r="J224" s="1">
        <v>2300</v>
      </c>
    </row>
    <row r="225" spans="1:10" x14ac:dyDescent="0.3">
      <c r="A225" t="s">
        <v>67</v>
      </c>
      <c r="B225" t="s">
        <v>25</v>
      </c>
      <c r="C225" t="s">
        <v>102</v>
      </c>
      <c r="D225" t="s">
        <v>116</v>
      </c>
      <c r="E225">
        <v>66</v>
      </c>
      <c r="F225">
        <v>77</v>
      </c>
      <c r="G225" s="1">
        <v>60</v>
      </c>
      <c r="H225" s="1">
        <v>60</v>
      </c>
      <c r="I225" s="1">
        <v>144</v>
      </c>
      <c r="J225" s="1">
        <v>2400</v>
      </c>
    </row>
    <row r="226" spans="1:10" x14ac:dyDescent="0.3">
      <c r="A226" t="s">
        <v>67</v>
      </c>
      <c r="B226" t="s">
        <v>25</v>
      </c>
      <c r="C226" t="s">
        <v>102</v>
      </c>
      <c r="D226" t="s">
        <v>117</v>
      </c>
      <c r="E226">
        <v>66</v>
      </c>
      <c r="F226">
        <v>84</v>
      </c>
      <c r="G226" s="1">
        <v>1100</v>
      </c>
      <c r="H226" s="1">
        <v>1100</v>
      </c>
      <c r="I226" s="1">
        <v>2750</v>
      </c>
      <c r="J226" s="1">
        <v>2500</v>
      </c>
    </row>
    <row r="227" spans="1:10" x14ac:dyDescent="0.3">
      <c r="A227" t="s">
        <v>67</v>
      </c>
      <c r="B227" t="s">
        <v>25</v>
      </c>
      <c r="C227" t="s">
        <v>102</v>
      </c>
      <c r="D227" t="s">
        <v>109</v>
      </c>
      <c r="E227">
        <v>66</v>
      </c>
      <c r="F227">
        <v>98</v>
      </c>
      <c r="G227" s="1">
        <v>50</v>
      </c>
      <c r="H227" s="1">
        <v>50</v>
      </c>
      <c r="I227" s="1">
        <v>115</v>
      </c>
      <c r="J227" s="1">
        <v>2300</v>
      </c>
    </row>
    <row r="228" spans="1:10" x14ac:dyDescent="0.3">
      <c r="A228" t="s">
        <v>67</v>
      </c>
      <c r="B228" t="s">
        <v>25</v>
      </c>
      <c r="C228" t="s">
        <v>102</v>
      </c>
      <c r="D228" t="s">
        <v>104</v>
      </c>
      <c r="E228">
        <v>66</v>
      </c>
      <c r="F228">
        <v>112</v>
      </c>
      <c r="G228" s="1">
        <v>27082</v>
      </c>
      <c r="H228" s="1">
        <v>27082</v>
      </c>
      <c r="I228" s="1">
        <v>67705</v>
      </c>
      <c r="J228" s="1">
        <v>2500</v>
      </c>
    </row>
    <row r="229" spans="1:10" x14ac:dyDescent="0.3">
      <c r="A229" t="s">
        <v>67</v>
      </c>
      <c r="B229" t="s">
        <v>25</v>
      </c>
      <c r="C229" t="s">
        <v>102</v>
      </c>
      <c r="D229" t="s">
        <v>112</v>
      </c>
      <c r="E229">
        <v>66</v>
      </c>
      <c r="F229">
        <v>126</v>
      </c>
      <c r="G229" s="1">
        <v>8188</v>
      </c>
      <c r="H229" s="1">
        <v>8038</v>
      </c>
      <c r="I229" s="1">
        <v>19291</v>
      </c>
      <c r="J229" s="1">
        <v>2400</v>
      </c>
    </row>
    <row r="230" spans="1:10" x14ac:dyDescent="0.3">
      <c r="A230" t="s">
        <v>67</v>
      </c>
      <c r="B230" t="s">
        <v>25</v>
      </c>
      <c r="C230" t="s">
        <v>102</v>
      </c>
      <c r="D230" t="s">
        <v>51</v>
      </c>
      <c r="E230">
        <v>66</v>
      </c>
      <c r="F230">
        <v>133</v>
      </c>
      <c r="G230" s="1">
        <v>12300</v>
      </c>
      <c r="H230" s="1">
        <v>12300</v>
      </c>
      <c r="I230" s="1">
        <v>28290</v>
      </c>
      <c r="J230" s="1">
        <v>2300</v>
      </c>
    </row>
    <row r="231" spans="1:10" x14ac:dyDescent="0.3">
      <c r="A231" t="s">
        <v>67</v>
      </c>
      <c r="B231" t="s">
        <v>25</v>
      </c>
      <c r="C231" t="s">
        <v>102</v>
      </c>
      <c r="D231" t="s">
        <v>113</v>
      </c>
      <c r="E231">
        <v>66</v>
      </c>
      <c r="F231">
        <v>140</v>
      </c>
      <c r="G231" s="1">
        <v>34186</v>
      </c>
      <c r="H231" s="1">
        <v>34186</v>
      </c>
      <c r="I231" s="1">
        <v>85465</v>
      </c>
      <c r="J231" s="1">
        <v>2500</v>
      </c>
    </row>
    <row r="232" spans="1:10" x14ac:dyDescent="0.3">
      <c r="A232" t="s">
        <v>67</v>
      </c>
      <c r="B232" t="s">
        <v>25</v>
      </c>
      <c r="C232" t="s">
        <v>102</v>
      </c>
      <c r="D232" t="s">
        <v>114</v>
      </c>
      <c r="E232">
        <v>66</v>
      </c>
      <c r="F232">
        <v>147</v>
      </c>
      <c r="G232" s="1">
        <v>50</v>
      </c>
      <c r="H232" s="1">
        <v>50</v>
      </c>
      <c r="I232" s="1">
        <v>120</v>
      </c>
      <c r="J232" s="1">
        <v>2400</v>
      </c>
    </row>
    <row r="233" spans="1:10" x14ac:dyDescent="0.3">
      <c r="A233" t="s">
        <v>68</v>
      </c>
      <c r="B233" t="s">
        <v>25</v>
      </c>
      <c r="C233" t="s">
        <v>102</v>
      </c>
      <c r="D233" t="s">
        <v>103</v>
      </c>
      <c r="E233">
        <v>66</v>
      </c>
      <c r="F233">
        <v>7</v>
      </c>
      <c r="G233" s="1">
        <v>10765</v>
      </c>
      <c r="H233" s="1">
        <v>10765</v>
      </c>
      <c r="I233" s="1">
        <v>25405</v>
      </c>
      <c r="J233" s="1">
        <v>2360</v>
      </c>
    </row>
    <row r="234" spans="1:10" x14ac:dyDescent="0.3">
      <c r="A234" t="s">
        <v>68</v>
      </c>
      <c r="B234" t="s">
        <v>25</v>
      </c>
      <c r="C234" t="s">
        <v>102</v>
      </c>
      <c r="D234" t="s">
        <v>31</v>
      </c>
      <c r="E234">
        <v>66</v>
      </c>
      <c r="F234">
        <v>28</v>
      </c>
      <c r="G234" s="1">
        <v>100</v>
      </c>
      <c r="H234" s="1">
        <v>100</v>
      </c>
      <c r="I234" s="1">
        <v>250</v>
      </c>
      <c r="J234" s="1">
        <v>2500</v>
      </c>
    </row>
    <row r="235" spans="1:10" x14ac:dyDescent="0.3">
      <c r="A235" t="s">
        <v>68</v>
      </c>
      <c r="B235" t="s">
        <v>25</v>
      </c>
      <c r="C235" t="s">
        <v>102</v>
      </c>
      <c r="D235" t="s">
        <v>106</v>
      </c>
      <c r="E235">
        <v>66</v>
      </c>
      <c r="F235">
        <v>35</v>
      </c>
      <c r="G235" s="1">
        <v>100</v>
      </c>
      <c r="H235" s="1">
        <v>100</v>
      </c>
      <c r="I235" s="1">
        <v>260</v>
      </c>
      <c r="J235" s="1">
        <v>2600</v>
      </c>
    </row>
    <row r="236" spans="1:10" x14ac:dyDescent="0.3">
      <c r="A236" t="s">
        <v>68</v>
      </c>
      <c r="B236" t="s">
        <v>25</v>
      </c>
      <c r="C236" t="s">
        <v>102</v>
      </c>
      <c r="D236" t="s">
        <v>107</v>
      </c>
      <c r="E236">
        <v>66</v>
      </c>
      <c r="F236">
        <v>42</v>
      </c>
      <c r="G236" s="1">
        <v>100</v>
      </c>
      <c r="H236" s="1">
        <v>100</v>
      </c>
      <c r="I236" s="1">
        <v>250</v>
      </c>
      <c r="J236" s="1">
        <v>2500</v>
      </c>
    </row>
    <row r="237" spans="1:10" x14ac:dyDescent="0.3">
      <c r="A237" t="s">
        <v>68</v>
      </c>
      <c r="B237" t="s">
        <v>25</v>
      </c>
      <c r="C237" t="s">
        <v>102</v>
      </c>
      <c r="D237" t="s">
        <v>108</v>
      </c>
      <c r="E237">
        <v>66</v>
      </c>
      <c r="F237">
        <v>49</v>
      </c>
      <c r="G237" s="1">
        <v>125</v>
      </c>
      <c r="H237" s="1">
        <v>125</v>
      </c>
      <c r="I237" s="1">
        <v>300</v>
      </c>
      <c r="J237" s="1">
        <v>2400</v>
      </c>
    </row>
    <row r="238" spans="1:10" x14ac:dyDescent="0.3">
      <c r="A238" t="s">
        <v>68</v>
      </c>
      <c r="B238" t="s">
        <v>25</v>
      </c>
      <c r="C238" t="s">
        <v>102</v>
      </c>
      <c r="D238" t="s">
        <v>111</v>
      </c>
      <c r="E238">
        <v>66</v>
      </c>
      <c r="F238">
        <v>56</v>
      </c>
      <c r="G238" s="1">
        <v>2000</v>
      </c>
      <c r="H238" s="1">
        <v>2000</v>
      </c>
      <c r="I238" s="1">
        <v>4560</v>
      </c>
      <c r="J238" s="1">
        <v>2280</v>
      </c>
    </row>
    <row r="239" spans="1:10" x14ac:dyDescent="0.3">
      <c r="A239" t="s">
        <v>68</v>
      </c>
      <c r="B239" t="s">
        <v>25</v>
      </c>
      <c r="C239" t="s">
        <v>102</v>
      </c>
      <c r="D239" t="s">
        <v>116</v>
      </c>
      <c r="E239">
        <v>66</v>
      </c>
      <c r="F239">
        <v>77</v>
      </c>
      <c r="G239" s="1">
        <v>45</v>
      </c>
      <c r="H239" s="1">
        <v>45</v>
      </c>
      <c r="I239" s="1">
        <v>108</v>
      </c>
      <c r="J239" s="1">
        <v>2400</v>
      </c>
    </row>
    <row r="240" spans="1:10" x14ac:dyDescent="0.3">
      <c r="A240" t="s">
        <v>68</v>
      </c>
      <c r="B240" t="s">
        <v>25</v>
      </c>
      <c r="C240" t="s">
        <v>102</v>
      </c>
      <c r="D240" t="s">
        <v>117</v>
      </c>
      <c r="E240">
        <v>66</v>
      </c>
      <c r="F240">
        <v>84</v>
      </c>
      <c r="G240" s="1">
        <v>115</v>
      </c>
      <c r="H240" s="1">
        <v>115</v>
      </c>
      <c r="I240" s="1">
        <v>288</v>
      </c>
      <c r="J240" s="1">
        <v>2500</v>
      </c>
    </row>
    <row r="241" spans="1:10" x14ac:dyDescent="0.3">
      <c r="A241" t="s">
        <v>68</v>
      </c>
      <c r="B241" t="s">
        <v>25</v>
      </c>
      <c r="C241" t="s">
        <v>102</v>
      </c>
      <c r="D241" t="s">
        <v>104</v>
      </c>
      <c r="E241">
        <v>66</v>
      </c>
      <c r="F241">
        <v>112</v>
      </c>
      <c r="G241" s="1">
        <v>8211</v>
      </c>
      <c r="H241" s="1">
        <v>8211</v>
      </c>
      <c r="I241" s="1">
        <v>20199</v>
      </c>
      <c r="J241" s="1">
        <v>2460</v>
      </c>
    </row>
    <row r="242" spans="1:10" x14ac:dyDescent="0.3">
      <c r="A242" t="s">
        <v>68</v>
      </c>
      <c r="B242" t="s">
        <v>25</v>
      </c>
      <c r="C242" t="s">
        <v>102</v>
      </c>
      <c r="D242" t="s">
        <v>112</v>
      </c>
      <c r="E242">
        <v>66</v>
      </c>
      <c r="F242">
        <v>126</v>
      </c>
      <c r="G242" s="1">
        <v>1392</v>
      </c>
      <c r="H242" s="1">
        <v>1392</v>
      </c>
      <c r="I242" s="1">
        <v>3243</v>
      </c>
      <c r="J242" s="1">
        <v>2330</v>
      </c>
    </row>
    <row r="243" spans="1:10" x14ac:dyDescent="0.3">
      <c r="A243" t="s">
        <v>68</v>
      </c>
      <c r="B243" t="s">
        <v>25</v>
      </c>
      <c r="C243" t="s">
        <v>102</v>
      </c>
      <c r="D243" t="s">
        <v>51</v>
      </c>
      <c r="E243">
        <v>66</v>
      </c>
      <c r="F243">
        <v>133</v>
      </c>
      <c r="G243" s="1">
        <v>150</v>
      </c>
      <c r="H243" s="1">
        <v>150</v>
      </c>
      <c r="I243" s="1">
        <v>345</v>
      </c>
      <c r="J243" s="1">
        <v>2300</v>
      </c>
    </row>
    <row r="244" spans="1:10" x14ac:dyDescent="0.3">
      <c r="A244" t="s">
        <v>68</v>
      </c>
      <c r="B244" t="s">
        <v>25</v>
      </c>
      <c r="C244" t="s">
        <v>102</v>
      </c>
      <c r="D244" t="s">
        <v>113</v>
      </c>
      <c r="E244">
        <v>66</v>
      </c>
      <c r="F244">
        <v>140</v>
      </c>
      <c r="G244" s="1">
        <v>3000</v>
      </c>
      <c r="H244" s="1">
        <v>3000</v>
      </c>
      <c r="I244" s="1">
        <v>7440</v>
      </c>
      <c r="J244" s="1">
        <v>2480</v>
      </c>
    </row>
    <row r="245" spans="1:10" x14ac:dyDescent="0.3">
      <c r="A245" t="s">
        <v>69</v>
      </c>
      <c r="B245" t="s">
        <v>25</v>
      </c>
      <c r="C245" t="s">
        <v>102</v>
      </c>
      <c r="D245" t="s">
        <v>103</v>
      </c>
      <c r="E245">
        <v>66</v>
      </c>
      <c r="F245">
        <v>7</v>
      </c>
      <c r="G245" s="1">
        <v>171582</v>
      </c>
      <c r="H245" s="1">
        <v>171582</v>
      </c>
      <c r="I245" s="1">
        <v>411366</v>
      </c>
      <c r="J245" s="1">
        <v>2397</v>
      </c>
    </row>
    <row r="246" spans="1:10" x14ac:dyDescent="0.3">
      <c r="A246" t="s">
        <v>69</v>
      </c>
      <c r="B246" t="s">
        <v>25</v>
      </c>
      <c r="C246" t="s">
        <v>102</v>
      </c>
      <c r="D246" t="s">
        <v>31</v>
      </c>
      <c r="E246">
        <v>66</v>
      </c>
      <c r="F246">
        <v>28</v>
      </c>
      <c r="G246" s="1">
        <v>1050</v>
      </c>
      <c r="H246" s="1">
        <v>1050</v>
      </c>
      <c r="I246" s="1">
        <v>2625</v>
      </c>
      <c r="J246" s="1">
        <v>2500</v>
      </c>
    </row>
    <row r="247" spans="1:10" x14ac:dyDescent="0.3">
      <c r="A247" t="s">
        <v>69</v>
      </c>
      <c r="B247" t="s">
        <v>25</v>
      </c>
      <c r="C247" t="s">
        <v>102</v>
      </c>
      <c r="D247" t="s">
        <v>106</v>
      </c>
      <c r="E247">
        <v>66</v>
      </c>
      <c r="F247">
        <v>35</v>
      </c>
      <c r="G247" s="1">
        <v>400</v>
      </c>
      <c r="H247" s="1">
        <v>400</v>
      </c>
      <c r="I247" s="1">
        <v>1010</v>
      </c>
      <c r="J247" s="1">
        <v>2525</v>
      </c>
    </row>
    <row r="248" spans="1:10" x14ac:dyDescent="0.3">
      <c r="A248" t="s">
        <v>69</v>
      </c>
      <c r="B248" t="s">
        <v>25</v>
      </c>
      <c r="C248" t="s">
        <v>102</v>
      </c>
      <c r="D248" t="s">
        <v>107</v>
      </c>
      <c r="E248">
        <v>66</v>
      </c>
      <c r="F248">
        <v>42</v>
      </c>
      <c r="G248" s="1">
        <v>310</v>
      </c>
      <c r="H248" s="1">
        <v>310</v>
      </c>
      <c r="I248" s="1">
        <v>775</v>
      </c>
      <c r="J248" s="1">
        <v>2500</v>
      </c>
    </row>
    <row r="249" spans="1:10" x14ac:dyDescent="0.3">
      <c r="A249" t="s">
        <v>69</v>
      </c>
      <c r="B249" t="s">
        <v>25</v>
      </c>
      <c r="C249" t="s">
        <v>102</v>
      </c>
      <c r="D249" t="s">
        <v>108</v>
      </c>
      <c r="E249">
        <v>66</v>
      </c>
      <c r="F249">
        <v>49</v>
      </c>
      <c r="G249" s="1">
        <v>2125</v>
      </c>
      <c r="H249" s="1">
        <v>2125</v>
      </c>
      <c r="I249" s="1">
        <v>5100</v>
      </c>
      <c r="J249" s="1">
        <v>2400</v>
      </c>
    </row>
    <row r="250" spans="1:10" x14ac:dyDescent="0.3">
      <c r="A250" t="s">
        <v>69</v>
      </c>
      <c r="B250" t="s">
        <v>25</v>
      </c>
      <c r="C250" t="s">
        <v>102</v>
      </c>
      <c r="D250" t="s">
        <v>111</v>
      </c>
      <c r="E250">
        <v>66</v>
      </c>
      <c r="F250">
        <v>56</v>
      </c>
      <c r="G250" s="1">
        <v>36827</v>
      </c>
      <c r="H250" s="1">
        <v>36727</v>
      </c>
      <c r="I250" s="1">
        <v>84432</v>
      </c>
      <c r="J250" s="1">
        <v>2299</v>
      </c>
    </row>
    <row r="251" spans="1:10" x14ac:dyDescent="0.3">
      <c r="A251" t="s">
        <v>69</v>
      </c>
      <c r="B251" t="s">
        <v>25</v>
      </c>
      <c r="C251" t="s">
        <v>102</v>
      </c>
      <c r="D251" t="s">
        <v>116</v>
      </c>
      <c r="E251">
        <v>66</v>
      </c>
      <c r="F251">
        <v>77</v>
      </c>
      <c r="G251" s="1">
        <v>105</v>
      </c>
      <c r="H251" s="1">
        <v>105</v>
      </c>
      <c r="I251" s="1">
        <v>252</v>
      </c>
      <c r="J251" s="1">
        <v>2400</v>
      </c>
    </row>
    <row r="252" spans="1:10" x14ac:dyDescent="0.3">
      <c r="A252" t="s">
        <v>69</v>
      </c>
      <c r="B252" t="s">
        <v>25</v>
      </c>
      <c r="C252" t="s">
        <v>102</v>
      </c>
      <c r="D252" t="s">
        <v>117</v>
      </c>
      <c r="E252">
        <v>66</v>
      </c>
      <c r="F252">
        <v>84</v>
      </c>
      <c r="G252" s="1">
        <v>1215</v>
      </c>
      <c r="H252" s="1">
        <v>1215</v>
      </c>
      <c r="I252" s="1">
        <v>3038</v>
      </c>
      <c r="J252" s="1">
        <v>2500</v>
      </c>
    </row>
    <row r="253" spans="1:10" x14ac:dyDescent="0.3">
      <c r="A253" t="s">
        <v>69</v>
      </c>
      <c r="B253" t="s">
        <v>25</v>
      </c>
      <c r="C253" t="s">
        <v>102</v>
      </c>
      <c r="D253" t="s">
        <v>109</v>
      </c>
      <c r="E253">
        <v>66</v>
      </c>
      <c r="F253">
        <v>98</v>
      </c>
      <c r="G253" s="1">
        <v>50</v>
      </c>
      <c r="H253" s="1">
        <v>50</v>
      </c>
      <c r="I253" s="1">
        <v>115</v>
      </c>
      <c r="J253" s="1">
        <v>2300</v>
      </c>
    </row>
    <row r="254" spans="1:10" x14ac:dyDescent="0.3">
      <c r="A254" t="s">
        <v>69</v>
      </c>
      <c r="B254" t="s">
        <v>25</v>
      </c>
      <c r="C254" t="s">
        <v>102</v>
      </c>
      <c r="D254" t="s">
        <v>104</v>
      </c>
      <c r="E254">
        <v>66</v>
      </c>
      <c r="F254">
        <v>112</v>
      </c>
      <c r="G254" s="1">
        <v>35293</v>
      </c>
      <c r="H254" s="1">
        <v>35293</v>
      </c>
      <c r="I254" s="1">
        <v>87904</v>
      </c>
      <c r="J254" s="1">
        <v>2491</v>
      </c>
    </row>
    <row r="255" spans="1:10" x14ac:dyDescent="0.3">
      <c r="A255" t="s">
        <v>69</v>
      </c>
      <c r="B255" t="s">
        <v>25</v>
      </c>
      <c r="C255" t="s">
        <v>102</v>
      </c>
      <c r="D255" t="s">
        <v>112</v>
      </c>
      <c r="E255">
        <v>66</v>
      </c>
      <c r="F255">
        <v>126</v>
      </c>
      <c r="G255" s="1">
        <v>9580</v>
      </c>
      <c r="H255" s="1">
        <v>9430</v>
      </c>
      <c r="I255" s="1">
        <v>22535</v>
      </c>
      <c r="J255" s="1">
        <v>2390</v>
      </c>
    </row>
    <row r="256" spans="1:10" x14ac:dyDescent="0.3">
      <c r="A256" t="s">
        <v>69</v>
      </c>
      <c r="B256" t="s">
        <v>25</v>
      </c>
      <c r="C256" t="s">
        <v>102</v>
      </c>
      <c r="D256" t="s">
        <v>51</v>
      </c>
      <c r="E256">
        <v>66</v>
      </c>
      <c r="F256">
        <v>133</v>
      </c>
      <c r="G256" s="1">
        <v>12450</v>
      </c>
      <c r="H256" s="1">
        <v>12450</v>
      </c>
      <c r="I256" s="1">
        <v>28635</v>
      </c>
      <c r="J256" s="1">
        <v>2300</v>
      </c>
    </row>
    <row r="257" spans="1:10" x14ac:dyDescent="0.3">
      <c r="A257" t="s">
        <v>69</v>
      </c>
      <c r="B257" t="s">
        <v>25</v>
      </c>
      <c r="C257" t="s">
        <v>102</v>
      </c>
      <c r="D257" t="s">
        <v>113</v>
      </c>
      <c r="E257">
        <v>66</v>
      </c>
      <c r="F257">
        <v>140</v>
      </c>
      <c r="G257" s="1">
        <v>37186</v>
      </c>
      <c r="H257" s="1">
        <v>37186</v>
      </c>
      <c r="I257" s="1">
        <v>92905</v>
      </c>
      <c r="J257" s="1">
        <v>2498</v>
      </c>
    </row>
    <row r="258" spans="1:10" x14ac:dyDescent="0.3">
      <c r="A258" t="s">
        <v>69</v>
      </c>
      <c r="B258" t="s">
        <v>25</v>
      </c>
      <c r="C258" t="s">
        <v>102</v>
      </c>
      <c r="D258" t="s">
        <v>114</v>
      </c>
      <c r="E258">
        <v>66</v>
      </c>
      <c r="F258">
        <v>147</v>
      </c>
      <c r="G258" s="1">
        <v>50</v>
      </c>
      <c r="H258" s="1">
        <v>50</v>
      </c>
      <c r="I258" s="1">
        <v>120</v>
      </c>
      <c r="J258" s="1">
        <v>2400</v>
      </c>
    </row>
    <row r="259" spans="1:10" x14ac:dyDescent="0.3">
      <c r="A259" t="s">
        <v>70</v>
      </c>
      <c r="B259" t="s">
        <v>25</v>
      </c>
      <c r="C259" t="s">
        <v>102</v>
      </c>
      <c r="D259" t="s">
        <v>103</v>
      </c>
      <c r="E259">
        <v>66</v>
      </c>
      <c r="F259">
        <v>7</v>
      </c>
      <c r="G259" s="1">
        <v>22610</v>
      </c>
      <c r="H259" s="1">
        <v>18571</v>
      </c>
      <c r="I259" s="1">
        <v>46428</v>
      </c>
      <c r="J259" s="1">
        <v>2500</v>
      </c>
    </row>
    <row r="260" spans="1:10" x14ac:dyDescent="0.3">
      <c r="A260" t="s">
        <v>70</v>
      </c>
      <c r="B260" t="s">
        <v>25</v>
      </c>
      <c r="C260" t="s">
        <v>102</v>
      </c>
      <c r="D260" t="s">
        <v>108</v>
      </c>
      <c r="E260">
        <v>66</v>
      </c>
      <c r="F260">
        <v>49</v>
      </c>
      <c r="G260" s="1">
        <v>500</v>
      </c>
      <c r="H260" s="1">
        <v>500</v>
      </c>
      <c r="I260" s="1">
        <v>1200</v>
      </c>
      <c r="J260" s="1">
        <v>2400</v>
      </c>
    </row>
    <row r="261" spans="1:10" x14ac:dyDescent="0.3">
      <c r="A261" t="s">
        <v>70</v>
      </c>
      <c r="B261" t="s">
        <v>25</v>
      </c>
      <c r="C261" t="s">
        <v>102</v>
      </c>
      <c r="D261" t="s">
        <v>111</v>
      </c>
      <c r="E261">
        <v>66</v>
      </c>
      <c r="F261">
        <v>56</v>
      </c>
      <c r="G261" s="1">
        <v>6250</v>
      </c>
      <c r="H261" s="1">
        <v>6050</v>
      </c>
      <c r="I261" s="1">
        <v>15730</v>
      </c>
      <c r="J261" s="1">
        <v>2600</v>
      </c>
    </row>
    <row r="262" spans="1:10" x14ac:dyDescent="0.3">
      <c r="A262" t="s">
        <v>70</v>
      </c>
      <c r="B262" t="s">
        <v>25</v>
      </c>
      <c r="C262" t="s">
        <v>102</v>
      </c>
      <c r="D262" t="s">
        <v>117</v>
      </c>
      <c r="E262">
        <v>66</v>
      </c>
      <c r="F262">
        <v>84</v>
      </c>
      <c r="G262" s="1">
        <v>140</v>
      </c>
      <c r="H262" s="1">
        <v>140</v>
      </c>
      <c r="I262" s="1">
        <v>364</v>
      </c>
      <c r="J262" s="1">
        <v>2600</v>
      </c>
    </row>
    <row r="263" spans="1:10" x14ac:dyDescent="0.3">
      <c r="A263" t="s">
        <v>70</v>
      </c>
      <c r="B263" t="s">
        <v>25</v>
      </c>
      <c r="C263" t="s">
        <v>102</v>
      </c>
      <c r="D263" t="s">
        <v>104</v>
      </c>
      <c r="E263">
        <v>66</v>
      </c>
      <c r="F263">
        <v>112</v>
      </c>
      <c r="G263" s="1">
        <v>2200</v>
      </c>
      <c r="H263" s="1">
        <v>2050</v>
      </c>
      <c r="I263" s="1">
        <v>5330</v>
      </c>
      <c r="J263" s="1">
        <v>2600</v>
      </c>
    </row>
    <row r="264" spans="1:10" x14ac:dyDescent="0.3">
      <c r="A264" t="s">
        <v>70</v>
      </c>
      <c r="B264" t="s">
        <v>25</v>
      </c>
      <c r="C264" t="s">
        <v>102</v>
      </c>
      <c r="D264" t="s">
        <v>112</v>
      </c>
      <c r="E264">
        <v>66</v>
      </c>
      <c r="F264">
        <v>126</v>
      </c>
      <c r="G264" s="1">
        <v>1675</v>
      </c>
      <c r="H264" s="1">
        <v>1675</v>
      </c>
      <c r="I264" s="1">
        <v>4188</v>
      </c>
      <c r="J264" s="1">
        <v>2500</v>
      </c>
    </row>
    <row r="265" spans="1:10" x14ac:dyDescent="0.3">
      <c r="A265" t="s">
        <v>70</v>
      </c>
      <c r="B265" t="s">
        <v>25</v>
      </c>
      <c r="C265" t="s">
        <v>102</v>
      </c>
      <c r="D265" t="s">
        <v>51</v>
      </c>
      <c r="E265">
        <v>66</v>
      </c>
      <c r="F265">
        <v>133</v>
      </c>
      <c r="G265" s="1">
        <v>200</v>
      </c>
      <c r="H265" s="1">
        <v>150</v>
      </c>
      <c r="I265" s="1">
        <v>375</v>
      </c>
      <c r="J265" s="1">
        <v>2500</v>
      </c>
    </row>
    <row r="266" spans="1:10" x14ac:dyDescent="0.3">
      <c r="A266" t="s">
        <v>70</v>
      </c>
      <c r="B266" t="s">
        <v>25</v>
      </c>
      <c r="C266" t="s">
        <v>102</v>
      </c>
      <c r="D266" t="s">
        <v>113</v>
      </c>
      <c r="E266">
        <v>66</v>
      </c>
      <c r="F266">
        <v>140</v>
      </c>
      <c r="G266" s="1">
        <v>2500</v>
      </c>
      <c r="H266" s="1">
        <v>2250</v>
      </c>
      <c r="I266" s="1">
        <v>5625</v>
      </c>
      <c r="J266" s="1">
        <v>2500</v>
      </c>
    </row>
    <row r="267" spans="1:10" x14ac:dyDescent="0.3">
      <c r="A267" t="s">
        <v>71</v>
      </c>
      <c r="B267" t="s">
        <v>25</v>
      </c>
      <c r="C267" t="s">
        <v>102</v>
      </c>
      <c r="D267" t="s">
        <v>103</v>
      </c>
      <c r="E267">
        <v>66</v>
      </c>
      <c r="F267">
        <v>7</v>
      </c>
      <c r="G267" s="1">
        <v>7633</v>
      </c>
      <c r="H267" s="1">
        <v>7633</v>
      </c>
      <c r="I267" s="1">
        <v>9923</v>
      </c>
      <c r="J267" s="1">
        <v>1300</v>
      </c>
    </row>
    <row r="268" spans="1:10" x14ac:dyDescent="0.3">
      <c r="A268" t="s">
        <v>71</v>
      </c>
      <c r="B268" t="s">
        <v>25</v>
      </c>
      <c r="C268" t="s">
        <v>102</v>
      </c>
      <c r="D268" t="s">
        <v>113</v>
      </c>
      <c r="E268">
        <v>66</v>
      </c>
      <c r="F268">
        <v>140</v>
      </c>
      <c r="G268" s="1">
        <v>500</v>
      </c>
      <c r="H268" s="1">
        <v>500</v>
      </c>
      <c r="I268" s="1">
        <v>500</v>
      </c>
      <c r="J268" s="1">
        <v>1000</v>
      </c>
    </row>
    <row r="269" spans="1:10" x14ac:dyDescent="0.3">
      <c r="A269" t="s">
        <v>72</v>
      </c>
      <c r="B269" t="s">
        <v>25</v>
      </c>
      <c r="C269" t="s">
        <v>102</v>
      </c>
      <c r="D269" t="s">
        <v>103</v>
      </c>
      <c r="E269">
        <v>66</v>
      </c>
      <c r="F269">
        <v>7</v>
      </c>
      <c r="G269" s="1">
        <v>29233</v>
      </c>
      <c r="H269" s="1">
        <v>29233</v>
      </c>
      <c r="I269" s="1">
        <v>48803</v>
      </c>
      <c r="J269" s="1">
        <v>1669</v>
      </c>
    </row>
    <row r="270" spans="1:10" x14ac:dyDescent="0.3">
      <c r="A270" t="s">
        <v>72</v>
      </c>
      <c r="B270" t="s">
        <v>25</v>
      </c>
      <c r="C270" t="s">
        <v>102</v>
      </c>
      <c r="D270" t="s">
        <v>31</v>
      </c>
      <c r="E270">
        <v>66</v>
      </c>
      <c r="F270">
        <v>28</v>
      </c>
      <c r="G270" s="1">
        <v>230</v>
      </c>
      <c r="H270" s="1">
        <v>230</v>
      </c>
      <c r="I270" s="1">
        <v>276</v>
      </c>
      <c r="J270" s="1">
        <v>1200</v>
      </c>
    </row>
    <row r="271" spans="1:10" x14ac:dyDescent="0.3">
      <c r="A271" t="s">
        <v>72</v>
      </c>
      <c r="B271" t="s">
        <v>25</v>
      </c>
      <c r="C271" t="s">
        <v>102</v>
      </c>
      <c r="D271" t="s">
        <v>106</v>
      </c>
      <c r="E271">
        <v>66</v>
      </c>
      <c r="F271">
        <v>35</v>
      </c>
      <c r="G271" s="1">
        <v>150</v>
      </c>
      <c r="H271" s="1">
        <v>150</v>
      </c>
      <c r="I271" s="1">
        <v>180</v>
      </c>
      <c r="J271" s="1">
        <v>1200</v>
      </c>
    </row>
    <row r="272" spans="1:10" x14ac:dyDescent="0.3">
      <c r="A272" t="s">
        <v>72</v>
      </c>
      <c r="B272" t="s">
        <v>25</v>
      </c>
      <c r="C272" t="s">
        <v>102</v>
      </c>
      <c r="D272" t="s">
        <v>107</v>
      </c>
      <c r="E272">
        <v>66</v>
      </c>
      <c r="F272">
        <v>42</v>
      </c>
      <c r="G272" s="1">
        <v>640</v>
      </c>
      <c r="H272" s="1">
        <v>640</v>
      </c>
      <c r="I272" s="1">
        <v>768</v>
      </c>
      <c r="J272" s="1">
        <v>1200</v>
      </c>
    </row>
    <row r="273" spans="1:10" x14ac:dyDescent="0.3">
      <c r="A273" t="s">
        <v>72</v>
      </c>
      <c r="B273" t="s">
        <v>25</v>
      </c>
      <c r="C273" t="s">
        <v>102</v>
      </c>
      <c r="D273" t="s">
        <v>108</v>
      </c>
      <c r="E273">
        <v>66</v>
      </c>
      <c r="F273">
        <v>49</v>
      </c>
      <c r="G273" s="1">
        <v>155</v>
      </c>
      <c r="H273" s="1">
        <v>155</v>
      </c>
      <c r="I273" s="1">
        <v>171</v>
      </c>
      <c r="J273" s="1">
        <v>1103</v>
      </c>
    </row>
    <row r="274" spans="1:10" x14ac:dyDescent="0.3">
      <c r="A274" t="s">
        <v>72</v>
      </c>
      <c r="B274" t="s">
        <v>25</v>
      </c>
      <c r="C274" t="s">
        <v>102</v>
      </c>
      <c r="D274" t="s">
        <v>111</v>
      </c>
      <c r="E274">
        <v>66</v>
      </c>
      <c r="F274">
        <v>56</v>
      </c>
      <c r="G274" s="1">
        <v>6600</v>
      </c>
      <c r="H274" s="1">
        <v>6600</v>
      </c>
      <c r="I274" s="1">
        <v>6600</v>
      </c>
      <c r="J274" s="1">
        <v>1000</v>
      </c>
    </row>
    <row r="275" spans="1:10" x14ac:dyDescent="0.3">
      <c r="A275" t="s">
        <v>72</v>
      </c>
      <c r="B275" t="s">
        <v>25</v>
      </c>
      <c r="C275" t="s">
        <v>102</v>
      </c>
      <c r="D275" t="s">
        <v>116</v>
      </c>
      <c r="E275">
        <v>66</v>
      </c>
      <c r="F275">
        <v>77</v>
      </c>
      <c r="G275" s="1">
        <v>85</v>
      </c>
      <c r="H275" s="1">
        <v>85</v>
      </c>
      <c r="I275" s="1">
        <v>102</v>
      </c>
      <c r="J275" s="1">
        <v>1200</v>
      </c>
    </row>
    <row r="276" spans="1:10" x14ac:dyDescent="0.3">
      <c r="A276" t="s">
        <v>72</v>
      </c>
      <c r="B276" t="s">
        <v>25</v>
      </c>
      <c r="C276" t="s">
        <v>102</v>
      </c>
      <c r="D276" t="s">
        <v>117</v>
      </c>
      <c r="E276">
        <v>66</v>
      </c>
      <c r="F276">
        <v>84</v>
      </c>
      <c r="G276" s="1">
        <v>1100</v>
      </c>
      <c r="H276" s="1">
        <v>1100</v>
      </c>
      <c r="I276" s="1">
        <v>1100</v>
      </c>
      <c r="J276" s="1">
        <v>1000</v>
      </c>
    </row>
    <row r="277" spans="1:10" x14ac:dyDescent="0.3">
      <c r="A277" t="s">
        <v>72</v>
      </c>
      <c r="B277" t="s">
        <v>25</v>
      </c>
      <c r="C277" t="s">
        <v>102</v>
      </c>
      <c r="D277" t="s">
        <v>109</v>
      </c>
      <c r="E277">
        <v>66</v>
      </c>
      <c r="F277">
        <v>98</v>
      </c>
      <c r="G277" s="1">
        <v>50</v>
      </c>
      <c r="H277" s="1">
        <v>50</v>
      </c>
      <c r="I277" s="1">
        <v>60</v>
      </c>
      <c r="J277" s="1">
        <v>1200</v>
      </c>
    </row>
    <row r="278" spans="1:10" x14ac:dyDescent="0.3">
      <c r="A278" t="s">
        <v>72</v>
      </c>
      <c r="B278" t="s">
        <v>25</v>
      </c>
      <c r="C278" t="s">
        <v>102</v>
      </c>
      <c r="D278" t="s">
        <v>104</v>
      </c>
      <c r="E278">
        <v>66</v>
      </c>
      <c r="F278">
        <v>112</v>
      </c>
      <c r="G278" s="1">
        <v>8100</v>
      </c>
      <c r="H278" s="1">
        <v>8080</v>
      </c>
      <c r="I278" s="1">
        <v>8888</v>
      </c>
      <c r="J278" s="1">
        <v>1100</v>
      </c>
    </row>
    <row r="279" spans="1:10" x14ac:dyDescent="0.3">
      <c r="A279" t="s">
        <v>72</v>
      </c>
      <c r="B279" t="s">
        <v>25</v>
      </c>
      <c r="C279" t="s">
        <v>102</v>
      </c>
      <c r="D279" t="s">
        <v>112</v>
      </c>
      <c r="E279">
        <v>66</v>
      </c>
      <c r="F279">
        <v>126</v>
      </c>
      <c r="G279" s="1">
        <v>4700</v>
      </c>
      <c r="H279" s="1">
        <v>4700</v>
      </c>
      <c r="I279" s="1">
        <v>4700</v>
      </c>
      <c r="J279" s="1">
        <v>1000</v>
      </c>
    </row>
    <row r="280" spans="1:10" x14ac:dyDescent="0.3">
      <c r="A280" t="s">
        <v>72</v>
      </c>
      <c r="B280" t="s">
        <v>25</v>
      </c>
      <c r="C280" t="s">
        <v>102</v>
      </c>
      <c r="D280" t="s">
        <v>51</v>
      </c>
      <c r="E280">
        <v>66</v>
      </c>
      <c r="F280">
        <v>133</v>
      </c>
      <c r="G280" s="1">
        <v>1150</v>
      </c>
      <c r="H280" s="1">
        <v>1150</v>
      </c>
      <c r="I280" s="1">
        <v>1265</v>
      </c>
      <c r="J280" s="1">
        <v>1100</v>
      </c>
    </row>
    <row r="281" spans="1:10" x14ac:dyDescent="0.3">
      <c r="A281" t="s">
        <v>72</v>
      </c>
      <c r="B281" t="s">
        <v>25</v>
      </c>
      <c r="C281" t="s">
        <v>102</v>
      </c>
      <c r="D281" t="s">
        <v>113</v>
      </c>
      <c r="E281">
        <v>66</v>
      </c>
      <c r="F281">
        <v>140</v>
      </c>
      <c r="G281" s="1">
        <v>5500</v>
      </c>
      <c r="H281" s="1">
        <v>5500</v>
      </c>
      <c r="I281" s="1">
        <v>5500</v>
      </c>
      <c r="J281" s="1">
        <v>1000</v>
      </c>
    </row>
    <row r="282" spans="1:10" x14ac:dyDescent="0.3">
      <c r="A282" t="s">
        <v>72</v>
      </c>
      <c r="B282" t="s">
        <v>25</v>
      </c>
      <c r="C282" t="s">
        <v>102</v>
      </c>
      <c r="D282" t="s">
        <v>114</v>
      </c>
      <c r="E282">
        <v>66</v>
      </c>
      <c r="F282">
        <v>147</v>
      </c>
      <c r="G282" s="1">
        <v>210</v>
      </c>
      <c r="H282" s="1">
        <v>210</v>
      </c>
      <c r="I282" s="1">
        <v>252</v>
      </c>
      <c r="J282" s="1">
        <v>1200</v>
      </c>
    </row>
    <row r="283" spans="1:10" x14ac:dyDescent="0.3">
      <c r="A283" t="s">
        <v>49</v>
      </c>
      <c r="B283" t="s">
        <v>25</v>
      </c>
      <c r="C283" t="s">
        <v>118</v>
      </c>
      <c r="D283" t="s">
        <v>119</v>
      </c>
      <c r="E283">
        <v>38</v>
      </c>
      <c r="F283">
        <v>63</v>
      </c>
      <c r="G283" s="1">
        <v>810</v>
      </c>
      <c r="H283" s="1">
        <v>810</v>
      </c>
      <c r="I283" s="1">
        <v>1134</v>
      </c>
      <c r="J283" s="1">
        <v>1400</v>
      </c>
    </row>
    <row r="284" spans="1:10" x14ac:dyDescent="0.3">
      <c r="A284" t="s">
        <v>52</v>
      </c>
      <c r="B284" t="s">
        <v>25</v>
      </c>
      <c r="C284" t="s">
        <v>118</v>
      </c>
      <c r="D284" t="s">
        <v>119</v>
      </c>
      <c r="E284">
        <v>38</v>
      </c>
      <c r="F284">
        <v>63</v>
      </c>
      <c r="G284" s="1">
        <v>60</v>
      </c>
      <c r="H284" s="1">
        <v>60</v>
      </c>
      <c r="I284" s="1">
        <v>48</v>
      </c>
      <c r="J284" s="1">
        <v>800</v>
      </c>
    </row>
    <row r="285" spans="1:10" x14ac:dyDescent="0.3">
      <c r="A285" t="s">
        <v>56</v>
      </c>
      <c r="B285" t="s">
        <v>25</v>
      </c>
      <c r="C285" t="s">
        <v>118</v>
      </c>
      <c r="D285" t="s">
        <v>120</v>
      </c>
      <c r="E285">
        <v>38</v>
      </c>
      <c r="F285">
        <v>70</v>
      </c>
      <c r="G285" s="1">
        <v>120</v>
      </c>
      <c r="H285" s="1">
        <v>120</v>
      </c>
      <c r="I285" s="1">
        <v>120</v>
      </c>
      <c r="J285" s="1">
        <v>1000</v>
      </c>
    </row>
    <row r="286" spans="1:10" x14ac:dyDescent="0.3">
      <c r="A286" t="s">
        <v>61</v>
      </c>
      <c r="B286" t="s">
        <v>25</v>
      </c>
      <c r="C286" t="s">
        <v>118</v>
      </c>
      <c r="D286" t="s">
        <v>121</v>
      </c>
      <c r="E286">
        <v>38</v>
      </c>
      <c r="F286">
        <v>21</v>
      </c>
      <c r="G286" s="1">
        <v>100</v>
      </c>
      <c r="H286" s="1">
        <v>100</v>
      </c>
      <c r="I286" s="1">
        <v>398</v>
      </c>
      <c r="J286" s="1">
        <v>4000</v>
      </c>
    </row>
    <row r="287" spans="1:10" x14ac:dyDescent="0.3">
      <c r="A287" t="s">
        <v>61</v>
      </c>
      <c r="B287" t="s">
        <v>25</v>
      </c>
      <c r="C287" t="s">
        <v>118</v>
      </c>
      <c r="D287" t="s">
        <v>122</v>
      </c>
      <c r="E287">
        <v>38</v>
      </c>
      <c r="F287">
        <v>14</v>
      </c>
      <c r="G287" s="1">
        <v>1258</v>
      </c>
      <c r="H287" s="1">
        <v>1229</v>
      </c>
      <c r="I287" s="1">
        <v>4916</v>
      </c>
      <c r="J287" s="1">
        <v>4000</v>
      </c>
    </row>
    <row r="288" spans="1:10" x14ac:dyDescent="0.3">
      <c r="A288" t="s">
        <v>61</v>
      </c>
      <c r="B288" t="s">
        <v>25</v>
      </c>
      <c r="C288" t="s">
        <v>118</v>
      </c>
      <c r="D288" t="s">
        <v>123</v>
      </c>
      <c r="E288">
        <v>38</v>
      </c>
      <c r="F288">
        <v>35</v>
      </c>
      <c r="G288" s="1">
        <v>300</v>
      </c>
      <c r="H288" s="1">
        <v>276</v>
      </c>
      <c r="I288" s="1">
        <v>1104</v>
      </c>
      <c r="J288" s="1">
        <v>4000</v>
      </c>
    </row>
    <row r="289" spans="1:10" x14ac:dyDescent="0.3">
      <c r="A289" t="s">
        <v>61</v>
      </c>
      <c r="B289" t="s">
        <v>25</v>
      </c>
      <c r="C289" t="s">
        <v>118</v>
      </c>
      <c r="D289" t="s">
        <v>124</v>
      </c>
      <c r="E289">
        <v>38</v>
      </c>
      <c r="F289">
        <v>42</v>
      </c>
      <c r="G289" s="1">
        <v>140</v>
      </c>
      <c r="H289" s="1">
        <v>139</v>
      </c>
      <c r="I289" s="1">
        <v>554</v>
      </c>
      <c r="J289" s="1">
        <v>4000</v>
      </c>
    </row>
    <row r="290" spans="1:10" x14ac:dyDescent="0.3">
      <c r="A290" t="s">
        <v>61</v>
      </c>
      <c r="B290" t="s">
        <v>25</v>
      </c>
      <c r="C290" t="s">
        <v>118</v>
      </c>
      <c r="D290" t="s">
        <v>125</v>
      </c>
      <c r="E290">
        <v>38</v>
      </c>
      <c r="F290">
        <v>56</v>
      </c>
      <c r="G290" s="1">
        <v>500</v>
      </c>
      <c r="H290" s="1">
        <v>490</v>
      </c>
      <c r="I290" s="1">
        <v>1960</v>
      </c>
      <c r="J290" s="1">
        <v>4000</v>
      </c>
    </row>
    <row r="291" spans="1:10" x14ac:dyDescent="0.3">
      <c r="A291" t="s">
        <v>61</v>
      </c>
      <c r="B291" t="s">
        <v>25</v>
      </c>
      <c r="C291" t="s">
        <v>118</v>
      </c>
      <c r="D291" t="s">
        <v>119</v>
      </c>
      <c r="E291">
        <v>38</v>
      </c>
      <c r="F291">
        <v>63</v>
      </c>
      <c r="G291" s="1">
        <v>2000</v>
      </c>
      <c r="H291" s="1">
        <v>1970</v>
      </c>
      <c r="I291" s="1">
        <v>7880</v>
      </c>
      <c r="J291" s="1">
        <v>4000</v>
      </c>
    </row>
    <row r="292" spans="1:10" x14ac:dyDescent="0.3">
      <c r="A292" t="s">
        <v>61</v>
      </c>
      <c r="B292" t="s">
        <v>25</v>
      </c>
      <c r="C292" t="s">
        <v>118</v>
      </c>
      <c r="D292" t="s">
        <v>120</v>
      </c>
      <c r="E292">
        <v>38</v>
      </c>
      <c r="F292">
        <v>70</v>
      </c>
      <c r="G292" s="1">
        <v>2000</v>
      </c>
      <c r="H292" s="1">
        <v>1400</v>
      </c>
      <c r="I292" s="1">
        <v>5600</v>
      </c>
      <c r="J292" s="1">
        <v>4000</v>
      </c>
    </row>
    <row r="293" spans="1:10" x14ac:dyDescent="0.3">
      <c r="A293" t="s">
        <v>61</v>
      </c>
      <c r="B293" t="s">
        <v>25</v>
      </c>
      <c r="C293" t="s">
        <v>118</v>
      </c>
      <c r="D293" t="s">
        <v>126</v>
      </c>
      <c r="E293">
        <v>38</v>
      </c>
      <c r="F293">
        <v>105</v>
      </c>
      <c r="G293" s="1">
        <v>1300</v>
      </c>
      <c r="H293" s="1">
        <v>1000</v>
      </c>
      <c r="I293" s="1">
        <v>4000</v>
      </c>
      <c r="J293" s="1">
        <v>4000</v>
      </c>
    </row>
    <row r="294" spans="1:10" x14ac:dyDescent="0.3">
      <c r="A294" t="s">
        <v>62</v>
      </c>
      <c r="B294" t="s">
        <v>25</v>
      </c>
      <c r="C294" t="s">
        <v>118</v>
      </c>
      <c r="D294" t="s">
        <v>119</v>
      </c>
      <c r="E294">
        <v>38</v>
      </c>
      <c r="F294">
        <v>63</v>
      </c>
      <c r="G294" s="1">
        <v>400</v>
      </c>
      <c r="H294" s="1">
        <v>400</v>
      </c>
      <c r="I294" s="1">
        <v>520</v>
      </c>
      <c r="J294" s="1">
        <v>1300</v>
      </c>
    </row>
    <row r="295" spans="1:10" x14ac:dyDescent="0.3">
      <c r="A295" t="s">
        <v>93</v>
      </c>
      <c r="B295" t="s">
        <v>25</v>
      </c>
      <c r="C295" t="s">
        <v>118</v>
      </c>
      <c r="D295" t="s">
        <v>122</v>
      </c>
      <c r="E295">
        <v>38</v>
      </c>
      <c r="F295">
        <v>14</v>
      </c>
      <c r="G295" s="1">
        <v>300</v>
      </c>
      <c r="H295" s="1">
        <v>300</v>
      </c>
      <c r="I295" s="1">
        <v>360</v>
      </c>
      <c r="J295" s="1">
        <v>1200</v>
      </c>
    </row>
    <row r="296" spans="1:10" x14ac:dyDescent="0.3">
      <c r="A296" t="s">
        <v>93</v>
      </c>
      <c r="B296" t="s">
        <v>25</v>
      </c>
      <c r="C296" t="s">
        <v>118</v>
      </c>
      <c r="D296" t="s">
        <v>123</v>
      </c>
      <c r="E296">
        <v>38</v>
      </c>
      <c r="F296">
        <v>35</v>
      </c>
      <c r="G296" s="1">
        <v>50</v>
      </c>
      <c r="H296" s="1">
        <v>50</v>
      </c>
      <c r="I296" s="1">
        <v>60</v>
      </c>
      <c r="J296" s="1">
        <v>1200</v>
      </c>
    </row>
    <row r="297" spans="1:10" x14ac:dyDescent="0.3">
      <c r="A297" t="s">
        <v>93</v>
      </c>
      <c r="B297" t="s">
        <v>25</v>
      </c>
      <c r="C297" t="s">
        <v>118</v>
      </c>
      <c r="D297" t="s">
        <v>119</v>
      </c>
      <c r="E297">
        <v>38</v>
      </c>
      <c r="F297">
        <v>63</v>
      </c>
      <c r="G297" s="1">
        <v>9000</v>
      </c>
      <c r="H297" s="1">
        <v>9000</v>
      </c>
      <c r="I297" s="1">
        <v>10800</v>
      </c>
      <c r="J297" s="1">
        <v>1200</v>
      </c>
    </row>
    <row r="298" spans="1:10" x14ac:dyDescent="0.3">
      <c r="A298" t="s">
        <v>93</v>
      </c>
      <c r="B298" t="s">
        <v>25</v>
      </c>
      <c r="C298" t="s">
        <v>118</v>
      </c>
      <c r="D298" t="s">
        <v>120</v>
      </c>
      <c r="E298">
        <v>38</v>
      </c>
      <c r="F298">
        <v>70</v>
      </c>
      <c r="G298" s="1">
        <v>10000</v>
      </c>
      <c r="H298" s="1">
        <v>10000</v>
      </c>
      <c r="I298" s="1">
        <v>12000</v>
      </c>
      <c r="J298" s="1">
        <v>1200</v>
      </c>
    </row>
    <row r="299" spans="1:10" x14ac:dyDescent="0.3">
      <c r="A299" t="s">
        <v>93</v>
      </c>
      <c r="B299" t="s">
        <v>25</v>
      </c>
      <c r="C299" t="s">
        <v>118</v>
      </c>
      <c r="D299" t="s">
        <v>126</v>
      </c>
      <c r="E299">
        <v>38</v>
      </c>
      <c r="F299">
        <v>105</v>
      </c>
      <c r="G299" s="1">
        <v>1000</v>
      </c>
      <c r="H299" s="1">
        <v>1000</v>
      </c>
      <c r="I299" s="1">
        <v>1200</v>
      </c>
      <c r="J299" s="1">
        <v>1200</v>
      </c>
    </row>
    <row r="300" spans="1:10" x14ac:dyDescent="0.3">
      <c r="A300" t="s">
        <v>64</v>
      </c>
      <c r="B300" t="s">
        <v>25</v>
      </c>
      <c r="C300" t="s">
        <v>118</v>
      </c>
      <c r="D300" t="s">
        <v>122</v>
      </c>
      <c r="E300">
        <v>38</v>
      </c>
      <c r="F300">
        <v>14</v>
      </c>
      <c r="G300" s="1">
        <v>518</v>
      </c>
      <c r="H300" s="1">
        <v>518</v>
      </c>
      <c r="I300" s="1">
        <v>622</v>
      </c>
      <c r="J300" s="1">
        <v>1200</v>
      </c>
    </row>
    <row r="301" spans="1:10" x14ac:dyDescent="0.3">
      <c r="A301" t="s">
        <v>64</v>
      </c>
      <c r="B301" t="s">
        <v>25</v>
      </c>
      <c r="C301" t="s">
        <v>118</v>
      </c>
      <c r="D301" t="s">
        <v>124</v>
      </c>
      <c r="E301">
        <v>38</v>
      </c>
      <c r="F301">
        <v>42</v>
      </c>
      <c r="G301" s="1">
        <v>250</v>
      </c>
      <c r="H301" s="1">
        <v>250</v>
      </c>
      <c r="I301" s="1">
        <v>300</v>
      </c>
      <c r="J301" s="1">
        <v>1200</v>
      </c>
    </row>
    <row r="302" spans="1:10" x14ac:dyDescent="0.3">
      <c r="A302" t="s">
        <v>64</v>
      </c>
      <c r="B302" t="s">
        <v>25</v>
      </c>
      <c r="C302" t="s">
        <v>118</v>
      </c>
      <c r="D302" t="s">
        <v>119</v>
      </c>
      <c r="E302">
        <v>38</v>
      </c>
      <c r="F302">
        <v>63</v>
      </c>
      <c r="G302" s="1">
        <v>350</v>
      </c>
      <c r="H302" s="1">
        <v>350</v>
      </c>
      <c r="I302" s="1">
        <v>420</v>
      </c>
      <c r="J302" s="1">
        <v>1200</v>
      </c>
    </row>
    <row r="303" spans="1:10" x14ac:dyDescent="0.3">
      <c r="A303" t="s">
        <v>64</v>
      </c>
      <c r="B303" t="s">
        <v>25</v>
      </c>
      <c r="C303" t="s">
        <v>118</v>
      </c>
      <c r="D303" t="s">
        <v>120</v>
      </c>
      <c r="E303">
        <v>38</v>
      </c>
      <c r="F303">
        <v>70</v>
      </c>
      <c r="G303" s="1">
        <v>2500</v>
      </c>
      <c r="H303" s="1">
        <v>2500</v>
      </c>
      <c r="I303" s="1">
        <v>3000</v>
      </c>
      <c r="J303" s="1">
        <v>1200</v>
      </c>
    </row>
    <row r="304" spans="1:10" x14ac:dyDescent="0.3">
      <c r="A304" t="s">
        <v>64</v>
      </c>
      <c r="B304" t="s">
        <v>25</v>
      </c>
      <c r="C304" t="s">
        <v>118</v>
      </c>
      <c r="D304" t="s">
        <v>126</v>
      </c>
      <c r="E304">
        <v>38</v>
      </c>
      <c r="F304">
        <v>105</v>
      </c>
      <c r="G304" s="1">
        <v>400</v>
      </c>
      <c r="H304" s="1">
        <v>400</v>
      </c>
      <c r="I304" s="1">
        <v>480</v>
      </c>
      <c r="J304" s="1">
        <v>1200</v>
      </c>
    </row>
    <row r="305" spans="1:10" x14ac:dyDescent="0.3">
      <c r="A305" t="s">
        <v>65</v>
      </c>
      <c r="B305" t="s">
        <v>25</v>
      </c>
      <c r="C305" t="s">
        <v>118</v>
      </c>
      <c r="D305" t="s">
        <v>122</v>
      </c>
      <c r="E305">
        <v>38</v>
      </c>
      <c r="F305">
        <v>14</v>
      </c>
      <c r="G305" s="1">
        <v>150</v>
      </c>
      <c r="H305" s="1">
        <v>150</v>
      </c>
      <c r="I305" s="1">
        <v>180</v>
      </c>
      <c r="J305" s="1">
        <v>1200</v>
      </c>
    </row>
    <row r="306" spans="1:10" x14ac:dyDescent="0.3">
      <c r="A306" t="s">
        <v>65</v>
      </c>
      <c r="B306" t="s">
        <v>25</v>
      </c>
      <c r="C306" t="s">
        <v>118</v>
      </c>
      <c r="D306" t="s">
        <v>119</v>
      </c>
      <c r="E306">
        <v>38</v>
      </c>
      <c r="F306">
        <v>63</v>
      </c>
      <c r="G306" s="1">
        <v>500</v>
      </c>
      <c r="H306" s="1">
        <v>500</v>
      </c>
      <c r="I306" s="1">
        <v>600</v>
      </c>
      <c r="J306" s="1">
        <v>1200</v>
      </c>
    </row>
    <row r="307" spans="1:10" x14ac:dyDescent="0.3">
      <c r="A307" t="s">
        <v>65</v>
      </c>
      <c r="B307" t="s">
        <v>25</v>
      </c>
      <c r="C307" t="s">
        <v>118</v>
      </c>
      <c r="D307" t="s">
        <v>120</v>
      </c>
      <c r="E307">
        <v>38</v>
      </c>
      <c r="F307">
        <v>70</v>
      </c>
      <c r="G307" s="1">
        <v>3000</v>
      </c>
      <c r="H307" s="1">
        <v>3000</v>
      </c>
      <c r="I307" s="1">
        <v>3600</v>
      </c>
      <c r="J307" s="1">
        <v>1200</v>
      </c>
    </row>
    <row r="308" spans="1:10" x14ac:dyDescent="0.3">
      <c r="A308" t="s">
        <v>66</v>
      </c>
      <c r="B308" t="s">
        <v>25</v>
      </c>
      <c r="C308" t="s">
        <v>118</v>
      </c>
      <c r="D308" t="s">
        <v>122</v>
      </c>
      <c r="E308">
        <v>38</v>
      </c>
      <c r="F308">
        <v>14</v>
      </c>
      <c r="G308" s="1">
        <v>968</v>
      </c>
      <c r="H308" s="1">
        <v>968</v>
      </c>
      <c r="I308" s="1">
        <v>1162</v>
      </c>
      <c r="J308" s="1">
        <v>1200</v>
      </c>
    </row>
    <row r="309" spans="1:10" x14ac:dyDescent="0.3">
      <c r="A309" t="s">
        <v>66</v>
      </c>
      <c r="B309" t="s">
        <v>25</v>
      </c>
      <c r="C309" t="s">
        <v>118</v>
      </c>
      <c r="D309" t="s">
        <v>123</v>
      </c>
      <c r="E309">
        <v>38</v>
      </c>
      <c r="F309">
        <v>35</v>
      </c>
      <c r="G309" s="1">
        <v>50</v>
      </c>
      <c r="H309" s="1">
        <v>50</v>
      </c>
      <c r="I309" s="1">
        <v>60</v>
      </c>
      <c r="J309" s="1">
        <v>1200</v>
      </c>
    </row>
    <row r="310" spans="1:10" x14ac:dyDescent="0.3">
      <c r="A310" t="s">
        <v>66</v>
      </c>
      <c r="B310" t="s">
        <v>25</v>
      </c>
      <c r="C310" t="s">
        <v>118</v>
      </c>
      <c r="D310" t="s">
        <v>124</v>
      </c>
      <c r="E310">
        <v>38</v>
      </c>
      <c r="F310">
        <v>42</v>
      </c>
      <c r="G310" s="1">
        <v>250</v>
      </c>
      <c r="H310" s="1">
        <v>250</v>
      </c>
      <c r="I310" s="1">
        <v>300</v>
      </c>
      <c r="J310" s="1">
        <v>1200</v>
      </c>
    </row>
    <row r="311" spans="1:10" x14ac:dyDescent="0.3">
      <c r="A311" t="s">
        <v>66</v>
      </c>
      <c r="B311" t="s">
        <v>25</v>
      </c>
      <c r="C311" t="s">
        <v>118</v>
      </c>
      <c r="D311" t="s">
        <v>119</v>
      </c>
      <c r="E311">
        <v>38</v>
      </c>
      <c r="F311">
        <v>63</v>
      </c>
      <c r="G311" s="1">
        <v>9850</v>
      </c>
      <c r="H311" s="1">
        <v>9850</v>
      </c>
      <c r="I311" s="1">
        <v>11820</v>
      </c>
      <c r="J311" s="1">
        <v>1200</v>
      </c>
    </row>
    <row r="312" spans="1:10" x14ac:dyDescent="0.3">
      <c r="A312" t="s">
        <v>66</v>
      </c>
      <c r="B312" t="s">
        <v>25</v>
      </c>
      <c r="C312" t="s">
        <v>118</v>
      </c>
      <c r="D312" t="s">
        <v>120</v>
      </c>
      <c r="E312">
        <v>38</v>
      </c>
      <c r="F312">
        <v>70</v>
      </c>
      <c r="G312" s="1">
        <v>15500</v>
      </c>
      <c r="H312" s="1">
        <v>15500</v>
      </c>
      <c r="I312" s="1">
        <v>18600</v>
      </c>
      <c r="J312" s="1">
        <v>1200</v>
      </c>
    </row>
    <row r="313" spans="1:10" x14ac:dyDescent="0.3">
      <c r="A313" t="s">
        <v>66</v>
      </c>
      <c r="B313" t="s">
        <v>25</v>
      </c>
      <c r="C313" t="s">
        <v>118</v>
      </c>
      <c r="D313" t="s">
        <v>126</v>
      </c>
      <c r="E313">
        <v>38</v>
      </c>
      <c r="F313">
        <v>105</v>
      </c>
      <c r="G313" s="1">
        <v>1400</v>
      </c>
      <c r="H313" s="1">
        <v>1400</v>
      </c>
      <c r="I313" s="1">
        <v>1680</v>
      </c>
      <c r="J313" s="1">
        <v>1200</v>
      </c>
    </row>
    <row r="314" spans="1:10" x14ac:dyDescent="0.3">
      <c r="A314" t="s">
        <v>67</v>
      </c>
      <c r="B314" t="s">
        <v>25</v>
      </c>
      <c r="C314" t="s">
        <v>118</v>
      </c>
      <c r="D314" t="s">
        <v>121</v>
      </c>
      <c r="E314">
        <v>38</v>
      </c>
      <c r="F314">
        <v>21</v>
      </c>
      <c r="G314" s="1">
        <v>138</v>
      </c>
      <c r="H314" s="1">
        <v>135</v>
      </c>
      <c r="I314" s="1">
        <v>271</v>
      </c>
      <c r="J314" s="1">
        <v>2007</v>
      </c>
    </row>
    <row r="315" spans="1:10" x14ac:dyDescent="0.3">
      <c r="A315" t="s">
        <v>67</v>
      </c>
      <c r="B315" t="s">
        <v>25</v>
      </c>
      <c r="C315" t="s">
        <v>118</v>
      </c>
      <c r="D315" t="s">
        <v>122</v>
      </c>
      <c r="E315">
        <v>38</v>
      </c>
      <c r="F315">
        <v>14</v>
      </c>
      <c r="G315" s="1">
        <v>704</v>
      </c>
      <c r="H315" s="1">
        <v>690</v>
      </c>
      <c r="I315" s="1">
        <v>1379</v>
      </c>
      <c r="J315" s="1">
        <v>1999</v>
      </c>
    </row>
    <row r="316" spans="1:10" x14ac:dyDescent="0.3">
      <c r="A316" t="s">
        <v>67</v>
      </c>
      <c r="B316" t="s">
        <v>25</v>
      </c>
      <c r="C316" t="s">
        <v>118</v>
      </c>
      <c r="D316" t="s">
        <v>123</v>
      </c>
      <c r="E316">
        <v>38</v>
      </c>
      <c r="F316">
        <v>35</v>
      </c>
      <c r="G316" s="1">
        <v>570</v>
      </c>
      <c r="H316" s="1">
        <v>564</v>
      </c>
      <c r="I316" s="1">
        <v>1128</v>
      </c>
      <c r="J316" s="1">
        <v>2000</v>
      </c>
    </row>
    <row r="317" spans="1:10" x14ac:dyDescent="0.3">
      <c r="A317" t="s">
        <v>67</v>
      </c>
      <c r="B317" t="s">
        <v>25</v>
      </c>
      <c r="C317" t="s">
        <v>118</v>
      </c>
      <c r="D317" t="s">
        <v>124</v>
      </c>
      <c r="E317">
        <v>38</v>
      </c>
      <c r="F317">
        <v>42</v>
      </c>
      <c r="G317" s="1">
        <v>100</v>
      </c>
      <c r="H317" s="1">
        <v>98</v>
      </c>
      <c r="I317" s="1">
        <v>196</v>
      </c>
      <c r="J317" s="1">
        <v>2000</v>
      </c>
    </row>
    <row r="318" spans="1:10" x14ac:dyDescent="0.3">
      <c r="A318" t="s">
        <v>67</v>
      </c>
      <c r="B318" t="s">
        <v>25</v>
      </c>
      <c r="C318" t="s">
        <v>118</v>
      </c>
      <c r="D318" t="s">
        <v>125</v>
      </c>
      <c r="E318">
        <v>38</v>
      </c>
      <c r="F318">
        <v>56</v>
      </c>
      <c r="G318" s="1">
        <v>300</v>
      </c>
      <c r="H318" s="1">
        <v>298</v>
      </c>
      <c r="I318" s="1">
        <v>596</v>
      </c>
      <c r="J318" s="1">
        <v>2000</v>
      </c>
    </row>
    <row r="319" spans="1:10" x14ac:dyDescent="0.3">
      <c r="A319" t="s">
        <v>67</v>
      </c>
      <c r="B319" t="s">
        <v>25</v>
      </c>
      <c r="C319" t="s">
        <v>118</v>
      </c>
      <c r="D319" t="s">
        <v>119</v>
      </c>
      <c r="E319">
        <v>38</v>
      </c>
      <c r="F319">
        <v>63</v>
      </c>
      <c r="G319" s="1">
        <v>541</v>
      </c>
      <c r="H319" s="1">
        <v>539</v>
      </c>
      <c r="I319" s="1">
        <v>1078</v>
      </c>
      <c r="J319" s="1">
        <v>2000</v>
      </c>
    </row>
    <row r="320" spans="1:10" x14ac:dyDescent="0.3">
      <c r="A320" t="s">
        <v>67</v>
      </c>
      <c r="B320" t="s">
        <v>25</v>
      </c>
      <c r="C320" t="s">
        <v>118</v>
      </c>
      <c r="D320" t="s">
        <v>120</v>
      </c>
      <c r="E320">
        <v>38</v>
      </c>
      <c r="F320">
        <v>70</v>
      </c>
      <c r="G320" s="1">
        <v>200</v>
      </c>
      <c r="H320" s="1">
        <v>198</v>
      </c>
      <c r="I320" s="1">
        <v>396</v>
      </c>
      <c r="J320" s="1">
        <v>2000</v>
      </c>
    </row>
    <row r="321" spans="1:10" x14ac:dyDescent="0.3">
      <c r="A321" t="s">
        <v>67</v>
      </c>
      <c r="B321" t="s">
        <v>25</v>
      </c>
      <c r="C321" t="s">
        <v>118</v>
      </c>
      <c r="D321" t="s">
        <v>126</v>
      </c>
      <c r="E321">
        <v>38</v>
      </c>
      <c r="F321">
        <v>105</v>
      </c>
      <c r="G321" s="1">
        <v>500</v>
      </c>
      <c r="H321" s="1">
        <v>498</v>
      </c>
      <c r="I321" s="1">
        <v>995</v>
      </c>
      <c r="J321" s="1">
        <v>1998</v>
      </c>
    </row>
    <row r="322" spans="1:10" x14ac:dyDescent="0.3">
      <c r="A322" t="s">
        <v>68</v>
      </c>
      <c r="B322" t="s">
        <v>25</v>
      </c>
      <c r="C322" t="s">
        <v>118</v>
      </c>
      <c r="D322" t="s">
        <v>121</v>
      </c>
      <c r="E322">
        <v>38</v>
      </c>
      <c r="F322">
        <v>21</v>
      </c>
      <c r="G322" s="1">
        <v>150</v>
      </c>
      <c r="H322" s="1">
        <v>148</v>
      </c>
      <c r="I322" s="1">
        <v>297</v>
      </c>
      <c r="J322" s="1">
        <v>2000</v>
      </c>
    </row>
    <row r="323" spans="1:10" x14ac:dyDescent="0.3">
      <c r="A323" t="s">
        <v>68</v>
      </c>
      <c r="B323" t="s">
        <v>25</v>
      </c>
      <c r="C323" t="s">
        <v>118</v>
      </c>
      <c r="D323" t="s">
        <v>122</v>
      </c>
      <c r="E323">
        <v>38</v>
      </c>
      <c r="F323">
        <v>14</v>
      </c>
      <c r="G323" s="1">
        <v>762</v>
      </c>
      <c r="H323" s="1">
        <v>755</v>
      </c>
      <c r="I323" s="1">
        <v>1509</v>
      </c>
      <c r="J323" s="1">
        <v>2000</v>
      </c>
    </row>
    <row r="324" spans="1:10" x14ac:dyDescent="0.3">
      <c r="A324" t="s">
        <v>68</v>
      </c>
      <c r="B324" t="s">
        <v>25</v>
      </c>
      <c r="C324" t="s">
        <v>118</v>
      </c>
      <c r="D324" t="s">
        <v>123</v>
      </c>
      <c r="E324">
        <v>38</v>
      </c>
      <c r="F324">
        <v>35</v>
      </c>
      <c r="G324" s="1">
        <v>618</v>
      </c>
      <c r="H324" s="1">
        <v>611</v>
      </c>
      <c r="I324" s="1">
        <v>1222</v>
      </c>
      <c r="J324" s="1">
        <v>2000</v>
      </c>
    </row>
    <row r="325" spans="1:10" x14ac:dyDescent="0.3">
      <c r="A325" t="s">
        <v>68</v>
      </c>
      <c r="B325" t="s">
        <v>25</v>
      </c>
      <c r="C325" t="s">
        <v>118</v>
      </c>
      <c r="D325" t="s">
        <v>124</v>
      </c>
      <c r="E325">
        <v>38</v>
      </c>
      <c r="F325">
        <v>42</v>
      </c>
      <c r="G325" s="1">
        <v>140</v>
      </c>
      <c r="H325" s="1">
        <v>137</v>
      </c>
      <c r="I325" s="1">
        <v>274</v>
      </c>
      <c r="J325" s="1">
        <v>2000</v>
      </c>
    </row>
    <row r="326" spans="1:10" x14ac:dyDescent="0.3">
      <c r="A326" t="s">
        <v>68</v>
      </c>
      <c r="B326" t="s">
        <v>25</v>
      </c>
      <c r="C326" t="s">
        <v>118</v>
      </c>
      <c r="D326" t="s">
        <v>125</v>
      </c>
      <c r="E326">
        <v>38</v>
      </c>
      <c r="F326">
        <v>56</v>
      </c>
      <c r="G326" s="1">
        <v>250</v>
      </c>
      <c r="H326" s="1">
        <v>248</v>
      </c>
      <c r="I326" s="1">
        <v>496</v>
      </c>
      <c r="J326" s="1">
        <v>2000</v>
      </c>
    </row>
    <row r="327" spans="1:10" x14ac:dyDescent="0.3">
      <c r="A327" t="s">
        <v>68</v>
      </c>
      <c r="B327" t="s">
        <v>25</v>
      </c>
      <c r="C327" t="s">
        <v>118</v>
      </c>
      <c r="D327" t="s">
        <v>119</v>
      </c>
      <c r="E327">
        <v>38</v>
      </c>
      <c r="F327">
        <v>63</v>
      </c>
      <c r="G327" s="1">
        <v>586</v>
      </c>
      <c r="H327" s="1">
        <v>584</v>
      </c>
      <c r="I327" s="1">
        <v>1169</v>
      </c>
      <c r="J327" s="1">
        <v>2000</v>
      </c>
    </row>
    <row r="328" spans="1:10" x14ac:dyDescent="0.3">
      <c r="A328" t="s">
        <v>68</v>
      </c>
      <c r="B328" t="s">
        <v>25</v>
      </c>
      <c r="C328" t="s">
        <v>118</v>
      </c>
      <c r="D328" t="s">
        <v>120</v>
      </c>
      <c r="E328">
        <v>38</v>
      </c>
      <c r="F328">
        <v>70</v>
      </c>
      <c r="G328" s="1">
        <v>1500</v>
      </c>
      <c r="H328" s="1">
        <v>1495</v>
      </c>
      <c r="I328" s="1">
        <v>2990</v>
      </c>
      <c r="J328" s="1">
        <v>2000</v>
      </c>
    </row>
    <row r="329" spans="1:10" x14ac:dyDescent="0.3">
      <c r="A329" t="s">
        <v>68</v>
      </c>
      <c r="B329" t="s">
        <v>25</v>
      </c>
      <c r="C329" t="s">
        <v>118</v>
      </c>
      <c r="D329" t="s">
        <v>126</v>
      </c>
      <c r="E329">
        <v>38</v>
      </c>
      <c r="F329">
        <v>105</v>
      </c>
      <c r="G329" s="1">
        <v>200</v>
      </c>
      <c r="H329" s="1">
        <v>200</v>
      </c>
      <c r="I329" s="1">
        <v>400</v>
      </c>
      <c r="J329" s="1">
        <v>2000</v>
      </c>
    </row>
    <row r="330" spans="1:10" x14ac:dyDescent="0.3">
      <c r="A330" t="s">
        <v>69</v>
      </c>
      <c r="B330" t="s">
        <v>25</v>
      </c>
      <c r="C330" t="s">
        <v>118</v>
      </c>
      <c r="D330" t="s">
        <v>121</v>
      </c>
      <c r="E330">
        <v>38</v>
      </c>
      <c r="F330">
        <v>21</v>
      </c>
      <c r="G330" s="1">
        <v>288</v>
      </c>
      <c r="H330" s="1">
        <v>284</v>
      </c>
      <c r="I330" s="1">
        <v>568</v>
      </c>
      <c r="J330" s="1">
        <v>2000</v>
      </c>
    </row>
    <row r="331" spans="1:10" x14ac:dyDescent="0.3">
      <c r="A331" t="s">
        <v>69</v>
      </c>
      <c r="B331" t="s">
        <v>25</v>
      </c>
      <c r="C331" t="s">
        <v>118</v>
      </c>
      <c r="D331" t="s">
        <v>122</v>
      </c>
      <c r="E331">
        <v>38</v>
      </c>
      <c r="F331">
        <v>14</v>
      </c>
      <c r="G331" s="1">
        <v>1466</v>
      </c>
      <c r="H331" s="1">
        <v>1444</v>
      </c>
      <c r="I331" s="1">
        <v>2888</v>
      </c>
      <c r="J331" s="1">
        <v>2000</v>
      </c>
    </row>
    <row r="332" spans="1:10" x14ac:dyDescent="0.3">
      <c r="A332" t="s">
        <v>69</v>
      </c>
      <c r="B332" t="s">
        <v>25</v>
      </c>
      <c r="C332" t="s">
        <v>118</v>
      </c>
      <c r="D332" t="s">
        <v>123</v>
      </c>
      <c r="E332">
        <v>38</v>
      </c>
      <c r="F332">
        <v>35</v>
      </c>
      <c r="G332" s="1">
        <v>1188</v>
      </c>
      <c r="H332" s="1">
        <v>1175</v>
      </c>
      <c r="I332" s="1">
        <v>2350</v>
      </c>
      <c r="J332" s="1">
        <v>2000</v>
      </c>
    </row>
    <row r="333" spans="1:10" x14ac:dyDescent="0.3">
      <c r="A333" t="s">
        <v>69</v>
      </c>
      <c r="B333" t="s">
        <v>25</v>
      </c>
      <c r="C333" t="s">
        <v>118</v>
      </c>
      <c r="D333" t="s">
        <v>124</v>
      </c>
      <c r="E333">
        <v>38</v>
      </c>
      <c r="F333">
        <v>42</v>
      </c>
      <c r="G333" s="1">
        <v>240</v>
      </c>
      <c r="H333" s="1">
        <v>235</v>
      </c>
      <c r="I333" s="1">
        <v>470</v>
      </c>
      <c r="J333" s="1">
        <v>2000</v>
      </c>
    </row>
    <row r="334" spans="1:10" x14ac:dyDescent="0.3">
      <c r="A334" t="s">
        <v>69</v>
      </c>
      <c r="B334" t="s">
        <v>25</v>
      </c>
      <c r="C334" t="s">
        <v>118</v>
      </c>
      <c r="D334" t="s">
        <v>125</v>
      </c>
      <c r="E334">
        <v>38</v>
      </c>
      <c r="F334">
        <v>56</v>
      </c>
      <c r="G334" s="1">
        <v>550</v>
      </c>
      <c r="H334" s="1">
        <v>546</v>
      </c>
      <c r="I334" s="1">
        <v>1092</v>
      </c>
      <c r="J334" s="1">
        <v>2000</v>
      </c>
    </row>
    <row r="335" spans="1:10" x14ac:dyDescent="0.3">
      <c r="A335" t="s">
        <v>69</v>
      </c>
      <c r="B335" t="s">
        <v>25</v>
      </c>
      <c r="C335" t="s">
        <v>118</v>
      </c>
      <c r="D335" t="s">
        <v>119</v>
      </c>
      <c r="E335">
        <v>38</v>
      </c>
      <c r="F335">
        <v>63</v>
      </c>
      <c r="G335" s="1">
        <v>1127</v>
      </c>
      <c r="H335" s="1">
        <v>1123</v>
      </c>
      <c r="I335" s="1">
        <v>2247</v>
      </c>
      <c r="J335" s="1">
        <v>2000</v>
      </c>
    </row>
    <row r="336" spans="1:10" x14ac:dyDescent="0.3">
      <c r="A336" t="s">
        <v>69</v>
      </c>
      <c r="B336" t="s">
        <v>25</v>
      </c>
      <c r="C336" t="s">
        <v>118</v>
      </c>
      <c r="D336" t="s">
        <v>120</v>
      </c>
      <c r="E336">
        <v>38</v>
      </c>
      <c r="F336">
        <v>70</v>
      </c>
      <c r="G336" s="1">
        <v>1700</v>
      </c>
      <c r="H336" s="1">
        <v>1693</v>
      </c>
      <c r="I336" s="1">
        <v>3386</v>
      </c>
      <c r="J336" s="1">
        <v>2000</v>
      </c>
    </row>
    <row r="337" spans="1:10" x14ac:dyDescent="0.3">
      <c r="A337" t="s">
        <v>69</v>
      </c>
      <c r="B337" t="s">
        <v>25</v>
      </c>
      <c r="C337" t="s">
        <v>118</v>
      </c>
      <c r="D337" t="s">
        <v>126</v>
      </c>
      <c r="E337">
        <v>38</v>
      </c>
      <c r="F337">
        <v>105</v>
      </c>
      <c r="G337" s="1">
        <v>700</v>
      </c>
      <c r="H337" s="1">
        <v>698</v>
      </c>
      <c r="I337" s="1">
        <v>1395</v>
      </c>
      <c r="J337" s="1">
        <v>2000</v>
      </c>
    </row>
    <row r="338" spans="1:10" x14ac:dyDescent="0.3">
      <c r="A338" t="s">
        <v>70</v>
      </c>
      <c r="B338" t="s">
        <v>25</v>
      </c>
      <c r="C338" t="s">
        <v>118</v>
      </c>
      <c r="D338" t="s">
        <v>121</v>
      </c>
      <c r="E338">
        <v>38</v>
      </c>
      <c r="F338">
        <v>21</v>
      </c>
      <c r="G338" s="1">
        <v>42</v>
      </c>
      <c r="H338" s="1">
        <v>37</v>
      </c>
      <c r="I338" s="1">
        <v>133</v>
      </c>
      <c r="J338" s="1">
        <v>3595</v>
      </c>
    </row>
    <row r="339" spans="1:10" x14ac:dyDescent="0.3">
      <c r="A339" t="s">
        <v>70</v>
      </c>
      <c r="B339" t="s">
        <v>25</v>
      </c>
      <c r="C339" t="s">
        <v>118</v>
      </c>
      <c r="D339" t="s">
        <v>122</v>
      </c>
      <c r="E339">
        <v>38</v>
      </c>
      <c r="F339">
        <v>14</v>
      </c>
      <c r="G339" s="1">
        <v>210</v>
      </c>
      <c r="H339" s="1">
        <v>200</v>
      </c>
      <c r="I339" s="1">
        <v>720</v>
      </c>
      <c r="J339" s="1">
        <v>3600</v>
      </c>
    </row>
    <row r="340" spans="1:10" x14ac:dyDescent="0.3">
      <c r="A340" t="s">
        <v>70</v>
      </c>
      <c r="B340" t="s">
        <v>25</v>
      </c>
      <c r="C340" t="s">
        <v>118</v>
      </c>
      <c r="D340" t="s">
        <v>119</v>
      </c>
      <c r="E340">
        <v>38</v>
      </c>
      <c r="F340">
        <v>63</v>
      </c>
      <c r="G340" s="1">
        <v>1600</v>
      </c>
      <c r="H340" s="1">
        <v>1520</v>
      </c>
      <c r="I340" s="1">
        <v>5472</v>
      </c>
      <c r="J340" s="1">
        <v>3600</v>
      </c>
    </row>
    <row r="341" spans="1:10" x14ac:dyDescent="0.3">
      <c r="A341" t="s">
        <v>70</v>
      </c>
      <c r="B341" t="s">
        <v>25</v>
      </c>
      <c r="C341" t="s">
        <v>118</v>
      </c>
      <c r="D341" t="s">
        <v>120</v>
      </c>
      <c r="E341">
        <v>38</v>
      </c>
      <c r="F341">
        <v>70</v>
      </c>
      <c r="G341" s="1">
        <v>400</v>
      </c>
      <c r="H341" s="1">
        <v>380</v>
      </c>
      <c r="I341" s="1">
        <v>1368</v>
      </c>
      <c r="J341" s="1">
        <v>3600</v>
      </c>
    </row>
    <row r="342" spans="1:10" x14ac:dyDescent="0.3">
      <c r="A342" t="s">
        <v>72</v>
      </c>
      <c r="B342" t="s">
        <v>25</v>
      </c>
      <c r="C342" t="s">
        <v>118</v>
      </c>
      <c r="D342" t="s">
        <v>122</v>
      </c>
      <c r="E342">
        <v>38</v>
      </c>
      <c r="F342">
        <v>14</v>
      </c>
      <c r="G342" s="1">
        <v>285</v>
      </c>
      <c r="H342" s="1">
        <v>280</v>
      </c>
      <c r="I342" s="1">
        <v>420</v>
      </c>
      <c r="J342" s="1">
        <v>1500</v>
      </c>
    </row>
    <row r="343" spans="1:10" x14ac:dyDescent="0.3">
      <c r="A343" t="s">
        <v>72</v>
      </c>
      <c r="B343" t="s">
        <v>25</v>
      </c>
      <c r="C343" t="s">
        <v>118</v>
      </c>
      <c r="D343" t="s">
        <v>123</v>
      </c>
      <c r="E343">
        <v>38</v>
      </c>
      <c r="F343">
        <v>35</v>
      </c>
      <c r="G343" s="1">
        <v>200</v>
      </c>
      <c r="H343" s="1">
        <v>200</v>
      </c>
      <c r="I343" s="1">
        <v>300</v>
      </c>
      <c r="J343" s="1">
        <v>1500</v>
      </c>
    </row>
    <row r="344" spans="1:10" x14ac:dyDescent="0.3">
      <c r="A344" t="s">
        <v>72</v>
      </c>
      <c r="B344" t="s">
        <v>25</v>
      </c>
      <c r="C344" t="s">
        <v>118</v>
      </c>
      <c r="D344" t="s">
        <v>124</v>
      </c>
      <c r="E344">
        <v>38</v>
      </c>
      <c r="F344">
        <v>42</v>
      </c>
      <c r="G344" s="1">
        <v>100</v>
      </c>
      <c r="H344" s="1">
        <v>100</v>
      </c>
      <c r="I344" s="1">
        <v>150</v>
      </c>
      <c r="J344" s="1">
        <v>1500</v>
      </c>
    </row>
    <row r="345" spans="1:10" x14ac:dyDescent="0.3">
      <c r="A345" t="s">
        <v>72</v>
      </c>
      <c r="B345" t="s">
        <v>25</v>
      </c>
      <c r="C345" t="s">
        <v>118</v>
      </c>
      <c r="D345" t="s">
        <v>125</v>
      </c>
      <c r="E345">
        <v>38</v>
      </c>
      <c r="F345">
        <v>56</v>
      </c>
      <c r="G345" s="1">
        <v>250</v>
      </c>
      <c r="H345" s="1">
        <v>250</v>
      </c>
      <c r="I345" s="1">
        <v>375</v>
      </c>
      <c r="J345" s="1">
        <v>1500</v>
      </c>
    </row>
    <row r="346" spans="1:10" x14ac:dyDescent="0.3">
      <c r="A346" t="s">
        <v>72</v>
      </c>
      <c r="B346" t="s">
        <v>25</v>
      </c>
      <c r="C346" t="s">
        <v>118</v>
      </c>
      <c r="D346" t="s">
        <v>119</v>
      </c>
      <c r="E346">
        <v>38</v>
      </c>
      <c r="F346">
        <v>63</v>
      </c>
      <c r="G346" s="1">
        <v>310</v>
      </c>
      <c r="H346" s="1">
        <v>304</v>
      </c>
      <c r="I346" s="1">
        <v>456</v>
      </c>
      <c r="J346" s="1">
        <v>1500</v>
      </c>
    </row>
    <row r="347" spans="1:10" x14ac:dyDescent="0.3">
      <c r="A347" t="s">
        <v>72</v>
      </c>
      <c r="B347" t="s">
        <v>25</v>
      </c>
      <c r="C347" t="s">
        <v>118</v>
      </c>
      <c r="D347" t="s">
        <v>120</v>
      </c>
      <c r="E347">
        <v>38</v>
      </c>
      <c r="F347">
        <v>70</v>
      </c>
      <c r="G347" s="1">
        <v>1200</v>
      </c>
      <c r="H347" s="1">
        <v>1140</v>
      </c>
      <c r="I347" s="1">
        <v>1710</v>
      </c>
      <c r="J347" s="1">
        <v>1500</v>
      </c>
    </row>
    <row r="348" spans="1:10" x14ac:dyDescent="0.3">
      <c r="A348" t="s">
        <v>72</v>
      </c>
      <c r="B348" t="s">
        <v>25</v>
      </c>
      <c r="C348" t="s">
        <v>118</v>
      </c>
      <c r="D348" t="s">
        <v>126</v>
      </c>
      <c r="E348">
        <v>38</v>
      </c>
      <c r="F348">
        <v>105</v>
      </c>
      <c r="G348" s="1">
        <v>600</v>
      </c>
      <c r="H348" s="1">
        <v>570</v>
      </c>
      <c r="I348" s="1">
        <v>741</v>
      </c>
      <c r="J348" s="1">
        <v>1300</v>
      </c>
    </row>
    <row r="349" spans="1:10" x14ac:dyDescent="0.3">
      <c r="A349" t="s">
        <v>10</v>
      </c>
      <c r="B349" t="s">
        <v>25</v>
      </c>
      <c r="C349" t="s">
        <v>127</v>
      </c>
      <c r="D349" t="s">
        <v>128</v>
      </c>
      <c r="E349">
        <v>10</v>
      </c>
      <c r="F349">
        <v>42</v>
      </c>
      <c r="G349" s="1">
        <v>400</v>
      </c>
      <c r="H349" s="1">
        <v>400</v>
      </c>
      <c r="I349" s="1">
        <v>1080</v>
      </c>
      <c r="J349" s="1">
        <v>2700</v>
      </c>
    </row>
    <row r="350" spans="1:10" x14ac:dyDescent="0.3">
      <c r="A350" t="s">
        <v>54</v>
      </c>
      <c r="B350" t="s">
        <v>25</v>
      </c>
      <c r="C350" t="s">
        <v>127</v>
      </c>
      <c r="D350" t="s">
        <v>129</v>
      </c>
      <c r="E350">
        <v>10</v>
      </c>
      <c r="F350">
        <v>98</v>
      </c>
      <c r="G350" s="1">
        <v>300</v>
      </c>
      <c r="H350" s="1">
        <v>280</v>
      </c>
      <c r="I350" s="1">
        <v>336</v>
      </c>
      <c r="J350" s="1">
        <v>1200</v>
      </c>
    </row>
    <row r="351" spans="1:10" x14ac:dyDescent="0.3">
      <c r="A351" t="s">
        <v>55</v>
      </c>
      <c r="B351" t="s">
        <v>25</v>
      </c>
      <c r="C351" t="s">
        <v>127</v>
      </c>
      <c r="D351" t="s">
        <v>129</v>
      </c>
      <c r="E351">
        <v>10</v>
      </c>
      <c r="F351">
        <v>98</v>
      </c>
      <c r="G351" s="1">
        <v>250</v>
      </c>
      <c r="H351" s="1">
        <v>235</v>
      </c>
      <c r="I351" s="1">
        <v>259</v>
      </c>
      <c r="J351" s="1">
        <v>1100</v>
      </c>
    </row>
    <row r="352" spans="1:10" x14ac:dyDescent="0.3">
      <c r="A352" t="s">
        <v>56</v>
      </c>
      <c r="B352" t="s">
        <v>25</v>
      </c>
      <c r="C352" t="s">
        <v>127</v>
      </c>
      <c r="D352" t="s">
        <v>130</v>
      </c>
      <c r="E352">
        <v>10</v>
      </c>
      <c r="F352">
        <v>56</v>
      </c>
      <c r="G352" s="1">
        <v>570</v>
      </c>
      <c r="H352" s="1">
        <v>570</v>
      </c>
      <c r="I352" s="1">
        <v>570</v>
      </c>
      <c r="J352" s="1">
        <v>1000</v>
      </c>
    </row>
    <row r="353" spans="1:10" x14ac:dyDescent="0.3">
      <c r="A353" t="s">
        <v>56</v>
      </c>
      <c r="B353" t="s">
        <v>25</v>
      </c>
      <c r="C353" t="s">
        <v>127</v>
      </c>
      <c r="D353" t="s">
        <v>131</v>
      </c>
      <c r="E353">
        <v>10</v>
      </c>
      <c r="F353">
        <v>70</v>
      </c>
      <c r="G353" s="1">
        <v>320</v>
      </c>
      <c r="H353" s="1">
        <v>320</v>
      </c>
      <c r="I353" s="1">
        <v>320</v>
      </c>
      <c r="J353" s="1">
        <v>1000</v>
      </c>
    </row>
    <row r="354" spans="1:10" x14ac:dyDescent="0.3">
      <c r="A354" t="s">
        <v>56</v>
      </c>
      <c r="B354" t="s">
        <v>25</v>
      </c>
      <c r="C354" t="s">
        <v>127</v>
      </c>
      <c r="D354" t="s">
        <v>129</v>
      </c>
      <c r="E354">
        <v>10</v>
      </c>
      <c r="F354">
        <v>98</v>
      </c>
      <c r="G354" s="1">
        <v>1600</v>
      </c>
      <c r="H354" s="1">
        <v>1488</v>
      </c>
      <c r="I354" s="1">
        <v>1488</v>
      </c>
      <c r="J354" s="1">
        <v>1000</v>
      </c>
    </row>
    <row r="355" spans="1:10" x14ac:dyDescent="0.3">
      <c r="A355" t="s">
        <v>56</v>
      </c>
      <c r="B355" t="s">
        <v>25</v>
      </c>
      <c r="C355" t="s">
        <v>127</v>
      </c>
      <c r="D355" t="s">
        <v>132</v>
      </c>
      <c r="E355">
        <v>10</v>
      </c>
      <c r="F355">
        <v>112</v>
      </c>
      <c r="G355" s="1">
        <v>580</v>
      </c>
      <c r="H355" s="1">
        <v>580</v>
      </c>
      <c r="I355" s="1">
        <v>580</v>
      </c>
      <c r="J355" s="1">
        <v>1000</v>
      </c>
    </row>
    <row r="356" spans="1:10" x14ac:dyDescent="0.3">
      <c r="A356" t="s">
        <v>57</v>
      </c>
      <c r="B356" t="s">
        <v>25</v>
      </c>
      <c r="C356" t="s">
        <v>127</v>
      </c>
      <c r="D356" t="s">
        <v>129</v>
      </c>
      <c r="E356">
        <v>10</v>
      </c>
      <c r="F356">
        <v>98</v>
      </c>
      <c r="G356" s="1">
        <v>100</v>
      </c>
      <c r="H356" s="1">
        <v>100</v>
      </c>
      <c r="I356" s="1">
        <v>250</v>
      </c>
      <c r="J356" s="1">
        <v>2500</v>
      </c>
    </row>
    <row r="357" spans="1:10" x14ac:dyDescent="0.3">
      <c r="A357" t="s">
        <v>61</v>
      </c>
      <c r="B357" t="s">
        <v>25</v>
      </c>
      <c r="C357" t="s">
        <v>127</v>
      </c>
      <c r="D357" t="s">
        <v>128</v>
      </c>
      <c r="E357">
        <v>10</v>
      </c>
      <c r="F357">
        <v>42</v>
      </c>
      <c r="G357" s="1">
        <v>50</v>
      </c>
      <c r="H357" s="1">
        <v>40</v>
      </c>
      <c r="I357" s="1">
        <v>100</v>
      </c>
      <c r="J357" s="1">
        <v>2500</v>
      </c>
    </row>
    <row r="358" spans="1:10" x14ac:dyDescent="0.3">
      <c r="A358" t="s">
        <v>61</v>
      </c>
      <c r="B358" t="s">
        <v>25</v>
      </c>
      <c r="C358" t="s">
        <v>127</v>
      </c>
      <c r="D358" t="s">
        <v>130</v>
      </c>
      <c r="E358">
        <v>10</v>
      </c>
      <c r="F358">
        <v>56</v>
      </c>
      <c r="G358" s="1">
        <v>400</v>
      </c>
      <c r="H358" s="1">
        <v>260</v>
      </c>
      <c r="I358" s="1">
        <v>988</v>
      </c>
      <c r="J358" s="1">
        <v>3800</v>
      </c>
    </row>
    <row r="359" spans="1:10" x14ac:dyDescent="0.3">
      <c r="A359" t="s">
        <v>61</v>
      </c>
      <c r="B359" t="s">
        <v>25</v>
      </c>
      <c r="C359" t="s">
        <v>127</v>
      </c>
      <c r="D359" t="s">
        <v>129</v>
      </c>
      <c r="E359">
        <v>10</v>
      </c>
      <c r="F359">
        <v>98</v>
      </c>
      <c r="G359" s="1">
        <v>8000</v>
      </c>
      <c r="H359" s="1">
        <v>7180</v>
      </c>
      <c r="I359" s="1">
        <v>35900</v>
      </c>
      <c r="J359" s="1">
        <v>5000</v>
      </c>
    </row>
    <row r="360" spans="1:10" x14ac:dyDescent="0.3">
      <c r="A360" t="s">
        <v>62</v>
      </c>
      <c r="B360" t="s">
        <v>25</v>
      </c>
      <c r="C360" t="s">
        <v>127</v>
      </c>
      <c r="D360" t="s">
        <v>129</v>
      </c>
      <c r="E360">
        <v>10</v>
      </c>
      <c r="F360">
        <v>98</v>
      </c>
      <c r="G360" s="1">
        <v>1200</v>
      </c>
      <c r="H360" s="1">
        <v>1200</v>
      </c>
      <c r="I360" s="1">
        <v>2280</v>
      </c>
      <c r="J360" s="1">
        <v>1900</v>
      </c>
    </row>
    <row r="361" spans="1:10" x14ac:dyDescent="0.3">
      <c r="A361" t="s">
        <v>64</v>
      </c>
      <c r="B361" t="s">
        <v>25</v>
      </c>
      <c r="C361" t="s">
        <v>127</v>
      </c>
      <c r="D361" t="s">
        <v>128</v>
      </c>
      <c r="E361">
        <v>10</v>
      </c>
      <c r="F361">
        <v>42</v>
      </c>
      <c r="G361" s="1">
        <v>150</v>
      </c>
      <c r="H361" s="1">
        <v>100</v>
      </c>
      <c r="I361" s="1">
        <v>60</v>
      </c>
      <c r="J361" s="1">
        <v>600</v>
      </c>
    </row>
    <row r="362" spans="1:10" x14ac:dyDescent="0.3">
      <c r="A362" t="s">
        <v>64</v>
      </c>
      <c r="B362" t="s">
        <v>25</v>
      </c>
      <c r="C362" t="s">
        <v>127</v>
      </c>
      <c r="D362" t="s">
        <v>130</v>
      </c>
      <c r="E362">
        <v>10</v>
      </c>
      <c r="F362">
        <v>56</v>
      </c>
      <c r="G362" s="1">
        <v>1000</v>
      </c>
      <c r="H362" s="1">
        <v>850</v>
      </c>
      <c r="I362" s="1">
        <v>510</v>
      </c>
      <c r="J362" s="1">
        <v>600</v>
      </c>
    </row>
    <row r="363" spans="1:10" x14ac:dyDescent="0.3">
      <c r="A363" t="s">
        <v>64</v>
      </c>
      <c r="B363" t="s">
        <v>25</v>
      </c>
      <c r="C363" t="s">
        <v>127</v>
      </c>
      <c r="D363" t="s">
        <v>129</v>
      </c>
      <c r="E363">
        <v>10</v>
      </c>
      <c r="F363">
        <v>98</v>
      </c>
      <c r="G363" s="1">
        <v>3700</v>
      </c>
      <c r="H363" s="1">
        <v>3360</v>
      </c>
      <c r="I363" s="1">
        <v>2016</v>
      </c>
      <c r="J363" s="1">
        <v>600</v>
      </c>
    </row>
    <row r="364" spans="1:10" x14ac:dyDescent="0.3">
      <c r="A364" t="s">
        <v>66</v>
      </c>
      <c r="B364" t="s">
        <v>25</v>
      </c>
      <c r="C364" t="s">
        <v>127</v>
      </c>
      <c r="D364" t="s">
        <v>128</v>
      </c>
      <c r="E364">
        <v>10</v>
      </c>
      <c r="F364">
        <v>42</v>
      </c>
      <c r="G364" s="1">
        <v>150</v>
      </c>
      <c r="H364" s="1">
        <v>100</v>
      </c>
      <c r="I364" s="1">
        <v>60</v>
      </c>
      <c r="J364" s="1">
        <v>600</v>
      </c>
    </row>
    <row r="365" spans="1:10" x14ac:dyDescent="0.3">
      <c r="A365" t="s">
        <v>66</v>
      </c>
      <c r="B365" t="s">
        <v>25</v>
      </c>
      <c r="C365" t="s">
        <v>127</v>
      </c>
      <c r="D365" t="s">
        <v>130</v>
      </c>
      <c r="E365">
        <v>10</v>
      </c>
      <c r="F365">
        <v>56</v>
      </c>
      <c r="G365" s="1">
        <v>1000</v>
      </c>
      <c r="H365" s="1">
        <v>850</v>
      </c>
      <c r="I365" s="1">
        <v>510</v>
      </c>
      <c r="J365" s="1">
        <v>600</v>
      </c>
    </row>
    <row r="366" spans="1:10" x14ac:dyDescent="0.3">
      <c r="A366" t="s">
        <v>66</v>
      </c>
      <c r="B366" t="s">
        <v>25</v>
      </c>
      <c r="C366" t="s">
        <v>127</v>
      </c>
      <c r="D366" t="s">
        <v>129</v>
      </c>
      <c r="E366">
        <v>10</v>
      </c>
      <c r="F366">
        <v>98</v>
      </c>
      <c r="G366" s="1">
        <v>3700</v>
      </c>
      <c r="H366" s="1">
        <v>3360</v>
      </c>
      <c r="I366" s="1">
        <v>2016</v>
      </c>
      <c r="J366" s="1">
        <v>600</v>
      </c>
    </row>
    <row r="367" spans="1:10" x14ac:dyDescent="0.3">
      <c r="A367" t="s">
        <v>67</v>
      </c>
      <c r="B367" t="s">
        <v>25</v>
      </c>
      <c r="C367" t="s">
        <v>127</v>
      </c>
      <c r="D367" t="s">
        <v>128</v>
      </c>
      <c r="E367">
        <v>10</v>
      </c>
      <c r="F367">
        <v>42</v>
      </c>
      <c r="G367" s="1">
        <v>150</v>
      </c>
      <c r="H367" s="1">
        <v>130</v>
      </c>
      <c r="I367" s="1">
        <v>247</v>
      </c>
      <c r="J367" s="1">
        <v>1900</v>
      </c>
    </row>
    <row r="368" spans="1:10" x14ac:dyDescent="0.3">
      <c r="A368" t="s">
        <v>67</v>
      </c>
      <c r="B368" t="s">
        <v>25</v>
      </c>
      <c r="C368" t="s">
        <v>127</v>
      </c>
      <c r="D368" t="s">
        <v>130</v>
      </c>
      <c r="E368">
        <v>10</v>
      </c>
      <c r="F368">
        <v>56</v>
      </c>
      <c r="G368" s="1">
        <v>3300</v>
      </c>
      <c r="H368" s="1">
        <v>3100</v>
      </c>
      <c r="I368" s="1">
        <v>5890</v>
      </c>
      <c r="J368" s="1">
        <v>1900</v>
      </c>
    </row>
    <row r="369" spans="1:10" x14ac:dyDescent="0.3">
      <c r="A369" t="s">
        <v>67</v>
      </c>
      <c r="B369" t="s">
        <v>25</v>
      </c>
      <c r="C369" t="s">
        <v>127</v>
      </c>
      <c r="D369" t="s">
        <v>129</v>
      </c>
      <c r="E369">
        <v>10</v>
      </c>
      <c r="F369">
        <v>98</v>
      </c>
      <c r="G369" s="1">
        <v>18000</v>
      </c>
      <c r="H369" s="1">
        <v>17790</v>
      </c>
      <c r="I369" s="1">
        <v>46254</v>
      </c>
      <c r="J369" s="1">
        <v>2600</v>
      </c>
    </row>
    <row r="370" spans="1:10" x14ac:dyDescent="0.3">
      <c r="A370" t="s">
        <v>68</v>
      </c>
      <c r="B370" t="s">
        <v>25</v>
      </c>
      <c r="C370" t="s">
        <v>127</v>
      </c>
      <c r="D370" t="s">
        <v>129</v>
      </c>
      <c r="E370">
        <v>10</v>
      </c>
      <c r="F370">
        <v>98</v>
      </c>
      <c r="G370" s="1">
        <v>20000</v>
      </c>
      <c r="H370" s="1">
        <v>19750</v>
      </c>
      <c r="I370" s="1">
        <v>49375</v>
      </c>
      <c r="J370" s="1">
        <v>2500</v>
      </c>
    </row>
    <row r="371" spans="1:10" x14ac:dyDescent="0.3">
      <c r="A371" t="s">
        <v>69</v>
      </c>
      <c r="B371" t="s">
        <v>25</v>
      </c>
      <c r="C371" t="s">
        <v>127</v>
      </c>
      <c r="D371" t="s">
        <v>128</v>
      </c>
      <c r="E371">
        <v>10</v>
      </c>
      <c r="F371">
        <v>42</v>
      </c>
      <c r="G371" s="1">
        <v>150</v>
      </c>
      <c r="H371" s="1">
        <v>130</v>
      </c>
      <c r="I371" s="1">
        <v>247</v>
      </c>
      <c r="J371" s="1">
        <v>1900</v>
      </c>
    </row>
    <row r="372" spans="1:10" x14ac:dyDescent="0.3">
      <c r="A372" t="s">
        <v>69</v>
      </c>
      <c r="B372" t="s">
        <v>25</v>
      </c>
      <c r="C372" t="s">
        <v>127</v>
      </c>
      <c r="D372" t="s">
        <v>130</v>
      </c>
      <c r="E372">
        <v>10</v>
      </c>
      <c r="F372">
        <v>56</v>
      </c>
      <c r="G372" s="1">
        <v>3300</v>
      </c>
      <c r="H372" s="1">
        <v>3100</v>
      </c>
      <c r="I372" s="1">
        <v>5890</v>
      </c>
      <c r="J372" s="1">
        <v>1900</v>
      </c>
    </row>
    <row r="373" spans="1:10" x14ac:dyDescent="0.3">
      <c r="A373" t="s">
        <v>69</v>
      </c>
      <c r="B373" t="s">
        <v>25</v>
      </c>
      <c r="C373" t="s">
        <v>127</v>
      </c>
      <c r="D373" t="s">
        <v>129</v>
      </c>
      <c r="E373">
        <v>10</v>
      </c>
      <c r="F373">
        <v>98</v>
      </c>
      <c r="G373" s="1">
        <v>38000</v>
      </c>
      <c r="H373" s="1">
        <v>37540</v>
      </c>
      <c r="I373" s="1">
        <v>95629</v>
      </c>
      <c r="J373" s="1">
        <v>2547</v>
      </c>
    </row>
    <row r="374" spans="1:10" x14ac:dyDescent="0.3">
      <c r="A374" t="s">
        <v>70</v>
      </c>
      <c r="B374" t="s">
        <v>25</v>
      </c>
      <c r="C374" t="s">
        <v>127</v>
      </c>
      <c r="D374" t="s">
        <v>130</v>
      </c>
      <c r="E374">
        <v>10</v>
      </c>
      <c r="F374">
        <v>56</v>
      </c>
      <c r="G374" s="1">
        <v>580</v>
      </c>
      <c r="H374" s="1">
        <v>460</v>
      </c>
      <c r="I374" s="1">
        <v>920</v>
      </c>
      <c r="J374" s="1">
        <v>2000</v>
      </c>
    </row>
    <row r="375" spans="1:10" x14ac:dyDescent="0.3">
      <c r="A375" t="s">
        <v>70</v>
      </c>
      <c r="B375" t="s">
        <v>25</v>
      </c>
      <c r="C375" t="s">
        <v>127</v>
      </c>
      <c r="D375" t="s">
        <v>129</v>
      </c>
      <c r="E375">
        <v>10</v>
      </c>
      <c r="F375">
        <v>98</v>
      </c>
      <c r="G375" s="1">
        <v>1900</v>
      </c>
      <c r="H375" s="1">
        <v>1590</v>
      </c>
      <c r="I375" s="1">
        <v>3975</v>
      </c>
      <c r="J375" s="1">
        <v>2500</v>
      </c>
    </row>
    <row r="376" spans="1:10" x14ac:dyDescent="0.3">
      <c r="A376" t="s">
        <v>71</v>
      </c>
      <c r="B376" t="s">
        <v>25</v>
      </c>
      <c r="C376" t="s">
        <v>127</v>
      </c>
      <c r="D376" t="s">
        <v>129</v>
      </c>
      <c r="E376">
        <v>10</v>
      </c>
      <c r="F376">
        <v>98</v>
      </c>
      <c r="G376" s="1">
        <v>300</v>
      </c>
      <c r="H376" s="1">
        <v>270</v>
      </c>
      <c r="I376" s="1">
        <v>297</v>
      </c>
      <c r="J376" s="1">
        <v>1100</v>
      </c>
    </row>
    <row r="377" spans="1:10" x14ac:dyDescent="0.3">
      <c r="A377" t="s">
        <v>72</v>
      </c>
      <c r="B377" t="s">
        <v>25</v>
      </c>
      <c r="C377" t="s">
        <v>127</v>
      </c>
      <c r="D377" t="s">
        <v>130</v>
      </c>
      <c r="E377">
        <v>10</v>
      </c>
      <c r="F377">
        <v>56</v>
      </c>
      <c r="G377" s="1">
        <v>100</v>
      </c>
      <c r="H377" s="1">
        <v>70</v>
      </c>
      <c r="I377" s="1">
        <v>56</v>
      </c>
      <c r="J377" s="1">
        <v>800</v>
      </c>
    </row>
    <row r="378" spans="1:10" x14ac:dyDescent="0.3">
      <c r="A378" t="s">
        <v>72</v>
      </c>
      <c r="B378" t="s">
        <v>25</v>
      </c>
      <c r="C378" t="s">
        <v>127</v>
      </c>
      <c r="D378" t="s">
        <v>129</v>
      </c>
      <c r="E378">
        <v>10</v>
      </c>
      <c r="F378">
        <v>98</v>
      </c>
      <c r="G378" s="1">
        <v>20300</v>
      </c>
      <c r="H378" s="1">
        <v>19620</v>
      </c>
      <c r="I378" s="1">
        <v>19647</v>
      </c>
      <c r="J378" s="1">
        <v>1001</v>
      </c>
    </row>
  </sheetData>
  <autoFilter ref="A1:J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ySplit="1" topLeftCell="A2" activePane="bottomLeft" state="frozen"/>
      <selection pane="bottomLeft" activeCell="J15" sqref="J15"/>
    </sheetView>
  </sheetViews>
  <sheetFormatPr baseColWidth="10" defaultRowHeight="14.4" x14ac:dyDescent="0.3"/>
  <cols>
    <col min="1" max="1" width="15.5546875" bestFit="1" customWidth="1"/>
    <col min="2" max="2" width="11.21875" bestFit="1" customWidth="1"/>
    <col min="3" max="3" width="8.88671875" bestFit="1" customWidth="1"/>
    <col min="4" max="4" width="16" bestFit="1" customWidth="1"/>
    <col min="5" max="5" width="16.5546875" bestFit="1" customWidth="1"/>
    <col min="6" max="6" width="12.77734375" bestFit="1" customWidth="1"/>
    <col min="7" max="7" width="14" bestFit="1" customWidth="1"/>
  </cols>
  <sheetData>
    <row r="1" spans="1:7" s="2" customFormat="1" x14ac:dyDescent="0.3">
      <c r="A1" s="2" t="s">
        <v>0</v>
      </c>
      <c r="B1" s="2" t="s">
        <v>1</v>
      </c>
      <c r="C1" s="2" t="s">
        <v>596</v>
      </c>
      <c r="D1" s="2" t="s">
        <v>555</v>
      </c>
      <c r="E1" s="2" t="s">
        <v>597</v>
      </c>
      <c r="F1" s="2" t="s">
        <v>557</v>
      </c>
      <c r="G1" s="2" t="s">
        <v>598</v>
      </c>
    </row>
    <row r="2" spans="1:7" x14ac:dyDescent="0.3">
      <c r="A2" t="s">
        <v>10</v>
      </c>
      <c r="B2" t="s">
        <v>25</v>
      </c>
      <c r="C2" t="s">
        <v>599</v>
      </c>
      <c r="D2" s="1">
        <v>687925</v>
      </c>
      <c r="E2" s="1">
        <v>621785</v>
      </c>
      <c r="F2" s="1">
        <v>1099962</v>
      </c>
      <c r="G2" s="1">
        <v>1769</v>
      </c>
    </row>
    <row r="3" spans="1:7" x14ac:dyDescent="0.3">
      <c r="A3" t="s">
        <v>105</v>
      </c>
      <c r="B3" t="s">
        <v>25</v>
      </c>
      <c r="C3" t="s">
        <v>599</v>
      </c>
      <c r="D3" s="1">
        <v>32541</v>
      </c>
      <c r="E3" s="1">
        <v>31721</v>
      </c>
      <c r="F3" s="1">
        <v>40828</v>
      </c>
      <c r="G3" s="1">
        <v>1287</v>
      </c>
    </row>
    <row r="4" spans="1:7" x14ac:dyDescent="0.3">
      <c r="A4" t="s">
        <v>600</v>
      </c>
      <c r="B4" t="s">
        <v>25</v>
      </c>
      <c r="C4" t="s">
        <v>599</v>
      </c>
      <c r="D4" s="1">
        <v>107152</v>
      </c>
      <c r="E4" s="1">
        <v>100525</v>
      </c>
      <c r="F4" s="1">
        <v>257885</v>
      </c>
      <c r="G4" s="1">
        <v>2565</v>
      </c>
    </row>
    <row r="5" spans="1:7" x14ac:dyDescent="0.3">
      <c r="A5" t="s">
        <v>49</v>
      </c>
      <c r="B5" t="s">
        <v>25</v>
      </c>
      <c r="C5" t="s">
        <v>599</v>
      </c>
      <c r="D5" s="1">
        <v>1432632</v>
      </c>
      <c r="E5" s="1">
        <v>296648</v>
      </c>
      <c r="F5" s="1">
        <v>556054</v>
      </c>
      <c r="G5" s="1">
        <v>1874</v>
      </c>
    </row>
    <row r="6" spans="1:7" x14ac:dyDescent="0.3">
      <c r="A6" t="s">
        <v>52</v>
      </c>
      <c r="B6" t="s">
        <v>25</v>
      </c>
      <c r="C6" t="s">
        <v>599</v>
      </c>
      <c r="D6" s="1">
        <v>18232</v>
      </c>
      <c r="E6" s="1">
        <v>18232</v>
      </c>
      <c r="F6" s="1">
        <v>19109</v>
      </c>
      <c r="G6" s="1">
        <v>1048</v>
      </c>
    </row>
    <row r="7" spans="1:7" x14ac:dyDescent="0.3">
      <c r="A7" t="s">
        <v>53</v>
      </c>
      <c r="B7" t="s">
        <v>25</v>
      </c>
      <c r="C7" t="s">
        <v>599</v>
      </c>
      <c r="D7" s="1">
        <v>1690458</v>
      </c>
      <c r="E7" s="1">
        <v>1314219</v>
      </c>
      <c r="F7" s="1">
        <v>4823506</v>
      </c>
      <c r="G7" s="1">
        <v>3670</v>
      </c>
    </row>
    <row r="8" spans="1:7" x14ac:dyDescent="0.3">
      <c r="A8" t="s">
        <v>54</v>
      </c>
      <c r="B8" t="s">
        <v>25</v>
      </c>
      <c r="C8" t="s">
        <v>599</v>
      </c>
      <c r="D8" s="1">
        <v>957215</v>
      </c>
      <c r="E8" s="1">
        <v>126825</v>
      </c>
      <c r="F8" s="1">
        <v>215368</v>
      </c>
      <c r="G8" s="1">
        <v>1698</v>
      </c>
    </row>
    <row r="9" spans="1:7" x14ac:dyDescent="0.3">
      <c r="A9" t="s">
        <v>55</v>
      </c>
      <c r="B9" t="s">
        <v>25</v>
      </c>
      <c r="C9" t="s">
        <v>599</v>
      </c>
      <c r="D9" s="1">
        <v>35147</v>
      </c>
      <c r="E9" s="1">
        <v>34844</v>
      </c>
      <c r="F9" s="1">
        <v>58379</v>
      </c>
      <c r="G9" s="1">
        <v>1675</v>
      </c>
    </row>
    <row r="10" spans="1:7" x14ac:dyDescent="0.3">
      <c r="A10" t="s">
        <v>56</v>
      </c>
      <c r="B10" t="s">
        <v>25</v>
      </c>
      <c r="C10" t="s">
        <v>599</v>
      </c>
      <c r="D10" s="1">
        <v>151496</v>
      </c>
      <c r="E10" s="1">
        <v>148294</v>
      </c>
      <c r="F10" s="1">
        <v>193637</v>
      </c>
      <c r="G10" s="1">
        <v>1306</v>
      </c>
    </row>
    <row r="11" spans="1:7" x14ac:dyDescent="0.3">
      <c r="A11" t="s">
        <v>57</v>
      </c>
      <c r="B11" t="s">
        <v>25</v>
      </c>
      <c r="C11" t="s">
        <v>599</v>
      </c>
      <c r="D11" s="1">
        <v>2413081</v>
      </c>
      <c r="E11" s="1">
        <v>2397165</v>
      </c>
      <c r="F11" s="1">
        <v>5592450</v>
      </c>
      <c r="G11" s="1">
        <v>2333</v>
      </c>
    </row>
    <row r="12" spans="1:7" x14ac:dyDescent="0.3">
      <c r="A12" t="s">
        <v>59</v>
      </c>
      <c r="B12" t="s">
        <v>25</v>
      </c>
      <c r="C12" t="s">
        <v>599</v>
      </c>
      <c r="D12" s="1">
        <v>31527</v>
      </c>
      <c r="E12" s="1">
        <v>31527</v>
      </c>
      <c r="F12" s="1">
        <v>30821</v>
      </c>
      <c r="G12" s="1">
        <v>978</v>
      </c>
    </row>
    <row r="13" spans="1:7" x14ac:dyDescent="0.3">
      <c r="A13" t="s">
        <v>60</v>
      </c>
      <c r="B13" t="s">
        <v>25</v>
      </c>
      <c r="C13" t="s">
        <v>599</v>
      </c>
      <c r="D13" s="1">
        <v>8935</v>
      </c>
      <c r="E13" s="1">
        <v>8935</v>
      </c>
      <c r="F13" s="1">
        <v>8777</v>
      </c>
      <c r="G13" s="1">
        <v>982</v>
      </c>
    </row>
    <row r="14" spans="1:7" x14ac:dyDescent="0.3">
      <c r="A14" t="s">
        <v>61</v>
      </c>
      <c r="B14" t="s">
        <v>25</v>
      </c>
      <c r="C14" t="s">
        <v>599</v>
      </c>
      <c r="D14" s="1">
        <v>9234043</v>
      </c>
      <c r="E14" s="1">
        <v>7422498</v>
      </c>
      <c r="F14" s="1">
        <v>51690950</v>
      </c>
      <c r="G14" s="1">
        <v>6964</v>
      </c>
    </row>
    <row r="15" spans="1:7" x14ac:dyDescent="0.3">
      <c r="A15" t="s">
        <v>63</v>
      </c>
      <c r="B15" t="s">
        <v>25</v>
      </c>
      <c r="C15" t="s">
        <v>599</v>
      </c>
      <c r="D15" s="1">
        <v>22867</v>
      </c>
      <c r="E15" s="1">
        <v>4804</v>
      </c>
      <c r="F15" s="1">
        <v>6626</v>
      </c>
      <c r="G15" s="1">
        <v>1379</v>
      </c>
    </row>
    <row r="16" spans="1:7" x14ac:dyDescent="0.3">
      <c r="A16" t="s">
        <v>93</v>
      </c>
      <c r="B16" t="s">
        <v>25</v>
      </c>
      <c r="C16" t="s">
        <v>599</v>
      </c>
      <c r="D16" s="1">
        <v>211189</v>
      </c>
      <c r="E16" s="1">
        <v>209079</v>
      </c>
      <c r="F16" s="1">
        <v>235771</v>
      </c>
      <c r="G16" s="1">
        <v>1128</v>
      </c>
    </row>
    <row r="17" spans="1:7" x14ac:dyDescent="0.3">
      <c r="A17" t="s">
        <v>64</v>
      </c>
      <c r="B17" t="s">
        <v>25</v>
      </c>
      <c r="C17" t="s">
        <v>599</v>
      </c>
      <c r="D17" s="1">
        <v>268967</v>
      </c>
      <c r="E17" s="1">
        <v>259190</v>
      </c>
      <c r="F17" s="1">
        <v>369626</v>
      </c>
      <c r="G17" s="1">
        <v>1426</v>
      </c>
    </row>
    <row r="18" spans="1:7" x14ac:dyDescent="0.3">
      <c r="A18" t="s">
        <v>65</v>
      </c>
      <c r="B18" t="s">
        <v>25</v>
      </c>
      <c r="C18" t="s">
        <v>599</v>
      </c>
      <c r="D18" s="1">
        <v>185723</v>
      </c>
      <c r="E18" s="1">
        <v>167014</v>
      </c>
      <c r="F18" s="1">
        <v>204814</v>
      </c>
      <c r="G18" s="1">
        <v>1226</v>
      </c>
    </row>
    <row r="19" spans="1:7" x14ac:dyDescent="0.3">
      <c r="A19" t="s">
        <v>67</v>
      </c>
      <c r="B19" t="s">
        <v>25</v>
      </c>
      <c r="C19" t="s">
        <v>599</v>
      </c>
      <c r="D19" s="1">
        <v>12483086</v>
      </c>
      <c r="E19" s="1">
        <v>12048575</v>
      </c>
      <c r="F19" s="1">
        <v>37204801</v>
      </c>
      <c r="G19" s="1">
        <v>3088</v>
      </c>
    </row>
    <row r="20" spans="1:7" x14ac:dyDescent="0.3">
      <c r="A20" t="s">
        <v>68</v>
      </c>
      <c r="B20" t="s">
        <v>25</v>
      </c>
      <c r="C20" t="s">
        <v>599</v>
      </c>
      <c r="D20" s="1">
        <v>5511879</v>
      </c>
      <c r="E20" s="1">
        <v>5406541</v>
      </c>
      <c r="F20" s="1">
        <v>13903039</v>
      </c>
      <c r="G20" s="1">
        <v>2572</v>
      </c>
    </row>
    <row r="21" spans="1:7" x14ac:dyDescent="0.3">
      <c r="A21" t="s">
        <v>69</v>
      </c>
      <c r="B21" t="s">
        <v>25</v>
      </c>
      <c r="C21" t="s">
        <v>599</v>
      </c>
      <c r="D21" s="1">
        <v>17994965</v>
      </c>
      <c r="E21" s="1">
        <v>17455116</v>
      </c>
      <c r="F21" s="1">
        <v>51107836</v>
      </c>
      <c r="G21" s="1">
        <v>2928</v>
      </c>
    </row>
    <row r="22" spans="1:7" x14ac:dyDescent="0.3">
      <c r="A22" t="s">
        <v>70</v>
      </c>
      <c r="B22" t="s">
        <v>25</v>
      </c>
      <c r="C22" t="s">
        <v>599</v>
      </c>
      <c r="D22" s="1">
        <v>1005799</v>
      </c>
      <c r="E22" s="1">
        <v>708887</v>
      </c>
      <c r="F22" s="1">
        <v>2853150</v>
      </c>
      <c r="G22" s="1">
        <v>4025</v>
      </c>
    </row>
    <row r="23" spans="1:7" x14ac:dyDescent="0.3">
      <c r="A23" t="s">
        <v>71</v>
      </c>
      <c r="B23" t="s">
        <v>25</v>
      </c>
      <c r="C23" t="s">
        <v>599</v>
      </c>
      <c r="D23" s="1">
        <v>127535</v>
      </c>
      <c r="E23" s="1">
        <v>126969</v>
      </c>
      <c r="F23" s="1">
        <v>349958</v>
      </c>
      <c r="G23" s="1">
        <v>2756</v>
      </c>
    </row>
    <row r="24" spans="1:7" x14ac:dyDescent="0.3">
      <c r="A24" t="s">
        <v>72</v>
      </c>
      <c r="B24" t="s">
        <v>25</v>
      </c>
      <c r="C24" t="s">
        <v>599</v>
      </c>
      <c r="D24" s="1">
        <v>6550169</v>
      </c>
      <c r="E24" s="1">
        <v>6341303</v>
      </c>
      <c r="F24" s="1">
        <v>18510280</v>
      </c>
      <c r="G24" s="1">
        <v>2919</v>
      </c>
    </row>
    <row r="25" spans="1:7" x14ac:dyDescent="0.3">
      <c r="D25" s="1"/>
      <c r="E25" s="1"/>
      <c r="F25" s="1"/>
      <c r="G25" s="1"/>
    </row>
  </sheetData>
  <autoFilter ref="A1:G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8"/>
  <sheetViews>
    <sheetView workbookViewId="0">
      <selection activeCell="A18" sqref="A18"/>
    </sheetView>
  </sheetViews>
  <sheetFormatPr baseColWidth="10" defaultRowHeight="14.4" x14ac:dyDescent="0.3"/>
  <cols>
    <col min="2" max="2" width="13.77734375" bestFit="1" customWidth="1"/>
  </cols>
  <sheetData>
    <row r="2" spans="2:8" x14ac:dyDescent="0.3">
      <c r="D2" s="2"/>
      <c r="E2" s="5" t="s">
        <v>699</v>
      </c>
      <c r="H2" t="s">
        <v>700</v>
      </c>
    </row>
    <row r="4" spans="2:8" x14ac:dyDescent="0.3">
      <c r="B4" s="82" t="s">
        <v>554</v>
      </c>
    </row>
    <row r="5" spans="2:8" x14ac:dyDescent="0.3">
      <c r="B5" s="82" t="s">
        <v>559</v>
      </c>
    </row>
    <row r="6" spans="2:8" x14ac:dyDescent="0.3">
      <c r="B6" s="82" t="s">
        <v>560</v>
      </c>
    </row>
    <row r="7" spans="2:8" x14ac:dyDescent="0.3">
      <c r="B7" s="82" t="s">
        <v>562</v>
      </c>
    </row>
    <row r="8" spans="2:8" x14ac:dyDescent="0.3">
      <c r="B8" s="82" t="s">
        <v>564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3661"/>
  <sheetViews>
    <sheetView tabSelected="1" workbookViewId="0">
      <pane ySplit="1" topLeftCell="A33" activePane="bottomLeft" state="frozen"/>
      <selection pane="bottomLeft" activeCell="J168" sqref="J168"/>
    </sheetView>
  </sheetViews>
  <sheetFormatPr baseColWidth="10" defaultRowHeight="14.4" x14ac:dyDescent="0.3"/>
  <cols>
    <col min="1" max="1" width="11.5546875" style="97"/>
    <col min="2" max="2" width="8.21875" style="97" bestFit="1" customWidth="1"/>
    <col min="3" max="3" width="10.109375" style="97" bestFit="1" customWidth="1"/>
    <col min="4" max="4" width="11" style="97" bestFit="1" customWidth="1"/>
    <col min="5" max="5" width="11.5546875" style="97"/>
    <col min="6" max="6" width="17.21875" style="97" bestFit="1" customWidth="1"/>
    <col min="7" max="13" width="11.5546875" style="111"/>
    <col min="14" max="16384" width="11.5546875" style="97"/>
  </cols>
  <sheetData>
    <row r="1" spans="1:19" s="84" customFormat="1" ht="55.8" x14ac:dyDescent="0.3">
      <c r="A1" s="85" t="s">
        <v>701</v>
      </c>
      <c r="B1" s="84" t="s">
        <v>702</v>
      </c>
      <c r="C1" s="84" t="s">
        <v>703</v>
      </c>
      <c r="D1" s="84" t="s">
        <v>704</v>
      </c>
      <c r="E1" s="84" t="s">
        <v>2</v>
      </c>
      <c r="F1" s="84" t="s">
        <v>705</v>
      </c>
      <c r="G1" s="86" t="s">
        <v>706</v>
      </c>
      <c r="H1" s="86" t="s">
        <v>707</v>
      </c>
      <c r="I1" s="86" t="s">
        <v>708</v>
      </c>
      <c r="J1" s="86" t="s">
        <v>709</v>
      </c>
      <c r="K1" s="86" t="s">
        <v>710</v>
      </c>
      <c r="L1" s="86" t="s">
        <v>711</v>
      </c>
      <c r="M1" s="86" t="s">
        <v>712</v>
      </c>
      <c r="N1" s="87" t="s">
        <v>713</v>
      </c>
      <c r="O1" s="86" t="s">
        <v>714</v>
      </c>
      <c r="P1" s="86" t="s">
        <v>715</v>
      </c>
      <c r="Q1" s="86" t="s">
        <v>716</v>
      </c>
      <c r="R1" s="88" t="s">
        <v>717</v>
      </c>
    </row>
    <row r="2" spans="1:19" hidden="1" x14ac:dyDescent="0.3">
      <c r="A2" s="89">
        <v>2020</v>
      </c>
      <c r="B2" s="90">
        <v>1</v>
      </c>
      <c r="C2" s="90" t="s">
        <v>718</v>
      </c>
      <c r="D2" s="90" t="s">
        <v>719</v>
      </c>
      <c r="E2" s="91" t="s">
        <v>11</v>
      </c>
      <c r="F2" s="92" t="s">
        <v>12</v>
      </c>
      <c r="G2" s="93">
        <v>4908.9806722732701</v>
      </c>
      <c r="H2" s="93">
        <v>25544.243555643701</v>
      </c>
      <c r="I2" s="93">
        <v>68619.916357189402</v>
      </c>
      <c r="J2" s="93">
        <v>34322.683020213197</v>
      </c>
      <c r="K2" s="93">
        <v>1133.20742520986</v>
      </c>
      <c r="L2" s="93">
        <v>298782.44577179942</v>
      </c>
      <c r="M2" s="94">
        <v>433311.47680232883</v>
      </c>
      <c r="N2" s="95">
        <v>3.64901213862103E-2</v>
      </c>
      <c r="O2" s="95">
        <v>0.18987904216634699</v>
      </c>
      <c r="P2" s="95">
        <v>0.51007515501703904</v>
      </c>
      <c r="Q2" s="95">
        <v>0.25513216558011298</v>
      </c>
      <c r="R2" s="96">
        <v>8.4235158502902977E-3</v>
      </c>
      <c r="S2" s="112">
        <f>SUM(N2:R2)</f>
        <v>0.99999999999999967</v>
      </c>
    </row>
    <row r="3" spans="1:19" ht="15.75" hidden="1" customHeight="1" x14ac:dyDescent="0.3">
      <c r="A3" s="89">
        <v>2020</v>
      </c>
      <c r="B3" s="90">
        <v>1</v>
      </c>
      <c r="C3" s="90" t="s">
        <v>718</v>
      </c>
      <c r="D3" s="90" t="s">
        <v>719</v>
      </c>
      <c r="E3" s="91" t="s">
        <v>11</v>
      </c>
      <c r="F3" s="92" t="s">
        <v>26</v>
      </c>
      <c r="G3" s="93">
        <v>136271.645983961</v>
      </c>
      <c r="H3" s="93">
        <v>267920.23737155797</v>
      </c>
      <c r="I3" s="93">
        <v>402954.80921840598</v>
      </c>
      <c r="J3" s="93">
        <v>185681.898493418</v>
      </c>
      <c r="K3" s="93">
        <v>7517.1491967386501</v>
      </c>
      <c r="L3" s="93">
        <v>302047.57612661581</v>
      </c>
      <c r="M3" s="93">
        <v>1302393.3163906974</v>
      </c>
      <c r="N3" s="95">
        <v>0.13622454767287417</v>
      </c>
      <c r="O3" s="95">
        <v>0.26782763857306935</v>
      </c>
      <c r="P3" s="95">
        <v>0.40281553966734518</v>
      </c>
      <c r="Q3" s="95">
        <v>0.18561772297285914</v>
      </c>
      <c r="R3" s="96">
        <v>7.5145511138520922E-3</v>
      </c>
    </row>
    <row r="4" spans="1:19" ht="15.75" hidden="1" customHeight="1" x14ac:dyDescent="0.3">
      <c r="A4" s="89">
        <v>2020</v>
      </c>
      <c r="B4" s="90">
        <v>1</v>
      </c>
      <c r="C4" s="90" t="s">
        <v>718</v>
      </c>
      <c r="D4" s="90" t="s">
        <v>719</v>
      </c>
      <c r="E4" s="91" t="s">
        <v>11</v>
      </c>
      <c r="F4" s="92" t="s">
        <v>27</v>
      </c>
      <c r="G4" s="93">
        <v>1951.52133876378</v>
      </c>
      <c r="H4" s="93">
        <v>58489.7223157314</v>
      </c>
      <c r="I4" s="93">
        <v>105712.982849772</v>
      </c>
      <c r="J4" s="93">
        <v>13765.7229126088</v>
      </c>
      <c r="K4" s="93">
        <v>323.72751093749901</v>
      </c>
      <c r="L4" s="93">
        <v>46445.940071485493</v>
      </c>
      <c r="M4" s="93">
        <v>226689.61699929897</v>
      </c>
      <c r="N4" s="95">
        <v>1.0827127875034155E-2</v>
      </c>
      <c r="O4" s="95">
        <v>0.32450360152803687</v>
      </c>
      <c r="P4" s="95">
        <v>0.58650036801074257</v>
      </c>
      <c r="Q4" s="95">
        <v>7.6372847842656313E-2</v>
      </c>
      <c r="R4" s="96">
        <v>1.7960547435300598E-3</v>
      </c>
    </row>
    <row r="5" spans="1:19" ht="15.75" hidden="1" customHeight="1" x14ac:dyDescent="0.3">
      <c r="A5" s="89">
        <v>2020</v>
      </c>
      <c r="B5" s="90">
        <v>1</v>
      </c>
      <c r="C5" s="90" t="s">
        <v>718</v>
      </c>
      <c r="D5" s="90" t="s">
        <v>719</v>
      </c>
      <c r="E5" s="91" t="s">
        <v>11</v>
      </c>
      <c r="F5" s="92" t="s">
        <v>28</v>
      </c>
      <c r="G5" s="93">
        <v>6770.8351451853396</v>
      </c>
      <c r="H5" s="93">
        <v>58004.757748211698</v>
      </c>
      <c r="I5" s="93">
        <v>204590.51048264801</v>
      </c>
      <c r="J5" s="93">
        <v>85519.878758115097</v>
      </c>
      <c r="K5" s="93">
        <v>405.487441181066</v>
      </c>
      <c r="L5" s="93">
        <v>17813.11143960632</v>
      </c>
      <c r="M5" s="93">
        <v>373104.58101494762</v>
      </c>
      <c r="N5" s="95">
        <v>1.905712837203245E-2</v>
      </c>
      <c r="O5" s="95">
        <v>0.16325964092957629</v>
      </c>
      <c r="P5" s="95">
        <v>0.57583851007507403</v>
      </c>
      <c r="Q5" s="95">
        <v>0.24070343951779061</v>
      </c>
      <c r="R5" s="96">
        <v>1.1412811055264596E-3</v>
      </c>
    </row>
    <row r="6" spans="1:19" ht="15.75" customHeight="1" x14ac:dyDescent="0.3">
      <c r="A6" s="89">
        <v>2020</v>
      </c>
      <c r="B6" s="90">
        <v>1</v>
      </c>
      <c r="C6" s="90" t="s">
        <v>718</v>
      </c>
      <c r="D6" s="90" t="s">
        <v>719</v>
      </c>
      <c r="E6" s="91" t="s">
        <v>11</v>
      </c>
      <c r="F6" s="92" t="s">
        <v>29</v>
      </c>
      <c r="G6" s="93">
        <v>9855.1184897930907</v>
      </c>
      <c r="H6" s="93">
        <v>59367.8741550919</v>
      </c>
      <c r="I6" s="93">
        <v>120308.77161784501</v>
      </c>
      <c r="J6" s="93">
        <v>60656.478022005103</v>
      </c>
      <c r="K6" s="93">
        <v>4658.7599638005204</v>
      </c>
      <c r="L6" s="93">
        <v>99545.052621222902</v>
      </c>
      <c r="M6" s="93">
        <v>354392.05486975849</v>
      </c>
      <c r="N6" s="95">
        <v>3.8670725583744708E-2</v>
      </c>
      <c r="O6" s="95">
        <v>0.23295496368913257</v>
      </c>
      <c r="P6" s="95">
        <v>0.47208234963076301</v>
      </c>
      <c r="Q6" s="95">
        <v>0.2380113459716148</v>
      </c>
      <c r="R6" s="96">
        <v>1.8280615124745069E-2</v>
      </c>
    </row>
    <row r="7" spans="1:19" ht="15.75" hidden="1" customHeight="1" x14ac:dyDescent="0.3">
      <c r="A7" s="89">
        <v>2020</v>
      </c>
      <c r="B7" s="90">
        <v>1</v>
      </c>
      <c r="C7" s="90" t="s">
        <v>718</v>
      </c>
      <c r="D7" s="90" t="s">
        <v>719</v>
      </c>
      <c r="E7" s="91" t="s">
        <v>11</v>
      </c>
      <c r="F7" s="92" t="s">
        <v>30</v>
      </c>
      <c r="G7" s="93">
        <v>270.47317072916599</v>
      </c>
      <c r="H7" s="93">
        <v>199.12184012867601</v>
      </c>
      <c r="I7" s="93">
        <v>2397.5457928860201</v>
      </c>
      <c r="J7" s="93">
        <v>5758.3282483440698</v>
      </c>
      <c r="K7" s="93">
        <v>1845.0487353186199</v>
      </c>
      <c r="L7" s="93">
        <v>219615.98237471044</v>
      </c>
      <c r="M7" s="93">
        <v>230086.50016211698</v>
      </c>
      <c r="N7" s="95">
        <v>2.5831881118093168E-2</v>
      </c>
      <c r="O7" s="95">
        <v>1.9017382346474824E-2</v>
      </c>
      <c r="P7" s="95">
        <v>0.22898063319940831</v>
      </c>
      <c r="Q7" s="95">
        <v>0.5499563980751665</v>
      </c>
      <c r="R7" s="96">
        <v>0.17621370526085711</v>
      </c>
    </row>
    <row r="8" spans="1:19" ht="15.75" hidden="1" customHeight="1" x14ac:dyDescent="0.3">
      <c r="A8" s="89">
        <v>2020</v>
      </c>
      <c r="B8" s="90">
        <v>1</v>
      </c>
      <c r="C8" s="90" t="s">
        <v>718</v>
      </c>
      <c r="D8" s="90" t="s">
        <v>719</v>
      </c>
      <c r="E8" s="91" t="s">
        <v>11</v>
      </c>
      <c r="F8" s="92" t="s">
        <v>31</v>
      </c>
      <c r="G8" s="93">
        <v>2141.37542719669</v>
      </c>
      <c r="H8" s="93">
        <v>39454.232250853602</v>
      </c>
      <c r="I8" s="93">
        <v>2397.5457928860201</v>
      </c>
      <c r="J8" s="93">
        <v>7811.5586570128198</v>
      </c>
      <c r="K8" s="93">
        <v>855.93978903186303</v>
      </c>
      <c r="L8" s="93">
        <v>164849.4272336885</v>
      </c>
      <c r="M8" s="93">
        <v>251948.68865991489</v>
      </c>
      <c r="N8" s="95">
        <v>2.4585460222420499E-2</v>
      </c>
      <c r="O8" s="95">
        <v>0.45298010114898141</v>
      </c>
      <c r="P8" s="95">
        <v>0.42292155753044902</v>
      </c>
      <c r="Q8" s="95">
        <v>8.9685704896926816E-2</v>
      </c>
      <c r="R8" s="96">
        <v>9.8271762012224345E-3</v>
      </c>
    </row>
    <row r="9" spans="1:19" ht="15.75" hidden="1" customHeight="1" x14ac:dyDescent="0.3">
      <c r="A9" s="89">
        <v>2020</v>
      </c>
      <c r="B9" s="90">
        <v>1</v>
      </c>
      <c r="C9" s="90" t="s">
        <v>718</v>
      </c>
      <c r="D9" s="90" t="s">
        <v>719</v>
      </c>
      <c r="E9" s="91" t="s">
        <v>11</v>
      </c>
      <c r="F9" s="92" t="s">
        <v>32</v>
      </c>
      <c r="G9" s="93">
        <v>25759.695635549699</v>
      </c>
      <c r="H9" s="93">
        <v>106529.91193097801</v>
      </c>
      <c r="I9" s="93">
        <v>2397.5457928860201</v>
      </c>
      <c r="J9" s="93">
        <v>130083.874373696</v>
      </c>
      <c r="K9" s="93">
        <v>9423.2175778064302</v>
      </c>
      <c r="L9" s="93">
        <v>102040.56909672789</v>
      </c>
      <c r="M9" s="93">
        <v>609521.81280336611</v>
      </c>
      <c r="N9" s="95">
        <v>5.0759896951858015E-2</v>
      </c>
      <c r="O9" s="95">
        <v>0.2099189147423155</v>
      </c>
      <c r="P9" s="95">
        <v>0.46442020687734259</v>
      </c>
      <c r="Q9" s="95">
        <v>0.25633237875663073</v>
      </c>
      <c r="R9" s="96">
        <v>1.8568602671853129E-2</v>
      </c>
    </row>
    <row r="10" spans="1:19" ht="15.75" hidden="1" customHeight="1" x14ac:dyDescent="0.3">
      <c r="A10" s="89">
        <v>2020</v>
      </c>
      <c r="B10" s="90">
        <v>1</v>
      </c>
      <c r="C10" s="90" t="s">
        <v>718</v>
      </c>
      <c r="D10" s="90" t="s">
        <v>719</v>
      </c>
      <c r="E10" s="91" t="s">
        <v>11</v>
      </c>
      <c r="F10" s="92" t="s">
        <v>33</v>
      </c>
      <c r="G10" s="93">
        <v>176960.32210555699</v>
      </c>
      <c r="H10" s="93">
        <v>489417.93587486999</v>
      </c>
      <c r="I10" s="93">
        <v>2397.5457928860201</v>
      </c>
      <c r="J10" s="93">
        <v>197500.196056755</v>
      </c>
      <c r="K10" s="93">
        <v>53019.384011373899</v>
      </c>
      <c r="L10" s="93">
        <v>53022.645877308598</v>
      </c>
      <c r="M10" s="93">
        <v>1352056.7882567595</v>
      </c>
      <c r="N10" s="95">
        <v>0.13622453508528837</v>
      </c>
      <c r="O10" s="95">
        <v>0.37675525215865335</v>
      </c>
      <c r="P10" s="95">
        <v>0.29416956172601699</v>
      </c>
      <c r="Q10" s="95">
        <v>0.15203618566559948</v>
      </c>
      <c r="R10" s="96">
        <v>4.0814465364442144E-2</v>
      </c>
    </row>
    <row r="11" spans="1:19" ht="15.75" hidden="1" customHeight="1" x14ac:dyDescent="0.3">
      <c r="A11" s="89">
        <v>2020</v>
      </c>
      <c r="B11" s="90">
        <v>1</v>
      </c>
      <c r="C11" s="90" t="s">
        <v>718</v>
      </c>
      <c r="D11" s="90" t="s">
        <v>719</v>
      </c>
      <c r="E11" s="91" t="s">
        <v>11</v>
      </c>
      <c r="F11" s="92" t="s">
        <v>34</v>
      </c>
      <c r="G11" s="93">
        <v>14820.751062208999</v>
      </c>
      <c r="H11" s="93">
        <v>71106.471720037996</v>
      </c>
      <c r="I11" s="93">
        <v>2397.5457928860201</v>
      </c>
      <c r="J11" s="93">
        <v>236266.771500317</v>
      </c>
      <c r="K11" s="93">
        <v>6830.54492495862</v>
      </c>
      <c r="L11" s="93">
        <v>72292.059949319999</v>
      </c>
      <c r="M11" s="93">
        <v>713628.83042004204</v>
      </c>
      <c r="N11" s="95">
        <v>2.3109155352703418E-2</v>
      </c>
      <c r="O11" s="95">
        <v>0.11087228269766602</v>
      </c>
      <c r="P11" s="95">
        <v>0.48697072371816658</v>
      </c>
      <c r="Q11" s="95">
        <v>0.36839735748646441</v>
      </c>
      <c r="R11" s="96">
        <v>1.0650480744999555E-2</v>
      </c>
    </row>
    <row r="12" spans="1:19" ht="15.75" hidden="1" customHeight="1" x14ac:dyDescent="0.3">
      <c r="A12" s="89">
        <v>2020</v>
      </c>
      <c r="B12" s="90">
        <v>1</v>
      </c>
      <c r="C12" s="90" t="s">
        <v>718</v>
      </c>
      <c r="D12" s="90" t="s">
        <v>719</v>
      </c>
      <c r="E12" s="91" t="s">
        <v>11</v>
      </c>
      <c r="F12" s="92" t="s">
        <v>35</v>
      </c>
      <c r="G12" s="93">
        <v>17750.397818935398</v>
      </c>
      <c r="H12" s="93">
        <v>61388.754445060898</v>
      </c>
      <c r="I12" s="93">
        <v>2397.5457928860201</v>
      </c>
      <c r="J12" s="93">
        <v>104706.83493172099</v>
      </c>
      <c r="K12" s="93">
        <v>26486.0207405285</v>
      </c>
      <c r="L12" s="93">
        <v>254155.3097004311</v>
      </c>
      <c r="M12" s="93">
        <v>605861.19629491586</v>
      </c>
      <c r="N12" s="95">
        <v>5.0469436240632291E-2</v>
      </c>
      <c r="O12" s="95">
        <v>0.17454571215591239</v>
      </c>
      <c r="P12" s="95">
        <v>0.40196619973336539</v>
      </c>
      <c r="Q12" s="95">
        <v>0.29771135179334512</v>
      </c>
      <c r="R12" s="96">
        <v>7.5307300076744979E-2</v>
      </c>
    </row>
    <row r="13" spans="1:19" ht="15.75" hidden="1" customHeight="1" x14ac:dyDescent="0.3">
      <c r="A13" s="89">
        <v>2020</v>
      </c>
      <c r="B13" s="90">
        <v>1</v>
      </c>
      <c r="C13" s="90" t="s">
        <v>718</v>
      </c>
      <c r="D13" s="90" t="s">
        <v>719</v>
      </c>
      <c r="E13" s="91" t="s">
        <v>11</v>
      </c>
      <c r="F13" s="92" t="s">
        <v>36</v>
      </c>
      <c r="G13" s="93">
        <v>2255.43648127604</v>
      </c>
      <c r="H13" s="93">
        <v>17773.446380235899</v>
      </c>
      <c r="I13" s="93">
        <v>2397.5457928860201</v>
      </c>
      <c r="J13" s="93">
        <v>85846.731324442706</v>
      </c>
      <c r="K13" s="93">
        <v>584.02701706341804</v>
      </c>
      <c r="L13" s="93">
        <v>34036.099713232463</v>
      </c>
      <c r="M13" s="93">
        <v>258886.87145458051</v>
      </c>
      <c r="N13" s="95">
        <v>1.0030814943657519E-2</v>
      </c>
      <c r="O13" s="95">
        <v>7.9045520914116194E-2</v>
      </c>
      <c r="P13" s="95">
        <v>0.52653201775317249</v>
      </c>
      <c r="Q13" s="95">
        <v>0.38179424806775636</v>
      </c>
      <c r="R13" s="96">
        <v>2.5973983212974699E-3</v>
      </c>
    </row>
    <row r="14" spans="1:19" ht="15.75" hidden="1" customHeight="1" x14ac:dyDescent="0.3">
      <c r="A14" s="89">
        <v>2020</v>
      </c>
      <c r="B14" s="90">
        <v>1</v>
      </c>
      <c r="C14" s="90" t="s">
        <v>718</v>
      </c>
      <c r="D14" s="90" t="s">
        <v>719</v>
      </c>
      <c r="E14" s="91" t="s">
        <v>11</v>
      </c>
      <c r="F14" s="92" t="s">
        <v>37</v>
      </c>
      <c r="G14" s="93">
        <v>50783.739277470901</v>
      </c>
      <c r="H14" s="93">
        <v>142350.212556913</v>
      </c>
      <c r="I14" s="93">
        <v>2397.5457928860201</v>
      </c>
      <c r="J14" s="93">
        <v>29839.228774297299</v>
      </c>
      <c r="K14" s="93">
        <v>538.58012550091905</v>
      </c>
      <c r="L14" s="93">
        <v>175380.216996901</v>
      </c>
      <c r="M14" s="93">
        <v>524073.85777631705</v>
      </c>
      <c r="N14" s="95">
        <v>0.14563999264212776</v>
      </c>
      <c r="O14" s="95">
        <v>0.40823862528357341</v>
      </c>
      <c r="P14" s="95">
        <v>0.35900247496748633</v>
      </c>
      <c r="Q14" s="95">
        <v>8.5574341727595843E-2</v>
      </c>
      <c r="R14" s="96">
        <v>1.5445653792167243E-3</v>
      </c>
    </row>
    <row r="15" spans="1:19" ht="15.75" hidden="1" customHeight="1" x14ac:dyDescent="0.3">
      <c r="A15" s="89">
        <v>2020</v>
      </c>
      <c r="B15" s="90">
        <v>1</v>
      </c>
      <c r="C15" s="90" t="s">
        <v>718</v>
      </c>
      <c r="D15" s="90" t="s">
        <v>719</v>
      </c>
      <c r="E15" s="91" t="s">
        <v>11</v>
      </c>
      <c r="F15" s="92" t="s">
        <v>720</v>
      </c>
      <c r="G15" s="93">
        <v>24943.010655044302</v>
      </c>
      <c r="H15" s="93">
        <v>51379.4865228977</v>
      </c>
      <c r="I15" s="93">
        <v>2397.5457928860201</v>
      </c>
      <c r="J15" s="93">
        <v>398721.66072488797</v>
      </c>
      <c r="K15" s="93">
        <v>74157.716218520305</v>
      </c>
      <c r="L15" s="93">
        <v>175614.0246693572</v>
      </c>
      <c r="M15" s="93">
        <v>927958.42268839153</v>
      </c>
      <c r="N15" s="95">
        <v>3.3153713539597916E-2</v>
      </c>
      <c r="O15" s="95">
        <v>6.8292508933651686E-2</v>
      </c>
      <c r="P15" s="95">
        <v>0.27001267562112491</v>
      </c>
      <c r="Q15" s="95">
        <v>0.52997225974533047</v>
      </c>
      <c r="R15" s="96">
        <v>9.8568842160294934E-2</v>
      </c>
    </row>
    <row r="16" spans="1:19" ht="15.75" hidden="1" customHeight="1" x14ac:dyDescent="0.3">
      <c r="A16" s="89">
        <v>2020</v>
      </c>
      <c r="B16" s="90">
        <v>1</v>
      </c>
      <c r="C16" s="90" t="s">
        <v>718</v>
      </c>
      <c r="D16" s="90" t="s">
        <v>719</v>
      </c>
      <c r="E16" s="91" t="s">
        <v>11</v>
      </c>
      <c r="F16" s="92" t="s">
        <v>39</v>
      </c>
      <c r="G16" s="93">
        <v>4509.7552647410903</v>
      </c>
      <c r="H16" s="93">
        <v>80718.554442196197</v>
      </c>
      <c r="I16" s="93">
        <v>2397.5457928860201</v>
      </c>
      <c r="J16" s="93">
        <v>21586.101061911701</v>
      </c>
      <c r="K16" s="93">
        <v>169.263069921875</v>
      </c>
      <c r="L16" s="93">
        <v>80200.62792936989</v>
      </c>
      <c r="M16" s="93">
        <v>331195.16650097276</v>
      </c>
      <c r="N16" s="95">
        <v>1.7967543399174651E-2</v>
      </c>
      <c r="O16" s="95">
        <v>0.32159486378293878</v>
      </c>
      <c r="P16" s="95">
        <v>0.57376094935129063</v>
      </c>
      <c r="Q16" s="95">
        <v>8.6002273932959269E-2</v>
      </c>
      <c r="R16" s="96">
        <v>6.743695336366381E-4</v>
      </c>
    </row>
    <row r="17" spans="1:18" ht="15.75" hidden="1" customHeight="1" x14ac:dyDescent="0.3">
      <c r="A17" s="89">
        <v>2020</v>
      </c>
      <c r="B17" s="90">
        <v>1</v>
      </c>
      <c r="C17" s="90" t="s">
        <v>718</v>
      </c>
      <c r="D17" s="90" t="s">
        <v>719</v>
      </c>
      <c r="E17" s="91" t="s">
        <v>11</v>
      </c>
      <c r="F17" s="92" t="s">
        <v>40</v>
      </c>
      <c r="G17" s="93">
        <v>2365.8966050030599</v>
      </c>
      <c r="H17" s="93">
        <v>28297.742595353899</v>
      </c>
      <c r="I17" s="93">
        <v>2397.5457928860201</v>
      </c>
      <c r="J17" s="93">
        <v>13032.491109745701</v>
      </c>
      <c r="K17" s="93">
        <v>199.82916089460701</v>
      </c>
      <c r="L17" s="93">
        <v>200322.57559524299</v>
      </c>
      <c r="M17" s="93">
        <v>326305.02470135893</v>
      </c>
      <c r="N17" s="95">
        <v>1.8779573042037426E-2</v>
      </c>
      <c r="O17" s="95">
        <v>0.22461654616285945</v>
      </c>
      <c r="P17" s="95">
        <v>0.6515708356008898</v>
      </c>
      <c r="Q17" s="95">
        <v>0.10344687853121808</v>
      </c>
      <c r="R17" s="96">
        <v>1.5861666629951767E-3</v>
      </c>
    </row>
    <row r="18" spans="1:18" ht="15.75" hidden="1" customHeight="1" x14ac:dyDescent="0.3">
      <c r="A18" s="89">
        <v>2020</v>
      </c>
      <c r="B18" s="90">
        <v>1</v>
      </c>
      <c r="C18" s="90" t="s">
        <v>718</v>
      </c>
      <c r="D18" s="90" t="s">
        <v>719</v>
      </c>
      <c r="E18" s="91" t="s">
        <v>11</v>
      </c>
      <c r="F18" s="92" t="s">
        <v>41</v>
      </c>
      <c r="G18" s="93">
        <v>174.328870364583</v>
      </c>
      <c r="H18" s="93">
        <v>988.94188782475601</v>
      </c>
      <c r="I18" s="93">
        <v>2397.5457928860201</v>
      </c>
      <c r="J18" s="93">
        <v>1350.09255068627</v>
      </c>
      <c r="K18" s="93">
        <v>118.08174375306299</v>
      </c>
      <c r="L18" s="93">
        <v>13068.5054697257</v>
      </c>
      <c r="M18" s="93">
        <v>18714.332738962821</v>
      </c>
      <c r="N18" s="95">
        <v>3.0877471458339308E-2</v>
      </c>
      <c r="O18" s="95">
        <v>0.1751633269429414</v>
      </c>
      <c r="P18" s="95">
        <v>0.5339132908002977</v>
      </c>
      <c r="Q18" s="95">
        <v>0.23913104073208705</v>
      </c>
      <c r="R18" s="96">
        <v>2.0914870066334582E-2</v>
      </c>
    </row>
    <row r="19" spans="1:18" ht="15.75" hidden="1" customHeight="1" x14ac:dyDescent="0.3">
      <c r="A19" s="89">
        <v>2020</v>
      </c>
      <c r="B19" s="90">
        <v>1</v>
      </c>
      <c r="C19" s="90" t="s">
        <v>718</v>
      </c>
      <c r="D19" s="90" t="s">
        <v>719</v>
      </c>
      <c r="E19" s="91" t="s">
        <v>11</v>
      </c>
      <c r="F19" s="92" t="s">
        <v>42</v>
      </c>
      <c r="G19" s="93">
        <v>17127.543430203801</v>
      </c>
      <c r="H19" s="93">
        <v>100951.583837179</v>
      </c>
      <c r="I19" s="93">
        <v>2397.5457928860201</v>
      </c>
      <c r="J19" s="93">
        <v>77711.825609000894</v>
      </c>
      <c r="K19" s="93">
        <v>13749.219072112301</v>
      </c>
      <c r="L19" s="93">
        <v>273331.40389262722</v>
      </c>
      <c r="M19" s="93">
        <v>620824.33975000912</v>
      </c>
      <c r="N19" s="95">
        <v>4.9288896730934659E-2</v>
      </c>
      <c r="O19" s="95">
        <v>0.29051406063290897</v>
      </c>
      <c r="P19" s="95">
        <v>0.39699444124960448</v>
      </c>
      <c r="Q19" s="95">
        <v>0.22363569900280039</v>
      </c>
      <c r="R19" s="96">
        <v>3.9566902383751636E-2</v>
      </c>
    </row>
    <row r="20" spans="1:18" ht="15.75" hidden="1" customHeight="1" x14ac:dyDescent="0.3">
      <c r="A20" s="89">
        <v>2020</v>
      </c>
      <c r="B20" s="90">
        <v>1</v>
      </c>
      <c r="C20" s="90" t="s">
        <v>718</v>
      </c>
      <c r="D20" s="90" t="s">
        <v>719</v>
      </c>
      <c r="E20" s="91" t="s">
        <v>11</v>
      </c>
      <c r="F20" s="92" t="s">
        <v>43</v>
      </c>
      <c r="G20" s="93">
        <v>2002.4436985477901</v>
      </c>
      <c r="H20" s="93">
        <v>11675.293233025401</v>
      </c>
      <c r="I20" s="93">
        <v>2397.5457928860201</v>
      </c>
      <c r="J20" s="93">
        <v>26123.1144332933</v>
      </c>
      <c r="K20" s="93">
        <v>6311.2561795955899</v>
      </c>
      <c r="L20" s="93">
        <v>117267.49435002556</v>
      </c>
      <c r="M20" s="93">
        <v>185575.48510012333</v>
      </c>
      <c r="N20" s="95">
        <v>2.9314926065877937E-2</v>
      </c>
      <c r="O20" s="95">
        <v>0.17092133884802765</v>
      </c>
      <c r="P20" s="95">
        <v>0.32493831192954431</v>
      </c>
      <c r="Q20" s="95">
        <v>0.38243131069194725</v>
      </c>
      <c r="R20" s="96">
        <v>9.2394112464602926E-2</v>
      </c>
    </row>
    <row r="21" spans="1:18" ht="15.75" hidden="1" customHeight="1" x14ac:dyDescent="0.3">
      <c r="A21" s="89">
        <v>2020</v>
      </c>
      <c r="B21" s="90">
        <v>1</v>
      </c>
      <c r="C21" s="90" t="s">
        <v>718</v>
      </c>
      <c r="D21" s="90" t="s">
        <v>719</v>
      </c>
      <c r="E21" s="91" t="s">
        <v>11</v>
      </c>
      <c r="F21" s="92" t="s">
        <v>58</v>
      </c>
      <c r="G21" s="93">
        <v>2622.5415227405001</v>
      </c>
      <c r="H21" s="93">
        <v>28914.999307846701</v>
      </c>
      <c r="I21" s="93">
        <v>2397.5457928860201</v>
      </c>
      <c r="J21" s="93">
        <v>71782.671717058896</v>
      </c>
      <c r="K21" s="93">
        <v>10567.6724675399</v>
      </c>
      <c r="L21" s="93">
        <v>163200.08039914648</v>
      </c>
      <c r="M21" s="93">
        <v>371477.12559242878</v>
      </c>
      <c r="N21" s="95">
        <v>1.2591601346690733E-2</v>
      </c>
      <c r="O21" s="95">
        <v>0.13882950606012973</v>
      </c>
      <c r="P21" s="95">
        <v>0.45319041323302145</v>
      </c>
      <c r="Q21" s="95">
        <v>0.34464994282228345</v>
      </c>
      <c r="R21" s="96">
        <v>5.0738536537874537E-2</v>
      </c>
    </row>
    <row r="22" spans="1:18" ht="15.75" hidden="1" customHeight="1" x14ac:dyDescent="0.3">
      <c r="A22" s="89">
        <v>2020</v>
      </c>
      <c r="B22" s="90">
        <v>1</v>
      </c>
      <c r="C22" s="90" t="s">
        <v>718</v>
      </c>
      <c r="D22" s="90" t="s">
        <v>719</v>
      </c>
      <c r="E22" s="91" t="s">
        <v>11</v>
      </c>
      <c r="F22" s="92" t="s">
        <v>44</v>
      </c>
      <c r="G22" s="93">
        <v>4586.5643994791599</v>
      </c>
      <c r="H22" s="93">
        <v>18773.1673318949</v>
      </c>
      <c r="I22" s="93">
        <v>2397.5457928860201</v>
      </c>
      <c r="J22" s="93">
        <v>62734.682501801297</v>
      </c>
      <c r="K22" s="93">
        <v>1668.98263177849</v>
      </c>
      <c r="L22" s="93">
        <v>42033.923963635149</v>
      </c>
      <c r="M22" s="93">
        <v>215729.2885510819</v>
      </c>
      <c r="N22" s="95">
        <v>2.6405796207474831E-2</v>
      </c>
      <c r="O22" s="95">
        <v>0.1080809921236762</v>
      </c>
      <c r="P22" s="95">
        <v>0.49472804255078745</v>
      </c>
      <c r="Q22" s="95">
        <v>0.36117649225012899</v>
      </c>
      <c r="R22" s="96">
        <v>9.6086768679324325E-3</v>
      </c>
    </row>
    <row r="23" spans="1:18" ht="15.75" hidden="1" customHeight="1" x14ac:dyDescent="0.3">
      <c r="A23" s="89">
        <v>2020</v>
      </c>
      <c r="B23" s="90">
        <v>1</v>
      </c>
      <c r="C23" s="90" t="s">
        <v>718</v>
      </c>
      <c r="D23" s="90" t="s">
        <v>719</v>
      </c>
      <c r="E23" s="91" t="s">
        <v>11</v>
      </c>
      <c r="F23" s="92" t="s">
        <v>51</v>
      </c>
      <c r="G23" s="93">
        <v>5172.3449603032996</v>
      </c>
      <c r="H23" s="93">
        <v>24315.997331591701</v>
      </c>
      <c r="I23" s="93">
        <v>2397.5457928860201</v>
      </c>
      <c r="J23" s="93">
        <v>46897.072636760997</v>
      </c>
      <c r="K23" s="93">
        <v>5637.6725399111401</v>
      </c>
      <c r="L23" s="93">
        <v>42182.712006866197</v>
      </c>
      <c r="M23" s="93">
        <v>211202.40923547634</v>
      </c>
      <c r="N23" s="95">
        <v>3.0602024764648385E-2</v>
      </c>
      <c r="O23" s="95">
        <v>0.14386487332717637</v>
      </c>
      <c r="P23" s="95">
        <v>0.51471284818582075</v>
      </c>
      <c r="Q23" s="95">
        <v>0.27746513220485569</v>
      </c>
      <c r="R23" s="96">
        <v>3.3355121517498761E-2</v>
      </c>
    </row>
    <row r="24" spans="1:18" ht="15.75" hidden="1" customHeight="1" x14ac:dyDescent="0.3">
      <c r="A24" s="89">
        <v>2020</v>
      </c>
      <c r="B24" s="90">
        <v>1</v>
      </c>
      <c r="C24" s="90" t="s">
        <v>718</v>
      </c>
      <c r="D24" s="90" t="s">
        <v>719</v>
      </c>
      <c r="E24" s="91" t="s">
        <v>11</v>
      </c>
      <c r="F24" s="92" t="s">
        <v>45</v>
      </c>
      <c r="G24" s="93">
        <v>4069.7453220818102</v>
      </c>
      <c r="H24" s="93">
        <v>15583.898363746899</v>
      </c>
      <c r="I24" s="93">
        <v>2397.5457928860201</v>
      </c>
      <c r="J24" s="93">
        <v>24538.200915432</v>
      </c>
      <c r="K24" s="93">
        <v>1067.1361235018301</v>
      </c>
      <c r="L24" s="93">
        <v>50979.595915141821</v>
      </c>
      <c r="M24" s="93">
        <v>134096.09203645936</v>
      </c>
      <c r="N24" s="95">
        <v>4.8964351386294923E-2</v>
      </c>
      <c r="O24" s="95">
        <v>0.18749465017149558</v>
      </c>
      <c r="P24" s="95">
        <v>0.45547535282644558</v>
      </c>
      <c r="Q24" s="95">
        <v>0.29522660435078785</v>
      </c>
      <c r="R24" s="96">
        <v>1.2839041264976201E-2</v>
      </c>
    </row>
    <row r="25" spans="1:18" ht="15.75" hidden="1" customHeight="1" x14ac:dyDescent="0.3">
      <c r="A25" s="89">
        <v>2020</v>
      </c>
      <c r="B25" s="90">
        <v>1</v>
      </c>
      <c r="C25" s="90" t="s">
        <v>718</v>
      </c>
      <c r="D25" s="90" t="s">
        <v>719</v>
      </c>
      <c r="E25" s="91" t="s">
        <v>11</v>
      </c>
      <c r="F25" s="92" t="s">
        <v>721</v>
      </c>
      <c r="G25" s="93">
        <v>1862.7789771001801</v>
      </c>
      <c r="H25" s="93">
        <v>20095.465221447801</v>
      </c>
      <c r="I25" s="93">
        <v>2397.5457928860201</v>
      </c>
      <c r="J25" s="93">
        <v>109476.384918182</v>
      </c>
      <c r="K25" s="93">
        <v>4765.82869795648</v>
      </c>
      <c r="L25" s="93">
        <v>44121.952884068698</v>
      </c>
      <c r="M25" s="93">
        <v>309330.85090304416</v>
      </c>
      <c r="N25" s="95">
        <v>7.0238177942540227E-3</v>
      </c>
      <c r="O25" s="95">
        <v>7.5772213419513512E-2</v>
      </c>
      <c r="P25" s="95">
        <v>0.48644084405892962</v>
      </c>
      <c r="Q25" s="95">
        <v>0.41279303121401706</v>
      </c>
      <c r="R25" s="96">
        <v>1.7970093513285854E-2</v>
      </c>
    </row>
    <row r="26" spans="1:18" ht="15.75" hidden="1" customHeight="1" x14ac:dyDescent="0.3">
      <c r="A26" s="89">
        <v>2020</v>
      </c>
      <c r="B26" s="90">
        <v>1</v>
      </c>
      <c r="C26" s="90" t="s">
        <v>718</v>
      </c>
      <c r="D26" s="90" t="s">
        <v>719</v>
      </c>
      <c r="E26" s="91" t="s">
        <v>11</v>
      </c>
      <c r="F26" s="92" t="s">
        <v>46</v>
      </c>
      <c r="G26" s="93">
        <v>13581.1932387545</v>
      </c>
      <c r="H26" s="93">
        <v>53702.244233384998</v>
      </c>
      <c r="I26" s="93">
        <v>2397.5457928860201</v>
      </c>
      <c r="J26" s="93">
        <v>8659.8482003216905</v>
      </c>
      <c r="K26" s="93">
        <v>1608.0625340839399</v>
      </c>
      <c r="L26" s="93">
        <v>42049.311163630598</v>
      </c>
      <c r="M26" s="93">
        <v>149075.00300838973</v>
      </c>
      <c r="N26" s="95">
        <v>0.12689657039035107</v>
      </c>
      <c r="O26" s="95">
        <v>0.50176965276038721</v>
      </c>
      <c r="P26" s="95">
        <v>0.27539503020421074</v>
      </c>
      <c r="Q26" s="95">
        <v>8.0913732497826851E-2</v>
      </c>
      <c r="R26" s="96">
        <v>1.5025014147223976E-2</v>
      </c>
    </row>
    <row r="27" spans="1:18" ht="15.75" hidden="1" customHeight="1" x14ac:dyDescent="0.3">
      <c r="A27" s="89">
        <v>2020</v>
      </c>
      <c r="B27" s="90">
        <v>1</v>
      </c>
      <c r="C27" s="90" t="s">
        <v>718</v>
      </c>
      <c r="D27" s="90" t="s">
        <v>719</v>
      </c>
      <c r="E27" s="91" t="s">
        <v>11</v>
      </c>
      <c r="F27" s="92" t="s">
        <v>47</v>
      </c>
      <c r="G27" s="93">
        <v>60495.933867764797</v>
      </c>
      <c r="H27" s="93">
        <v>454257.66463230399</v>
      </c>
      <c r="I27" s="93">
        <v>2397.5457928860201</v>
      </c>
      <c r="J27" s="93">
        <v>50250.6992645668</v>
      </c>
      <c r="K27" s="93">
        <v>9799.5667821201005</v>
      </c>
      <c r="L27" s="93">
        <v>625729.88798137603</v>
      </c>
      <c r="M27" s="93">
        <v>1461770.3581409547</v>
      </c>
      <c r="N27" s="95">
        <v>7.2360054359829826E-2</v>
      </c>
      <c r="O27" s="95">
        <v>0.54334410934149857</v>
      </c>
      <c r="P27" s="95">
        <v>0.31246885161307997</v>
      </c>
      <c r="Q27" s="95">
        <v>6.0105582275192047E-2</v>
      </c>
      <c r="R27" s="96">
        <v>1.17214024103996E-2</v>
      </c>
    </row>
    <row r="28" spans="1:18" ht="15.75" hidden="1" customHeight="1" x14ac:dyDescent="0.3">
      <c r="A28" s="89">
        <v>2020</v>
      </c>
      <c r="B28" s="90">
        <v>1</v>
      </c>
      <c r="C28" s="90" t="s">
        <v>718</v>
      </c>
      <c r="D28" s="90" t="s">
        <v>719</v>
      </c>
      <c r="E28" s="91" t="s">
        <v>11</v>
      </c>
      <c r="F28" s="92" t="s">
        <v>48</v>
      </c>
      <c r="G28" s="93">
        <v>1266.91513600796</v>
      </c>
      <c r="H28" s="93">
        <v>22634.019577403498</v>
      </c>
      <c r="I28" s="93">
        <v>2397.5457928860201</v>
      </c>
      <c r="J28" s="93">
        <v>15735.814848055999</v>
      </c>
      <c r="K28" s="93">
        <v>84.837718359375003</v>
      </c>
      <c r="L28" s="93">
        <v>8409.0128166789473</v>
      </c>
      <c r="M28" s="93">
        <v>110314.39779994449</v>
      </c>
      <c r="N28" s="95">
        <v>1.2432268777709905E-2</v>
      </c>
      <c r="O28" s="95">
        <v>0.22210817986822148</v>
      </c>
      <c r="P28" s="95">
        <v>0.610211106249687</v>
      </c>
      <c r="Q28" s="95">
        <v>0.15441593052850019</v>
      </c>
      <c r="R28" s="96">
        <v>8.3251457588140888E-4</v>
      </c>
    </row>
    <row r="29" spans="1:18" ht="15.75" hidden="1" customHeight="1" x14ac:dyDescent="0.3">
      <c r="A29" s="89">
        <v>2020</v>
      </c>
      <c r="B29" s="90">
        <v>1</v>
      </c>
      <c r="C29" s="90" t="s">
        <v>718</v>
      </c>
      <c r="D29" s="90" t="s">
        <v>722</v>
      </c>
      <c r="E29" s="91" t="s">
        <v>11</v>
      </c>
      <c r="F29" s="92" t="s">
        <v>12</v>
      </c>
      <c r="G29" s="93">
        <v>3257.3913282797098</v>
      </c>
      <c r="H29" s="93">
        <v>21836.723501966899</v>
      </c>
      <c r="I29" s="93">
        <v>2397.5457928860201</v>
      </c>
      <c r="J29" s="93">
        <v>203244.00697981101</v>
      </c>
      <c r="K29" s="93">
        <v>10948.127472435601</v>
      </c>
      <c r="L29" s="93">
        <v>52976.381091694566</v>
      </c>
      <c r="M29" s="93">
        <v>433311.47680228978</v>
      </c>
      <c r="N29" s="95">
        <v>8.5645299763720088E-3</v>
      </c>
      <c r="O29" s="95">
        <v>5.7414432031754732E-2</v>
      </c>
      <c r="P29" s="95">
        <v>0.37085414419769708</v>
      </c>
      <c r="Q29" s="95">
        <v>0.53438141594606758</v>
      </c>
      <c r="R29" s="96">
        <v>2.8785477848108598E-2</v>
      </c>
    </row>
    <row r="30" spans="1:18" ht="15.75" hidden="1" customHeight="1" x14ac:dyDescent="0.3">
      <c r="A30" s="89">
        <v>2020</v>
      </c>
      <c r="B30" s="90">
        <v>1</v>
      </c>
      <c r="C30" s="90" t="s">
        <v>718</v>
      </c>
      <c r="D30" s="90" t="s">
        <v>722</v>
      </c>
      <c r="E30" s="91" t="s">
        <v>11</v>
      </c>
      <c r="F30" s="92" t="s">
        <v>26</v>
      </c>
      <c r="G30" s="93">
        <v>43062.400430433299</v>
      </c>
      <c r="H30" s="93">
        <v>153872.03658613301</v>
      </c>
      <c r="I30" s="93">
        <v>2397.5457928860201</v>
      </c>
      <c r="J30" s="93">
        <v>355309.32716504799</v>
      </c>
      <c r="K30" s="93">
        <v>54141.614253946602</v>
      </c>
      <c r="L30" s="93">
        <v>280615.4225703344</v>
      </c>
      <c r="M30" s="93">
        <v>1302393.3163907663</v>
      </c>
      <c r="N30" s="95">
        <v>4.2144580236926833E-2</v>
      </c>
      <c r="O30" s="95">
        <v>0.15059245019561424</v>
      </c>
      <c r="P30" s="95">
        <v>0.40653895322761058</v>
      </c>
      <c r="Q30" s="95">
        <v>0.34773636160452143</v>
      </c>
      <c r="R30" s="96">
        <v>5.2987654735326947E-2</v>
      </c>
    </row>
    <row r="31" spans="1:18" ht="15.75" hidden="1" customHeight="1" x14ac:dyDescent="0.3">
      <c r="A31" s="89">
        <v>2020</v>
      </c>
      <c r="B31" s="90">
        <v>1</v>
      </c>
      <c r="C31" s="90" t="s">
        <v>718</v>
      </c>
      <c r="D31" s="90" t="s">
        <v>722</v>
      </c>
      <c r="E31" s="91" t="s">
        <v>11</v>
      </c>
      <c r="F31" s="92" t="s">
        <v>27</v>
      </c>
      <c r="G31" s="93">
        <v>540.00779106464404</v>
      </c>
      <c r="H31" s="93">
        <v>19300.233585522401</v>
      </c>
      <c r="I31" s="93">
        <v>2397.5457928860201</v>
      </c>
      <c r="J31" s="93">
        <v>24047.590573914898</v>
      </c>
      <c r="K31" s="93">
        <v>234.70085986366399</v>
      </c>
      <c r="L31" s="93">
        <v>52350.190457601544</v>
      </c>
      <c r="M31" s="93">
        <v>226689.61699929915</v>
      </c>
      <c r="N31" s="95">
        <v>3.097450770468651E-3</v>
      </c>
      <c r="O31" s="95">
        <v>0.11070492755639683</v>
      </c>
      <c r="P31" s="95">
        <v>0.74691592323316147</v>
      </c>
      <c r="Q31" s="95">
        <v>0.13793546904987278</v>
      </c>
      <c r="R31" s="96">
        <v>1.3462293901002906E-3</v>
      </c>
    </row>
    <row r="32" spans="1:18" ht="15.75" hidden="1" customHeight="1" x14ac:dyDescent="0.3">
      <c r="A32" s="89">
        <v>2020</v>
      </c>
      <c r="B32" s="90">
        <v>1</v>
      </c>
      <c r="C32" s="90" t="s">
        <v>718</v>
      </c>
      <c r="D32" s="90" t="s">
        <v>722</v>
      </c>
      <c r="E32" s="91" t="s">
        <v>11</v>
      </c>
      <c r="F32" s="92" t="s">
        <v>28</v>
      </c>
      <c r="G32" s="93">
        <v>1086.8532426960701</v>
      </c>
      <c r="H32" s="93">
        <v>16532.532996849</v>
      </c>
      <c r="I32" s="93">
        <v>2397.5457928860201</v>
      </c>
      <c r="J32" s="93">
        <v>148958.47691908301</v>
      </c>
      <c r="K32" s="93">
        <v>989.31994012407995</v>
      </c>
      <c r="L32" s="93">
        <v>3512.5595283241346</v>
      </c>
      <c r="M32" s="93">
        <v>373104.58101493726</v>
      </c>
      <c r="N32" s="95">
        <v>2.9406837255967024E-3</v>
      </c>
      <c r="O32" s="95">
        <v>4.4731844941755104E-2</v>
      </c>
      <c r="P32" s="95">
        <v>0.54661579970058549</v>
      </c>
      <c r="Q32" s="95">
        <v>0.40303488240878704</v>
      </c>
      <c r="R32" s="96">
        <v>2.6767892232757891E-3</v>
      </c>
    </row>
    <row r="33" spans="1:18" ht="15.75" customHeight="1" x14ac:dyDescent="0.3">
      <c r="A33" s="89">
        <v>2020</v>
      </c>
      <c r="B33" s="90">
        <v>1</v>
      </c>
      <c r="C33" s="90" t="s">
        <v>718</v>
      </c>
      <c r="D33" s="90" t="s">
        <v>722</v>
      </c>
      <c r="E33" s="91" t="s">
        <v>11</v>
      </c>
      <c r="F33" s="92" t="s">
        <v>29</v>
      </c>
      <c r="G33" s="93">
        <v>5360.5328399739601</v>
      </c>
      <c r="H33" s="93">
        <v>23725.505720055298</v>
      </c>
      <c r="I33" s="93">
        <v>2397.5457928860201</v>
      </c>
      <c r="J33" s="93">
        <v>76341.446031020794</v>
      </c>
      <c r="K33" s="93">
        <v>2976.0385495266401</v>
      </c>
      <c r="L33" s="93">
        <v>149577.032037386</v>
      </c>
      <c r="M33" s="93">
        <v>354392.05486976053</v>
      </c>
      <c r="N33" s="95">
        <v>2.617255690448619E-2</v>
      </c>
      <c r="O33" s="95">
        <v>0.11583869870460048</v>
      </c>
      <c r="P33" s="95">
        <v>0.47072474644940121</v>
      </c>
      <c r="Q33" s="95">
        <v>0.37273362556759548</v>
      </c>
      <c r="R33" s="96">
        <v>1.4530372373916639E-2</v>
      </c>
    </row>
    <row r="34" spans="1:18" ht="15.75" hidden="1" customHeight="1" x14ac:dyDescent="0.3">
      <c r="A34" s="89">
        <v>2020</v>
      </c>
      <c r="B34" s="90">
        <v>1</v>
      </c>
      <c r="C34" s="90" t="s">
        <v>718</v>
      </c>
      <c r="D34" s="90" t="s">
        <v>722</v>
      </c>
      <c r="E34" s="91" t="s">
        <v>11</v>
      </c>
      <c r="F34" s="92" t="s">
        <v>30</v>
      </c>
      <c r="G34" s="93">
        <v>22.840092213541599</v>
      </c>
      <c r="H34" s="93">
        <v>453.31023631893299</v>
      </c>
      <c r="I34" s="93">
        <v>2397.5457928860201</v>
      </c>
      <c r="J34" s="93">
        <v>7122.09664323988</v>
      </c>
      <c r="K34" s="93">
        <v>2747.07503747091</v>
      </c>
      <c r="L34" s="93">
        <v>216605.62398136608</v>
      </c>
      <c r="M34" s="93">
        <v>230086.50016211669</v>
      </c>
      <c r="N34" s="95">
        <v>1.6942587341730085E-3</v>
      </c>
      <c r="O34" s="95">
        <v>3.36261701569677E-2</v>
      </c>
      <c r="P34" s="95">
        <v>0.23259275802745061</v>
      </c>
      <c r="Q34" s="95">
        <v>0.52831110884391508</v>
      </c>
      <c r="R34" s="96">
        <v>0.20377570423749364</v>
      </c>
    </row>
    <row r="35" spans="1:18" ht="15.75" hidden="1" customHeight="1" x14ac:dyDescent="0.3">
      <c r="A35" s="89">
        <v>2020</v>
      </c>
      <c r="B35" s="90">
        <v>1</v>
      </c>
      <c r="C35" s="90" t="s">
        <v>718</v>
      </c>
      <c r="D35" s="90" t="s">
        <v>722</v>
      </c>
      <c r="E35" s="91" t="s">
        <v>11</v>
      </c>
      <c r="F35" s="92" t="s">
        <v>31</v>
      </c>
      <c r="G35" s="93">
        <v>5039.7463824126899</v>
      </c>
      <c r="H35" s="93">
        <v>66879.545234150995</v>
      </c>
      <c r="I35" s="93">
        <v>2397.5457928860201</v>
      </c>
      <c r="J35" s="93">
        <v>35848.894715000701</v>
      </c>
      <c r="K35" s="93">
        <v>5918.0926653676197</v>
      </c>
      <c r="L35" s="93">
        <v>67047.405085526203</v>
      </c>
      <c r="M35" s="93">
        <v>251948.68865991879</v>
      </c>
      <c r="N35" s="95">
        <v>2.7256416423875256E-2</v>
      </c>
      <c r="O35" s="95">
        <v>0.36170406143904832</v>
      </c>
      <c r="P35" s="95">
        <v>0.38515148840926344</v>
      </c>
      <c r="Q35" s="95">
        <v>0.19388126475918904</v>
      </c>
      <c r="R35" s="96">
        <v>3.2006768968624026E-2</v>
      </c>
    </row>
    <row r="36" spans="1:18" ht="15.75" hidden="1" customHeight="1" x14ac:dyDescent="0.3">
      <c r="A36" s="89">
        <v>2020</v>
      </c>
      <c r="B36" s="90">
        <v>1</v>
      </c>
      <c r="C36" s="90" t="s">
        <v>718</v>
      </c>
      <c r="D36" s="90" t="s">
        <v>722</v>
      </c>
      <c r="E36" s="91" t="s">
        <v>11</v>
      </c>
      <c r="F36" s="92" t="s">
        <v>32</v>
      </c>
      <c r="G36" s="93">
        <v>18071.4119611319</v>
      </c>
      <c r="H36" s="93">
        <v>129015.178975324</v>
      </c>
      <c r="I36" s="93">
        <v>2397.5457928860201</v>
      </c>
      <c r="J36" s="93">
        <v>95663.499100553396</v>
      </c>
      <c r="K36" s="93">
        <v>1581.66139809283</v>
      </c>
      <c r="L36" s="93">
        <v>99073.396753338602</v>
      </c>
      <c r="M36" s="93">
        <v>609521.81280336773</v>
      </c>
      <c r="N36" s="95">
        <v>3.5403013101642615E-2</v>
      </c>
      <c r="O36" s="95">
        <v>0.25274871058210752</v>
      </c>
      <c r="P36" s="95">
        <v>0.52133899576807563</v>
      </c>
      <c r="Q36" s="95">
        <v>0.18741070810018423</v>
      </c>
      <c r="R36" s="96">
        <v>3.0985724479901436E-3</v>
      </c>
    </row>
    <row r="37" spans="1:18" ht="15.75" hidden="1" customHeight="1" x14ac:dyDescent="0.3">
      <c r="A37" s="89">
        <v>2020</v>
      </c>
      <c r="B37" s="90">
        <v>1</v>
      </c>
      <c r="C37" s="90" t="s">
        <v>718</v>
      </c>
      <c r="D37" s="90" t="s">
        <v>722</v>
      </c>
      <c r="E37" s="91" t="s">
        <v>11</v>
      </c>
      <c r="F37" s="92" t="s">
        <v>33</v>
      </c>
      <c r="G37" s="93">
        <v>20931.012231590001</v>
      </c>
      <c r="H37" s="93">
        <v>90055.189631585599</v>
      </c>
      <c r="I37" s="93">
        <v>2397.5457928860201</v>
      </c>
      <c r="J37" s="93">
        <v>570248.66626749397</v>
      </c>
      <c r="K37" s="93">
        <v>148450.27900785601</v>
      </c>
      <c r="L37" s="93">
        <v>49261.077105130105</v>
      </c>
      <c r="M37" s="93">
        <v>1352056.7882566776</v>
      </c>
      <c r="N37" s="95">
        <v>1.6066227461778316E-2</v>
      </c>
      <c r="O37" s="95">
        <v>6.9124567160253683E-2</v>
      </c>
      <c r="P37" s="95">
        <v>0.36315023143178549</v>
      </c>
      <c r="Q37" s="95">
        <v>0.4377115010329965</v>
      </c>
      <c r="R37" s="96">
        <v>0.11394747291318612</v>
      </c>
    </row>
    <row r="38" spans="1:18" ht="15.75" hidden="1" customHeight="1" x14ac:dyDescent="0.3">
      <c r="A38" s="89">
        <v>2020</v>
      </c>
      <c r="B38" s="90">
        <v>1</v>
      </c>
      <c r="C38" s="90" t="s">
        <v>718</v>
      </c>
      <c r="D38" s="90" t="s">
        <v>722</v>
      </c>
      <c r="E38" s="91" t="s">
        <v>11</v>
      </c>
      <c r="F38" s="92" t="s">
        <v>34</v>
      </c>
      <c r="G38" s="93">
        <v>12989.1987243536</v>
      </c>
      <c r="H38" s="93">
        <v>47489.189668219602</v>
      </c>
      <c r="I38" s="93">
        <v>2397.5457928860201</v>
      </c>
      <c r="J38" s="93">
        <v>312241.21797781601</v>
      </c>
      <c r="K38" s="93">
        <v>17209.6745753004</v>
      </c>
      <c r="L38" s="93">
        <v>81777.706370573404</v>
      </c>
      <c r="M38" s="93">
        <v>713628.83042003703</v>
      </c>
      <c r="N38" s="95">
        <v>2.0557372187782572E-2</v>
      </c>
      <c r="O38" s="95">
        <v>7.5158827547645496E-2</v>
      </c>
      <c r="P38" s="95">
        <v>0.38287791838261487</v>
      </c>
      <c r="Q38" s="95">
        <v>0.49416896812131428</v>
      </c>
      <c r="R38" s="96">
        <v>2.723691376064271E-2</v>
      </c>
    </row>
    <row r="39" spans="1:18" ht="15.75" hidden="1" customHeight="1" x14ac:dyDescent="0.3">
      <c r="A39" s="89">
        <v>2020</v>
      </c>
      <c r="B39" s="90">
        <v>1</v>
      </c>
      <c r="C39" s="90" t="s">
        <v>718</v>
      </c>
      <c r="D39" s="90" t="s">
        <v>722</v>
      </c>
      <c r="E39" s="91" t="s">
        <v>11</v>
      </c>
      <c r="F39" s="92" t="s">
        <v>35</v>
      </c>
      <c r="G39" s="93">
        <v>6232.4724143489302</v>
      </c>
      <c r="H39" s="93">
        <v>29487.629333981102</v>
      </c>
      <c r="I39" s="93">
        <v>2397.5457928860201</v>
      </c>
      <c r="J39" s="93">
        <v>215877.41327850599</v>
      </c>
      <c r="K39" s="93">
        <v>33843.630585140803</v>
      </c>
      <c r="L39" s="93">
        <v>237480.54440216935</v>
      </c>
      <c r="M39" s="93">
        <v>605861.19629491586</v>
      </c>
      <c r="N39" s="95">
        <v>1.6918566114496984E-2</v>
      </c>
      <c r="O39" s="95">
        <v>8.0046628894522895E-2</v>
      </c>
      <c r="P39" s="95">
        <v>0.22514620638902993</v>
      </c>
      <c r="Q39" s="95">
        <v>0.58601724105032094</v>
      </c>
      <c r="R39" s="96">
        <v>9.1871357551629312E-2</v>
      </c>
    </row>
    <row r="40" spans="1:18" ht="15.75" hidden="1" customHeight="1" x14ac:dyDescent="0.3">
      <c r="A40" s="89">
        <v>2020</v>
      </c>
      <c r="B40" s="90">
        <v>1</v>
      </c>
      <c r="C40" s="90" t="s">
        <v>718</v>
      </c>
      <c r="D40" s="90" t="s">
        <v>722</v>
      </c>
      <c r="E40" s="91" t="s">
        <v>11</v>
      </c>
      <c r="F40" s="92" t="s">
        <v>36</v>
      </c>
      <c r="G40" s="93">
        <v>7276.7354995695296</v>
      </c>
      <c r="H40" s="93">
        <v>47082.647106285098</v>
      </c>
      <c r="I40" s="93">
        <v>2397.5457928860201</v>
      </c>
      <c r="J40" s="93">
        <v>16016.9689619746</v>
      </c>
      <c r="K40" s="93">
        <v>113.116225390625</v>
      </c>
      <c r="L40" s="93">
        <v>113316.9299359678</v>
      </c>
      <c r="M40" s="93">
        <v>258886.87145458563</v>
      </c>
      <c r="N40" s="95">
        <v>4.9987898763007077E-2</v>
      </c>
      <c r="O40" s="95">
        <v>0.32343660109435024</v>
      </c>
      <c r="P40" s="95">
        <v>0.51576907253064663</v>
      </c>
      <c r="Q40" s="95">
        <v>0.11002937003946031</v>
      </c>
      <c r="R40" s="96">
        <v>7.7705757253572754E-4</v>
      </c>
    </row>
    <row r="41" spans="1:18" ht="15.75" hidden="1" customHeight="1" x14ac:dyDescent="0.3">
      <c r="A41" s="89">
        <v>2020</v>
      </c>
      <c r="B41" s="90">
        <v>1</v>
      </c>
      <c r="C41" s="90" t="s">
        <v>718</v>
      </c>
      <c r="D41" s="90" t="s">
        <v>722</v>
      </c>
      <c r="E41" s="91" t="s">
        <v>11</v>
      </c>
      <c r="F41" s="92" t="s">
        <v>37</v>
      </c>
      <c r="G41" s="93">
        <v>21400.1184002925</v>
      </c>
      <c r="H41" s="93">
        <v>97969.216075198303</v>
      </c>
      <c r="I41" s="93">
        <v>2397.5457928860201</v>
      </c>
      <c r="J41" s="93">
        <v>65929.646559470202</v>
      </c>
      <c r="K41" s="93">
        <v>2236.0941139460701</v>
      </c>
      <c r="L41" s="93">
        <v>194965.9207605322</v>
      </c>
      <c r="M41" s="93">
        <v>524073.85777629429</v>
      </c>
      <c r="N41" s="95">
        <v>6.5024619565062558E-2</v>
      </c>
      <c r="O41" s="95">
        <v>0.29768111022647936</v>
      </c>
      <c r="P41" s="95">
        <v>0.43017152108390083</v>
      </c>
      <c r="Q41" s="95">
        <v>0.20032833956329837</v>
      </c>
      <c r="R41" s="96">
        <v>6.7944095612588523E-3</v>
      </c>
    </row>
    <row r="42" spans="1:18" ht="15.75" hidden="1" customHeight="1" x14ac:dyDescent="0.3">
      <c r="A42" s="89">
        <v>2020</v>
      </c>
      <c r="B42" s="90">
        <v>1</v>
      </c>
      <c r="C42" s="90" t="s">
        <v>718</v>
      </c>
      <c r="D42" s="90" t="s">
        <v>722</v>
      </c>
      <c r="E42" s="91" t="s">
        <v>11</v>
      </c>
      <c r="F42" s="92" t="s">
        <v>720</v>
      </c>
      <c r="G42" s="93">
        <v>19120.287549537301</v>
      </c>
      <c r="H42" s="93">
        <v>22868.587081018599</v>
      </c>
      <c r="I42" s="93">
        <v>2397.5457928860201</v>
      </c>
      <c r="J42" s="93">
        <v>486345.477068023</v>
      </c>
      <c r="K42" s="93">
        <v>129160.168709734</v>
      </c>
      <c r="L42" s="93">
        <v>168834.71407406579</v>
      </c>
      <c r="M42" s="93">
        <v>927958.42268834868</v>
      </c>
      <c r="N42" s="95">
        <v>2.5187314442384885E-2</v>
      </c>
      <c r="O42" s="95">
        <v>3.0124980713306004E-2</v>
      </c>
      <c r="P42" s="95">
        <v>0.13387697822201552</v>
      </c>
      <c r="Q42" s="95">
        <v>0.64066695790045358</v>
      </c>
      <c r="R42" s="96">
        <v>0.17014376872184001</v>
      </c>
    </row>
    <row r="43" spans="1:18" ht="15.75" hidden="1" customHeight="1" x14ac:dyDescent="0.3">
      <c r="A43" s="89">
        <v>2020</v>
      </c>
      <c r="B43" s="90">
        <v>1</v>
      </c>
      <c r="C43" s="90" t="s">
        <v>718</v>
      </c>
      <c r="D43" s="90" t="s">
        <v>722</v>
      </c>
      <c r="E43" s="91" t="s">
        <v>11</v>
      </c>
      <c r="F43" s="92" t="s">
        <v>39</v>
      </c>
      <c r="G43" s="93">
        <v>867.50868408394501</v>
      </c>
      <c r="H43" s="93">
        <v>22053.087287369799</v>
      </c>
      <c r="I43" s="93">
        <v>2397.5457928860201</v>
      </c>
      <c r="J43" s="93">
        <v>51239.961419632098</v>
      </c>
      <c r="K43" s="93">
        <v>566.42049398284303</v>
      </c>
      <c r="L43" s="93">
        <v>107545.84091902147</v>
      </c>
      <c r="M43" s="93">
        <v>331195.1665009642</v>
      </c>
      <c r="N43" s="95">
        <v>3.878879052403398E-3</v>
      </c>
      <c r="O43" s="95">
        <v>9.8605650743577966E-2</v>
      </c>
      <c r="P43" s="95">
        <v>0.66587434283279534</v>
      </c>
      <c r="Q43" s="95">
        <v>0.22910849959553456</v>
      </c>
      <c r="R43" s="96">
        <v>2.5326277756885641E-3</v>
      </c>
    </row>
    <row r="44" spans="1:18" ht="15.75" hidden="1" customHeight="1" x14ac:dyDescent="0.3">
      <c r="A44" s="89">
        <v>2020</v>
      </c>
      <c r="B44" s="90">
        <v>1</v>
      </c>
      <c r="C44" s="90" t="s">
        <v>718</v>
      </c>
      <c r="D44" s="90" t="s">
        <v>722</v>
      </c>
      <c r="E44" s="91" t="s">
        <v>11</v>
      </c>
      <c r="F44" s="92" t="s">
        <v>40</v>
      </c>
      <c r="G44" s="93">
        <v>8811.0495846016693</v>
      </c>
      <c r="H44" s="93">
        <v>36615.272962742602</v>
      </c>
      <c r="I44" s="93">
        <v>2397.5457928860201</v>
      </c>
      <c r="J44" s="93">
        <v>116105.49660563401</v>
      </c>
      <c r="K44" s="93">
        <v>7249.0890580545401</v>
      </c>
      <c r="L44" s="93">
        <v>5493.3599844148484</v>
      </c>
      <c r="M44" s="93">
        <v>326305.02470133762</v>
      </c>
      <c r="N44" s="95">
        <v>2.746486662938627E-2</v>
      </c>
      <c r="O44" s="95">
        <v>0.114133234510195</v>
      </c>
      <c r="P44" s="95">
        <v>0.47389410431830342</v>
      </c>
      <c r="Q44" s="95">
        <v>0.36191170513728971</v>
      </c>
      <c r="R44" s="96">
        <v>2.2596089404825655E-2</v>
      </c>
    </row>
    <row r="45" spans="1:18" ht="15.75" hidden="1" customHeight="1" x14ac:dyDescent="0.3">
      <c r="A45" s="89">
        <v>2020</v>
      </c>
      <c r="B45" s="90">
        <v>1</v>
      </c>
      <c r="C45" s="90" t="s">
        <v>718</v>
      </c>
      <c r="D45" s="90" t="s">
        <v>722</v>
      </c>
      <c r="E45" s="91" t="s">
        <v>11</v>
      </c>
      <c r="F45" s="92" t="s">
        <v>41</v>
      </c>
      <c r="G45" s="93">
        <v>158.651328170955</v>
      </c>
      <c r="H45" s="93">
        <v>1513.2651442003601</v>
      </c>
      <c r="I45" s="93">
        <v>2397.5457928860201</v>
      </c>
      <c r="J45" s="93">
        <v>4341.2428727925699</v>
      </c>
      <c r="K45" s="93">
        <v>804.54392938725402</v>
      </c>
      <c r="L45" s="93">
        <v>8785.3131449709708</v>
      </c>
      <c r="M45" s="93">
        <v>18714.33273896297</v>
      </c>
      <c r="N45" s="95">
        <v>1.5978549208116595E-2</v>
      </c>
      <c r="O45" s="95">
        <v>0.15240831482657458</v>
      </c>
      <c r="P45" s="95">
        <v>0.31335584445049364</v>
      </c>
      <c r="Q45" s="95">
        <v>0.43722774758340038</v>
      </c>
      <c r="R45" s="96">
        <v>8.1029543931414913E-2</v>
      </c>
    </row>
    <row r="46" spans="1:18" ht="15.75" hidden="1" customHeight="1" x14ac:dyDescent="0.3">
      <c r="A46" s="89">
        <v>2020</v>
      </c>
      <c r="B46" s="90">
        <v>1</v>
      </c>
      <c r="C46" s="90" t="s">
        <v>718</v>
      </c>
      <c r="D46" s="90" t="s">
        <v>722</v>
      </c>
      <c r="E46" s="91" t="s">
        <v>11</v>
      </c>
      <c r="F46" s="92" t="s">
        <v>42</v>
      </c>
      <c r="G46" s="93">
        <v>2839.1985432368301</v>
      </c>
      <c r="H46" s="93">
        <v>63615.896253688697</v>
      </c>
      <c r="I46" s="93">
        <v>2397.5457928860201</v>
      </c>
      <c r="J46" s="93">
        <v>127026.42887654201</v>
      </c>
      <c r="K46" s="93">
        <v>9793.8122834067999</v>
      </c>
      <c r="L46" s="93">
        <v>204972.70334132519</v>
      </c>
      <c r="M46" s="93">
        <v>620824.33974999958</v>
      </c>
      <c r="N46" s="95">
        <v>6.8274314554978306E-3</v>
      </c>
      <c r="O46" s="95">
        <v>0.15297738588473597</v>
      </c>
      <c r="P46" s="95">
        <v>0.51118303221702988</v>
      </c>
      <c r="Q46" s="95">
        <v>0.30546093307111088</v>
      </c>
      <c r="R46" s="96">
        <v>2.3551217371625348E-2</v>
      </c>
    </row>
    <row r="47" spans="1:18" ht="15.75" hidden="1" customHeight="1" x14ac:dyDescent="0.3">
      <c r="A47" s="89">
        <v>2020</v>
      </c>
      <c r="B47" s="90">
        <v>1</v>
      </c>
      <c r="C47" s="90" t="s">
        <v>718</v>
      </c>
      <c r="D47" s="90" t="s">
        <v>722</v>
      </c>
      <c r="E47" s="91" t="s">
        <v>11</v>
      </c>
      <c r="F47" s="92" t="s">
        <v>43</v>
      </c>
      <c r="G47" s="93">
        <v>1502.46586592983</v>
      </c>
      <c r="H47" s="93">
        <v>6715.3421949141803</v>
      </c>
      <c r="I47" s="93">
        <v>2397.5457928860201</v>
      </c>
      <c r="J47" s="93">
        <v>31314.061058798899</v>
      </c>
      <c r="K47" s="93">
        <v>7718.8577851899399</v>
      </c>
      <c r="L47" s="93">
        <v>117581.9717002265</v>
      </c>
      <c r="M47" s="93">
        <v>185575.48510012365</v>
      </c>
      <c r="N47" s="95">
        <v>2.2097194141053204E-2</v>
      </c>
      <c r="O47" s="95">
        <v>9.8764453535715321E-2</v>
      </c>
      <c r="P47" s="95">
        <v>0.30507007886278276</v>
      </c>
      <c r="Q47" s="95">
        <v>0.4605448298373454</v>
      </c>
      <c r="R47" s="96">
        <v>0.11352344362310324</v>
      </c>
    </row>
    <row r="48" spans="1:18" ht="15.75" hidden="1" customHeight="1" x14ac:dyDescent="0.3">
      <c r="A48" s="89">
        <v>2020</v>
      </c>
      <c r="B48" s="90">
        <v>1</v>
      </c>
      <c r="C48" s="90" t="s">
        <v>718</v>
      </c>
      <c r="D48" s="90" t="s">
        <v>722</v>
      </c>
      <c r="E48" s="91" t="s">
        <v>11</v>
      </c>
      <c r="F48" s="92" t="s">
        <v>58</v>
      </c>
      <c r="G48" s="93">
        <v>2734.5501436611398</v>
      </c>
      <c r="H48" s="93">
        <v>29910.8958731985</v>
      </c>
      <c r="I48" s="93">
        <v>2397.5457928860201</v>
      </c>
      <c r="J48" s="93">
        <v>127710.624645588</v>
      </c>
      <c r="K48" s="93">
        <v>657.14152150888401</v>
      </c>
      <c r="L48" s="93">
        <v>5719.8104529258399</v>
      </c>
      <c r="M48" s="93">
        <v>371477.12559240934</v>
      </c>
      <c r="N48" s="95">
        <v>7.4764058857395774E-3</v>
      </c>
      <c r="O48" s="95">
        <v>8.1777984021431868E-2</v>
      </c>
      <c r="P48" s="95">
        <v>0.55978129344438876</v>
      </c>
      <c r="Q48" s="95">
        <v>0.34916765669303124</v>
      </c>
      <c r="R48" s="96">
        <v>1.7966599554086282E-3</v>
      </c>
    </row>
    <row r="49" spans="1:18" ht="15.75" hidden="1" customHeight="1" x14ac:dyDescent="0.3">
      <c r="A49" s="89">
        <v>2020</v>
      </c>
      <c r="B49" s="90">
        <v>1</v>
      </c>
      <c r="C49" s="90" t="s">
        <v>718</v>
      </c>
      <c r="D49" s="90" t="s">
        <v>722</v>
      </c>
      <c r="E49" s="91" t="s">
        <v>11</v>
      </c>
      <c r="F49" s="92" t="s">
        <v>44</v>
      </c>
      <c r="G49" s="93">
        <v>2608.7397618703999</v>
      </c>
      <c r="H49" s="93">
        <v>9827.9677493887193</v>
      </c>
      <c r="I49" s="93">
        <v>2397.5457928860201</v>
      </c>
      <c r="J49" s="93">
        <v>59249.792449173197</v>
      </c>
      <c r="K49" s="93">
        <v>2334.3375692401901</v>
      </c>
      <c r="L49" s="93">
        <v>73930.185787587296</v>
      </c>
      <c r="M49" s="93">
        <v>215729.28855107568</v>
      </c>
      <c r="N49" s="95">
        <v>1.8397434899299799E-2</v>
      </c>
      <c r="O49" s="95">
        <v>6.9309096869118597E-2</v>
      </c>
      <c r="P49" s="95">
        <v>0.47798796969022855</v>
      </c>
      <c r="Q49" s="95">
        <v>0.41784321123666041</v>
      </c>
      <c r="R49" s="96">
        <v>1.6462287304692697E-2</v>
      </c>
    </row>
    <row r="50" spans="1:18" ht="15.75" hidden="1" customHeight="1" x14ac:dyDescent="0.3">
      <c r="A50" s="89">
        <v>2020</v>
      </c>
      <c r="B50" s="90">
        <v>1</v>
      </c>
      <c r="C50" s="90" t="s">
        <v>718</v>
      </c>
      <c r="D50" s="90" t="s">
        <v>722</v>
      </c>
      <c r="E50" s="91" t="s">
        <v>11</v>
      </c>
      <c r="F50" s="92" t="s">
        <v>51</v>
      </c>
      <c r="G50" s="93">
        <v>5123.8768926807898</v>
      </c>
      <c r="H50" s="93">
        <v>37681.115467483003</v>
      </c>
      <c r="I50" s="93">
        <v>2397.5457928860201</v>
      </c>
      <c r="J50" s="93">
        <v>37320.031317798297</v>
      </c>
      <c r="K50" s="93">
        <v>5501.5986938863098</v>
      </c>
      <c r="L50" s="93">
        <v>27463.106143831101</v>
      </c>
      <c r="M50" s="93">
        <v>211202.4092354723</v>
      </c>
      <c r="N50" s="95">
        <v>2.7886667721414085E-2</v>
      </c>
      <c r="O50" s="95">
        <v>0.20507923363946415</v>
      </c>
      <c r="P50" s="95">
        <v>0.53397764696461514</v>
      </c>
      <c r="Q50" s="95">
        <v>0.20311403542868933</v>
      </c>
      <c r="R50" s="96">
        <v>2.9942416245817321E-2</v>
      </c>
    </row>
    <row r="51" spans="1:18" ht="15.75" hidden="1" customHeight="1" x14ac:dyDescent="0.3">
      <c r="A51" s="89">
        <v>2020</v>
      </c>
      <c r="B51" s="90">
        <v>1</v>
      </c>
      <c r="C51" s="90" t="s">
        <v>718</v>
      </c>
      <c r="D51" s="90" t="s">
        <v>722</v>
      </c>
      <c r="E51" s="91" t="s">
        <v>11</v>
      </c>
      <c r="F51" s="92" t="s">
        <v>45</v>
      </c>
      <c r="G51" s="93">
        <v>4906.6831045159497</v>
      </c>
      <c r="H51" s="93">
        <v>15701.6390507613</v>
      </c>
      <c r="I51" s="93">
        <v>2397.5457928860201</v>
      </c>
      <c r="J51" s="93">
        <v>10082.4058811672</v>
      </c>
      <c r="K51" s="93">
        <v>291.91671136948497</v>
      </c>
      <c r="L51" s="93">
        <v>79248.216607444003</v>
      </c>
      <c r="M51" s="93">
        <v>134096.09203645884</v>
      </c>
      <c r="N51" s="95">
        <v>8.9459857216644109E-2</v>
      </c>
      <c r="O51" s="95">
        <v>0.286276157972293</v>
      </c>
      <c r="P51" s="95">
        <v>0.43511677516274511</v>
      </c>
      <c r="Q51" s="95">
        <v>0.18382491212838392</v>
      </c>
      <c r="R51" s="96">
        <v>5.3222975199338236E-3</v>
      </c>
    </row>
    <row r="52" spans="1:18" ht="15.75" hidden="1" customHeight="1" x14ac:dyDescent="0.3">
      <c r="A52" s="89">
        <v>2020</v>
      </c>
      <c r="B52" s="90">
        <v>1</v>
      </c>
      <c r="C52" s="90" t="s">
        <v>718</v>
      </c>
      <c r="D52" s="90" t="s">
        <v>722</v>
      </c>
      <c r="E52" s="91" t="s">
        <v>11</v>
      </c>
      <c r="F52" s="92" t="s">
        <v>721</v>
      </c>
      <c r="G52" s="93">
        <v>4161.9530082031097</v>
      </c>
      <c r="H52" s="93">
        <v>12717.2885843475</v>
      </c>
      <c r="I52" s="93">
        <v>2397.5457928860201</v>
      </c>
      <c r="J52" s="93">
        <v>142441.81358423099</v>
      </c>
      <c r="K52" s="93">
        <v>4334.62404845741</v>
      </c>
      <c r="L52" s="93">
        <v>1498.995843414518</v>
      </c>
      <c r="M52" s="93">
        <v>309330.85090302257</v>
      </c>
      <c r="N52" s="95">
        <v>1.3520215467620125E-2</v>
      </c>
      <c r="O52" s="95">
        <v>4.1312451506634831E-2</v>
      </c>
      <c r="P52" s="95">
        <v>0.46836015657460456</v>
      </c>
      <c r="Q52" s="95">
        <v>0.46272603449908972</v>
      </c>
      <c r="R52" s="96">
        <v>1.408114195205061E-2</v>
      </c>
    </row>
    <row r="53" spans="1:18" ht="15.75" hidden="1" customHeight="1" x14ac:dyDescent="0.3">
      <c r="A53" s="89">
        <v>2020</v>
      </c>
      <c r="B53" s="90">
        <v>1</v>
      </c>
      <c r="C53" s="90" t="s">
        <v>718</v>
      </c>
      <c r="D53" s="90" t="s">
        <v>722</v>
      </c>
      <c r="E53" s="91" t="s">
        <v>11</v>
      </c>
      <c r="F53" s="92" t="s">
        <v>46</v>
      </c>
      <c r="G53" s="93">
        <v>2046.72035391543</v>
      </c>
      <c r="H53" s="93">
        <v>6781.4338860737898</v>
      </c>
      <c r="I53" s="93">
        <v>2397.5457928860201</v>
      </c>
      <c r="J53" s="93">
        <v>41126.049132412198</v>
      </c>
      <c r="K53" s="93">
        <v>15171.490213972</v>
      </c>
      <c r="L53" s="93">
        <v>68058.719578610297</v>
      </c>
      <c r="M53" s="93">
        <v>149075.0030083874</v>
      </c>
      <c r="N53" s="95">
        <v>2.5263073881801504E-2</v>
      </c>
      <c r="O53" s="95">
        <v>8.3704578869651158E-2</v>
      </c>
      <c r="P53" s="95">
        <v>0.19614069136085793</v>
      </c>
      <c r="Q53" s="95">
        <v>0.50762695338967545</v>
      </c>
      <c r="R53" s="96">
        <v>0.18726470249801411</v>
      </c>
    </row>
    <row r="54" spans="1:18" ht="15.75" hidden="1" customHeight="1" x14ac:dyDescent="0.3">
      <c r="A54" s="89">
        <v>2020</v>
      </c>
      <c r="B54" s="90">
        <v>1</v>
      </c>
      <c r="C54" s="90" t="s">
        <v>718</v>
      </c>
      <c r="D54" s="90" t="s">
        <v>722</v>
      </c>
      <c r="E54" s="91" t="s">
        <v>11</v>
      </c>
      <c r="F54" s="92" t="s">
        <v>47</v>
      </c>
      <c r="G54" s="93">
        <v>95528.804151255594</v>
      </c>
      <c r="H54" s="93">
        <v>409684.62860822602</v>
      </c>
      <c r="I54" s="93">
        <v>2397.5457928860201</v>
      </c>
      <c r="J54" s="93">
        <v>32758.368045379899</v>
      </c>
      <c r="K54" s="93">
        <v>5067.5378931433697</v>
      </c>
      <c r="L54" s="93">
        <v>692632.76230585505</v>
      </c>
      <c r="M54" s="93">
        <v>1461770.358141012</v>
      </c>
      <c r="N54" s="95">
        <v>0.12420248947462649</v>
      </c>
      <c r="O54" s="95">
        <v>0.53265453519194561</v>
      </c>
      <c r="P54" s="95">
        <v>0.2939633407097289</v>
      </c>
      <c r="Q54" s="95">
        <v>4.2591037316034072E-2</v>
      </c>
      <c r="R54" s="96">
        <v>6.5885973076649012E-3</v>
      </c>
    </row>
    <row r="55" spans="1:18" ht="15.75" hidden="1" customHeight="1" x14ac:dyDescent="0.3">
      <c r="A55" s="89">
        <v>2020</v>
      </c>
      <c r="B55" s="90">
        <v>1</v>
      </c>
      <c r="C55" s="90" t="s">
        <v>718</v>
      </c>
      <c r="D55" s="90" t="s">
        <v>722</v>
      </c>
      <c r="E55" s="91" t="s">
        <v>11</v>
      </c>
      <c r="F55" s="92" t="s">
        <v>48</v>
      </c>
      <c r="G55" s="93">
        <v>655.50216566636004</v>
      </c>
      <c r="H55" s="93">
        <v>10680.5402877865</v>
      </c>
      <c r="I55" s="93">
        <v>2397.5457928860201</v>
      </c>
      <c r="J55" s="93">
        <v>32501.087278904099</v>
      </c>
      <c r="K55" s="93">
        <v>258.55512671415403</v>
      </c>
      <c r="L55" s="93">
        <v>16885.348070393731</v>
      </c>
      <c r="M55" s="93">
        <v>110314.39779994223</v>
      </c>
      <c r="N55" s="95">
        <v>7.0160423076533387E-3</v>
      </c>
      <c r="O55" s="95">
        <v>0.11431712426385301</v>
      </c>
      <c r="P55" s="95">
        <v>0.52803025411565219</v>
      </c>
      <c r="Q55" s="95">
        <v>0.34786918386717874</v>
      </c>
      <c r="R55" s="96">
        <v>2.7673954456627812E-3</v>
      </c>
    </row>
    <row r="56" spans="1:18" ht="15.75" hidden="1" customHeight="1" x14ac:dyDescent="0.3">
      <c r="A56" s="89">
        <v>2020</v>
      </c>
      <c r="B56" s="90">
        <v>2</v>
      </c>
      <c r="C56" s="90" t="s">
        <v>723</v>
      </c>
      <c r="D56" s="90" t="s">
        <v>719</v>
      </c>
      <c r="E56" s="91" t="s">
        <v>11</v>
      </c>
      <c r="F56" s="92" t="s">
        <v>12</v>
      </c>
      <c r="G56" s="93">
        <v>4100.8394751164096</v>
      </c>
      <c r="H56" s="93">
        <v>20821.296181977701</v>
      </c>
      <c r="I56" s="93">
        <v>2397.5457928860201</v>
      </c>
      <c r="J56" s="93">
        <v>130468.39429796601</v>
      </c>
      <c r="K56" s="93">
        <v>5230.2801114935501</v>
      </c>
      <c r="L56" s="93">
        <v>144350.0958293463</v>
      </c>
      <c r="M56" s="93">
        <v>433311.47680227901</v>
      </c>
      <c r="N56" s="95">
        <v>1.4191652397662577E-2</v>
      </c>
      <c r="O56" s="95">
        <v>7.2055636334074885E-2</v>
      </c>
      <c r="P56" s="95">
        <v>0.44414437138366525</v>
      </c>
      <c r="Q56" s="95">
        <v>0.45150806609062794</v>
      </c>
      <c r="R56" s="96">
        <v>1.8100273793969293E-2</v>
      </c>
    </row>
    <row r="57" spans="1:18" ht="15.75" hidden="1" customHeight="1" x14ac:dyDescent="0.3">
      <c r="A57" s="89">
        <v>2020</v>
      </c>
      <c r="B57" s="90">
        <v>2</v>
      </c>
      <c r="C57" s="90" t="s">
        <v>723</v>
      </c>
      <c r="D57" s="90" t="s">
        <v>719</v>
      </c>
      <c r="E57" s="91" t="s">
        <v>11</v>
      </c>
      <c r="F57" s="92" t="s">
        <v>26</v>
      </c>
      <c r="G57" s="93">
        <v>83570.547094192501</v>
      </c>
      <c r="H57" s="93">
        <v>376038.65044494398</v>
      </c>
      <c r="I57" s="93">
        <v>2397.5457928860201</v>
      </c>
      <c r="J57" s="93">
        <v>123936.289477978</v>
      </c>
      <c r="K57" s="93">
        <v>10385.1776649601</v>
      </c>
      <c r="L57" s="93">
        <v>316552.8223530465</v>
      </c>
      <c r="M57" s="93">
        <v>1302393.3163907952</v>
      </c>
      <c r="N57" s="95">
        <v>8.4770860600287448E-2</v>
      </c>
      <c r="O57" s="95">
        <v>0.38143964740663733</v>
      </c>
      <c r="P57" s="95">
        <v>0.39753878211120369</v>
      </c>
      <c r="Q57" s="95">
        <v>0.12571637118532927</v>
      </c>
      <c r="R57" s="96">
        <v>1.0534338696542163E-2</v>
      </c>
    </row>
    <row r="58" spans="1:18" ht="15.75" hidden="1" customHeight="1" x14ac:dyDescent="0.3">
      <c r="A58" s="89">
        <v>2020</v>
      </c>
      <c r="B58" s="90">
        <v>2</v>
      </c>
      <c r="C58" s="90" t="s">
        <v>723</v>
      </c>
      <c r="D58" s="90" t="s">
        <v>719</v>
      </c>
      <c r="E58" s="91" t="s">
        <v>11</v>
      </c>
      <c r="F58" s="92" t="s">
        <v>27</v>
      </c>
      <c r="G58" s="93">
        <v>525.37699830882298</v>
      </c>
      <c r="H58" s="93">
        <v>17843.396459096199</v>
      </c>
      <c r="I58" s="93">
        <v>2397.5457928860201</v>
      </c>
      <c r="J58" s="93">
        <v>33588.092257238903</v>
      </c>
      <c r="K58" s="93">
        <v>782.97895606617601</v>
      </c>
      <c r="L58" s="93">
        <v>106542.0403685706</v>
      </c>
      <c r="M58" s="93">
        <v>226689.61699930008</v>
      </c>
      <c r="N58" s="95">
        <v>4.3727640044172985E-3</v>
      </c>
      <c r="O58" s="95">
        <v>0.14851232924936489</v>
      </c>
      <c r="P58" s="95">
        <v>0.56104112833832132</v>
      </c>
      <c r="Q58" s="95">
        <v>0.27955696818148107</v>
      </c>
      <c r="R58" s="96">
        <v>6.5168102264154841E-3</v>
      </c>
    </row>
    <row r="59" spans="1:18" ht="15.75" hidden="1" customHeight="1" x14ac:dyDescent="0.3">
      <c r="A59" s="89">
        <v>2020</v>
      </c>
      <c r="B59" s="90">
        <v>2</v>
      </c>
      <c r="C59" s="90" t="s">
        <v>723</v>
      </c>
      <c r="D59" s="90" t="s">
        <v>719</v>
      </c>
      <c r="E59" s="91" t="s">
        <v>11</v>
      </c>
      <c r="F59" s="92" t="s">
        <v>28</v>
      </c>
      <c r="G59" s="93">
        <v>1601.26708926929</v>
      </c>
      <c r="H59" s="93">
        <v>8341.5711595956309</v>
      </c>
      <c r="I59" s="93">
        <v>2397.5457928860201</v>
      </c>
      <c r="J59" s="93">
        <v>206112.17389440601</v>
      </c>
      <c r="K59" s="93">
        <v>44494.975954481197</v>
      </c>
      <c r="L59" s="93">
        <v>13068.365893584651</v>
      </c>
      <c r="M59" s="93">
        <v>373104.58101493912</v>
      </c>
      <c r="N59" s="95">
        <v>4.4475167275313237E-3</v>
      </c>
      <c r="O59" s="95">
        <v>2.3168700284175597E-2</v>
      </c>
      <c r="P59" s="95">
        <v>0.27632283321851192</v>
      </c>
      <c r="Q59" s="95">
        <v>0.57247622666218023</v>
      </c>
      <c r="R59" s="96">
        <v>0.12358472310760084</v>
      </c>
    </row>
    <row r="60" spans="1:18" ht="15.75" customHeight="1" x14ac:dyDescent="0.3">
      <c r="A60" s="89">
        <v>2020</v>
      </c>
      <c r="B60" s="90">
        <v>2</v>
      </c>
      <c r="C60" s="90" t="s">
        <v>723</v>
      </c>
      <c r="D60" s="90" t="s">
        <v>719</v>
      </c>
      <c r="E60" s="91" t="s">
        <v>11</v>
      </c>
      <c r="F60" s="92" t="s">
        <v>29</v>
      </c>
      <c r="G60" s="93">
        <v>4687.1599097656099</v>
      </c>
      <c r="H60" s="93">
        <v>21532.833814675301</v>
      </c>
      <c r="I60" s="93">
        <v>2397.5457928860201</v>
      </c>
      <c r="J60" s="93">
        <v>137127.356497617</v>
      </c>
      <c r="K60" s="93">
        <v>24896.843832476701</v>
      </c>
      <c r="L60" s="93">
        <v>99643.293209041803</v>
      </c>
      <c r="M60" s="93">
        <v>354392.05486975994</v>
      </c>
      <c r="N60" s="95">
        <v>1.8399146983913928E-2</v>
      </c>
      <c r="O60" s="95">
        <v>8.4525764420999863E-2</v>
      </c>
      <c r="P60" s="95">
        <v>0.26105943429376205</v>
      </c>
      <c r="Q60" s="95">
        <v>0.53828468332359247</v>
      </c>
      <c r="R60" s="96">
        <v>9.7730970977731577E-2</v>
      </c>
    </row>
    <row r="61" spans="1:18" ht="15.75" hidden="1" customHeight="1" x14ac:dyDescent="0.3">
      <c r="A61" s="89">
        <v>2020</v>
      </c>
      <c r="B61" s="90">
        <v>2</v>
      </c>
      <c r="C61" s="90" t="s">
        <v>723</v>
      </c>
      <c r="D61" s="90" t="s">
        <v>719</v>
      </c>
      <c r="E61" s="91" t="s">
        <v>11</v>
      </c>
      <c r="F61" s="92" t="s">
        <v>30</v>
      </c>
      <c r="G61" s="93">
        <v>202.90530930147</v>
      </c>
      <c r="H61" s="93">
        <v>1742.4688276593099</v>
      </c>
      <c r="I61" s="93">
        <v>2397.5457928860201</v>
      </c>
      <c r="J61" s="93">
        <v>5189.5014290793797</v>
      </c>
      <c r="K61" s="93">
        <v>330.22007241881101</v>
      </c>
      <c r="L61" s="93">
        <v>216390.19687666645</v>
      </c>
      <c r="M61" s="93">
        <v>230086.50016211683</v>
      </c>
      <c r="N61" s="95">
        <v>1.4814603990042835E-2</v>
      </c>
      <c r="O61" s="95">
        <v>0.12722183434053619</v>
      </c>
      <c r="P61" s="95">
        <v>0.45495543703466607</v>
      </c>
      <c r="Q61" s="95">
        <v>0.37889796399238629</v>
      </c>
      <c r="R61" s="96">
        <v>2.4110160642368712E-2</v>
      </c>
    </row>
    <row r="62" spans="1:18" ht="15.75" hidden="1" customHeight="1" x14ac:dyDescent="0.3">
      <c r="A62" s="89">
        <v>2020</v>
      </c>
      <c r="B62" s="90">
        <v>2</v>
      </c>
      <c r="C62" s="90" t="s">
        <v>723</v>
      </c>
      <c r="D62" s="90" t="s">
        <v>719</v>
      </c>
      <c r="E62" s="91" t="s">
        <v>11</v>
      </c>
      <c r="F62" s="92" t="s">
        <v>31</v>
      </c>
      <c r="G62" s="93">
        <v>3582.6909229181902</v>
      </c>
      <c r="H62" s="93">
        <v>43303.157377256699</v>
      </c>
      <c r="I62" s="93">
        <v>2397.5457928860201</v>
      </c>
      <c r="J62" s="93">
        <v>29444.287897219001</v>
      </c>
      <c r="K62" s="93">
        <v>3169.9072791590102</v>
      </c>
      <c r="L62" s="93">
        <v>109911.68203642601</v>
      </c>
      <c r="M62" s="93">
        <v>251948.68865991681</v>
      </c>
      <c r="N62" s="95">
        <v>2.5223644232486006E-2</v>
      </c>
      <c r="O62" s="95">
        <v>0.30487235972273019</v>
      </c>
      <c r="P62" s="95">
        <v>0.44028640587104023</v>
      </c>
      <c r="Q62" s="95">
        <v>0.20730011563302936</v>
      </c>
      <c r="R62" s="96">
        <v>2.2317474540714199E-2</v>
      </c>
    </row>
    <row r="63" spans="1:18" ht="15.75" hidden="1" customHeight="1" x14ac:dyDescent="0.3">
      <c r="A63" s="89">
        <v>2020</v>
      </c>
      <c r="B63" s="90">
        <v>2</v>
      </c>
      <c r="C63" s="90" t="s">
        <v>723</v>
      </c>
      <c r="D63" s="90" t="s">
        <v>719</v>
      </c>
      <c r="E63" s="91" t="s">
        <v>11</v>
      </c>
      <c r="F63" s="92" t="s">
        <v>32</v>
      </c>
      <c r="G63" s="93">
        <v>20068.3362394912</v>
      </c>
      <c r="H63" s="93">
        <v>102552.824671622</v>
      </c>
      <c r="I63" s="93">
        <v>2397.5457928860201</v>
      </c>
      <c r="J63" s="93">
        <v>140848.61827757899</v>
      </c>
      <c r="K63" s="93">
        <v>9677.6685233669996</v>
      </c>
      <c r="L63" s="93">
        <v>94084.338433929603</v>
      </c>
      <c r="M63" s="93">
        <v>609521.81280336785</v>
      </c>
      <c r="N63" s="95">
        <v>3.8934569637261725E-2</v>
      </c>
      <c r="O63" s="95">
        <v>0.19896268659371394</v>
      </c>
      <c r="P63" s="95">
        <v>0.47006676601033931</v>
      </c>
      <c r="Q63" s="95">
        <v>0.27326033763821017</v>
      </c>
      <c r="R63" s="96">
        <v>1.8775640120474748E-2</v>
      </c>
    </row>
    <row r="64" spans="1:18" ht="15.75" hidden="1" customHeight="1" x14ac:dyDescent="0.3">
      <c r="A64" s="89">
        <v>2020</v>
      </c>
      <c r="B64" s="90">
        <v>2</v>
      </c>
      <c r="C64" s="90" t="s">
        <v>723</v>
      </c>
      <c r="D64" s="90" t="s">
        <v>719</v>
      </c>
      <c r="E64" s="91" t="s">
        <v>11</v>
      </c>
      <c r="F64" s="92" t="s">
        <v>33</v>
      </c>
      <c r="G64" s="93">
        <v>37098.527453429502</v>
      </c>
      <c r="H64" s="93">
        <v>223152.41497188801</v>
      </c>
      <c r="I64" s="93">
        <v>2397.5457928860201</v>
      </c>
      <c r="J64" s="93">
        <v>378676.44491854502</v>
      </c>
      <c r="K64" s="93">
        <v>24535.325300512901</v>
      </c>
      <c r="L64" s="93">
        <v>77398.924560567699</v>
      </c>
      <c r="M64" s="93">
        <v>1352056.788256593</v>
      </c>
      <c r="N64" s="95">
        <v>2.9104694294873616E-2</v>
      </c>
      <c r="O64" s="95">
        <v>0.17506848019972235</v>
      </c>
      <c r="P64" s="95">
        <v>0.47949741531379675</v>
      </c>
      <c r="Q64" s="95">
        <v>0.29708085259877237</v>
      </c>
      <c r="R64" s="96">
        <v>1.9248557592834944E-2</v>
      </c>
    </row>
    <row r="65" spans="1:18" ht="15.75" hidden="1" customHeight="1" x14ac:dyDescent="0.3">
      <c r="A65" s="89">
        <v>2020</v>
      </c>
      <c r="B65" s="90">
        <v>2</v>
      </c>
      <c r="C65" s="90" t="s">
        <v>723</v>
      </c>
      <c r="D65" s="90" t="s">
        <v>719</v>
      </c>
      <c r="E65" s="91" t="s">
        <v>11</v>
      </c>
      <c r="F65" s="92" t="s">
        <v>34</v>
      </c>
      <c r="G65" s="93">
        <v>17237.028483514201</v>
      </c>
      <c r="H65" s="93">
        <v>62878.377147070598</v>
      </c>
      <c r="I65" s="93">
        <v>2397.5457928860201</v>
      </c>
      <c r="J65" s="93">
        <v>274406.73121222598</v>
      </c>
      <c r="K65" s="93">
        <v>124423.619583116</v>
      </c>
      <c r="L65" s="93">
        <v>91560.090328933089</v>
      </c>
      <c r="M65" s="93">
        <v>713628.83042005787</v>
      </c>
      <c r="N65" s="95">
        <v>2.7709202171112481E-2</v>
      </c>
      <c r="O65" s="95">
        <v>0.10107946774155498</v>
      </c>
      <c r="P65" s="95">
        <v>0.23007583316955035</v>
      </c>
      <c r="Q65" s="95">
        <v>0.44111962798842624</v>
      </c>
      <c r="R65" s="96">
        <v>0.20001586892935594</v>
      </c>
    </row>
    <row r="66" spans="1:18" ht="15.75" hidden="1" customHeight="1" x14ac:dyDescent="0.3">
      <c r="A66" s="89">
        <v>2020</v>
      </c>
      <c r="B66" s="90">
        <v>2</v>
      </c>
      <c r="C66" s="90" t="s">
        <v>723</v>
      </c>
      <c r="D66" s="90" t="s">
        <v>719</v>
      </c>
      <c r="E66" s="91" t="s">
        <v>11</v>
      </c>
      <c r="F66" s="92" t="s">
        <v>35</v>
      </c>
      <c r="G66" s="93">
        <v>18422.509281363298</v>
      </c>
      <c r="H66" s="93">
        <v>31331.7127618181</v>
      </c>
      <c r="I66" s="93">
        <v>2397.5457928860201</v>
      </c>
      <c r="J66" s="93">
        <v>170051.750903543</v>
      </c>
      <c r="K66" s="93">
        <v>57454.859752297401</v>
      </c>
      <c r="L66" s="93">
        <v>247335.2304185683</v>
      </c>
      <c r="M66" s="93">
        <v>605861.1962949133</v>
      </c>
      <c r="N66" s="95">
        <v>5.1384030822797327E-2</v>
      </c>
      <c r="O66" s="95">
        <v>8.7390358701730272E-2</v>
      </c>
      <c r="P66" s="95">
        <v>0.22666456801444471</v>
      </c>
      <c r="Q66" s="95">
        <v>0.47430804764136253</v>
      </c>
      <c r="R66" s="96">
        <v>0.16025299481966523</v>
      </c>
    </row>
    <row r="67" spans="1:18" ht="15.75" hidden="1" customHeight="1" x14ac:dyDescent="0.3">
      <c r="A67" s="89">
        <v>2020</v>
      </c>
      <c r="B67" s="90">
        <v>2</v>
      </c>
      <c r="C67" s="90" t="s">
        <v>723</v>
      </c>
      <c r="D67" s="90" t="s">
        <v>719</v>
      </c>
      <c r="E67" s="91" t="s">
        <v>11</v>
      </c>
      <c r="F67" s="92" t="s">
        <v>36</v>
      </c>
      <c r="G67" s="93">
        <v>6119.3545119316304</v>
      </c>
      <c r="H67" s="93">
        <v>63956.961586857396</v>
      </c>
      <c r="I67" s="93">
        <v>2397.5457928860201</v>
      </c>
      <c r="J67" s="93">
        <v>30453.008286970198</v>
      </c>
      <c r="K67" s="93">
        <v>384.58192129136</v>
      </c>
      <c r="L67" s="93">
        <v>34947.332927967473</v>
      </c>
      <c r="M67" s="93">
        <v>258886.87145458008</v>
      </c>
      <c r="N67" s="95">
        <v>2.7325922667311459E-2</v>
      </c>
      <c r="O67" s="95">
        <v>0.28559923811425048</v>
      </c>
      <c r="P67" s="95">
        <v>0.54936985683277118</v>
      </c>
      <c r="Q67" s="95">
        <v>0.13598763526678972</v>
      </c>
      <c r="R67" s="96">
        <v>1.7173471188771648E-3</v>
      </c>
    </row>
    <row r="68" spans="1:18" ht="15.75" hidden="1" customHeight="1" x14ac:dyDescent="0.3">
      <c r="A68" s="89">
        <v>2020</v>
      </c>
      <c r="B68" s="90">
        <v>2</v>
      </c>
      <c r="C68" s="90" t="s">
        <v>723</v>
      </c>
      <c r="D68" s="90" t="s">
        <v>719</v>
      </c>
      <c r="E68" s="91" t="s">
        <v>11</v>
      </c>
      <c r="F68" s="92" t="s">
        <v>37</v>
      </c>
      <c r="G68" s="93">
        <v>25746.048545291</v>
      </c>
      <c r="H68" s="93">
        <v>87008.100309541594</v>
      </c>
      <c r="I68" s="93">
        <v>2397.5457928860201</v>
      </c>
      <c r="J68" s="93">
        <v>61821.3350871863</v>
      </c>
      <c r="K68" s="93">
        <v>3412.33710951899</v>
      </c>
      <c r="L68" s="93">
        <v>212144.17539039609</v>
      </c>
      <c r="M68" s="93">
        <v>524073.85777629301</v>
      </c>
      <c r="N68" s="95">
        <v>8.2537988524733735E-2</v>
      </c>
      <c r="O68" s="95">
        <v>0.27893498189730287</v>
      </c>
      <c r="P68" s="95">
        <v>0.42939761394254167</v>
      </c>
      <c r="Q68" s="95">
        <v>0.1981899722217054</v>
      </c>
      <c r="R68" s="96">
        <v>1.0939443413716212E-2</v>
      </c>
    </row>
    <row r="69" spans="1:18" ht="15.75" hidden="1" customHeight="1" x14ac:dyDescent="0.3">
      <c r="A69" s="89">
        <v>2020</v>
      </c>
      <c r="B69" s="90">
        <v>2</v>
      </c>
      <c r="C69" s="90" t="s">
        <v>723</v>
      </c>
      <c r="D69" s="90" t="s">
        <v>719</v>
      </c>
      <c r="E69" s="91" t="s">
        <v>11</v>
      </c>
      <c r="F69" s="92" t="s">
        <v>720</v>
      </c>
      <c r="G69" s="93">
        <v>18899.262190001798</v>
      </c>
      <c r="H69" s="93">
        <v>26512.9944717002</v>
      </c>
      <c r="I69" s="93">
        <v>2397.5457928860201</v>
      </c>
      <c r="J69" s="93">
        <v>328737.60257934901</v>
      </c>
      <c r="K69" s="93">
        <v>228750.49414239899</v>
      </c>
      <c r="L69" s="93">
        <v>192163.70078149968</v>
      </c>
      <c r="M69" s="93">
        <v>927958.42268837872</v>
      </c>
      <c r="N69" s="95">
        <v>2.5685509323881313E-2</v>
      </c>
      <c r="O69" s="95">
        <v>3.6033140334289657E-2</v>
      </c>
      <c r="P69" s="95">
        <v>0.18061337566953614</v>
      </c>
      <c r="Q69" s="95">
        <v>0.44677896265332756</v>
      </c>
      <c r="R69" s="96">
        <v>0.3108890120189654</v>
      </c>
    </row>
    <row r="70" spans="1:18" ht="15.75" hidden="1" customHeight="1" x14ac:dyDescent="0.3">
      <c r="A70" s="89">
        <v>2020</v>
      </c>
      <c r="B70" s="90">
        <v>2</v>
      </c>
      <c r="C70" s="90" t="s">
        <v>723</v>
      </c>
      <c r="D70" s="90" t="s">
        <v>719</v>
      </c>
      <c r="E70" s="91" t="s">
        <v>11</v>
      </c>
      <c r="F70" s="92" t="s">
        <v>39</v>
      </c>
      <c r="G70" s="93">
        <v>1806.0557682552001</v>
      </c>
      <c r="H70" s="93">
        <v>34645.429870897402</v>
      </c>
      <c r="I70" s="93">
        <v>2397.5457928860201</v>
      </c>
      <c r="J70" s="93">
        <v>83255.821885786994</v>
      </c>
      <c r="K70" s="93">
        <v>4250.37571347424</v>
      </c>
      <c r="L70" s="93">
        <v>73964.111568041306</v>
      </c>
      <c r="M70" s="93">
        <v>331195.16650097014</v>
      </c>
      <c r="N70" s="95">
        <v>7.0211420185098423E-3</v>
      </c>
      <c r="O70" s="95">
        <v>0.13468603112455046</v>
      </c>
      <c r="P70" s="95">
        <v>0.51810762790389009</v>
      </c>
      <c r="Q70" s="95">
        <v>0.32366162751031502</v>
      </c>
      <c r="R70" s="96">
        <v>1.652357144273461E-2</v>
      </c>
    </row>
    <row r="71" spans="1:18" ht="15.75" hidden="1" customHeight="1" x14ac:dyDescent="0.3">
      <c r="A71" s="89">
        <v>2020</v>
      </c>
      <c r="B71" s="90">
        <v>2</v>
      </c>
      <c r="C71" s="90" t="s">
        <v>723</v>
      </c>
      <c r="D71" s="90" t="s">
        <v>719</v>
      </c>
      <c r="E71" s="91" t="s">
        <v>11</v>
      </c>
      <c r="F71" s="92" t="s">
        <v>40</v>
      </c>
      <c r="G71" s="93">
        <v>8333.0690669837295</v>
      </c>
      <c r="H71" s="93">
        <v>26417.584877662601</v>
      </c>
      <c r="I71" s="93">
        <v>2397.5457928860201</v>
      </c>
      <c r="J71" s="93">
        <v>108647.019518973</v>
      </c>
      <c r="K71" s="93">
        <v>9891.1732954794807</v>
      </c>
      <c r="L71" s="93">
        <v>55914.081336089948</v>
      </c>
      <c r="M71" s="93">
        <v>326305.02470134979</v>
      </c>
      <c r="N71" s="95">
        <v>3.0818595339293351E-2</v>
      </c>
      <c r="O71" s="95">
        <v>9.7701441286723076E-2</v>
      </c>
      <c r="P71" s="95">
        <v>0.43308438939825233</v>
      </c>
      <c r="Q71" s="95">
        <v>0.40181456585328845</v>
      </c>
      <c r="R71" s="96">
        <v>3.6581008122442575E-2</v>
      </c>
    </row>
    <row r="72" spans="1:18" ht="15.75" hidden="1" customHeight="1" x14ac:dyDescent="0.3">
      <c r="A72" s="89">
        <v>2020</v>
      </c>
      <c r="B72" s="90">
        <v>2</v>
      </c>
      <c r="C72" s="90" t="s">
        <v>723</v>
      </c>
      <c r="D72" s="90" t="s">
        <v>719</v>
      </c>
      <c r="E72" s="91" t="s">
        <v>11</v>
      </c>
      <c r="F72" s="92" t="s">
        <v>41</v>
      </c>
      <c r="G72" s="93">
        <v>343.50380014093099</v>
      </c>
      <c r="H72" s="93">
        <v>2291.92722779718</v>
      </c>
      <c r="I72" s="93">
        <v>2397.5457928860201</v>
      </c>
      <c r="J72" s="93">
        <v>3004.9484200995698</v>
      </c>
      <c r="K72" s="93">
        <v>342.966784747242</v>
      </c>
      <c r="L72" s="93">
        <v>8107.1166512316404</v>
      </c>
      <c r="M72" s="93">
        <v>18714.332738962945</v>
      </c>
      <c r="N72" s="95">
        <v>3.2383973070770199E-2</v>
      </c>
      <c r="O72" s="95">
        <v>0.21607245566045433</v>
      </c>
      <c r="P72" s="95">
        <v>0.43591738083798609</v>
      </c>
      <c r="Q72" s="95">
        <v>0.28329284472437627</v>
      </c>
      <c r="R72" s="96">
        <v>3.2333345706413018E-2</v>
      </c>
    </row>
    <row r="73" spans="1:18" ht="15.75" hidden="1" customHeight="1" x14ac:dyDescent="0.3">
      <c r="A73" s="89">
        <v>2020</v>
      </c>
      <c r="B73" s="90">
        <v>2</v>
      </c>
      <c r="C73" s="90" t="s">
        <v>723</v>
      </c>
      <c r="D73" s="90" t="s">
        <v>719</v>
      </c>
      <c r="E73" s="91" t="s">
        <v>11</v>
      </c>
      <c r="F73" s="92" t="s">
        <v>42</v>
      </c>
      <c r="G73" s="93">
        <v>5452.8086889414699</v>
      </c>
      <c r="H73" s="93">
        <v>34747.158795214396</v>
      </c>
      <c r="I73" s="93">
        <v>2397.5457928860201</v>
      </c>
      <c r="J73" s="93">
        <v>158686.31932173599</v>
      </c>
      <c r="K73" s="93">
        <v>16080.9176699816</v>
      </c>
      <c r="L73" s="93">
        <v>284248.35292416572</v>
      </c>
      <c r="M73" s="93">
        <v>620824.33975001425</v>
      </c>
      <c r="N73" s="95">
        <v>1.6200825080735389E-2</v>
      </c>
      <c r="O73" s="95">
        <v>0.1032371890903593</v>
      </c>
      <c r="P73" s="95">
        <v>0.36131152283569756</v>
      </c>
      <c r="Q73" s="95">
        <v>0.47147249219488629</v>
      </c>
      <c r="R73" s="96">
        <v>4.7777970798321412E-2</v>
      </c>
    </row>
    <row r="74" spans="1:18" ht="15.75" hidden="1" customHeight="1" x14ac:dyDescent="0.3">
      <c r="A74" s="89">
        <v>2020</v>
      </c>
      <c r="B74" s="90">
        <v>2</v>
      </c>
      <c r="C74" s="90" t="s">
        <v>723</v>
      </c>
      <c r="D74" s="90" t="s">
        <v>719</v>
      </c>
      <c r="E74" s="91" t="s">
        <v>11</v>
      </c>
      <c r="F74" s="92" t="s">
        <v>43</v>
      </c>
      <c r="G74" s="93">
        <v>739.41800676164303</v>
      </c>
      <c r="H74" s="93">
        <v>2901.2907720465601</v>
      </c>
      <c r="I74" s="93">
        <v>2397.5457928860201</v>
      </c>
      <c r="J74" s="93">
        <v>34701.750727656203</v>
      </c>
      <c r="K74" s="93">
        <v>8604.3554532275903</v>
      </c>
      <c r="L74" s="93">
        <v>121987.02798371283</v>
      </c>
      <c r="M74" s="93">
        <v>185575.48510012351</v>
      </c>
      <c r="N74" s="95">
        <v>1.1628179708905322E-2</v>
      </c>
      <c r="O74" s="95">
        <v>4.5626060194151261E-2</v>
      </c>
      <c r="P74" s="95">
        <v>0.2617085381746726</v>
      </c>
      <c r="Q74" s="95">
        <v>0.54572405592618944</v>
      </c>
      <c r="R74" s="96">
        <v>0.13531316599608151</v>
      </c>
    </row>
    <row r="75" spans="1:18" ht="15.75" hidden="1" customHeight="1" x14ac:dyDescent="0.3">
      <c r="A75" s="89">
        <v>2020</v>
      </c>
      <c r="B75" s="90">
        <v>2</v>
      </c>
      <c r="C75" s="90" t="s">
        <v>723</v>
      </c>
      <c r="D75" s="90" t="s">
        <v>719</v>
      </c>
      <c r="E75" s="91" t="s">
        <v>11</v>
      </c>
      <c r="F75" s="92" t="s">
        <v>58</v>
      </c>
      <c r="G75" s="93">
        <v>3318.66129696078</v>
      </c>
      <c r="H75" s="93">
        <v>34543.404377370898</v>
      </c>
      <c r="I75" s="93">
        <v>2397.5457928860201</v>
      </c>
      <c r="J75" s="93">
        <v>100986.57855023201</v>
      </c>
      <c r="K75" s="93">
        <v>9841.5498409099291</v>
      </c>
      <c r="L75" s="93">
        <v>70993.229284133718</v>
      </c>
      <c r="M75" s="93">
        <v>371477.12559239933</v>
      </c>
      <c r="N75" s="95">
        <v>1.1044389858271055E-2</v>
      </c>
      <c r="O75" s="95">
        <v>0.11495925339683732</v>
      </c>
      <c r="P75" s="95">
        <v>0.50516418386384088</v>
      </c>
      <c r="Q75" s="95">
        <v>0.33607983586125412</v>
      </c>
      <c r="R75" s="96">
        <v>3.2752337019796594E-2</v>
      </c>
    </row>
    <row r="76" spans="1:18" ht="15.75" hidden="1" customHeight="1" x14ac:dyDescent="0.3">
      <c r="A76" s="89">
        <v>2020</v>
      </c>
      <c r="B76" s="90">
        <v>2</v>
      </c>
      <c r="C76" s="90" t="s">
        <v>723</v>
      </c>
      <c r="D76" s="90" t="s">
        <v>719</v>
      </c>
      <c r="E76" s="91" t="s">
        <v>11</v>
      </c>
      <c r="F76" s="92" t="s">
        <v>44</v>
      </c>
      <c r="G76" s="93">
        <v>3115.3068353936801</v>
      </c>
      <c r="H76" s="93">
        <v>10271.167506878</v>
      </c>
      <c r="I76" s="93">
        <v>2397.5457928860201</v>
      </c>
      <c r="J76" s="93">
        <v>77450.467239133694</v>
      </c>
      <c r="K76" s="93">
        <v>5169.2384585248101</v>
      </c>
      <c r="L76" s="93">
        <v>52829.640101719</v>
      </c>
      <c r="M76" s="93">
        <v>215729.28855108109</v>
      </c>
      <c r="N76" s="95">
        <v>1.9124085687404563E-2</v>
      </c>
      <c r="O76" s="95">
        <v>6.3052115855675578E-2</v>
      </c>
      <c r="P76" s="95">
        <v>0.4106421901225033</v>
      </c>
      <c r="Q76" s="95">
        <v>0.47544895263054809</v>
      </c>
      <c r="R76" s="96">
        <v>3.173265570386842E-2</v>
      </c>
    </row>
    <row r="77" spans="1:18" ht="15.75" hidden="1" customHeight="1" x14ac:dyDescent="0.3">
      <c r="A77" s="89">
        <v>2020</v>
      </c>
      <c r="B77" s="90">
        <v>2</v>
      </c>
      <c r="C77" s="90" t="s">
        <v>723</v>
      </c>
      <c r="D77" s="90" t="s">
        <v>719</v>
      </c>
      <c r="E77" s="91" t="s">
        <v>11</v>
      </c>
      <c r="F77" s="92" t="s">
        <v>51</v>
      </c>
      <c r="G77" s="93">
        <v>3612.9681217738998</v>
      </c>
      <c r="H77" s="93">
        <v>17896.8271708592</v>
      </c>
      <c r="I77" s="93">
        <v>2397.5457928860201</v>
      </c>
      <c r="J77" s="93">
        <v>81471.411672982096</v>
      </c>
      <c r="K77" s="93">
        <v>25993.1453780925</v>
      </c>
      <c r="L77" s="93">
        <v>7056.2340025736003</v>
      </c>
      <c r="M77" s="93">
        <v>211202.40923547599</v>
      </c>
      <c r="N77" s="95">
        <v>1.7697946668126432E-2</v>
      </c>
      <c r="O77" s="95">
        <v>8.7666727777002962E-2</v>
      </c>
      <c r="P77" s="95">
        <v>0.36822547766782354</v>
      </c>
      <c r="Q77" s="95">
        <v>0.39908370352780081</v>
      </c>
      <c r="R77" s="96">
        <v>0.12732614435924619</v>
      </c>
    </row>
    <row r="78" spans="1:18" ht="15.75" hidden="1" customHeight="1" x14ac:dyDescent="0.3">
      <c r="A78" s="89">
        <v>2020</v>
      </c>
      <c r="B78" s="90">
        <v>2</v>
      </c>
      <c r="C78" s="90" t="s">
        <v>723</v>
      </c>
      <c r="D78" s="90" t="s">
        <v>719</v>
      </c>
      <c r="E78" s="91" t="s">
        <v>11</v>
      </c>
      <c r="F78" s="92" t="s">
        <v>45</v>
      </c>
      <c r="G78" s="93">
        <v>3032.9761612285502</v>
      </c>
      <c r="H78" s="93">
        <v>9997.6578366222202</v>
      </c>
      <c r="I78" s="93">
        <v>2397.5457928860201</v>
      </c>
      <c r="J78" s="93">
        <v>40106.335997731701</v>
      </c>
      <c r="K78" s="93">
        <v>8611.6820176362908</v>
      </c>
      <c r="L78" s="93">
        <v>50765.84373312597</v>
      </c>
      <c r="M78" s="93">
        <v>134096.09203645962</v>
      </c>
      <c r="N78" s="95">
        <v>3.6397061367057212E-2</v>
      </c>
      <c r="O78" s="95">
        <v>0.11997633560660181</v>
      </c>
      <c r="P78" s="95">
        <v>0.25898874333789207</v>
      </c>
      <c r="Q78" s="95">
        <v>0.48129384964435812</v>
      </c>
      <c r="R78" s="96">
        <v>0.10334401004409076</v>
      </c>
    </row>
    <row r="79" spans="1:18" ht="15.75" hidden="1" customHeight="1" x14ac:dyDescent="0.3">
      <c r="A79" s="89">
        <v>2020</v>
      </c>
      <c r="B79" s="90">
        <v>2</v>
      </c>
      <c r="C79" s="90" t="s">
        <v>723</v>
      </c>
      <c r="D79" s="90" t="s">
        <v>719</v>
      </c>
      <c r="E79" s="91" t="s">
        <v>11</v>
      </c>
      <c r="F79" s="92" t="s">
        <v>721</v>
      </c>
      <c r="G79" s="93">
        <v>4884.6266740471601</v>
      </c>
      <c r="H79" s="93">
        <v>17097.444620581999</v>
      </c>
      <c r="I79" s="93">
        <v>2397.5457928860201</v>
      </c>
      <c r="J79" s="93">
        <v>113194.505440526</v>
      </c>
      <c r="K79" s="93">
        <v>16951.6041983471</v>
      </c>
      <c r="L79" s="93">
        <v>38914.985166430299</v>
      </c>
      <c r="M79" s="93">
        <v>309330.85090304055</v>
      </c>
      <c r="N79" s="95">
        <v>1.8063387888656177E-2</v>
      </c>
      <c r="O79" s="95">
        <v>6.3226484784865422E-2</v>
      </c>
      <c r="P79" s="95">
        <v>0.43742878947170305</v>
      </c>
      <c r="Q79" s="95">
        <v>0.41859417209927841</v>
      </c>
      <c r="R79" s="96">
        <v>6.2687165755496974E-2</v>
      </c>
    </row>
    <row r="80" spans="1:18" ht="15.75" hidden="1" customHeight="1" x14ac:dyDescent="0.3">
      <c r="A80" s="89">
        <v>2020</v>
      </c>
      <c r="B80" s="90">
        <v>2</v>
      </c>
      <c r="C80" s="90" t="s">
        <v>723</v>
      </c>
      <c r="D80" s="90" t="s">
        <v>719</v>
      </c>
      <c r="E80" s="91" t="s">
        <v>11</v>
      </c>
      <c r="F80" s="92" t="s">
        <v>46</v>
      </c>
      <c r="G80" s="93">
        <v>2821.7211373605901</v>
      </c>
      <c r="H80" s="93">
        <v>9330.7247895680193</v>
      </c>
      <c r="I80" s="93">
        <v>2397.5457928860201</v>
      </c>
      <c r="J80" s="93">
        <v>48889.073461111097</v>
      </c>
      <c r="K80" s="93">
        <v>51669.257865376399</v>
      </c>
      <c r="L80" s="93">
        <v>15956.7556598303</v>
      </c>
      <c r="M80" s="93">
        <v>149075.0030083906</v>
      </c>
      <c r="N80" s="95">
        <v>2.1197102527740781E-2</v>
      </c>
      <c r="O80" s="95">
        <v>7.0093506903949873E-2</v>
      </c>
      <c r="P80" s="95">
        <v>0.15330332619020098</v>
      </c>
      <c r="Q80" s="95">
        <v>0.36726049534815963</v>
      </c>
      <c r="R80" s="96">
        <v>0.38814556902994868</v>
      </c>
    </row>
    <row r="81" spans="1:18" ht="15.75" hidden="1" customHeight="1" x14ac:dyDescent="0.3">
      <c r="A81" s="89">
        <v>2020</v>
      </c>
      <c r="B81" s="90">
        <v>2</v>
      </c>
      <c r="C81" s="90" t="s">
        <v>723</v>
      </c>
      <c r="D81" s="90" t="s">
        <v>719</v>
      </c>
      <c r="E81" s="91" t="s">
        <v>11</v>
      </c>
      <c r="F81" s="92" t="s">
        <v>47</v>
      </c>
      <c r="G81" s="93">
        <v>34211.334703476001</v>
      </c>
      <c r="H81" s="93">
        <v>326771.36284456903</v>
      </c>
      <c r="I81" s="93">
        <v>2397.5457928860201</v>
      </c>
      <c r="J81" s="93">
        <v>175291.17284134001</v>
      </c>
      <c r="K81" s="93">
        <v>24013.903619214299</v>
      </c>
      <c r="L81" s="93">
        <v>333110.35586189001</v>
      </c>
      <c r="M81" s="93">
        <v>1461770.3581409943</v>
      </c>
      <c r="N81" s="95">
        <v>3.0311461941056668E-2</v>
      </c>
      <c r="O81" s="95">
        <v>0.28952152303148804</v>
      </c>
      <c r="P81" s="95">
        <v>0.50358143916041187</v>
      </c>
      <c r="Q81" s="95">
        <v>0.15530910326172132</v>
      </c>
      <c r="R81" s="96">
        <v>2.1276472605322241E-2</v>
      </c>
    </row>
    <row r="82" spans="1:18" ht="15.75" hidden="1" customHeight="1" x14ac:dyDescent="0.3">
      <c r="A82" s="89">
        <v>2020</v>
      </c>
      <c r="B82" s="90">
        <v>2</v>
      </c>
      <c r="C82" s="90" t="s">
        <v>723</v>
      </c>
      <c r="D82" s="90" t="s">
        <v>719</v>
      </c>
      <c r="E82" s="91" t="s">
        <v>11</v>
      </c>
      <c r="F82" s="92" t="s">
        <v>48</v>
      </c>
      <c r="G82" s="93">
        <v>552.87746908088195</v>
      </c>
      <c r="H82" s="93">
        <v>10961.949675903699</v>
      </c>
      <c r="I82" s="93">
        <v>2397.5457928860201</v>
      </c>
      <c r="J82" s="93">
        <v>44636.218748731597</v>
      </c>
      <c r="K82" s="93">
        <v>1919.17219570925</v>
      </c>
      <c r="L82" s="93">
        <v>8730.0699625413745</v>
      </c>
      <c r="M82" s="93">
        <v>110314.39779994389</v>
      </c>
      <c r="N82" s="95">
        <v>5.4425469051272001E-3</v>
      </c>
      <c r="O82" s="95">
        <v>0.10790985095111884</v>
      </c>
      <c r="P82" s="95">
        <v>0.42835455699058683</v>
      </c>
      <c r="Q82" s="95">
        <v>0.43940064081712515</v>
      </c>
      <c r="R82" s="96">
        <v>1.8892404336041946E-2</v>
      </c>
    </row>
    <row r="83" spans="1:18" ht="15.75" hidden="1" customHeight="1" x14ac:dyDescent="0.3">
      <c r="A83" s="89">
        <v>2020</v>
      </c>
      <c r="B83" s="90">
        <v>2</v>
      </c>
      <c r="C83" s="90" t="s">
        <v>723</v>
      </c>
      <c r="D83" s="90" t="s">
        <v>722</v>
      </c>
      <c r="E83" s="91" t="s">
        <v>11</v>
      </c>
      <c r="F83" s="92" t="s">
        <v>12</v>
      </c>
      <c r="G83" s="93">
        <v>5242.49540573374</v>
      </c>
      <c r="H83" s="93">
        <v>25619.685097440099</v>
      </c>
      <c r="I83" s="93">
        <v>2397.5457928860201</v>
      </c>
      <c r="J83" s="93">
        <v>108138.30960691599</v>
      </c>
      <c r="K83" s="93">
        <v>7891.3546955866695</v>
      </c>
      <c r="L83" s="93">
        <v>189146.10561676149</v>
      </c>
      <c r="M83" s="93">
        <v>433311.47680229251</v>
      </c>
      <c r="N83" s="95">
        <v>2.1471084864651786E-2</v>
      </c>
      <c r="O83" s="95">
        <v>0.10492759465867407</v>
      </c>
      <c r="P83" s="95">
        <v>0.39839198289072875</v>
      </c>
      <c r="Q83" s="95">
        <v>0.44288962469107146</v>
      </c>
      <c r="R83" s="96">
        <v>3.2319712894873863E-2</v>
      </c>
    </row>
    <row r="84" spans="1:18" ht="15.75" hidden="1" customHeight="1" x14ac:dyDescent="0.3">
      <c r="A84" s="89">
        <v>2020</v>
      </c>
      <c r="B84" s="90">
        <v>2</v>
      </c>
      <c r="C84" s="90" t="s">
        <v>723</v>
      </c>
      <c r="D84" s="90" t="s">
        <v>722</v>
      </c>
      <c r="E84" s="91" t="s">
        <v>11</v>
      </c>
      <c r="F84" s="92" t="s">
        <v>26</v>
      </c>
      <c r="G84" s="93">
        <v>23446.207817347</v>
      </c>
      <c r="H84" s="93">
        <v>90720.446817424003</v>
      </c>
      <c r="I84" s="93">
        <v>2397.5457928860201</v>
      </c>
      <c r="J84" s="93">
        <v>452766.72824246</v>
      </c>
      <c r="K84" s="93">
        <v>29895.5052488195</v>
      </c>
      <c r="L84" s="93">
        <v>315170.54329268751</v>
      </c>
      <c r="M84" s="93">
        <v>1302393.3163907509</v>
      </c>
      <c r="N84" s="95">
        <v>2.374966264581705E-2</v>
      </c>
      <c r="O84" s="95">
        <v>9.189460503704619E-2</v>
      </c>
      <c r="P84" s="95">
        <v>0.39544659585484881</v>
      </c>
      <c r="Q84" s="95">
        <v>0.45862670572479336</v>
      </c>
      <c r="R84" s="96">
        <v>3.0282430737494648E-2</v>
      </c>
    </row>
    <row r="85" spans="1:18" ht="15.75" hidden="1" customHeight="1" x14ac:dyDescent="0.3">
      <c r="A85" s="89">
        <v>2020</v>
      </c>
      <c r="B85" s="90">
        <v>2</v>
      </c>
      <c r="C85" s="90" t="s">
        <v>723</v>
      </c>
      <c r="D85" s="90" t="s">
        <v>722</v>
      </c>
      <c r="E85" s="91" t="s">
        <v>11</v>
      </c>
      <c r="F85" s="92" t="s">
        <v>27</v>
      </c>
      <c r="G85" s="93">
        <v>744.90735488510904</v>
      </c>
      <c r="H85" s="93">
        <v>12971.562865409</v>
      </c>
      <c r="I85" s="93">
        <v>2397.5457928860201</v>
      </c>
      <c r="J85" s="93">
        <v>63348.480601827403</v>
      </c>
      <c r="K85" s="93">
        <v>2946.2273923697799</v>
      </c>
      <c r="L85" s="93">
        <v>46858.961092489342</v>
      </c>
      <c r="M85" s="93">
        <v>226689.61699930154</v>
      </c>
      <c r="N85" s="95">
        <v>4.1422712447377061E-3</v>
      </c>
      <c r="O85" s="95">
        <v>7.2132100058239404E-2</v>
      </c>
      <c r="P85" s="95">
        <v>0.55507486856994559</v>
      </c>
      <c r="Q85" s="95">
        <v>0.35226741671150014</v>
      </c>
      <c r="R85" s="96">
        <v>1.6383343415577085E-2</v>
      </c>
    </row>
    <row r="86" spans="1:18" ht="15.75" hidden="1" customHeight="1" x14ac:dyDescent="0.3">
      <c r="A86" s="89">
        <v>2020</v>
      </c>
      <c r="B86" s="90">
        <v>2</v>
      </c>
      <c r="C86" s="90" t="s">
        <v>723</v>
      </c>
      <c r="D86" s="90" t="s">
        <v>722</v>
      </c>
      <c r="E86" s="91" t="s">
        <v>11</v>
      </c>
      <c r="F86" s="92" t="s">
        <v>28</v>
      </c>
      <c r="G86" s="93">
        <v>1010.27007887255</v>
      </c>
      <c r="H86" s="93">
        <v>4173.0970141635598</v>
      </c>
      <c r="I86" s="93">
        <v>2397.5457928860201</v>
      </c>
      <c r="J86" s="93">
        <v>275671.65596690198</v>
      </c>
      <c r="K86" s="93">
        <v>26622.437279759299</v>
      </c>
      <c r="L86" s="93">
        <v>3411.0813776332698</v>
      </c>
      <c r="M86" s="93">
        <v>373104.58101493056</v>
      </c>
      <c r="N86" s="95">
        <v>2.7327234042895431E-3</v>
      </c>
      <c r="O86" s="95">
        <v>1.1287991317828809E-2</v>
      </c>
      <c r="P86" s="95">
        <v>0.16829086624092512</v>
      </c>
      <c r="Q86" s="95">
        <v>0.74567623243946879</v>
      </c>
      <c r="R86" s="96">
        <v>7.201218659748769E-2</v>
      </c>
    </row>
    <row r="87" spans="1:18" ht="15.75" customHeight="1" x14ac:dyDescent="0.3">
      <c r="A87" s="89">
        <v>2020</v>
      </c>
      <c r="B87" s="90">
        <v>2</v>
      </c>
      <c r="C87" s="90" t="s">
        <v>723</v>
      </c>
      <c r="D87" s="90" t="s">
        <v>722</v>
      </c>
      <c r="E87" s="91" t="s">
        <v>11</v>
      </c>
      <c r="F87" s="92" t="s">
        <v>29</v>
      </c>
      <c r="G87" s="93">
        <v>9139.3621509144905</v>
      </c>
      <c r="H87" s="93">
        <v>28866.596360630901</v>
      </c>
      <c r="I87" s="93">
        <v>2397.5457928860201</v>
      </c>
      <c r="J87" s="93">
        <v>152822.61870490099</v>
      </c>
      <c r="K87" s="93">
        <v>17428.5482195941</v>
      </c>
      <c r="L87" s="93">
        <v>76989.896451097695</v>
      </c>
      <c r="M87" s="93">
        <v>354392.05486975575</v>
      </c>
      <c r="N87" s="95">
        <v>3.2946254647093533E-2</v>
      </c>
      <c r="O87" s="95">
        <v>0.10406046054286697</v>
      </c>
      <c r="P87" s="95">
        <v>0.2492591743942498</v>
      </c>
      <c r="Q87" s="95">
        <v>0.55090637930170527</v>
      </c>
      <c r="R87" s="96">
        <v>6.282773111408442E-2</v>
      </c>
    </row>
    <row r="88" spans="1:18" ht="15.75" hidden="1" customHeight="1" x14ac:dyDescent="0.3">
      <c r="A88" s="89">
        <v>2020</v>
      </c>
      <c r="B88" s="90">
        <v>2</v>
      </c>
      <c r="C88" s="90" t="s">
        <v>723</v>
      </c>
      <c r="D88" s="90" t="s">
        <v>722</v>
      </c>
      <c r="E88" s="91" t="s">
        <v>11</v>
      </c>
      <c r="F88" s="92" t="s">
        <v>30</v>
      </c>
      <c r="G88" s="93">
        <v>450.01359562499903</v>
      </c>
      <c r="H88" s="93">
        <v>2182.2177280882302</v>
      </c>
      <c r="I88" s="93">
        <v>2397.5457928860201</v>
      </c>
      <c r="J88" s="93">
        <v>5487.2387493152901</v>
      </c>
      <c r="K88" s="93">
        <v>764.26646634497502</v>
      </c>
      <c r="L88" s="93">
        <v>215900.34711871471</v>
      </c>
      <c r="M88" s="93">
        <v>230086.50016211701</v>
      </c>
      <c r="N88" s="95">
        <v>3.1722031635228388E-2</v>
      </c>
      <c r="O88" s="95">
        <v>0.1538273076155158</v>
      </c>
      <c r="P88" s="95">
        <v>0.37377409420342123</v>
      </c>
      <c r="Q88" s="95">
        <v>0.38680244972172345</v>
      </c>
      <c r="R88" s="96">
        <v>5.3874116824111147E-2</v>
      </c>
    </row>
    <row r="89" spans="1:18" ht="15.75" hidden="1" customHeight="1" x14ac:dyDescent="0.3">
      <c r="A89" s="89">
        <v>2020</v>
      </c>
      <c r="B89" s="90">
        <v>2</v>
      </c>
      <c r="C89" s="90" t="s">
        <v>723</v>
      </c>
      <c r="D89" s="90" t="s">
        <v>722</v>
      </c>
      <c r="E89" s="91" t="s">
        <v>11</v>
      </c>
      <c r="F89" s="92" t="s">
        <v>31</v>
      </c>
      <c r="G89" s="93">
        <v>6444.0832468765702</v>
      </c>
      <c r="H89" s="93">
        <v>51207.951026481896</v>
      </c>
      <c r="I89" s="93">
        <v>2397.5457928860201</v>
      </c>
      <c r="J89" s="93">
        <v>48457.964496277003</v>
      </c>
      <c r="K89" s="93">
        <v>5877.7901112162999</v>
      </c>
      <c r="L89" s="93">
        <v>47787.252352750002</v>
      </c>
      <c r="M89" s="93">
        <v>251948.68865991978</v>
      </c>
      <c r="N89" s="95">
        <v>3.1563665320130121E-2</v>
      </c>
      <c r="O89" s="95">
        <v>0.25082087955845539</v>
      </c>
      <c r="P89" s="95">
        <v>0.45147432881319821</v>
      </c>
      <c r="Q89" s="95">
        <v>0.23735121271075837</v>
      </c>
      <c r="R89" s="96">
        <v>2.8789913597457788E-2</v>
      </c>
    </row>
    <row r="90" spans="1:18" ht="15.75" hidden="1" customHeight="1" x14ac:dyDescent="0.3">
      <c r="A90" s="89">
        <v>2020</v>
      </c>
      <c r="B90" s="90">
        <v>2</v>
      </c>
      <c r="C90" s="90" t="s">
        <v>723</v>
      </c>
      <c r="D90" s="90" t="s">
        <v>722</v>
      </c>
      <c r="E90" s="91" t="s">
        <v>11</v>
      </c>
      <c r="F90" s="92" t="s">
        <v>32</v>
      </c>
      <c r="G90" s="93">
        <v>2746.2886270909898</v>
      </c>
      <c r="H90" s="93">
        <v>40156.471395666798</v>
      </c>
      <c r="I90" s="93">
        <v>2397.5457928860201</v>
      </c>
      <c r="J90" s="93">
        <v>298640.56880184001</v>
      </c>
      <c r="K90" s="93">
        <v>37555.561601476998</v>
      </c>
      <c r="L90" s="93">
        <v>35250.624875879897</v>
      </c>
      <c r="M90" s="93">
        <v>609521.81280336156</v>
      </c>
      <c r="N90" s="95">
        <v>4.7822155887747375E-3</v>
      </c>
      <c r="O90" s="95">
        <v>6.9925972676062084E-2</v>
      </c>
      <c r="P90" s="95">
        <v>0.33986085599344595</v>
      </c>
      <c r="Q90" s="95">
        <v>0.52003404502952699</v>
      </c>
      <c r="R90" s="96">
        <v>6.5396910712190337E-2</v>
      </c>
    </row>
    <row r="91" spans="1:18" ht="15.75" hidden="1" customHeight="1" x14ac:dyDescent="0.3">
      <c r="A91" s="89">
        <v>2020</v>
      </c>
      <c r="B91" s="90">
        <v>2</v>
      </c>
      <c r="C91" s="90" t="s">
        <v>723</v>
      </c>
      <c r="D91" s="90" t="s">
        <v>722</v>
      </c>
      <c r="E91" s="91" t="s">
        <v>11</v>
      </c>
      <c r="F91" s="92" t="s">
        <v>33</v>
      </c>
      <c r="G91" s="93">
        <v>20355.545113642798</v>
      </c>
      <c r="H91" s="93">
        <v>98645.2918709269</v>
      </c>
      <c r="I91" s="93">
        <v>2397.5457928860201</v>
      </c>
      <c r="J91" s="93">
        <v>575938.06726498797</v>
      </c>
      <c r="K91" s="93">
        <v>82842.075549894304</v>
      </c>
      <c r="L91" s="93">
        <v>52597.055993204398</v>
      </c>
      <c r="M91" s="93">
        <v>1352056.7882565914</v>
      </c>
      <c r="N91" s="95">
        <v>1.5664621694885226E-2</v>
      </c>
      <c r="O91" s="95">
        <v>7.5912542283328346E-2</v>
      </c>
      <c r="P91" s="95">
        <v>0.40145819028595814</v>
      </c>
      <c r="Q91" s="95">
        <v>0.44321347785192572</v>
      </c>
      <c r="R91" s="96">
        <v>6.3751167883902601E-2</v>
      </c>
    </row>
    <row r="92" spans="1:18" ht="15.75" hidden="1" customHeight="1" x14ac:dyDescent="0.3">
      <c r="A92" s="89">
        <v>2020</v>
      </c>
      <c r="B92" s="90">
        <v>2</v>
      </c>
      <c r="C92" s="90" t="s">
        <v>723</v>
      </c>
      <c r="D92" s="90" t="s">
        <v>722</v>
      </c>
      <c r="E92" s="91" t="s">
        <v>11</v>
      </c>
      <c r="F92" s="92" t="s">
        <v>34</v>
      </c>
      <c r="G92" s="93">
        <v>10651.456479733301</v>
      </c>
      <c r="H92" s="93">
        <v>26291.823636003199</v>
      </c>
      <c r="I92" s="93">
        <v>2397.5457928860201</v>
      </c>
      <c r="J92" s="93">
        <v>417366.85589807399</v>
      </c>
      <c r="K92" s="93">
        <v>58344.288859380402</v>
      </c>
      <c r="L92" s="93">
        <v>43763.640723322096</v>
      </c>
      <c r="M92" s="93">
        <v>713628.83042002597</v>
      </c>
      <c r="N92" s="95">
        <v>1.5900895648206438E-2</v>
      </c>
      <c r="O92" s="95">
        <v>3.9249425168528904E-2</v>
      </c>
      <c r="P92" s="95">
        <v>0.23469015443942323</v>
      </c>
      <c r="Q92" s="95">
        <v>0.62306097154719431</v>
      </c>
      <c r="R92" s="96">
        <v>8.7098553196646999E-2</v>
      </c>
    </row>
    <row r="93" spans="1:18" ht="15.75" hidden="1" customHeight="1" x14ac:dyDescent="0.3">
      <c r="A93" s="89">
        <v>2020</v>
      </c>
      <c r="B93" s="90">
        <v>2</v>
      </c>
      <c r="C93" s="90" t="s">
        <v>723</v>
      </c>
      <c r="D93" s="90" t="s">
        <v>722</v>
      </c>
      <c r="E93" s="91" t="s">
        <v>11</v>
      </c>
      <c r="F93" s="92" t="s">
        <v>35</v>
      </c>
      <c r="G93" s="93">
        <v>21016.893063903099</v>
      </c>
      <c r="H93" s="93">
        <v>28859.659154770299</v>
      </c>
      <c r="I93" s="93">
        <v>2397.5457928860201</v>
      </c>
      <c r="J93" s="93">
        <v>188764.57726483399</v>
      </c>
      <c r="K93" s="93">
        <v>71743.178985352206</v>
      </c>
      <c r="L93" s="93">
        <v>240132.88484960145</v>
      </c>
      <c r="M93" s="93">
        <v>605861.19629491156</v>
      </c>
      <c r="N93" s="95">
        <v>5.7465863063340943E-2</v>
      </c>
      <c r="O93" s="95">
        <v>7.8910104171921305E-2</v>
      </c>
      <c r="P93" s="95">
        <v>0.15132545456417712</v>
      </c>
      <c r="Q93" s="95">
        <v>0.51613334641461373</v>
      </c>
      <c r="R93" s="96">
        <v>0.1961652317859468</v>
      </c>
    </row>
    <row r="94" spans="1:18" ht="15.75" hidden="1" customHeight="1" x14ac:dyDescent="0.3">
      <c r="A94" s="89">
        <v>2020</v>
      </c>
      <c r="B94" s="90">
        <v>2</v>
      </c>
      <c r="C94" s="90" t="s">
        <v>723</v>
      </c>
      <c r="D94" s="90" t="s">
        <v>722</v>
      </c>
      <c r="E94" s="91" t="s">
        <v>11</v>
      </c>
      <c r="F94" s="92" t="s">
        <v>36</v>
      </c>
      <c r="G94" s="93">
        <v>11912.6097298652</v>
      </c>
      <c r="H94" s="93">
        <v>56844.847208865198</v>
      </c>
      <c r="I94" s="93">
        <v>2397.5457928860201</v>
      </c>
      <c r="J94" s="93">
        <v>45277.752213207998</v>
      </c>
      <c r="K94" s="93">
        <v>1754.1943397411101</v>
      </c>
      <c r="L94" s="93">
        <v>39497.26071822938</v>
      </c>
      <c r="M94" s="93">
        <v>258886.8714545829</v>
      </c>
      <c r="N94" s="95">
        <v>5.4298878100389664E-2</v>
      </c>
      <c r="O94" s="95">
        <v>0.25910455384861958</v>
      </c>
      <c r="P94" s="95">
        <v>0.47222020631219952</v>
      </c>
      <c r="Q94" s="95">
        <v>0.20638056679730157</v>
      </c>
      <c r="R94" s="96">
        <v>7.995794941489609E-3</v>
      </c>
    </row>
    <row r="95" spans="1:18" ht="15.75" hidden="1" customHeight="1" x14ac:dyDescent="0.3">
      <c r="A95" s="89">
        <v>2020</v>
      </c>
      <c r="B95" s="90">
        <v>2</v>
      </c>
      <c r="C95" s="90" t="s">
        <v>723</v>
      </c>
      <c r="D95" s="90" t="s">
        <v>722</v>
      </c>
      <c r="E95" s="91" t="s">
        <v>11</v>
      </c>
      <c r="F95" s="92" t="s">
        <v>37</v>
      </c>
      <c r="G95" s="93">
        <v>32189.5906868739</v>
      </c>
      <c r="H95" s="93">
        <v>79557.746655569703</v>
      </c>
      <c r="I95" s="93">
        <v>2397.5457928860201</v>
      </c>
      <c r="J95" s="93">
        <v>107781.356382174</v>
      </c>
      <c r="K95" s="93">
        <v>3833.1887189077802</v>
      </c>
      <c r="L95" s="93">
        <v>149926.2772814568</v>
      </c>
      <c r="M95" s="93">
        <v>524073.85777631018</v>
      </c>
      <c r="N95" s="95">
        <v>8.6034475070771402E-2</v>
      </c>
      <c r="O95" s="95">
        <v>0.21263734099348017</v>
      </c>
      <c r="P95" s="95">
        <v>0.40301128728908664</v>
      </c>
      <c r="Q95" s="95">
        <v>0.2880717716779585</v>
      </c>
      <c r="R95" s="96">
        <v>1.0245124968703381E-2</v>
      </c>
    </row>
    <row r="96" spans="1:18" ht="15.75" hidden="1" customHeight="1" x14ac:dyDescent="0.3">
      <c r="A96" s="89">
        <v>2020</v>
      </c>
      <c r="B96" s="90">
        <v>2</v>
      </c>
      <c r="C96" s="90" t="s">
        <v>723</v>
      </c>
      <c r="D96" s="90" t="s">
        <v>722</v>
      </c>
      <c r="E96" s="91" t="s">
        <v>11</v>
      </c>
      <c r="F96" s="92" t="s">
        <v>720</v>
      </c>
      <c r="G96" s="93">
        <v>21722.275573004099</v>
      </c>
      <c r="H96" s="93">
        <v>27665.579782913701</v>
      </c>
      <c r="I96" s="93">
        <v>2397.5457928860201</v>
      </c>
      <c r="J96" s="93">
        <v>372001.99532408698</v>
      </c>
      <c r="K96" s="93">
        <v>181192.483357374</v>
      </c>
      <c r="L96" s="93">
        <v>212640.48941884859</v>
      </c>
      <c r="M96" s="93">
        <v>927958.42268835637</v>
      </c>
      <c r="N96" s="95">
        <v>3.0367301814618251E-2</v>
      </c>
      <c r="O96" s="95">
        <v>3.8675920868448635E-2</v>
      </c>
      <c r="P96" s="95">
        <v>0.1576020871122967</v>
      </c>
      <c r="Q96" s="95">
        <v>0.52005126395164647</v>
      </c>
      <c r="R96" s="96">
        <v>0.25330342625299007</v>
      </c>
    </row>
    <row r="97" spans="1:18" ht="15.75" hidden="1" customHeight="1" x14ac:dyDescent="0.3">
      <c r="A97" s="89">
        <v>2020</v>
      </c>
      <c r="B97" s="90">
        <v>2</v>
      </c>
      <c r="C97" s="90" t="s">
        <v>723</v>
      </c>
      <c r="D97" s="90" t="s">
        <v>722</v>
      </c>
      <c r="E97" s="91" t="s">
        <v>11</v>
      </c>
      <c r="F97" s="92" t="s">
        <v>39</v>
      </c>
      <c r="G97" s="93">
        <v>1001.05127678308</v>
      </c>
      <c r="H97" s="93">
        <v>19817.897134005801</v>
      </c>
      <c r="I97" s="93">
        <v>2397.5457928860201</v>
      </c>
      <c r="J97" s="93">
        <v>131775.65937755301</v>
      </c>
      <c r="K97" s="93">
        <v>10295.113218713101</v>
      </c>
      <c r="L97" s="93">
        <v>61863.10496582574</v>
      </c>
      <c r="M97" s="93">
        <v>331195.16650096973</v>
      </c>
      <c r="N97" s="95">
        <v>3.7167920932891126E-3</v>
      </c>
      <c r="O97" s="95">
        <v>7.3581648694356613E-2</v>
      </c>
      <c r="P97" s="95">
        <v>0.39520857606549675</v>
      </c>
      <c r="Q97" s="95">
        <v>0.48926837238186793</v>
      </c>
      <c r="R97" s="96">
        <v>3.8224610764989578E-2</v>
      </c>
    </row>
    <row r="98" spans="1:18" ht="15.75" hidden="1" customHeight="1" x14ac:dyDescent="0.3">
      <c r="A98" s="89">
        <v>2020</v>
      </c>
      <c r="B98" s="90">
        <v>2</v>
      </c>
      <c r="C98" s="90" t="s">
        <v>723</v>
      </c>
      <c r="D98" s="90" t="s">
        <v>722</v>
      </c>
      <c r="E98" s="91" t="s">
        <v>11</v>
      </c>
      <c r="F98" s="92" t="s">
        <v>40</v>
      </c>
      <c r="G98" s="93">
        <v>20176.3543566115</v>
      </c>
      <c r="H98" s="93">
        <v>51999.961157921498</v>
      </c>
      <c r="I98" s="93">
        <v>2397.5457928860201</v>
      </c>
      <c r="J98" s="93">
        <v>55481.844702410701</v>
      </c>
      <c r="K98" s="93">
        <v>2458.7734543106599</v>
      </c>
      <c r="L98" s="93">
        <v>88357.161511762126</v>
      </c>
      <c r="M98" s="93">
        <v>326305.02470135147</v>
      </c>
      <c r="N98" s="95">
        <v>8.4793173118497892E-2</v>
      </c>
      <c r="O98" s="95">
        <v>0.21853510454300473</v>
      </c>
      <c r="P98" s="95">
        <v>0.45317040494882999</v>
      </c>
      <c r="Q98" s="95">
        <v>0.23316807286562821</v>
      </c>
      <c r="R98" s="96">
        <v>1.0333244524039229E-2</v>
      </c>
    </row>
    <row r="99" spans="1:18" ht="15.75" hidden="1" customHeight="1" x14ac:dyDescent="0.3">
      <c r="A99" s="89">
        <v>2020</v>
      </c>
      <c r="B99" s="90">
        <v>2</v>
      </c>
      <c r="C99" s="90" t="s">
        <v>723</v>
      </c>
      <c r="D99" s="90" t="s">
        <v>722</v>
      </c>
      <c r="E99" s="91" t="s">
        <v>11</v>
      </c>
      <c r="F99" s="92" t="s">
        <v>41</v>
      </c>
      <c r="G99" s="93">
        <v>1381.83627710631</v>
      </c>
      <c r="H99" s="93">
        <v>4993.3645235508602</v>
      </c>
      <c r="I99" s="93">
        <v>2397.5457928860201</v>
      </c>
      <c r="J99" s="93">
        <v>3344.4141577297701</v>
      </c>
      <c r="K99" s="93">
        <v>311.72323765624901</v>
      </c>
      <c r="L99" s="93">
        <v>2854.6276662331502</v>
      </c>
      <c r="M99" s="93">
        <v>18714.332738962952</v>
      </c>
      <c r="N99" s="95">
        <v>8.7128749921228252E-2</v>
      </c>
      <c r="O99" s="95">
        <v>0.31484598866449121</v>
      </c>
      <c r="P99" s="95">
        <v>0.36749528758313921</v>
      </c>
      <c r="Q99" s="95">
        <v>0.21087492752184725</v>
      </c>
      <c r="R99" s="96">
        <v>1.9655046309293989E-2</v>
      </c>
    </row>
    <row r="100" spans="1:18" ht="15.75" hidden="1" customHeight="1" x14ac:dyDescent="0.3">
      <c r="A100" s="89">
        <v>2020</v>
      </c>
      <c r="B100" s="90">
        <v>2</v>
      </c>
      <c r="C100" s="90" t="s">
        <v>723</v>
      </c>
      <c r="D100" s="90" t="s">
        <v>722</v>
      </c>
      <c r="E100" s="91" t="s">
        <v>11</v>
      </c>
      <c r="F100" s="92" t="s">
        <v>42</v>
      </c>
      <c r="G100" s="93">
        <v>8893.7866307460499</v>
      </c>
      <c r="H100" s="93">
        <v>26449.580513823501</v>
      </c>
      <c r="I100" s="93">
        <v>2397.5457928860201</v>
      </c>
      <c r="J100" s="93">
        <v>293438.82839474099</v>
      </c>
      <c r="K100" s="93">
        <v>27370.433378483602</v>
      </c>
      <c r="L100" s="93">
        <v>142833.74517799751</v>
      </c>
      <c r="M100" s="93">
        <v>620824.33975000563</v>
      </c>
      <c r="N100" s="95">
        <v>1.8606614296897472E-2</v>
      </c>
      <c r="O100" s="95">
        <v>5.5334939252322329E-2</v>
      </c>
      <c r="P100" s="95">
        <v>0.25489615703277069</v>
      </c>
      <c r="Q100" s="95">
        <v>0.61390084183034099</v>
      </c>
      <c r="R100" s="96">
        <v>5.7261447587668615E-2</v>
      </c>
    </row>
    <row r="101" spans="1:18" ht="15.75" hidden="1" customHeight="1" x14ac:dyDescent="0.3">
      <c r="A101" s="89">
        <v>2020</v>
      </c>
      <c r="B101" s="90">
        <v>2</v>
      </c>
      <c r="C101" s="90" t="s">
        <v>723</v>
      </c>
      <c r="D101" s="90" t="s">
        <v>722</v>
      </c>
      <c r="E101" s="91" t="s">
        <v>11</v>
      </c>
      <c r="F101" s="92" t="s">
        <v>43</v>
      </c>
      <c r="G101" s="93">
        <v>1754.7287065303201</v>
      </c>
      <c r="H101" s="93">
        <v>8745.1016520527101</v>
      </c>
      <c r="I101" s="93">
        <v>2397.5457928860201</v>
      </c>
      <c r="J101" s="93">
        <v>29014.068550387401</v>
      </c>
      <c r="K101" s="93">
        <v>4808.3397393458999</v>
      </c>
      <c r="L101" s="93">
        <v>117280.62871728824</v>
      </c>
      <c r="M101" s="93">
        <v>185575.48510012339</v>
      </c>
      <c r="N101" s="95">
        <v>2.5693424065408012E-2</v>
      </c>
      <c r="O101" s="95">
        <v>0.1280491989474431</v>
      </c>
      <c r="P101" s="95">
        <v>0.35101644551585809</v>
      </c>
      <c r="Q101" s="95">
        <v>0.42483534027431741</v>
      </c>
      <c r="R101" s="96">
        <v>7.0405591196973399E-2</v>
      </c>
    </row>
    <row r="102" spans="1:18" ht="15.75" hidden="1" customHeight="1" x14ac:dyDescent="0.3">
      <c r="A102" s="89">
        <v>2020</v>
      </c>
      <c r="B102" s="90">
        <v>2</v>
      </c>
      <c r="C102" s="90" t="s">
        <v>723</v>
      </c>
      <c r="D102" s="90" t="s">
        <v>722</v>
      </c>
      <c r="E102" s="91" t="s">
        <v>11</v>
      </c>
      <c r="F102" s="92" t="s">
        <v>58</v>
      </c>
      <c r="G102" s="93">
        <v>4290.3579739016504</v>
      </c>
      <c r="H102" s="93">
        <v>34033.565169123503</v>
      </c>
      <c r="I102" s="93">
        <v>2397.5457928860201</v>
      </c>
      <c r="J102" s="93">
        <v>164020.31812030199</v>
      </c>
      <c r="K102" s="93">
        <v>14146.2428040165</v>
      </c>
      <c r="L102" s="93">
        <v>27338.567769077439</v>
      </c>
      <c r="M102" s="93">
        <v>371477.12559239508</v>
      </c>
      <c r="N102" s="95">
        <v>1.2466949362019296E-2</v>
      </c>
      <c r="O102" s="95">
        <v>9.8894949128590509E-2</v>
      </c>
      <c r="P102" s="95">
        <v>0.37092058083624885</v>
      </c>
      <c r="Q102" s="95">
        <v>0.47661127877600623</v>
      </c>
      <c r="R102" s="96">
        <v>4.1106241897135069E-2</v>
      </c>
    </row>
    <row r="103" spans="1:18" ht="15.75" hidden="1" customHeight="1" x14ac:dyDescent="0.3">
      <c r="A103" s="89">
        <v>2020</v>
      </c>
      <c r="B103" s="90">
        <v>2</v>
      </c>
      <c r="C103" s="90" t="s">
        <v>723</v>
      </c>
      <c r="D103" s="90" t="s">
        <v>722</v>
      </c>
      <c r="E103" s="91" t="s">
        <v>11</v>
      </c>
      <c r="F103" s="92" t="s">
        <v>44</v>
      </c>
      <c r="G103" s="93">
        <v>6907.3603195052001</v>
      </c>
      <c r="H103" s="93">
        <v>43226.761843683402</v>
      </c>
      <c r="I103" s="93">
        <v>2397.5457928860201</v>
      </c>
      <c r="J103" s="93">
        <v>41788.326435167597</v>
      </c>
      <c r="K103" s="93">
        <v>1157.77545395833</v>
      </c>
      <c r="L103" s="93">
        <v>44161.822470859493</v>
      </c>
      <c r="M103" s="93">
        <v>215729.28855107893</v>
      </c>
      <c r="N103" s="95">
        <v>4.0260315532523752E-2</v>
      </c>
      <c r="O103" s="95">
        <v>0.25195197452803764</v>
      </c>
      <c r="P103" s="95">
        <v>0.45747159307701607</v>
      </c>
      <c r="Q103" s="95">
        <v>0.24356789425116718</v>
      </c>
      <c r="R103" s="96">
        <v>6.748222611255396E-3</v>
      </c>
    </row>
    <row r="104" spans="1:18" ht="15.75" hidden="1" customHeight="1" x14ac:dyDescent="0.3">
      <c r="A104" s="89">
        <v>2020</v>
      </c>
      <c r="B104" s="90">
        <v>2</v>
      </c>
      <c r="C104" s="90" t="s">
        <v>723</v>
      </c>
      <c r="D104" s="90" t="s">
        <v>722</v>
      </c>
      <c r="E104" s="91" t="s">
        <v>11</v>
      </c>
      <c r="F104" s="92" t="s">
        <v>51</v>
      </c>
      <c r="G104" s="93">
        <v>6011.0644900766201</v>
      </c>
      <c r="H104" s="93">
        <v>22454.929055719898</v>
      </c>
      <c r="I104" s="93">
        <v>2397.5457928860201</v>
      </c>
      <c r="J104" s="93">
        <v>74237.2187079586</v>
      </c>
      <c r="K104" s="93">
        <v>23862.516069789999</v>
      </c>
      <c r="L104" s="93">
        <v>1284.3650257582699</v>
      </c>
      <c r="M104" s="93">
        <v>211202.4092354787</v>
      </c>
      <c r="N104" s="95">
        <v>2.8635291990769571E-2</v>
      </c>
      <c r="O104" s="95">
        <v>0.1069699803094874</v>
      </c>
      <c r="P104" s="95">
        <v>0.3970707530168367</v>
      </c>
      <c r="Q104" s="95">
        <v>0.35364858217615286</v>
      </c>
      <c r="R104" s="96">
        <v>0.11367539250675349</v>
      </c>
    </row>
    <row r="105" spans="1:18" ht="15.75" hidden="1" customHeight="1" x14ac:dyDescent="0.3">
      <c r="A105" s="89">
        <v>2020</v>
      </c>
      <c r="B105" s="90">
        <v>2</v>
      </c>
      <c r="C105" s="90" t="s">
        <v>723</v>
      </c>
      <c r="D105" s="90" t="s">
        <v>722</v>
      </c>
      <c r="E105" s="91" t="s">
        <v>11</v>
      </c>
      <c r="F105" s="92" t="s">
        <v>45</v>
      </c>
      <c r="G105" s="93">
        <v>2398.5671472809399</v>
      </c>
      <c r="H105" s="93">
        <v>6437.8860973636802</v>
      </c>
      <c r="I105" s="93">
        <v>2397.5457928860201</v>
      </c>
      <c r="J105" s="93">
        <v>45263.902772691297</v>
      </c>
      <c r="K105" s="93">
        <v>11071.9554206663</v>
      </c>
      <c r="L105" s="93">
        <v>50005.998719929077</v>
      </c>
      <c r="M105" s="93">
        <v>134096.09203645919</v>
      </c>
      <c r="N105" s="95">
        <v>2.8523777922951101E-2</v>
      </c>
      <c r="O105" s="95">
        <v>7.6559388192498815E-2</v>
      </c>
      <c r="P105" s="95">
        <v>0.22497039939434949</v>
      </c>
      <c r="Q105" s="95">
        <v>0.53827866027345084</v>
      </c>
      <c r="R105" s="96">
        <v>0.13166777421674969</v>
      </c>
    </row>
    <row r="106" spans="1:18" ht="15.75" hidden="1" customHeight="1" x14ac:dyDescent="0.3">
      <c r="A106" s="89">
        <v>2020</v>
      </c>
      <c r="B106" s="90">
        <v>2</v>
      </c>
      <c r="C106" s="90" t="s">
        <v>723</v>
      </c>
      <c r="D106" s="90" t="s">
        <v>722</v>
      </c>
      <c r="E106" s="91" t="s">
        <v>11</v>
      </c>
      <c r="F106" s="92" t="s">
        <v>721</v>
      </c>
      <c r="G106" s="93">
        <v>6982.8456085784101</v>
      </c>
      <c r="H106" s="93">
        <v>12031.161163123599</v>
      </c>
      <c r="I106" s="93">
        <v>2397.5457928860201</v>
      </c>
      <c r="J106" s="93">
        <v>184860.76845916701</v>
      </c>
      <c r="K106" s="93">
        <v>22999.375317027101</v>
      </c>
      <c r="L106" s="93">
        <v>1632.136253275118</v>
      </c>
      <c r="M106" s="93">
        <v>309330.85090303479</v>
      </c>
      <c r="N106" s="95">
        <v>2.2693775684200321E-2</v>
      </c>
      <c r="O106" s="95">
        <v>3.910045960646328E-2</v>
      </c>
      <c r="P106" s="95">
        <v>0.26267436376477149</v>
      </c>
      <c r="Q106" s="95">
        <v>0.60078498757976984</v>
      </c>
      <c r="R106" s="96">
        <v>7.4746413364795192E-2</v>
      </c>
    </row>
    <row r="107" spans="1:18" ht="15.75" hidden="1" customHeight="1" x14ac:dyDescent="0.3">
      <c r="A107" s="89">
        <v>2020</v>
      </c>
      <c r="B107" s="90">
        <v>2</v>
      </c>
      <c r="C107" s="90" t="s">
        <v>723</v>
      </c>
      <c r="D107" s="90" t="s">
        <v>722</v>
      </c>
      <c r="E107" s="91" t="s">
        <v>11</v>
      </c>
      <c r="F107" s="92" t="s">
        <v>46</v>
      </c>
      <c r="G107" s="93">
        <v>4223.5688547916498</v>
      </c>
      <c r="H107" s="93">
        <v>15118.1705649957</v>
      </c>
      <c r="I107" s="93">
        <v>2397.5457928860201</v>
      </c>
      <c r="J107" s="93">
        <v>59683.225039889199</v>
      </c>
      <c r="K107" s="93">
        <v>29471.240632675901</v>
      </c>
      <c r="L107" s="93">
        <v>3942.1536700505299</v>
      </c>
      <c r="M107" s="93">
        <v>149075.00300838999</v>
      </c>
      <c r="N107" s="95">
        <v>2.9101398298503035E-2</v>
      </c>
      <c r="O107" s="95">
        <v>0.10416780648846506</v>
      </c>
      <c r="P107" s="95">
        <v>0.25243523029426784</v>
      </c>
      <c r="Q107" s="95">
        <v>0.41123167712881659</v>
      </c>
      <c r="R107" s="96">
        <v>0.20306388778994736</v>
      </c>
    </row>
    <row r="108" spans="1:18" ht="15.75" hidden="1" customHeight="1" x14ac:dyDescent="0.3">
      <c r="A108" s="89">
        <v>2020</v>
      </c>
      <c r="B108" s="90">
        <v>2</v>
      </c>
      <c r="C108" s="90" t="s">
        <v>723</v>
      </c>
      <c r="D108" s="90" t="s">
        <v>722</v>
      </c>
      <c r="E108" s="91" t="s">
        <v>11</v>
      </c>
      <c r="F108" s="92" t="s">
        <v>47</v>
      </c>
      <c r="G108" s="93">
        <v>29409.3458276089</v>
      </c>
      <c r="H108" s="93">
        <v>307332.82701043697</v>
      </c>
      <c r="I108" s="93">
        <v>2397.5457928860201</v>
      </c>
      <c r="J108" s="93">
        <v>184081.15576128499</v>
      </c>
      <c r="K108" s="93">
        <v>24021.718268612301</v>
      </c>
      <c r="L108" s="93">
        <v>325418.37077108299</v>
      </c>
      <c r="M108" s="93">
        <v>1461770.3581409543</v>
      </c>
      <c r="N108" s="95">
        <v>2.5880489632158714E-2</v>
      </c>
      <c r="O108" s="95">
        <v>0.27045566024112844</v>
      </c>
      <c r="P108" s="95">
        <v>0.52053144366913351</v>
      </c>
      <c r="Q108" s="95">
        <v>0.16199307767952045</v>
      </c>
      <c r="R108" s="96">
        <v>2.1139328778058863E-2</v>
      </c>
    </row>
    <row r="109" spans="1:18" ht="15.75" hidden="1" customHeight="1" x14ac:dyDescent="0.3">
      <c r="A109" s="89">
        <v>2020</v>
      </c>
      <c r="B109" s="90">
        <v>2</v>
      </c>
      <c r="C109" s="90" t="s">
        <v>723</v>
      </c>
      <c r="D109" s="90" t="s">
        <v>722</v>
      </c>
      <c r="E109" s="91" t="s">
        <v>11</v>
      </c>
      <c r="F109" s="92" t="s">
        <v>48</v>
      </c>
      <c r="G109" s="93">
        <v>348.93076254136002</v>
      </c>
      <c r="H109" s="93">
        <v>1904.7249252956501</v>
      </c>
      <c r="I109" s="93">
        <v>2397.5457928860201</v>
      </c>
      <c r="J109" s="93">
        <v>61469.717141819099</v>
      </c>
      <c r="K109" s="93">
        <v>21185.234994520299</v>
      </c>
      <c r="L109" s="93">
        <v>8689.0207215150385</v>
      </c>
      <c r="M109" s="93">
        <v>110314.39779994375</v>
      </c>
      <c r="N109" s="95">
        <v>3.4335002985728166E-3</v>
      </c>
      <c r="O109" s="95">
        <v>1.8742611147466556E-2</v>
      </c>
      <c r="P109" s="95">
        <v>0.16449404405507145</v>
      </c>
      <c r="Q109" s="95">
        <v>0.60486582100827291</v>
      </c>
      <c r="R109" s="96">
        <v>0.20846402349061627</v>
      </c>
    </row>
    <row r="110" spans="1:18" ht="15.75" hidden="1" customHeight="1" x14ac:dyDescent="0.3">
      <c r="A110" s="89">
        <v>2020</v>
      </c>
      <c r="B110" s="90">
        <v>3</v>
      </c>
      <c r="C110" s="90" t="s">
        <v>724</v>
      </c>
      <c r="D110" s="90" t="s">
        <v>719</v>
      </c>
      <c r="E110" s="91" t="s">
        <v>11</v>
      </c>
      <c r="F110" s="92" t="s">
        <v>12</v>
      </c>
      <c r="G110" s="93">
        <v>15318.024200280401</v>
      </c>
      <c r="H110" s="93">
        <v>69331.413657950194</v>
      </c>
      <c r="I110" s="93">
        <v>2397.5457928860201</v>
      </c>
      <c r="J110" s="93">
        <v>76182.416818896396</v>
      </c>
      <c r="K110" s="93">
        <v>5519.1901005606496</v>
      </c>
      <c r="L110" s="93">
        <v>112572.7790418685</v>
      </c>
      <c r="M110" s="93">
        <v>433311.47680228623</v>
      </c>
      <c r="N110" s="95">
        <v>4.7758578267105486E-2</v>
      </c>
      <c r="O110" s="95">
        <v>0.21616167348081802</v>
      </c>
      <c r="P110" s="95">
        <v>0.4813502519675783</v>
      </c>
      <c r="Q110" s="95">
        <v>0.23752175010638224</v>
      </c>
      <c r="R110" s="96">
        <v>1.7207746178115747E-2</v>
      </c>
    </row>
    <row r="111" spans="1:18" ht="15.75" hidden="1" customHeight="1" x14ac:dyDescent="0.3">
      <c r="A111" s="89">
        <v>2020</v>
      </c>
      <c r="B111" s="90">
        <v>3</v>
      </c>
      <c r="C111" s="90" t="s">
        <v>724</v>
      </c>
      <c r="D111" s="90" t="s">
        <v>719</v>
      </c>
      <c r="E111" s="91" t="s">
        <v>11</v>
      </c>
      <c r="F111" s="92" t="s">
        <v>26</v>
      </c>
      <c r="G111" s="93">
        <v>34876.089632490999</v>
      </c>
      <c r="H111" s="93">
        <v>70568.459023530304</v>
      </c>
      <c r="I111" s="93">
        <v>2397.5457928860201</v>
      </c>
      <c r="J111" s="93">
        <v>184271.95734619701</v>
      </c>
      <c r="K111" s="93">
        <v>22580.020927391401</v>
      </c>
      <c r="L111" s="93">
        <v>806159.03134418698</v>
      </c>
      <c r="M111" s="93">
        <v>1302393.3163907197</v>
      </c>
      <c r="N111" s="95">
        <v>7.0281499451857923E-2</v>
      </c>
      <c r="O111" s="95">
        <v>0.14220794723386149</v>
      </c>
      <c r="P111" s="95">
        <v>0.37066717004383298</v>
      </c>
      <c r="Q111" s="95">
        <v>0.37134064069941791</v>
      </c>
      <c r="R111" s="96">
        <v>4.5502742571029799E-2</v>
      </c>
    </row>
    <row r="112" spans="1:18" ht="15.75" hidden="1" customHeight="1" x14ac:dyDescent="0.3">
      <c r="A112" s="89">
        <v>2020</v>
      </c>
      <c r="B112" s="90">
        <v>3</v>
      </c>
      <c r="C112" s="90" t="s">
        <v>724</v>
      </c>
      <c r="D112" s="90" t="s">
        <v>719</v>
      </c>
      <c r="E112" s="91" t="s">
        <v>11</v>
      </c>
      <c r="F112" s="92" t="s">
        <v>27</v>
      </c>
      <c r="G112" s="93">
        <v>1273.73072921109</v>
      </c>
      <c r="H112" s="93">
        <v>18213.580831715699</v>
      </c>
      <c r="I112" s="93">
        <v>2397.5457928860201</v>
      </c>
      <c r="J112" s="93">
        <v>67660.609903675897</v>
      </c>
      <c r="K112" s="93">
        <v>3657.1432323284098</v>
      </c>
      <c r="L112" s="93">
        <v>17307.391981858109</v>
      </c>
      <c r="M112" s="93">
        <v>226689.61699930223</v>
      </c>
      <c r="N112" s="95">
        <v>6.0832801308944567E-3</v>
      </c>
      <c r="O112" s="95">
        <v>8.6987235092177873E-2</v>
      </c>
      <c r="P112" s="95">
        <v>0.56631913387411015</v>
      </c>
      <c r="Q112" s="95">
        <v>0.32314400087227524</v>
      </c>
      <c r="R112" s="96">
        <v>1.7466350030542109E-2</v>
      </c>
    </row>
    <row r="113" spans="1:18" ht="15.75" hidden="1" customHeight="1" x14ac:dyDescent="0.3">
      <c r="A113" s="89">
        <v>2020</v>
      </c>
      <c r="B113" s="90">
        <v>3</v>
      </c>
      <c r="C113" s="90" t="s">
        <v>724</v>
      </c>
      <c r="D113" s="90" t="s">
        <v>719</v>
      </c>
      <c r="E113" s="91" t="s">
        <v>11</v>
      </c>
      <c r="F113" s="92" t="s">
        <v>28</v>
      </c>
      <c r="G113" s="93">
        <v>2943.3630221093699</v>
      </c>
      <c r="H113" s="93">
        <v>14317.0951763297</v>
      </c>
      <c r="I113" s="93">
        <v>2397.5457928860201</v>
      </c>
      <c r="J113" s="93">
        <v>221042.39741018999</v>
      </c>
      <c r="K113" s="93">
        <v>15956.2097075078</v>
      </c>
      <c r="L113" s="93">
        <v>10116.652858910829</v>
      </c>
      <c r="M113" s="93">
        <v>373104.58101493475</v>
      </c>
      <c r="N113" s="95">
        <v>8.1087077387439113E-3</v>
      </c>
      <c r="O113" s="95">
        <v>3.9442345229111178E-2</v>
      </c>
      <c r="P113" s="95">
        <v>0.29953850915160968</v>
      </c>
      <c r="Q113" s="95">
        <v>0.60895247545306475</v>
      </c>
      <c r="R113" s="96">
        <v>4.3957962427470333E-2</v>
      </c>
    </row>
    <row r="114" spans="1:18" ht="15.75" customHeight="1" x14ac:dyDescent="0.3">
      <c r="A114" s="89">
        <v>2020</v>
      </c>
      <c r="B114" s="90">
        <v>3</v>
      </c>
      <c r="C114" s="90" t="s">
        <v>724</v>
      </c>
      <c r="D114" s="90" t="s">
        <v>719</v>
      </c>
      <c r="E114" s="91" t="s">
        <v>11</v>
      </c>
      <c r="F114" s="92" t="s">
        <v>29</v>
      </c>
      <c r="G114" s="93">
        <v>16559.8107141283</v>
      </c>
      <c r="H114" s="93">
        <v>33191.2194183502</v>
      </c>
      <c r="I114" s="93">
        <v>2397.5457928860201</v>
      </c>
      <c r="J114" s="93">
        <v>58837.639059852998</v>
      </c>
      <c r="K114" s="93">
        <v>3612.46929324754</v>
      </c>
      <c r="L114" s="93">
        <v>164635.58474194221</v>
      </c>
      <c r="M114" s="93">
        <v>354392.0548697582</v>
      </c>
      <c r="N114" s="95">
        <v>8.7268754013889255E-2</v>
      </c>
      <c r="O114" s="95">
        <v>0.17491482317305587</v>
      </c>
      <c r="P114" s="95">
        <v>0.40870981416337127</v>
      </c>
      <c r="Q114" s="95">
        <v>0.31006921144887017</v>
      </c>
      <c r="R114" s="96">
        <v>1.9037397200813527E-2</v>
      </c>
    </row>
    <row r="115" spans="1:18" ht="15.75" hidden="1" customHeight="1" x14ac:dyDescent="0.3">
      <c r="A115" s="89">
        <v>2020</v>
      </c>
      <c r="B115" s="90">
        <v>3</v>
      </c>
      <c r="C115" s="90" t="s">
        <v>724</v>
      </c>
      <c r="D115" s="90" t="s">
        <v>719</v>
      </c>
      <c r="E115" s="91" t="s">
        <v>11</v>
      </c>
      <c r="F115" s="92" t="s">
        <v>30</v>
      </c>
      <c r="G115" s="93">
        <v>911.04273589767001</v>
      </c>
      <c r="H115" s="93">
        <v>4975.4614926118302</v>
      </c>
      <c r="I115" s="93">
        <v>2397.5457928860201</v>
      </c>
      <c r="J115" s="93">
        <v>2161.7577627236501</v>
      </c>
      <c r="K115" s="93">
        <v>112.760662875306</v>
      </c>
      <c r="L115" s="93">
        <v>215683.98987574593</v>
      </c>
      <c r="M115" s="93">
        <v>230086.50016211692</v>
      </c>
      <c r="N115" s="95">
        <v>6.3255829559086249E-2</v>
      </c>
      <c r="O115" s="95">
        <v>0.34545793710142864</v>
      </c>
      <c r="P115" s="95">
        <v>0.43336109526467897</v>
      </c>
      <c r="Q115" s="95">
        <v>0.15009590132140421</v>
      </c>
      <c r="R115" s="96">
        <v>7.8292367534019899E-3</v>
      </c>
    </row>
    <row r="116" spans="1:18" ht="15.75" hidden="1" customHeight="1" x14ac:dyDescent="0.3">
      <c r="A116" s="89">
        <v>2020</v>
      </c>
      <c r="B116" s="90">
        <v>3</v>
      </c>
      <c r="C116" s="90" t="s">
        <v>724</v>
      </c>
      <c r="D116" s="90" t="s">
        <v>719</v>
      </c>
      <c r="E116" s="91" t="s">
        <v>11</v>
      </c>
      <c r="F116" s="92" t="s">
        <v>31</v>
      </c>
      <c r="G116" s="93">
        <v>4844.8590564246397</v>
      </c>
      <c r="H116" s="93">
        <v>38928.630539874801</v>
      </c>
      <c r="I116" s="93">
        <v>2397.5457928860201</v>
      </c>
      <c r="J116" s="93">
        <v>65258.560902330901</v>
      </c>
      <c r="K116" s="93">
        <v>7592.0454147426499</v>
      </c>
      <c r="L116" s="93">
        <v>42769.036943770305</v>
      </c>
      <c r="M116" s="93">
        <v>251948.68865991873</v>
      </c>
      <c r="N116" s="95">
        <v>2.3161234932157708E-2</v>
      </c>
      <c r="O116" s="95">
        <v>0.18610142153166973</v>
      </c>
      <c r="P116" s="95">
        <v>0.44246921267643657</v>
      </c>
      <c r="Q116" s="95">
        <v>0.3119737525468545</v>
      </c>
      <c r="R116" s="96">
        <v>3.6294378312881341E-2</v>
      </c>
    </row>
    <row r="117" spans="1:18" ht="15.75" hidden="1" customHeight="1" x14ac:dyDescent="0.3">
      <c r="A117" s="89">
        <v>2020</v>
      </c>
      <c r="B117" s="90">
        <v>3</v>
      </c>
      <c r="C117" s="90" t="s">
        <v>724</v>
      </c>
      <c r="D117" s="90" t="s">
        <v>719</v>
      </c>
      <c r="E117" s="91" t="s">
        <v>11</v>
      </c>
      <c r="F117" s="92" t="s">
        <v>32</v>
      </c>
      <c r="G117" s="93">
        <v>24816.4152544916</v>
      </c>
      <c r="H117" s="93">
        <v>82860.631947526403</v>
      </c>
      <c r="I117" s="93">
        <v>2397.5457928860201</v>
      </c>
      <c r="J117" s="93">
        <v>86466.475995388697</v>
      </c>
      <c r="K117" s="93">
        <v>4116.32725352328</v>
      </c>
      <c r="L117" s="93">
        <v>279258.86796079628</v>
      </c>
      <c r="M117" s="93">
        <v>609521.81280338229</v>
      </c>
      <c r="N117" s="95">
        <v>7.5141385499120736E-2</v>
      </c>
      <c r="O117" s="95">
        <v>0.25089291197055263</v>
      </c>
      <c r="P117" s="95">
        <v>0.39969090221300169</v>
      </c>
      <c r="Q117" s="95">
        <v>0.26181101254517497</v>
      </c>
      <c r="R117" s="96">
        <v>1.2463787772150021E-2</v>
      </c>
    </row>
    <row r="118" spans="1:18" ht="15.75" hidden="1" customHeight="1" x14ac:dyDescent="0.3">
      <c r="A118" s="89">
        <v>2020</v>
      </c>
      <c r="B118" s="90">
        <v>3</v>
      </c>
      <c r="C118" s="90" t="s">
        <v>724</v>
      </c>
      <c r="D118" s="90" t="s">
        <v>719</v>
      </c>
      <c r="E118" s="91" t="s">
        <v>11</v>
      </c>
      <c r="F118" s="92" t="s">
        <v>33</v>
      </c>
      <c r="G118" s="93">
        <v>140877.65980144101</v>
      </c>
      <c r="H118" s="93">
        <v>268614.55354572</v>
      </c>
      <c r="I118" s="93">
        <v>2397.5457928860201</v>
      </c>
      <c r="J118" s="93">
        <v>89540.441203184193</v>
      </c>
      <c r="K118" s="93">
        <v>35057.0063617829</v>
      </c>
      <c r="L118" s="93">
        <v>638766.27789808554</v>
      </c>
      <c r="M118" s="93">
        <v>1352056.7882567598</v>
      </c>
      <c r="N118" s="95">
        <v>0.19750390304590129</v>
      </c>
      <c r="O118" s="95">
        <v>0.37658506547444281</v>
      </c>
      <c r="P118" s="95">
        <v>0.25123122604902715</v>
      </c>
      <c r="Q118" s="95">
        <v>0.12553151892930595</v>
      </c>
      <c r="R118" s="96">
        <v>4.9148286501322837E-2</v>
      </c>
    </row>
    <row r="119" spans="1:18" ht="15.75" hidden="1" customHeight="1" x14ac:dyDescent="0.3">
      <c r="A119" s="89">
        <v>2020</v>
      </c>
      <c r="B119" s="90">
        <v>3</v>
      </c>
      <c r="C119" s="90" t="s">
        <v>724</v>
      </c>
      <c r="D119" s="90" t="s">
        <v>719</v>
      </c>
      <c r="E119" s="91" t="s">
        <v>11</v>
      </c>
      <c r="F119" s="92" t="s">
        <v>34</v>
      </c>
      <c r="G119" s="93">
        <v>14072.628876839801</v>
      </c>
      <c r="H119" s="93">
        <v>42637.769832119498</v>
      </c>
      <c r="I119" s="93">
        <v>2397.5457928860201</v>
      </c>
      <c r="J119" s="93">
        <v>180810.51593349801</v>
      </c>
      <c r="K119" s="93">
        <v>13935.450732323799</v>
      </c>
      <c r="L119" s="93">
        <v>260377.3355404725</v>
      </c>
      <c r="M119" s="93">
        <v>713628.83042008069</v>
      </c>
      <c r="N119" s="95">
        <v>3.1048168700641015E-2</v>
      </c>
      <c r="O119" s="95">
        <v>9.4070886282338381E-2</v>
      </c>
      <c r="P119" s="95">
        <v>0.44521668827242911</v>
      </c>
      <c r="Q119" s="95">
        <v>0.39891874152897072</v>
      </c>
      <c r="R119" s="96">
        <v>3.0745515215620654E-2</v>
      </c>
    </row>
    <row r="120" spans="1:18" ht="15.75" hidden="1" customHeight="1" x14ac:dyDescent="0.3">
      <c r="A120" s="89">
        <v>2020</v>
      </c>
      <c r="B120" s="90">
        <v>3</v>
      </c>
      <c r="C120" s="90" t="s">
        <v>724</v>
      </c>
      <c r="D120" s="90" t="s">
        <v>719</v>
      </c>
      <c r="E120" s="91" t="s">
        <v>11</v>
      </c>
      <c r="F120" s="92" t="s">
        <v>35</v>
      </c>
      <c r="G120" s="93">
        <v>24499.548458445199</v>
      </c>
      <c r="H120" s="93">
        <v>33596.418828769798</v>
      </c>
      <c r="I120" s="93">
        <v>2397.5457928860201</v>
      </c>
      <c r="J120" s="93">
        <v>166773.120788295</v>
      </c>
      <c r="K120" s="93">
        <v>22167.447324770601</v>
      </c>
      <c r="L120" s="93">
        <v>273749.01996337652</v>
      </c>
      <c r="M120" s="93">
        <v>605861.19629491237</v>
      </c>
      <c r="N120" s="95">
        <v>7.3768895585412567E-2</v>
      </c>
      <c r="O120" s="95">
        <v>0.10115985267348847</v>
      </c>
      <c r="P120" s="95">
        <v>0.25616537722581806</v>
      </c>
      <c r="Q120" s="95">
        <v>0.50215900732832885</v>
      </c>
      <c r="R120" s="96">
        <v>6.6746867186951969E-2</v>
      </c>
    </row>
    <row r="121" spans="1:18" ht="15.75" hidden="1" customHeight="1" x14ac:dyDescent="0.3">
      <c r="A121" s="89">
        <v>2020</v>
      </c>
      <c r="B121" s="90">
        <v>3</v>
      </c>
      <c r="C121" s="90" t="s">
        <v>724</v>
      </c>
      <c r="D121" s="90" t="s">
        <v>719</v>
      </c>
      <c r="E121" s="91" t="s">
        <v>11</v>
      </c>
      <c r="F121" s="92" t="s">
        <v>36</v>
      </c>
      <c r="G121" s="93">
        <v>20373.490348920201</v>
      </c>
      <c r="H121" s="93">
        <v>69995.391464721994</v>
      </c>
      <c r="I121" s="93">
        <v>2397.5457928860201</v>
      </c>
      <c r="J121" s="93">
        <v>6150.7779048468101</v>
      </c>
      <c r="K121" s="93">
        <v>0</v>
      </c>
      <c r="L121" s="93">
        <v>93604.001456006197</v>
      </c>
      <c r="M121" s="93">
        <v>258886.87145458773</v>
      </c>
      <c r="N121" s="95">
        <v>0.12326437911620876</v>
      </c>
      <c r="O121" s="95">
        <v>0.42348848047787829</v>
      </c>
      <c r="P121" s="95">
        <v>0.41603349627630881</v>
      </c>
      <c r="Q121" s="95">
        <v>3.7213644129603971E-2</v>
      </c>
      <c r="R121" s="96">
        <v>0</v>
      </c>
    </row>
    <row r="122" spans="1:18" ht="15.75" hidden="1" customHeight="1" x14ac:dyDescent="0.3">
      <c r="A122" s="89">
        <v>2020</v>
      </c>
      <c r="B122" s="90">
        <v>3</v>
      </c>
      <c r="C122" s="90" t="s">
        <v>724</v>
      </c>
      <c r="D122" s="90" t="s">
        <v>719</v>
      </c>
      <c r="E122" s="91" t="s">
        <v>11</v>
      </c>
      <c r="F122" s="92" t="s">
        <v>37</v>
      </c>
      <c r="G122" s="93">
        <v>30241.118937149298</v>
      </c>
      <c r="H122" s="93">
        <v>63987.245911126098</v>
      </c>
      <c r="I122" s="93">
        <v>2397.5457928860201</v>
      </c>
      <c r="J122" s="93">
        <v>52176.6421444316</v>
      </c>
      <c r="K122" s="93">
        <v>2900.5895280254299</v>
      </c>
      <c r="L122" s="93">
        <v>276541.03601143701</v>
      </c>
      <c r="M122" s="93">
        <v>524073.85777631134</v>
      </c>
      <c r="N122" s="95">
        <v>0.12217013776813257</v>
      </c>
      <c r="O122" s="95">
        <v>0.25850004639750807</v>
      </c>
      <c r="P122" s="95">
        <v>0.39682505351732977</v>
      </c>
      <c r="Q122" s="95">
        <v>0.21078676262977758</v>
      </c>
      <c r="R122" s="96">
        <v>1.1717999687252113E-2</v>
      </c>
    </row>
    <row r="123" spans="1:18" ht="15.75" hidden="1" customHeight="1" x14ac:dyDescent="0.3">
      <c r="A123" s="89">
        <v>2020</v>
      </c>
      <c r="B123" s="90">
        <v>3</v>
      </c>
      <c r="C123" s="90" t="s">
        <v>724</v>
      </c>
      <c r="D123" s="90" t="s">
        <v>719</v>
      </c>
      <c r="E123" s="91" t="s">
        <v>11</v>
      </c>
      <c r="F123" s="92" t="s">
        <v>720</v>
      </c>
      <c r="G123" s="93">
        <v>14710.2835406617</v>
      </c>
      <c r="H123" s="93">
        <v>26614.229008255301</v>
      </c>
      <c r="I123" s="93">
        <v>2397.5457928860201</v>
      </c>
      <c r="J123" s="93">
        <v>250368.79667863299</v>
      </c>
      <c r="K123" s="93">
        <v>56562.2100915478</v>
      </c>
      <c r="L123" s="93">
        <v>469021.71259613195</v>
      </c>
      <c r="M123" s="93">
        <v>927958.42268839874</v>
      </c>
      <c r="N123" s="95">
        <v>3.2052967690695905E-2</v>
      </c>
      <c r="O123" s="95">
        <v>5.799106592040687E-2</v>
      </c>
      <c r="P123" s="95">
        <v>0.24116874579703404</v>
      </c>
      <c r="Q123" s="95">
        <v>0.54554101071648353</v>
      </c>
      <c r="R123" s="96">
        <v>0.12324620987537969</v>
      </c>
    </row>
    <row r="124" spans="1:18" ht="15.75" hidden="1" customHeight="1" x14ac:dyDescent="0.3">
      <c r="A124" s="89">
        <v>2020</v>
      </c>
      <c r="B124" s="90">
        <v>3</v>
      </c>
      <c r="C124" s="90" t="s">
        <v>724</v>
      </c>
      <c r="D124" s="90" t="s">
        <v>719</v>
      </c>
      <c r="E124" s="91" t="s">
        <v>11</v>
      </c>
      <c r="F124" s="92" t="s">
        <v>39</v>
      </c>
      <c r="G124" s="93">
        <v>4199.36520418502</v>
      </c>
      <c r="H124" s="93">
        <v>23921.046167887402</v>
      </c>
      <c r="I124" s="93">
        <v>2397.5457928860201</v>
      </c>
      <c r="J124" s="93">
        <v>83974.419722065097</v>
      </c>
      <c r="K124" s="93">
        <v>3321.8200511611499</v>
      </c>
      <c r="L124" s="93">
        <v>106145.20426876261</v>
      </c>
      <c r="M124" s="93">
        <v>331195.1665009713</v>
      </c>
      <c r="N124" s="95">
        <v>1.8659701883673614E-2</v>
      </c>
      <c r="O124" s="95">
        <v>0.10629215810845345</v>
      </c>
      <c r="P124" s="95">
        <v>0.48715098638314513</v>
      </c>
      <c r="Q124" s="95">
        <v>0.37313678655684246</v>
      </c>
      <c r="R124" s="96">
        <v>1.4760367067885418E-2</v>
      </c>
    </row>
    <row r="125" spans="1:18" ht="15.75" hidden="1" customHeight="1" x14ac:dyDescent="0.3">
      <c r="A125" s="89">
        <v>2020</v>
      </c>
      <c r="B125" s="90">
        <v>3</v>
      </c>
      <c r="C125" s="90" t="s">
        <v>724</v>
      </c>
      <c r="D125" s="90" t="s">
        <v>719</v>
      </c>
      <c r="E125" s="91" t="s">
        <v>11</v>
      </c>
      <c r="F125" s="92" t="s">
        <v>40</v>
      </c>
      <c r="G125" s="93">
        <v>14321.224089802199</v>
      </c>
      <c r="H125" s="93">
        <v>51514.986609626299</v>
      </c>
      <c r="I125" s="93">
        <v>2397.5457928860201</v>
      </c>
      <c r="J125" s="93">
        <v>60446.704250559102</v>
      </c>
      <c r="K125" s="93">
        <v>3298.2361938786698</v>
      </c>
      <c r="L125" s="93">
        <v>96718.369161015798</v>
      </c>
      <c r="M125" s="93">
        <v>326305.02470134303</v>
      </c>
      <c r="N125" s="95">
        <v>6.2378294836420288E-2</v>
      </c>
      <c r="O125" s="95">
        <v>0.22438144973359575</v>
      </c>
      <c r="P125" s="95">
        <v>0.43558936019648092</v>
      </c>
      <c r="Q125" s="95">
        <v>0.26328492005904736</v>
      </c>
      <c r="R125" s="96">
        <v>1.4365975174455771E-2</v>
      </c>
    </row>
    <row r="126" spans="1:18" ht="15.75" hidden="1" customHeight="1" x14ac:dyDescent="0.3">
      <c r="A126" s="89">
        <v>2020</v>
      </c>
      <c r="B126" s="90">
        <v>3</v>
      </c>
      <c r="C126" s="90" t="s">
        <v>724</v>
      </c>
      <c r="D126" s="90" t="s">
        <v>719</v>
      </c>
      <c r="E126" s="91" t="s">
        <v>11</v>
      </c>
      <c r="F126" s="92" t="s">
        <v>41</v>
      </c>
      <c r="G126" s="93">
        <v>3917.3712222549002</v>
      </c>
      <c r="H126" s="93">
        <v>6158.96787970898</v>
      </c>
      <c r="I126" s="93">
        <v>2397.5457928860201</v>
      </c>
      <c r="J126" s="93">
        <v>1641.30549382506</v>
      </c>
      <c r="K126" s="93">
        <v>302.159433524816</v>
      </c>
      <c r="L126" s="93">
        <v>2770.0424650612699</v>
      </c>
      <c r="M126" s="93">
        <v>18714.332738962938</v>
      </c>
      <c r="N126" s="95">
        <v>0.24569116310351111</v>
      </c>
      <c r="O126" s="95">
        <v>0.38628046616726847</v>
      </c>
      <c r="P126" s="95">
        <v>0.24613740575280957</v>
      </c>
      <c r="Q126" s="95">
        <v>0.10294001586960712</v>
      </c>
      <c r="R126" s="96">
        <v>1.8950949106803717E-2</v>
      </c>
    </row>
    <row r="127" spans="1:18" ht="15.75" hidden="1" customHeight="1" x14ac:dyDescent="0.3">
      <c r="A127" s="89">
        <v>2020</v>
      </c>
      <c r="B127" s="90">
        <v>3</v>
      </c>
      <c r="C127" s="90" t="s">
        <v>724</v>
      </c>
      <c r="D127" s="90" t="s">
        <v>719</v>
      </c>
      <c r="E127" s="91" t="s">
        <v>11</v>
      </c>
      <c r="F127" s="92" t="s">
        <v>42</v>
      </c>
      <c r="G127" s="93">
        <v>13972.0213634007</v>
      </c>
      <c r="H127" s="93">
        <v>74015.605128812706</v>
      </c>
      <c r="I127" s="93">
        <v>2397.5457928860201</v>
      </c>
      <c r="J127" s="93">
        <v>169213.104869106</v>
      </c>
      <c r="K127" s="93">
        <v>5800.7938818198299</v>
      </c>
      <c r="L127" s="93">
        <v>40831.418383854099</v>
      </c>
      <c r="M127" s="93">
        <v>620824.33975002135</v>
      </c>
      <c r="N127" s="95">
        <v>2.4089986013087452E-2</v>
      </c>
      <c r="O127" s="95">
        <v>0.12761466976953739</v>
      </c>
      <c r="P127" s="95">
        <v>0.54654356018062789</v>
      </c>
      <c r="Q127" s="95">
        <v>0.29175029321138318</v>
      </c>
      <c r="R127" s="96">
        <v>1.0001490825364076E-2</v>
      </c>
    </row>
    <row r="128" spans="1:18" ht="15.75" hidden="1" customHeight="1" x14ac:dyDescent="0.3">
      <c r="A128" s="89">
        <v>2020</v>
      </c>
      <c r="B128" s="90">
        <v>3</v>
      </c>
      <c r="C128" s="90" t="s">
        <v>724</v>
      </c>
      <c r="D128" s="90" t="s">
        <v>719</v>
      </c>
      <c r="E128" s="91" t="s">
        <v>11</v>
      </c>
      <c r="F128" s="92" t="s">
        <v>43</v>
      </c>
      <c r="G128" s="93">
        <v>2961.4046940211401</v>
      </c>
      <c r="H128" s="93">
        <v>12004.051644675301</v>
      </c>
      <c r="I128" s="93">
        <v>2397.5457928860201</v>
      </c>
      <c r="J128" s="93">
        <v>25843.685628921601</v>
      </c>
      <c r="K128" s="93">
        <v>3657.5821075980498</v>
      </c>
      <c r="L128" s="93">
        <v>117223.33810844175</v>
      </c>
      <c r="M128" s="93">
        <v>185575.48510012374</v>
      </c>
      <c r="N128" s="95">
        <v>4.3325701157295379E-2</v>
      </c>
      <c r="O128" s="95">
        <v>0.17562069624727539</v>
      </c>
      <c r="P128" s="95">
        <v>0.34944656411996244</v>
      </c>
      <c r="Q128" s="95">
        <v>0.37809617936458689</v>
      </c>
      <c r="R128" s="96">
        <v>5.3510859110879917E-2</v>
      </c>
    </row>
    <row r="129" spans="1:18" ht="15.75" hidden="1" customHeight="1" x14ac:dyDescent="0.3">
      <c r="A129" s="89">
        <v>2020</v>
      </c>
      <c r="B129" s="90">
        <v>3</v>
      </c>
      <c r="C129" s="90" t="s">
        <v>724</v>
      </c>
      <c r="D129" s="90" t="s">
        <v>719</v>
      </c>
      <c r="E129" s="91" t="s">
        <v>11</v>
      </c>
      <c r="F129" s="92" t="s">
        <v>58</v>
      </c>
      <c r="G129" s="93">
        <v>16999.471671573101</v>
      </c>
      <c r="H129" s="93">
        <v>101508.227745186</v>
      </c>
      <c r="I129" s="93">
        <v>2397.5457928860201</v>
      </c>
      <c r="J129" s="93">
        <v>61020.736942629097</v>
      </c>
      <c r="K129" s="93">
        <v>2479.4446848207599</v>
      </c>
      <c r="L129" s="93">
        <v>7559.5520385048903</v>
      </c>
      <c r="M129" s="93">
        <v>371477.12559241988</v>
      </c>
      <c r="N129" s="95">
        <v>4.6712423106037779E-2</v>
      </c>
      <c r="O129" s="95">
        <v>0.27893192063764788</v>
      </c>
      <c r="P129" s="95">
        <v>0.49986509509070404</v>
      </c>
      <c r="Q129" s="95">
        <v>0.16767735711886081</v>
      </c>
      <c r="R129" s="96">
        <v>6.8132040467494114E-3</v>
      </c>
    </row>
    <row r="130" spans="1:18" ht="15.75" hidden="1" customHeight="1" x14ac:dyDescent="0.3">
      <c r="A130" s="89">
        <v>2020</v>
      </c>
      <c r="B130" s="90">
        <v>3</v>
      </c>
      <c r="C130" s="90" t="s">
        <v>724</v>
      </c>
      <c r="D130" s="90" t="s">
        <v>719</v>
      </c>
      <c r="E130" s="91" t="s">
        <v>11</v>
      </c>
      <c r="F130" s="92" t="s">
        <v>44</v>
      </c>
      <c r="G130" s="93">
        <v>12095.478721318899</v>
      </c>
      <c r="H130" s="93">
        <v>51350.383093413999</v>
      </c>
      <c r="I130" s="93">
        <v>2397.5457928860201</v>
      </c>
      <c r="J130" s="93">
        <v>5935.9007084344403</v>
      </c>
      <c r="K130" s="93">
        <v>85.400963671875004</v>
      </c>
      <c r="L130" s="93">
        <v>104770.4718129308</v>
      </c>
      <c r="M130" s="93">
        <v>215729.28855107789</v>
      </c>
      <c r="N130" s="95">
        <v>0.10900872122548989</v>
      </c>
      <c r="O130" s="95">
        <v>0.4627877675966599</v>
      </c>
      <c r="P130" s="95">
        <v>0.37393741634091593</v>
      </c>
      <c r="Q130" s="95">
        <v>5.3496431224952914E-2</v>
      </c>
      <c r="R130" s="96">
        <v>7.6966361198149453E-4</v>
      </c>
    </row>
    <row r="131" spans="1:18" ht="15.75" hidden="1" customHeight="1" x14ac:dyDescent="0.3">
      <c r="A131" s="89">
        <v>2020</v>
      </c>
      <c r="B131" s="90">
        <v>3</v>
      </c>
      <c r="C131" s="90" t="s">
        <v>724</v>
      </c>
      <c r="D131" s="90" t="s">
        <v>719</v>
      </c>
      <c r="E131" s="91" t="s">
        <v>11</v>
      </c>
      <c r="F131" s="92" t="s">
        <v>51</v>
      </c>
      <c r="G131" s="93">
        <v>7933.8776494255599</v>
      </c>
      <c r="H131" s="93">
        <v>32599.352764552001</v>
      </c>
      <c r="I131" s="93">
        <v>2397.5457928860201</v>
      </c>
      <c r="J131" s="93">
        <v>40288.802683154798</v>
      </c>
      <c r="K131" s="93">
        <v>14087.2608672366</v>
      </c>
      <c r="L131" s="93">
        <v>28474.008675000201</v>
      </c>
      <c r="M131" s="93">
        <v>211202.40923547483</v>
      </c>
      <c r="N131" s="95">
        <v>4.3418962925797701E-2</v>
      </c>
      <c r="O131" s="95">
        <v>0.17840331696967449</v>
      </c>
      <c r="P131" s="95">
        <v>0.48059910953492774</v>
      </c>
      <c r="Q131" s="95">
        <v>0.22048462395324842</v>
      </c>
      <c r="R131" s="96">
        <v>7.7093986616351792E-2</v>
      </c>
    </row>
    <row r="132" spans="1:18" ht="15.75" hidden="1" customHeight="1" x14ac:dyDescent="0.3">
      <c r="A132" s="89">
        <v>2020</v>
      </c>
      <c r="B132" s="90">
        <v>3</v>
      </c>
      <c r="C132" s="90" t="s">
        <v>724</v>
      </c>
      <c r="D132" s="90" t="s">
        <v>719</v>
      </c>
      <c r="E132" s="91" t="s">
        <v>11</v>
      </c>
      <c r="F132" s="92" t="s">
        <v>45</v>
      </c>
      <c r="G132" s="93">
        <v>3404.7315082169098</v>
      </c>
      <c r="H132" s="93">
        <v>7304.1889498406999</v>
      </c>
      <c r="I132" s="93">
        <v>2397.5457928860201</v>
      </c>
      <c r="J132" s="93">
        <v>20257.774272433999</v>
      </c>
      <c r="K132" s="93">
        <v>1330.7314352067999</v>
      </c>
      <c r="L132" s="93">
        <v>81346.490625244594</v>
      </c>
      <c r="M132" s="93">
        <v>134096.09203645919</v>
      </c>
      <c r="N132" s="95">
        <v>6.454516085676168E-2</v>
      </c>
      <c r="O132" s="95">
        <v>0.13846908326188459</v>
      </c>
      <c r="P132" s="95">
        <v>0.38772189169884513</v>
      </c>
      <c r="Q132" s="95">
        <v>0.38403653734769605</v>
      </c>
      <c r="R132" s="96">
        <v>2.5227326834812543E-2</v>
      </c>
    </row>
    <row r="133" spans="1:18" ht="15.75" hidden="1" customHeight="1" x14ac:dyDescent="0.3">
      <c r="A133" s="89">
        <v>2020</v>
      </c>
      <c r="B133" s="90">
        <v>3</v>
      </c>
      <c r="C133" s="90" t="s">
        <v>724</v>
      </c>
      <c r="D133" s="90" t="s">
        <v>719</v>
      </c>
      <c r="E133" s="91" t="s">
        <v>11</v>
      </c>
      <c r="F133" s="92" t="s">
        <v>721</v>
      </c>
      <c r="G133" s="93">
        <v>3868.88418652573</v>
      </c>
      <c r="H133" s="93">
        <v>20961.855585753699</v>
      </c>
      <c r="I133" s="93">
        <v>2397.5457928860201</v>
      </c>
      <c r="J133" s="93">
        <v>142048.07114016701</v>
      </c>
      <c r="K133" s="93">
        <v>28876.550236137198</v>
      </c>
      <c r="L133" s="93">
        <v>4218.6967070603578</v>
      </c>
      <c r="M133" s="93">
        <v>309330.85090303601</v>
      </c>
      <c r="N133" s="95">
        <v>1.268020343771923E-2</v>
      </c>
      <c r="O133" s="95">
        <v>6.8702132306042968E-2</v>
      </c>
      <c r="P133" s="95">
        <v>0.3584150665369803</v>
      </c>
      <c r="Q133" s="95">
        <v>0.46556018561269297</v>
      </c>
      <c r="R133" s="96">
        <v>9.4642412106564572E-2</v>
      </c>
    </row>
    <row r="134" spans="1:18" ht="15.75" hidden="1" customHeight="1" x14ac:dyDescent="0.3">
      <c r="A134" s="89">
        <v>2020</v>
      </c>
      <c r="B134" s="90">
        <v>3</v>
      </c>
      <c r="C134" s="90" t="s">
        <v>724</v>
      </c>
      <c r="D134" s="90" t="s">
        <v>719</v>
      </c>
      <c r="E134" s="91" t="s">
        <v>11</v>
      </c>
      <c r="F134" s="92" t="s">
        <v>46</v>
      </c>
      <c r="G134" s="93">
        <v>6242.2974550612298</v>
      </c>
      <c r="H134" s="93">
        <v>18190.794847591998</v>
      </c>
      <c r="I134" s="93">
        <v>2397.5457928860201</v>
      </c>
      <c r="J134" s="93">
        <v>22281.109814702599</v>
      </c>
      <c r="K134" s="93">
        <v>3194.5864871415301</v>
      </c>
      <c r="L134" s="93">
        <v>62114.718832270402</v>
      </c>
      <c r="M134" s="93">
        <v>149075.00300838868</v>
      </c>
      <c r="N134" s="95">
        <v>7.1783314810918472E-2</v>
      </c>
      <c r="O134" s="95">
        <v>0.20918508972154096</v>
      </c>
      <c r="P134" s="95">
        <v>0.42607376370322719</v>
      </c>
      <c r="Q134" s="95">
        <v>0.25622167666307621</v>
      </c>
      <c r="R134" s="96">
        <v>3.6736155101237046E-2</v>
      </c>
    </row>
    <row r="135" spans="1:18" ht="15.75" hidden="1" customHeight="1" x14ac:dyDescent="0.3">
      <c r="A135" s="89">
        <v>2020</v>
      </c>
      <c r="B135" s="90">
        <v>3</v>
      </c>
      <c r="C135" s="90" t="s">
        <v>724</v>
      </c>
      <c r="D135" s="90" t="s">
        <v>719</v>
      </c>
      <c r="E135" s="91" t="s">
        <v>11</v>
      </c>
      <c r="F135" s="92" t="s">
        <v>47</v>
      </c>
      <c r="G135" s="93">
        <v>19114.0299274356</v>
      </c>
      <c r="H135" s="93">
        <v>231216.45730911</v>
      </c>
      <c r="I135" s="93">
        <v>2397.5457928860201</v>
      </c>
      <c r="J135" s="93">
        <v>264293.275910453</v>
      </c>
      <c r="K135" s="93">
        <v>52663.740642993202</v>
      </c>
      <c r="L135" s="93">
        <v>349058.71003591397</v>
      </c>
      <c r="M135" s="93">
        <v>1461770.3581409575</v>
      </c>
      <c r="N135" s="95">
        <v>1.7177882481941246E-2</v>
      </c>
      <c r="O135" s="95">
        <v>0.207795485652436</v>
      </c>
      <c r="P135" s="95">
        <v>0.49017564006264641</v>
      </c>
      <c r="Q135" s="95">
        <v>0.23752180213134863</v>
      </c>
      <c r="R135" s="96">
        <v>4.7329189671627817E-2</v>
      </c>
    </row>
    <row r="136" spans="1:18" ht="15.75" hidden="1" customHeight="1" x14ac:dyDescent="0.3">
      <c r="A136" s="89">
        <v>2020</v>
      </c>
      <c r="B136" s="90">
        <v>3</v>
      </c>
      <c r="C136" s="90" t="s">
        <v>724</v>
      </c>
      <c r="D136" s="90" t="s">
        <v>719</v>
      </c>
      <c r="E136" s="91" t="s">
        <v>11</v>
      </c>
      <c r="F136" s="92" t="s">
        <v>48</v>
      </c>
      <c r="G136" s="93">
        <v>647.96176092984001</v>
      </c>
      <c r="H136" s="93">
        <v>2629.1942675229702</v>
      </c>
      <c r="I136" s="93">
        <v>2397.5457928860201</v>
      </c>
      <c r="J136" s="93">
        <v>9488.0313176730506</v>
      </c>
      <c r="K136" s="93">
        <v>475.36575645220501</v>
      </c>
      <c r="L136" s="93">
        <v>83742.445584601068</v>
      </c>
      <c r="M136" s="93">
        <v>110314.39779994234</v>
      </c>
      <c r="N136" s="95">
        <v>2.4385177110010779E-2</v>
      </c>
      <c r="O136" s="95">
        <v>9.8946221422339081E-2</v>
      </c>
      <c r="P136" s="95">
        <v>0.50170943424572101</v>
      </c>
      <c r="Q136" s="95">
        <v>0.35706941066208731</v>
      </c>
      <c r="R136" s="96">
        <v>1.7889756559841829E-2</v>
      </c>
    </row>
    <row r="137" spans="1:18" ht="15.75" hidden="1" customHeight="1" x14ac:dyDescent="0.3">
      <c r="A137" s="89">
        <v>2020</v>
      </c>
      <c r="B137" s="90">
        <v>3</v>
      </c>
      <c r="C137" s="90" t="s">
        <v>724</v>
      </c>
      <c r="D137" s="90" t="s">
        <v>722</v>
      </c>
      <c r="E137" s="91" t="s">
        <v>11</v>
      </c>
      <c r="F137" s="92" t="s">
        <v>12</v>
      </c>
      <c r="G137" s="93">
        <v>12770.009227504601</v>
      </c>
      <c r="H137" s="93">
        <v>67223.734305416001</v>
      </c>
      <c r="I137" s="93">
        <v>2397.5457928860201</v>
      </c>
      <c r="J137" s="93">
        <v>111336.43399518001</v>
      </c>
      <c r="K137" s="93">
        <v>5874.5471082291697</v>
      </c>
      <c r="L137" s="93">
        <v>48441.707519874726</v>
      </c>
      <c r="M137" s="93">
        <v>433311.47680229455</v>
      </c>
      <c r="N137" s="95">
        <v>3.3180078683015216E-2</v>
      </c>
      <c r="O137" s="95">
        <v>0.17466618495589559</v>
      </c>
      <c r="P137" s="95">
        <v>0.48760661300051406</v>
      </c>
      <c r="Q137" s="95">
        <v>0.28928339631030009</v>
      </c>
      <c r="R137" s="96">
        <v>1.5263727050275001E-2</v>
      </c>
    </row>
    <row r="138" spans="1:18" ht="15.75" hidden="1" customHeight="1" x14ac:dyDescent="0.3">
      <c r="A138" s="89">
        <v>2020</v>
      </c>
      <c r="B138" s="90">
        <v>3</v>
      </c>
      <c r="C138" s="90" t="s">
        <v>724</v>
      </c>
      <c r="D138" s="90" t="s">
        <v>722</v>
      </c>
      <c r="E138" s="91" t="s">
        <v>11</v>
      </c>
      <c r="F138" s="92" t="s">
        <v>26</v>
      </c>
      <c r="G138" s="93">
        <v>14945.7470009222</v>
      </c>
      <c r="H138" s="93">
        <v>66766.491750414105</v>
      </c>
      <c r="I138" s="93">
        <v>2397.5457928860201</v>
      </c>
      <c r="J138" s="93">
        <v>513643.713729357</v>
      </c>
      <c r="K138" s="93">
        <v>42256.1123357693</v>
      </c>
      <c r="L138" s="93">
        <v>260086.95583483001</v>
      </c>
      <c r="M138" s="93">
        <v>1302393.3163907037</v>
      </c>
      <c r="N138" s="95">
        <v>1.433911138463308E-2</v>
      </c>
      <c r="O138" s="95">
        <v>6.4056494594167873E-2</v>
      </c>
      <c r="P138" s="95">
        <v>0.38826808609666646</v>
      </c>
      <c r="Q138" s="95">
        <v>0.49279533654138413</v>
      </c>
      <c r="R138" s="96">
        <v>4.0540971383148466E-2</v>
      </c>
    </row>
    <row r="139" spans="1:18" ht="15.75" hidden="1" customHeight="1" x14ac:dyDescent="0.3">
      <c r="A139" s="89">
        <v>2020</v>
      </c>
      <c r="B139" s="90">
        <v>3</v>
      </c>
      <c r="C139" s="90" t="s">
        <v>724</v>
      </c>
      <c r="D139" s="90" t="s">
        <v>722</v>
      </c>
      <c r="E139" s="91" t="s">
        <v>11</v>
      </c>
      <c r="F139" s="92" t="s">
        <v>27</v>
      </c>
      <c r="G139" s="93">
        <v>688.52858554687396</v>
      </c>
      <c r="H139" s="93">
        <v>7162.0870069025796</v>
      </c>
      <c r="I139" s="93">
        <v>2397.5457928860201</v>
      </c>
      <c r="J139" s="93">
        <v>111439.383278583</v>
      </c>
      <c r="K139" s="93">
        <v>6208.4119883532203</v>
      </c>
      <c r="L139" s="93">
        <v>2229.7964332904339</v>
      </c>
      <c r="M139" s="93">
        <v>226689.6169993006</v>
      </c>
      <c r="N139" s="95">
        <v>3.067491472686036E-3</v>
      </c>
      <c r="O139" s="95">
        <v>3.1908102701152789E-2</v>
      </c>
      <c r="P139" s="95">
        <v>0.44088696790845683</v>
      </c>
      <c r="Q139" s="95">
        <v>0.49647809125736336</v>
      </c>
      <c r="R139" s="96">
        <v>2.765934666034103E-2</v>
      </c>
    </row>
    <row r="140" spans="1:18" ht="15.75" hidden="1" customHeight="1" x14ac:dyDescent="0.3">
      <c r="A140" s="89">
        <v>2020</v>
      </c>
      <c r="B140" s="90">
        <v>3</v>
      </c>
      <c r="C140" s="90" t="s">
        <v>724</v>
      </c>
      <c r="D140" s="90" t="s">
        <v>722</v>
      </c>
      <c r="E140" s="91" t="s">
        <v>11</v>
      </c>
      <c r="F140" s="92" t="s">
        <v>28</v>
      </c>
      <c r="G140" s="93">
        <v>818.43557535539196</v>
      </c>
      <c r="H140" s="93">
        <v>4163.9543468550601</v>
      </c>
      <c r="I140" s="93">
        <v>2397.5457928860201</v>
      </c>
      <c r="J140" s="93">
        <v>275931.07088381302</v>
      </c>
      <c r="K140" s="93">
        <v>31542.5787592583</v>
      </c>
      <c r="L140" s="93">
        <v>3242.1224444301401</v>
      </c>
      <c r="M140" s="93">
        <v>373104.58101493464</v>
      </c>
      <c r="N140" s="95">
        <v>2.2128106175430583E-3</v>
      </c>
      <c r="O140" s="95">
        <v>1.1258115686973168E-2</v>
      </c>
      <c r="P140" s="95">
        <v>0.15521018063605307</v>
      </c>
      <c r="Q140" s="95">
        <v>0.74603697804386404</v>
      </c>
      <c r="R140" s="96">
        <v>8.5281915015566631E-2</v>
      </c>
    </row>
    <row r="141" spans="1:18" ht="15.75" customHeight="1" x14ac:dyDescent="0.3">
      <c r="A141" s="89">
        <v>2020</v>
      </c>
      <c r="B141" s="90">
        <v>3</v>
      </c>
      <c r="C141" s="90" t="s">
        <v>724</v>
      </c>
      <c r="D141" s="90" t="s">
        <v>722</v>
      </c>
      <c r="E141" s="91" t="s">
        <v>11</v>
      </c>
      <c r="F141" s="92" t="s">
        <v>29</v>
      </c>
      <c r="G141" s="93">
        <v>2601.6757945864001</v>
      </c>
      <c r="H141" s="93">
        <v>9062.5758265639997</v>
      </c>
      <c r="I141" s="93">
        <v>2397.5457928860201</v>
      </c>
      <c r="J141" s="93">
        <v>193836.65769165699</v>
      </c>
      <c r="K141" s="93">
        <v>18757.771900067401</v>
      </c>
      <c r="L141" s="93">
        <v>60636.491179521254</v>
      </c>
      <c r="M141" s="93">
        <v>354392.05486975942</v>
      </c>
      <c r="N141" s="95">
        <v>8.8566009164334908E-3</v>
      </c>
      <c r="O141" s="95">
        <v>3.0850737642948545E-2</v>
      </c>
      <c r="P141" s="95">
        <v>0.23658065094776232</v>
      </c>
      <c r="Q141" s="95">
        <v>0.65985697515521957</v>
      </c>
      <c r="R141" s="96">
        <v>6.3855035337636201E-2</v>
      </c>
    </row>
    <row r="142" spans="1:18" ht="15.75" hidden="1" customHeight="1" x14ac:dyDescent="0.3">
      <c r="A142" s="89">
        <v>2020</v>
      </c>
      <c r="B142" s="90">
        <v>3</v>
      </c>
      <c r="C142" s="90" t="s">
        <v>724</v>
      </c>
      <c r="D142" s="90" t="s">
        <v>722</v>
      </c>
      <c r="E142" s="91" t="s">
        <v>11</v>
      </c>
      <c r="F142" s="92" t="s">
        <v>30</v>
      </c>
      <c r="G142" s="93">
        <v>76.723203002450902</v>
      </c>
      <c r="H142" s="93">
        <v>1312.6014262454</v>
      </c>
      <c r="I142" s="93">
        <v>2397.5457928860201</v>
      </c>
      <c r="J142" s="93">
        <v>6265.8111983088102</v>
      </c>
      <c r="K142" s="93">
        <v>451.874358969056</v>
      </c>
      <c r="L142" s="93">
        <v>216128.61534135233</v>
      </c>
      <c r="M142" s="93">
        <v>230086.50016211672</v>
      </c>
      <c r="N142" s="95">
        <v>5.4967643011578663E-3</v>
      </c>
      <c r="O142" s="95">
        <v>9.4040138824810687E-2</v>
      </c>
      <c r="P142" s="95">
        <v>0.41918060718875078</v>
      </c>
      <c r="Q142" s="95">
        <v>0.4489083610281342</v>
      </c>
      <c r="R142" s="96">
        <v>3.2374128657146339E-2</v>
      </c>
    </row>
    <row r="143" spans="1:18" ht="15.75" hidden="1" customHeight="1" x14ac:dyDescent="0.3">
      <c r="A143" s="89">
        <v>2020</v>
      </c>
      <c r="B143" s="90">
        <v>3</v>
      </c>
      <c r="C143" s="90" t="s">
        <v>724</v>
      </c>
      <c r="D143" s="90" t="s">
        <v>722</v>
      </c>
      <c r="E143" s="91" t="s">
        <v>11</v>
      </c>
      <c r="F143" s="92" t="s">
        <v>31</v>
      </c>
      <c r="G143" s="93">
        <v>4095.9535002129301</v>
      </c>
      <c r="H143" s="93">
        <v>29063.4313857204</v>
      </c>
      <c r="I143" s="93">
        <v>2397.5457928860201</v>
      </c>
      <c r="J143" s="93">
        <v>85334.765664865001</v>
      </c>
      <c r="K143" s="93">
        <v>24586.7650345773</v>
      </c>
      <c r="L143" s="93">
        <v>47219.263869752249</v>
      </c>
      <c r="M143" s="93">
        <v>251948.68865991948</v>
      </c>
      <c r="N143" s="95">
        <v>2.0006667358202095E-2</v>
      </c>
      <c r="O143" s="95">
        <v>0.14196020633335096</v>
      </c>
      <c r="P143" s="95">
        <v>0.30112187961245351</v>
      </c>
      <c r="Q143" s="95">
        <v>0.41681729801335066</v>
      </c>
      <c r="R143" s="96">
        <v>0.12009394868264268</v>
      </c>
    </row>
    <row r="144" spans="1:18" ht="15.75" hidden="1" customHeight="1" x14ac:dyDescent="0.3">
      <c r="A144" s="89">
        <v>2020</v>
      </c>
      <c r="B144" s="90">
        <v>3</v>
      </c>
      <c r="C144" s="90" t="s">
        <v>724</v>
      </c>
      <c r="D144" s="90" t="s">
        <v>722</v>
      </c>
      <c r="E144" s="91" t="s">
        <v>11</v>
      </c>
      <c r="F144" s="92" t="s">
        <v>32</v>
      </c>
      <c r="G144" s="93">
        <v>5478.5856519193903</v>
      </c>
      <c r="H144" s="93">
        <v>48298.339955462601</v>
      </c>
      <c r="I144" s="93">
        <v>2397.5457928860201</v>
      </c>
      <c r="J144" s="93">
        <v>260972.65394780401</v>
      </c>
      <c r="K144" s="93">
        <v>22616.003685477899</v>
      </c>
      <c r="L144" s="93">
        <v>34713.565078655403</v>
      </c>
      <c r="M144" s="93">
        <v>609521.81280336122</v>
      </c>
      <c r="N144" s="95">
        <v>9.5311535170303635E-3</v>
      </c>
      <c r="O144" s="95">
        <v>8.4025133854019135E-2</v>
      </c>
      <c r="P144" s="95">
        <v>0.41308151966142442</v>
      </c>
      <c r="Q144" s="95">
        <v>0.45401689168662068</v>
      </c>
      <c r="R144" s="96">
        <v>3.9345301280905472E-2</v>
      </c>
    </row>
    <row r="145" spans="1:18" ht="15.75" hidden="1" customHeight="1" x14ac:dyDescent="0.3">
      <c r="A145" s="89">
        <v>2020</v>
      </c>
      <c r="B145" s="90">
        <v>3</v>
      </c>
      <c r="C145" s="90" t="s">
        <v>724</v>
      </c>
      <c r="D145" s="90" t="s">
        <v>722</v>
      </c>
      <c r="E145" s="91" t="s">
        <v>11</v>
      </c>
      <c r="F145" s="92" t="s">
        <v>33</v>
      </c>
      <c r="G145" s="93">
        <v>8691.3678316973201</v>
      </c>
      <c r="H145" s="93">
        <v>46809.197250796999</v>
      </c>
      <c r="I145" s="93">
        <v>2397.5457928860201</v>
      </c>
      <c r="J145" s="93">
        <v>775647.49251106905</v>
      </c>
      <c r="K145" s="93">
        <v>225397.909695632</v>
      </c>
      <c r="L145" s="93">
        <v>35491.714677089381</v>
      </c>
      <c r="M145" s="93">
        <v>1352056.7882570287</v>
      </c>
      <c r="N145" s="95">
        <v>6.6015482303994118E-3</v>
      </c>
      <c r="O145" s="95">
        <v>3.555403237571518E-2</v>
      </c>
      <c r="P145" s="95">
        <v>0.1974981043540163</v>
      </c>
      <c r="Q145" s="95">
        <v>0.58914481940643193</v>
      </c>
      <c r="R145" s="96">
        <v>0.17120149563343728</v>
      </c>
    </row>
    <row r="146" spans="1:18" ht="15.75" hidden="1" customHeight="1" x14ac:dyDescent="0.3">
      <c r="A146" s="89">
        <v>2020</v>
      </c>
      <c r="B146" s="90">
        <v>3</v>
      </c>
      <c r="C146" s="90" t="s">
        <v>724</v>
      </c>
      <c r="D146" s="90" t="s">
        <v>722</v>
      </c>
      <c r="E146" s="91" t="s">
        <v>11</v>
      </c>
      <c r="F146" s="92" t="s">
        <v>34</v>
      </c>
      <c r="G146" s="93">
        <v>9028.8465690057892</v>
      </c>
      <c r="H146" s="93">
        <v>19908.830375251498</v>
      </c>
      <c r="I146" s="93">
        <v>2397.5457928860201</v>
      </c>
      <c r="J146" s="93">
        <v>410090.63964629499</v>
      </c>
      <c r="K146" s="93">
        <v>64427.563404833803</v>
      </c>
      <c r="L146" s="93">
        <v>28639.906458358779</v>
      </c>
      <c r="M146" s="93">
        <v>713628.83042003878</v>
      </c>
      <c r="N146" s="95">
        <v>1.318101103998418E-2</v>
      </c>
      <c r="O146" s="95">
        <v>2.90644559040567E-2</v>
      </c>
      <c r="P146" s="95">
        <v>0.26501602816639036</v>
      </c>
      <c r="Q146" s="95">
        <v>0.59868214696743982</v>
      </c>
      <c r="R146" s="96">
        <v>9.4056357922129033E-2</v>
      </c>
    </row>
    <row r="147" spans="1:18" ht="15.75" hidden="1" customHeight="1" x14ac:dyDescent="0.3">
      <c r="A147" s="89">
        <v>2020</v>
      </c>
      <c r="B147" s="90">
        <v>3</v>
      </c>
      <c r="C147" s="90" t="s">
        <v>724</v>
      </c>
      <c r="D147" s="90" t="s">
        <v>722</v>
      </c>
      <c r="E147" s="91" t="s">
        <v>11</v>
      </c>
      <c r="F147" s="92" t="s">
        <v>35</v>
      </c>
      <c r="G147" s="93">
        <v>22429.6873288235</v>
      </c>
      <c r="H147" s="93">
        <v>30248.646438290401</v>
      </c>
      <c r="I147" s="93">
        <v>2397.5457928860201</v>
      </c>
      <c r="J147" s="93">
        <v>191561.188322323</v>
      </c>
      <c r="K147" s="93">
        <v>49422.534091067602</v>
      </c>
      <c r="L147" s="93">
        <v>235482.27328545149</v>
      </c>
      <c r="M147" s="93">
        <v>605861.19629491225</v>
      </c>
      <c r="N147" s="95">
        <v>6.0558757357395757E-2</v>
      </c>
      <c r="O147" s="95">
        <v>8.1669459461973071E-2</v>
      </c>
      <c r="P147" s="95">
        <v>0.20713075734872927</v>
      </c>
      <c r="Q147" s="95">
        <v>0.51720326514754145</v>
      </c>
      <c r="R147" s="96">
        <v>0.13343776068436047</v>
      </c>
    </row>
    <row r="148" spans="1:18" ht="15.75" hidden="1" customHeight="1" x14ac:dyDescent="0.3">
      <c r="A148" s="89">
        <v>2020</v>
      </c>
      <c r="B148" s="90">
        <v>3</v>
      </c>
      <c r="C148" s="90" t="s">
        <v>724</v>
      </c>
      <c r="D148" s="90" t="s">
        <v>722</v>
      </c>
      <c r="E148" s="91" t="s">
        <v>11</v>
      </c>
      <c r="F148" s="92" t="s">
        <v>36</v>
      </c>
      <c r="G148" s="93">
        <v>1829.2058537944199</v>
      </c>
      <c r="H148" s="93">
        <v>12065.9159940319</v>
      </c>
      <c r="I148" s="93">
        <v>2397.5457928860201</v>
      </c>
      <c r="J148" s="93">
        <v>119685.497044326</v>
      </c>
      <c r="K148" s="93">
        <v>3270.3054685707698</v>
      </c>
      <c r="L148" s="93">
        <v>33443.005926639205</v>
      </c>
      <c r="M148" s="93">
        <v>258886.87145457638</v>
      </c>
      <c r="N148" s="95">
        <v>8.1137974169793649E-3</v>
      </c>
      <c r="O148" s="95">
        <v>5.3520711090436317E-2</v>
      </c>
      <c r="P148" s="95">
        <v>0.39297117692579486</v>
      </c>
      <c r="Q148" s="95">
        <v>0.53088824024574977</v>
      </c>
      <c r="R148" s="96">
        <v>1.4506074321039848E-2</v>
      </c>
    </row>
    <row r="149" spans="1:18" ht="15.75" hidden="1" customHeight="1" x14ac:dyDescent="0.3">
      <c r="A149" s="89">
        <v>2020</v>
      </c>
      <c r="B149" s="90">
        <v>3</v>
      </c>
      <c r="C149" s="90" t="s">
        <v>724</v>
      </c>
      <c r="D149" s="90" t="s">
        <v>722</v>
      </c>
      <c r="E149" s="91" t="s">
        <v>11</v>
      </c>
      <c r="F149" s="92" t="s">
        <v>37</v>
      </c>
      <c r="G149" s="93">
        <v>5490.0411141038503</v>
      </c>
      <c r="H149" s="93">
        <v>25142.360552688398</v>
      </c>
      <c r="I149" s="93">
        <v>2397.5457928860201</v>
      </c>
      <c r="J149" s="93">
        <v>206654.66707669801</v>
      </c>
      <c r="K149" s="93">
        <v>13050.1984431939</v>
      </c>
      <c r="L149" s="93">
        <v>142298.57097267397</v>
      </c>
      <c r="M149" s="93">
        <v>524073.85777631809</v>
      </c>
      <c r="N149" s="95">
        <v>1.4380294649421624E-2</v>
      </c>
      <c r="O149" s="95">
        <v>6.5856438124083441E-2</v>
      </c>
      <c r="P149" s="95">
        <v>0.34428111027668901</v>
      </c>
      <c r="Q149" s="95">
        <v>0.54129922553888432</v>
      </c>
      <c r="R149" s="96">
        <v>3.4182931410921623E-2</v>
      </c>
    </row>
    <row r="150" spans="1:18" ht="15.75" hidden="1" customHeight="1" x14ac:dyDescent="0.3">
      <c r="A150" s="89">
        <v>2020</v>
      </c>
      <c r="B150" s="90">
        <v>3</v>
      </c>
      <c r="C150" s="90" t="s">
        <v>724</v>
      </c>
      <c r="D150" s="90" t="s">
        <v>722</v>
      </c>
      <c r="E150" s="91" t="s">
        <v>11</v>
      </c>
      <c r="F150" s="92" t="s">
        <v>720</v>
      </c>
      <c r="G150" s="93">
        <v>17310.228659771601</v>
      </c>
      <c r="H150" s="93">
        <v>25733.3802502986</v>
      </c>
      <c r="I150" s="93">
        <v>2397.5457928860201</v>
      </c>
      <c r="J150" s="93">
        <v>457238.13960240799</v>
      </c>
      <c r="K150" s="93">
        <v>135456.92233185301</v>
      </c>
      <c r="L150" s="93">
        <v>162140.84695658513</v>
      </c>
      <c r="M150" s="93">
        <v>927958.42268836522</v>
      </c>
      <c r="N150" s="95">
        <v>2.2603592824610667E-2</v>
      </c>
      <c r="O150" s="95">
        <v>3.3602493682270168E-2</v>
      </c>
      <c r="P150" s="95">
        <v>0.16985625429548487</v>
      </c>
      <c r="Q150" s="95">
        <v>0.5970588219596451</v>
      </c>
      <c r="R150" s="96">
        <v>0.17687883723798919</v>
      </c>
    </row>
    <row r="151" spans="1:18" ht="15.75" hidden="1" customHeight="1" x14ac:dyDescent="0.3">
      <c r="A151" s="89">
        <v>2020</v>
      </c>
      <c r="B151" s="90">
        <v>3</v>
      </c>
      <c r="C151" s="90" t="s">
        <v>724</v>
      </c>
      <c r="D151" s="90" t="s">
        <v>722</v>
      </c>
      <c r="E151" s="91" t="s">
        <v>11</v>
      </c>
      <c r="F151" s="92" t="s">
        <v>39</v>
      </c>
      <c r="G151" s="93">
        <v>744.18785946691105</v>
      </c>
      <c r="H151" s="93">
        <v>4877.5919542646798</v>
      </c>
      <c r="I151" s="93">
        <v>2397.5457928860201</v>
      </c>
      <c r="J151" s="93">
        <v>217348.96018145699</v>
      </c>
      <c r="K151" s="93">
        <v>16056.4226102711</v>
      </c>
      <c r="L151" s="93">
        <v>2142.2730771721749</v>
      </c>
      <c r="M151" s="93">
        <v>331195.166500972</v>
      </c>
      <c r="N151" s="95">
        <v>2.2616055787372854E-3</v>
      </c>
      <c r="O151" s="95">
        <v>1.4823124341844464E-2</v>
      </c>
      <c r="P151" s="95">
        <v>0.27359045496187939</v>
      </c>
      <c r="Q151" s="95">
        <v>0.66052894390302452</v>
      </c>
      <c r="R151" s="96">
        <v>4.8795871214514494E-2</v>
      </c>
    </row>
    <row r="152" spans="1:18" ht="15.75" hidden="1" customHeight="1" x14ac:dyDescent="0.3">
      <c r="A152" s="89">
        <v>2020</v>
      </c>
      <c r="B152" s="90">
        <v>3</v>
      </c>
      <c r="C152" s="90" t="s">
        <v>724</v>
      </c>
      <c r="D152" s="90" t="s">
        <v>722</v>
      </c>
      <c r="E152" s="91" t="s">
        <v>11</v>
      </c>
      <c r="F152" s="92" t="s">
        <v>40</v>
      </c>
      <c r="G152" s="93">
        <v>13325.292255271101</v>
      </c>
      <c r="H152" s="93">
        <v>53169.812641641598</v>
      </c>
      <c r="I152" s="93">
        <v>2397.5457928860201</v>
      </c>
      <c r="J152" s="93">
        <v>78565.9867150707</v>
      </c>
      <c r="K152" s="93">
        <v>2324.2737401853501</v>
      </c>
      <c r="L152" s="93">
        <v>5555.6209344776507</v>
      </c>
      <c r="M152" s="93">
        <v>326305.0247013474</v>
      </c>
      <c r="N152" s="95">
        <v>4.1544246376701989E-2</v>
      </c>
      <c r="O152" s="95">
        <v>0.16576745589303421</v>
      </c>
      <c r="P152" s="95">
        <v>0.54049683765182355</v>
      </c>
      <c r="Q152" s="95">
        <v>0.244945074854059</v>
      </c>
      <c r="R152" s="96">
        <v>7.2463852243812802E-3</v>
      </c>
    </row>
    <row r="153" spans="1:18" ht="15.75" hidden="1" customHeight="1" x14ac:dyDescent="0.3">
      <c r="A153" s="89">
        <v>2020</v>
      </c>
      <c r="B153" s="90">
        <v>3</v>
      </c>
      <c r="C153" s="90" t="s">
        <v>724</v>
      </c>
      <c r="D153" s="90" t="s">
        <v>722</v>
      </c>
      <c r="E153" s="91" t="s">
        <v>11</v>
      </c>
      <c r="F153" s="92" t="s">
        <v>41</v>
      </c>
      <c r="G153" s="93">
        <v>297.21349293964403</v>
      </c>
      <c r="H153" s="93">
        <v>3438.1465913801999</v>
      </c>
      <c r="I153" s="93">
        <v>2397.5457928860201</v>
      </c>
      <c r="J153" s="93">
        <v>6412.7299420511999</v>
      </c>
      <c r="K153" s="93">
        <v>1080.00670785232</v>
      </c>
      <c r="L153" s="93">
        <v>816.021172876837</v>
      </c>
      <c r="M153" s="93">
        <v>18714.332738962992</v>
      </c>
      <c r="N153" s="95">
        <v>1.6605672096065543E-2</v>
      </c>
      <c r="O153" s="95">
        <v>0.19209334794991634</v>
      </c>
      <c r="P153" s="95">
        <v>0.37267285281263957</v>
      </c>
      <c r="Q153" s="95">
        <v>0.35828686512542812</v>
      </c>
      <c r="R153" s="96">
        <v>6.0341262015950387E-2</v>
      </c>
    </row>
    <row r="154" spans="1:18" ht="15.75" hidden="1" customHeight="1" x14ac:dyDescent="0.3">
      <c r="A154" s="89">
        <v>2020</v>
      </c>
      <c r="B154" s="90">
        <v>3</v>
      </c>
      <c r="C154" s="90" t="s">
        <v>724</v>
      </c>
      <c r="D154" s="90" t="s">
        <v>722</v>
      </c>
      <c r="E154" s="91" t="s">
        <v>11</v>
      </c>
      <c r="F154" s="92" t="s">
        <v>42</v>
      </c>
      <c r="G154" s="93">
        <v>5386.1061635646502</v>
      </c>
      <c r="H154" s="93">
        <v>41212.002342954896</v>
      </c>
      <c r="I154" s="93">
        <v>2397.5457928860201</v>
      </c>
      <c r="J154" s="93">
        <v>237226.73793157999</v>
      </c>
      <c r="K154" s="93">
        <v>15535.7767281297</v>
      </c>
      <c r="L154" s="93">
        <v>85808.515324599197</v>
      </c>
      <c r="M154" s="93">
        <v>620824.33974999841</v>
      </c>
      <c r="N154" s="95">
        <v>1.0067190385161535E-2</v>
      </c>
      <c r="O154" s="95">
        <v>7.7029501673555378E-2</v>
      </c>
      <c r="P154" s="95">
        <v>0.44046398349480775</v>
      </c>
      <c r="Q154" s="95">
        <v>0.44340134833648848</v>
      </c>
      <c r="R154" s="96">
        <v>2.9037976109986922E-2</v>
      </c>
    </row>
    <row r="155" spans="1:18" ht="15.75" hidden="1" customHeight="1" x14ac:dyDescent="0.3">
      <c r="A155" s="89">
        <v>2020</v>
      </c>
      <c r="B155" s="90">
        <v>3</v>
      </c>
      <c r="C155" s="90" t="s">
        <v>724</v>
      </c>
      <c r="D155" s="90" t="s">
        <v>722</v>
      </c>
      <c r="E155" s="91" t="s">
        <v>11</v>
      </c>
      <c r="F155" s="92" t="s">
        <v>43</v>
      </c>
      <c r="G155" s="93">
        <v>1457.77013066482</v>
      </c>
      <c r="H155" s="93">
        <v>8866.9275776670002</v>
      </c>
      <c r="I155" s="93">
        <v>2397.5457928860201</v>
      </c>
      <c r="J155" s="93">
        <v>28116.8831764475</v>
      </c>
      <c r="K155" s="93">
        <v>9050.5545615287501</v>
      </c>
      <c r="L155" s="93">
        <v>117342.10103799876</v>
      </c>
      <c r="M155" s="93">
        <v>185575.48510012322</v>
      </c>
      <c r="N155" s="95">
        <v>2.1364470642956292E-2</v>
      </c>
      <c r="O155" s="95">
        <v>0.12994999001652804</v>
      </c>
      <c r="P155" s="95">
        <v>0.30397508347134161</v>
      </c>
      <c r="Q155" s="95">
        <v>0.4120693054128447</v>
      </c>
      <c r="R155" s="96">
        <v>0.13264115045632924</v>
      </c>
    </row>
    <row r="156" spans="1:18" ht="15.75" hidden="1" customHeight="1" x14ac:dyDescent="0.3">
      <c r="A156" s="89">
        <v>2020</v>
      </c>
      <c r="B156" s="90">
        <v>3</v>
      </c>
      <c r="C156" s="90" t="s">
        <v>724</v>
      </c>
      <c r="D156" s="90" t="s">
        <v>722</v>
      </c>
      <c r="E156" s="91" t="s">
        <v>11</v>
      </c>
      <c r="F156" s="92" t="s">
        <v>58</v>
      </c>
      <c r="G156" s="93">
        <v>9553.4175043734504</v>
      </c>
      <c r="H156" s="93">
        <v>70893.322971521004</v>
      </c>
      <c r="I156" s="93">
        <v>2397.5457928860201</v>
      </c>
      <c r="J156" s="93">
        <v>59445.407101374803</v>
      </c>
      <c r="K156" s="93">
        <v>2536.8240748222902</v>
      </c>
      <c r="L156" s="93">
        <v>4316.7539321997401</v>
      </c>
      <c r="M156" s="93">
        <v>371477.1255924463</v>
      </c>
      <c r="N156" s="95">
        <v>2.6019740260023884E-2</v>
      </c>
      <c r="O156" s="95">
        <v>0.19308544288413143</v>
      </c>
      <c r="P156" s="95">
        <v>0.61207967241113692</v>
      </c>
      <c r="Q156" s="95">
        <v>0.16190583649474805</v>
      </c>
      <c r="R156" s="96">
        <v>6.9093079499596742E-3</v>
      </c>
    </row>
    <row r="157" spans="1:18" ht="15.75" hidden="1" customHeight="1" x14ac:dyDescent="0.3">
      <c r="A157" s="89">
        <v>2020</v>
      </c>
      <c r="B157" s="90">
        <v>3</v>
      </c>
      <c r="C157" s="90" t="s">
        <v>724</v>
      </c>
      <c r="D157" s="90" t="s">
        <v>722</v>
      </c>
      <c r="E157" s="91" t="s">
        <v>11</v>
      </c>
      <c r="F157" s="92" t="s">
        <v>44</v>
      </c>
      <c r="G157" s="93">
        <v>2535.1429148912298</v>
      </c>
      <c r="H157" s="93">
        <v>4878.6768531280604</v>
      </c>
      <c r="I157" s="93">
        <v>2397.5457928860201</v>
      </c>
      <c r="J157" s="93">
        <v>104522.648328355</v>
      </c>
      <c r="K157" s="93">
        <v>3307.8894019286099</v>
      </c>
      <c r="L157" s="93">
        <v>43585.300050785729</v>
      </c>
      <c r="M157" s="93">
        <v>215729.28855107893</v>
      </c>
      <c r="N157" s="95">
        <v>1.4726874501847108E-2</v>
      </c>
      <c r="O157" s="95">
        <v>2.8340675126856091E-2</v>
      </c>
      <c r="P157" s="95">
        <v>0.3305351031871403</v>
      </c>
      <c r="Q157" s="95">
        <v>0.60718151844249257</v>
      </c>
      <c r="R157" s="96">
        <v>1.9215828741663991E-2</v>
      </c>
    </row>
    <row r="158" spans="1:18" ht="15.75" hidden="1" customHeight="1" x14ac:dyDescent="0.3">
      <c r="A158" s="89">
        <v>2020</v>
      </c>
      <c r="B158" s="90">
        <v>3</v>
      </c>
      <c r="C158" s="90" t="s">
        <v>724</v>
      </c>
      <c r="D158" s="90" t="s">
        <v>722</v>
      </c>
      <c r="E158" s="91" t="s">
        <v>11</v>
      </c>
      <c r="F158" s="92" t="s">
        <v>51</v>
      </c>
      <c r="G158" s="93">
        <v>9234.8347186519495</v>
      </c>
      <c r="H158" s="93">
        <v>36888.942369858501</v>
      </c>
      <c r="I158" s="93">
        <v>2397.5457928860201</v>
      </c>
      <c r="J158" s="93">
        <v>45942.100995780602</v>
      </c>
      <c r="K158" s="93">
        <v>26875.8585066339</v>
      </c>
      <c r="L158" s="93">
        <v>8082.9938923084701</v>
      </c>
      <c r="M158" s="93">
        <v>211202.40923547524</v>
      </c>
      <c r="N158" s="95">
        <v>4.5465051694097557E-2</v>
      </c>
      <c r="O158" s="95">
        <v>0.18161209408532053</v>
      </c>
      <c r="P158" s="95">
        <v>0.41442458176647001</v>
      </c>
      <c r="Q158" s="95">
        <v>0.22618271580864002</v>
      </c>
      <c r="R158" s="96">
        <v>0.13231555664547182</v>
      </c>
    </row>
    <row r="159" spans="1:18" ht="15.75" hidden="1" customHeight="1" x14ac:dyDescent="0.3">
      <c r="A159" s="89">
        <v>2020</v>
      </c>
      <c r="B159" s="90">
        <v>3</v>
      </c>
      <c r="C159" s="90" t="s">
        <v>724</v>
      </c>
      <c r="D159" s="90" t="s">
        <v>722</v>
      </c>
      <c r="E159" s="91" t="s">
        <v>11</v>
      </c>
      <c r="F159" s="92" t="s">
        <v>45</v>
      </c>
      <c r="G159" s="93">
        <v>1552.65519398284</v>
      </c>
      <c r="H159" s="93">
        <v>4548.8079999479196</v>
      </c>
      <c r="I159" s="93">
        <v>2397.5457928860201</v>
      </c>
      <c r="J159" s="93">
        <v>46284.928921817198</v>
      </c>
      <c r="K159" s="93">
        <v>12861.229522642399</v>
      </c>
      <c r="L159" s="93">
        <v>49758.477362288038</v>
      </c>
      <c r="M159" s="93">
        <v>134096.09203645968</v>
      </c>
      <c r="N159" s="95">
        <v>1.8409996535725354E-2</v>
      </c>
      <c r="O159" s="95">
        <v>5.3935696634552666E-2</v>
      </c>
      <c r="P159" s="95">
        <v>0.22635206259429103</v>
      </c>
      <c r="Q159" s="95">
        <v>0.54880528813428642</v>
      </c>
      <c r="R159" s="96">
        <v>0.15249695610114455</v>
      </c>
    </row>
    <row r="160" spans="1:18" ht="15.75" hidden="1" customHeight="1" x14ac:dyDescent="0.3">
      <c r="A160" s="89">
        <v>2020</v>
      </c>
      <c r="B160" s="90">
        <v>3</v>
      </c>
      <c r="C160" s="90" t="s">
        <v>724</v>
      </c>
      <c r="D160" s="90" t="s">
        <v>722</v>
      </c>
      <c r="E160" s="91" t="s">
        <v>11</v>
      </c>
      <c r="F160" s="92" t="s">
        <v>721</v>
      </c>
      <c r="G160" s="93">
        <v>1500.05876864889</v>
      </c>
      <c r="H160" s="93">
        <v>11827.943854732001</v>
      </c>
      <c r="I160" s="93">
        <v>2397.5457928860201</v>
      </c>
      <c r="J160" s="93">
        <v>155499.296958744</v>
      </c>
      <c r="K160" s="93">
        <v>30737.3832389034</v>
      </c>
      <c r="L160" s="93">
        <v>861.71164235447407</v>
      </c>
      <c r="M160" s="93">
        <v>309330.85090303078</v>
      </c>
      <c r="N160" s="95">
        <v>4.8629135875444696E-3</v>
      </c>
      <c r="O160" s="95">
        <v>3.834401030547379E-2</v>
      </c>
      <c r="P160" s="95">
        <v>0.35304814186814559</v>
      </c>
      <c r="Q160" s="95">
        <v>0.50410001250509884</v>
      </c>
      <c r="R160" s="96">
        <v>9.9644921733737304E-2</v>
      </c>
    </row>
    <row r="161" spans="1:18" ht="15.75" hidden="1" customHeight="1" x14ac:dyDescent="0.3">
      <c r="A161" s="89">
        <v>2020</v>
      </c>
      <c r="B161" s="90">
        <v>3</v>
      </c>
      <c r="C161" s="90" t="s">
        <v>724</v>
      </c>
      <c r="D161" s="90" t="s">
        <v>722</v>
      </c>
      <c r="E161" s="91" t="s">
        <v>11</v>
      </c>
      <c r="F161" s="92" t="s">
        <v>46</v>
      </c>
      <c r="G161" s="93">
        <v>13793.737162354701</v>
      </c>
      <c r="H161" s="93">
        <v>48660.294936673599</v>
      </c>
      <c r="I161" s="93">
        <v>2397.5457928860201</v>
      </c>
      <c r="J161" s="93">
        <v>19256.507986641998</v>
      </c>
      <c r="K161" s="93">
        <v>3945.8621048605901</v>
      </c>
      <c r="L161" s="93">
        <v>4356.0109897640696</v>
      </c>
      <c r="M161" s="93">
        <v>149075.00300839025</v>
      </c>
      <c r="N161" s="95">
        <v>9.5313938896004508E-2</v>
      </c>
      <c r="O161" s="95">
        <v>0.33623986912796305</v>
      </c>
      <c r="P161" s="95">
        <v>0.4081191349128081</v>
      </c>
      <c r="Q161" s="95">
        <v>0.1330613744474089</v>
      </c>
      <c r="R161" s="96">
        <v>2.7265682615815443E-2</v>
      </c>
    </row>
    <row r="162" spans="1:18" ht="15.75" hidden="1" customHeight="1" x14ac:dyDescent="0.3">
      <c r="A162" s="89">
        <v>2020</v>
      </c>
      <c r="B162" s="90">
        <v>3</v>
      </c>
      <c r="C162" s="90" t="s">
        <v>724</v>
      </c>
      <c r="D162" s="90" t="s">
        <v>722</v>
      </c>
      <c r="E162" s="91" t="s">
        <v>11</v>
      </c>
      <c r="F162" s="92" t="s">
        <v>47</v>
      </c>
      <c r="G162" s="93">
        <v>22368.356629681399</v>
      </c>
      <c r="H162" s="93">
        <v>296260.61940445699</v>
      </c>
      <c r="I162" s="93">
        <v>2397.5457928860201</v>
      </c>
      <c r="J162" s="93">
        <v>168379.825264068</v>
      </c>
      <c r="K162" s="93">
        <v>28206.491147164601</v>
      </c>
      <c r="L162" s="93">
        <v>314926.474520894</v>
      </c>
      <c r="M162" s="93">
        <v>1461770.358141019</v>
      </c>
      <c r="N162" s="95">
        <v>1.9504273379453783E-2</v>
      </c>
      <c r="O162" s="95">
        <v>0.25832689491204447</v>
      </c>
      <c r="P162" s="95">
        <v>0.55075376883988469</v>
      </c>
      <c r="Q162" s="95">
        <v>0.14682017985966894</v>
      </c>
      <c r="R162" s="96">
        <v>2.4594883008948045E-2</v>
      </c>
    </row>
    <row r="163" spans="1:18" ht="15.75" hidden="1" customHeight="1" x14ac:dyDescent="0.3">
      <c r="A163" s="89">
        <v>2020</v>
      </c>
      <c r="B163" s="90">
        <v>3</v>
      </c>
      <c r="C163" s="90" t="s">
        <v>724</v>
      </c>
      <c r="D163" s="90" t="s">
        <v>722</v>
      </c>
      <c r="E163" s="91" t="s">
        <v>11</v>
      </c>
      <c r="F163" s="92" t="s">
        <v>48</v>
      </c>
      <c r="G163" s="93">
        <v>99.037357031249897</v>
      </c>
      <c r="H163" s="93">
        <v>666.90368429227794</v>
      </c>
      <c r="I163" s="93">
        <v>2397.5457928860201</v>
      </c>
      <c r="J163" s="93">
        <v>65773.861027900202</v>
      </c>
      <c r="K163" s="93">
        <v>23359.685465773498</v>
      </c>
      <c r="L163" s="93">
        <v>8808.8179068551308</v>
      </c>
      <c r="M163" s="93">
        <v>110314.39779994504</v>
      </c>
      <c r="N163" s="95">
        <v>9.7568387014349695E-4</v>
      </c>
      <c r="O163" s="95">
        <v>6.5701184604303508E-3</v>
      </c>
      <c r="P163" s="95">
        <v>0.11433945178498305</v>
      </c>
      <c r="Q163" s="95">
        <v>0.64798271284372821</v>
      </c>
      <c r="R163" s="96">
        <v>0.23013203304071495</v>
      </c>
    </row>
    <row r="164" spans="1:18" ht="15.75" hidden="1" customHeight="1" x14ac:dyDescent="0.3">
      <c r="A164" s="89">
        <v>2020</v>
      </c>
      <c r="B164" s="90">
        <v>4</v>
      </c>
      <c r="C164" s="90" t="s">
        <v>725</v>
      </c>
      <c r="D164" s="90" t="s">
        <v>719</v>
      </c>
      <c r="E164" s="91" t="s">
        <v>11</v>
      </c>
      <c r="F164" s="92" t="s">
        <v>12</v>
      </c>
      <c r="G164" s="93">
        <v>20901.289758791201</v>
      </c>
      <c r="H164" s="93">
        <v>84422.152193511807</v>
      </c>
      <c r="I164" s="93">
        <v>2397.5457928860201</v>
      </c>
      <c r="J164" s="93">
        <v>81691.347300570502</v>
      </c>
      <c r="K164" s="93">
        <v>2117.9207508517102</v>
      </c>
      <c r="L164" s="93">
        <v>49281.145996207386</v>
      </c>
      <c r="M164" s="93">
        <v>433311.4768022896</v>
      </c>
      <c r="N164" s="95">
        <v>5.4426143151035111E-2</v>
      </c>
      <c r="O164" s="95">
        <v>0.21983199091673084</v>
      </c>
      <c r="P164" s="95">
        <v>0.50750580141226243</v>
      </c>
      <c r="Q164" s="95">
        <v>0.21272108150702529</v>
      </c>
      <c r="R164" s="96">
        <v>5.5149830129463482E-3</v>
      </c>
    </row>
    <row r="165" spans="1:18" ht="15.75" hidden="1" customHeight="1" x14ac:dyDescent="0.3">
      <c r="A165" s="89">
        <v>2020</v>
      </c>
      <c r="B165" s="90">
        <v>4</v>
      </c>
      <c r="C165" s="90" t="s">
        <v>725</v>
      </c>
      <c r="D165" s="90" t="s">
        <v>719</v>
      </c>
      <c r="E165" s="91" t="s">
        <v>11</v>
      </c>
      <c r="F165" s="92" t="s">
        <v>26</v>
      </c>
      <c r="G165" s="93">
        <v>20685.4094172886</v>
      </c>
      <c r="H165" s="93">
        <v>104214.92944160401</v>
      </c>
      <c r="I165" s="93">
        <v>2397.5457928860201</v>
      </c>
      <c r="J165" s="93">
        <v>439810.52423971298</v>
      </c>
      <c r="K165" s="93">
        <v>32751.469127328899</v>
      </c>
      <c r="L165" s="93">
        <v>259342.61343316801</v>
      </c>
      <c r="M165" s="93">
        <v>1302393.3163907086</v>
      </c>
      <c r="N165" s="95">
        <v>1.9831643235209671E-2</v>
      </c>
      <c r="O165" s="95">
        <v>9.9913579604620897E-2</v>
      </c>
      <c r="P165" s="95">
        <v>0.42719722969185758</v>
      </c>
      <c r="Q165" s="95">
        <v>0.4216578570846487</v>
      </c>
      <c r="R165" s="96">
        <v>3.1399690383663081E-2</v>
      </c>
    </row>
    <row r="166" spans="1:18" ht="15.75" hidden="1" customHeight="1" x14ac:dyDescent="0.3">
      <c r="A166" s="89">
        <v>2020</v>
      </c>
      <c r="B166" s="90">
        <v>4</v>
      </c>
      <c r="C166" s="90" t="s">
        <v>725</v>
      </c>
      <c r="D166" s="90" t="s">
        <v>719</v>
      </c>
      <c r="E166" s="91" t="s">
        <v>11</v>
      </c>
      <c r="F166" s="92" t="s">
        <v>27</v>
      </c>
      <c r="G166" s="93">
        <v>1366.5370559114499</v>
      </c>
      <c r="H166" s="93">
        <v>30716.0864710889</v>
      </c>
      <c r="I166" s="93">
        <v>2397.5457928860201</v>
      </c>
      <c r="J166" s="93">
        <v>40116.720371324598</v>
      </c>
      <c r="K166" s="93">
        <v>1504.95723405178</v>
      </c>
      <c r="L166" s="93">
        <v>25195.32779975059</v>
      </c>
      <c r="M166" s="93">
        <v>226689.61699929831</v>
      </c>
      <c r="N166" s="95">
        <v>6.7820138294744144E-3</v>
      </c>
      <c r="O166" s="95">
        <v>0.15244147411378767</v>
      </c>
      <c r="P166" s="95">
        <v>0.63421146363416558</v>
      </c>
      <c r="Q166" s="95">
        <v>0.19909606634853771</v>
      </c>
      <c r="R166" s="96">
        <v>7.4689820740346724E-3</v>
      </c>
    </row>
    <row r="167" spans="1:18" ht="15.75" hidden="1" customHeight="1" x14ac:dyDescent="0.3">
      <c r="A167" s="89">
        <v>2020</v>
      </c>
      <c r="B167" s="90">
        <v>4</v>
      </c>
      <c r="C167" s="90" t="s">
        <v>725</v>
      </c>
      <c r="D167" s="90" t="s">
        <v>719</v>
      </c>
      <c r="E167" s="91" t="s">
        <v>11</v>
      </c>
      <c r="F167" s="92" t="s">
        <v>28</v>
      </c>
      <c r="G167" s="93">
        <v>2097.2180206755402</v>
      </c>
      <c r="H167" s="93">
        <v>9613.5015848086296</v>
      </c>
      <c r="I167" s="93">
        <v>2397.5457928860201</v>
      </c>
      <c r="J167" s="93">
        <v>233441.702058736</v>
      </c>
      <c r="K167" s="93">
        <v>6271.1114228706301</v>
      </c>
      <c r="L167" s="93">
        <v>3218.6936756801401</v>
      </c>
      <c r="M167" s="93">
        <v>373104.58101494197</v>
      </c>
      <c r="N167" s="95">
        <v>5.6699054829089969E-3</v>
      </c>
      <c r="O167" s="95">
        <v>2.5990452498640643E-2</v>
      </c>
      <c r="P167" s="95">
        <v>0.32026729947530153</v>
      </c>
      <c r="Q167" s="95">
        <v>0.63111816386933872</v>
      </c>
      <c r="R167" s="96">
        <v>1.6954178673810077E-2</v>
      </c>
    </row>
    <row r="168" spans="1:18" ht="15.75" customHeight="1" x14ac:dyDescent="0.3">
      <c r="A168" s="89">
        <v>2020</v>
      </c>
      <c r="B168" s="90">
        <v>4</v>
      </c>
      <c r="C168" s="90" t="s">
        <v>725</v>
      </c>
      <c r="D168" s="90" t="s">
        <v>719</v>
      </c>
      <c r="E168" s="91" t="s">
        <v>11</v>
      </c>
      <c r="F168" s="92" t="s">
        <v>29</v>
      </c>
      <c r="G168" s="93">
        <v>3708.3068004151301</v>
      </c>
      <c r="H168" s="93">
        <v>17391.565324414802</v>
      </c>
      <c r="I168" s="93">
        <v>2397.5457928860201</v>
      </c>
      <c r="J168" s="93">
        <v>135268.179731162</v>
      </c>
      <c r="K168" s="93">
        <v>7490.6865126255898</v>
      </c>
      <c r="L168" s="93">
        <v>89203.5145587109</v>
      </c>
      <c r="M168" s="93">
        <v>354392.05486976745</v>
      </c>
      <c r="N168" s="95">
        <v>1.3983661571745977E-2</v>
      </c>
      <c r="O168" s="95">
        <v>6.5581888659348275E-2</v>
      </c>
      <c r="P168" s="95">
        <v>0.38210475393688886</v>
      </c>
      <c r="Q168" s="95">
        <v>0.51008305099646212</v>
      </c>
      <c r="R168" s="96">
        <v>2.8246644835554682E-2</v>
      </c>
    </row>
    <row r="169" spans="1:18" ht="15.75" hidden="1" customHeight="1" x14ac:dyDescent="0.3">
      <c r="A169" s="89">
        <v>2020</v>
      </c>
      <c r="B169" s="90">
        <v>4</v>
      </c>
      <c r="C169" s="90" t="s">
        <v>725</v>
      </c>
      <c r="D169" s="90" t="s">
        <v>719</v>
      </c>
      <c r="E169" s="91" t="s">
        <v>11</v>
      </c>
      <c r="F169" s="92" t="s">
        <v>30</v>
      </c>
      <c r="G169" s="93">
        <v>212.287023949142</v>
      </c>
      <c r="H169" s="93">
        <v>1323.22315555147</v>
      </c>
      <c r="I169" s="93">
        <v>2397.5457928860201</v>
      </c>
      <c r="J169" s="93">
        <v>6091.3238526700297</v>
      </c>
      <c r="K169" s="93">
        <v>532.22407197457096</v>
      </c>
      <c r="L169" s="93">
        <v>216132.54526489248</v>
      </c>
      <c r="M169" s="93">
        <v>230086.50016211675</v>
      </c>
      <c r="N169" s="95">
        <v>1.5213394733801983E-2</v>
      </c>
      <c r="O169" s="95">
        <v>9.4827822312560803E-2</v>
      </c>
      <c r="P169" s="95">
        <v>0.41528705200500382</v>
      </c>
      <c r="Q169" s="95">
        <v>0.43653028102317593</v>
      </c>
      <c r="R169" s="96">
        <v>3.8141449925457448E-2</v>
      </c>
    </row>
    <row r="170" spans="1:18" ht="15.75" hidden="1" customHeight="1" x14ac:dyDescent="0.3">
      <c r="A170" s="89">
        <v>2020</v>
      </c>
      <c r="B170" s="90">
        <v>4</v>
      </c>
      <c r="C170" s="90" t="s">
        <v>725</v>
      </c>
      <c r="D170" s="90" t="s">
        <v>719</v>
      </c>
      <c r="E170" s="91" t="s">
        <v>11</v>
      </c>
      <c r="F170" s="92" t="s">
        <v>31</v>
      </c>
      <c r="G170" s="93">
        <v>1979.7567025291</v>
      </c>
      <c r="H170" s="93">
        <v>26512.156370845802</v>
      </c>
      <c r="I170" s="93">
        <v>2397.5457928860201</v>
      </c>
      <c r="J170" s="93">
        <v>73072.967394391599</v>
      </c>
      <c r="K170" s="93">
        <v>24063.947486413799</v>
      </c>
      <c r="L170" s="93">
        <v>49970.346396120251</v>
      </c>
      <c r="M170" s="93">
        <v>251948.68865991721</v>
      </c>
      <c r="N170" s="95">
        <v>9.8018266727994425E-3</v>
      </c>
      <c r="O170" s="95">
        <v>0.13126237235980076</v>
      </c>
      <c r="P170" s="95">
        <v>0.37800842136776835</v>
      </c>
      <c r="Q170" s="95">
        <v>0.36178615278935949</v>
      </c>
      <c r="R170" s="96">
        <v>0.11914122681027209</v>
      </c>
    </row>
    <row r="171" spans="1:18" ht="15.75" hidden="1" customHeight="1" x14ac:dyDescent="0.3">
      <c r="A171" s="89">
        <v>2020</v>
      </c>
      <c r="B171" s="90">
        <v>4</v>
      </c>
      <c r="C171" s="90" t="s">
        <v>725</v>
      </c>
      <c r="D171" s="90" t="s">
        <v>719</v>
      </c>
      <c r="E171" s="91" t="s">
        <v>11</v>
      </c>
      <c r="F171" s="92" t="s">
        <v>32</v>
      </c>
      <c r="G171" s="93">
        <v>19373.730100716901</v>
      </c>
      <c r="H171" s="93">
        <v>119964.68741588399</v>
      </c>
      <c r="I171" s="93">
        <v>2397.5457928860201</v>
      </c>
      <c r="J171" s="93">
        <v>155419.343957807</v>
      </c>
      <c r="K171" s="93">
        <v>3595.0712378461999</v>
      </c>
      <c r="L171" s="93">
        <v>29630.828993264848</v>
      </c>
      <c r="M171" s="93">
        <v>609521.81280335377</v>
      </c>
      <c r="N171" s="95">
        <v>3.3409262502107961E-2</v>
      </c>
      <c r="O171" s="95">
        <v>0.20687455188158566</v>
      </c>
      <c r="P171" s="95">
        <v>0.48550185975996679</v>
      </c>
      <c r="Q171" s="95">
        <v>0.26801476190687934</v>
      </c>
      <c r="R171" s="96">
        <v>6.1995639494604824E-3</v>
      </c>
    </row>
    <row r="172" spans="1:18" ht="15.75" hidden="1" customHeight="1" x14ac:dyDescent="0.3">
      <c r="A172" s="89">
        <v>2020</v>
      </c>
      <c r="B172" s="90">
        <v>4</v>
      </c>
      <c r="C172" s="90" t="s">
        <v>725</v>
      </c>
      <c r="D172" s="90" t="s">
        <v>719</v>
      </c>
      <c r="E172" s="91" t="s">
        <v>11</v>
      </c>
      <c r="F172" s="92" t="s">
        <v>33</v>
      </c>
      <c r="G172" s="93">
        <v>13050.072352953301</v>
      </c>
      <c r="H172" s="93">
        <v>45758.6066082912</v>
      </c>
      <c r="I172" s="93">
        <v>2397.5457928860201</v>
      </c>
      <c r="J172" s="93">
        <v>764050.21383552602</v>
      </c>
      <c r="K172" s="93">
        <v>78769.269632884301</v>
      </c>
      <c r="L172" s="93">
        <v>35344.161267711272</v>
      </c>
      <c r="M172" s="93">
        <v>1352056.7882568082</v>
      </c>
      <c r="N172" s="95">
        <v>9.9111013940791828E-3</v>
      </c>
      <c r="O172" s="95">
        <v>3.4752159028752221E-2</v>
      </c>
      <c r="P172" s="95">
        <v>0.31524301966223883</v>
      </c>
      <c r="Q172" s="95">
        <v>0.58027104637301608</v>
      </c>
      <c r="R172" s="96">
        <v>5.982267354191368E-2</v>
      </c>
    </row>
    <row r="173" spans="1:18" ht="15.75" hidden="1" customHeight="1" x14ac:dyDescent="0.3">
      <c r="A173" s="89">
        <v>2020</v>
      </c>
      <c r="B173" s="90">
        <v>4</v>
      </c>
      <c r="C173" s="90" t="s">
        <v>725</v>
      </c>
      <c r="D173" s="90" t="s">
        <v>719</v>
      </c>
      <c r="E173" s="91" t="s">
        <v>11</v>
      </c>
      <c r="F173" s="92" t="s">
        <v>34</v>
      </c>
      <c r="G173" s="93">
        <v>11939.5811234421</v>
      </c>
      <c r="H173" s="93">
        <v>32334.2646267237</v>
      </c>
      <c r="I173" s="93">
        <v>2397.5457928860201</v>
      </c>
      <c r="J173" s="93">
        <v>391590.75589638099</v>
      </c>
      <c r="K173" s="93">
        <v>46801.0778715919</v>
      </c>
      <c r="L173" s="93">
        <v>43901.927426889699</v>
      </c>
      <c r="M173" s="93">
        <v>713628.83042003831</v>
      </c>
      <c r="N173" s="95">
        <v>1.7827536970788586E-2</v>
      </c>
      <c r="O173" s="95">
        <v>4.8279775655144137E-2</v>
      </c>
      <c r="P173" s="95">
        <v>0.27930970465572535</v>
      </c>
      <c r="Q173" s="95">
        <v>0.58470214373393181</v>
      </c>
      <c r="R173" s="96">
        <v>6.9880838984410151E-2</v>
      </c>
    </row>
    <row r="174" spans="1:18" ht="15.75" hidden="1" customHeight="1" x14ac:dyDescent="0.3">
      <c r="A174" s="89">
        <v>2020</v>
      </c>
      <c r="B174" s="90">
        <v>4</v>
      </c>
      <c r="C174" s="90" t="s">
        <v>725</v>
      </c>
      <c r="D174" s="90" t="s">
        <v>719</v>
      </c>
      <c r="E174" s="91" t="s">
        <v>11</v>
      </c>
      <c r="F174" s="92" t="s">
        <v>35</v>
      </c>
      <c r="G174" s="93">
        <v>24499.149192250301</v>
      </c>
      <c r="H174" s="93">
        <v>55102.8537327124</v>
      </c>
      <c r="I174" s="93">
        <v>2397.5457928860201</v>
      </c>
      <c r="J174" s="93">
        <v>176294.066310975</v>
      </c>
      <c r="K174" s="93">
        <v>20325.775730740101</v>
      </c>
      <c r="L174" s="93">
        <v>234132.17953950624</v>
      </c>
      <c r="M174" s="93">
        <v>605861.1962949083</v>
      </c>
      <c r="N174" s="95">
        <v>6.5905937088496791E-2</v>
      </c>
      <c r="O174" s="95">
        <v>0.14823393184011274</v>
      </c>
      <c r="P174" s="95">
        <v>0.25692686737868536</v>
      </c>
      <c r="Q174" s="95">
        <v>0.47425425071666277</v>
      </c>
      <c r="R174" s="96">
        <v>5.4679012976042364E-2</v>
      </c>
    </row>
    <row r="175" spans="1:18" ht="15.75" hidden="1" customHeight="1" x14ac:dyDescent="0.3">
      <c r="A175" s="89">
        <v>2020</v>
      </c>
      <c r="B175" s="90">
        <v>4</v>
      </c>
      <c r="C175" s="90" t="s">
        <v>725</v>
      </c>
      <c r="D175" s="90" t="s">
        <v>719</v>
      </c>
      <c r="E175" s="91" t="s">
        <v>11</v>
      </c>
      <c r="F175" s="92" t="s">
        <v>36</v>
      </c>
      <c r="G175" s="93">
        <v>5001.9461828691801</v>
      </c>
      <c r="H175" s="93">
        <v>34414.876986299001</v>
      </c>
      <c r="I175" s="93">
        <v>2397.5457928860201</v>
      </c>
      <c r="J175" s="93">
        <v>70039.906217861906</v>
      </c>
      <c r="K175" s="93">
        <v>1057.1566692647</v>
      </c>
      <c r="L175" s="93">
        <v>33362.643804373678</v>
      </c>
      <c r="M175" s="93">
        <v>258886.87145458048</v>
      </c>
      <c r="N175" s="95">
        <v>2.2179196598900729E-2</v>
      </c>
      <c r="O175" s="95">
        <v>0.15259946722742915</v>
      </c>
      <c r="P175" s="95">
        <v>0.50996889687743729</v>
      </c>
      <c r="Q175" s="95">
        <v>0.31056488674243637</v>
      </c>
      <c r="R175" s="96">
        <v>4.6875525537964551E-3</v>
      </c>
    </row>
    <row r="176" spans="1:18" ht="15.75" hidden="1" customHeight="1" x14ac:dyDescent="0.3">
      <c r="A176" s="89">
        <v>2020</v>
      </c>
      <c r="B176" s="90">
        <v>4</v>
      </c>
      <c r="C176" s="90" t="s">
        <v>725</v>
      </c>
      <c r="D176" s="90" t="s">
        <v>719</v>
      </c>
      <c r="E176" s="91" t="s">
        <v>11</v>
      </c>
      <c r="F176" s="92" t="s">
        <v>37</v>
      </c>
      <c r="G176" s="93">
        <v>8983.7291116329397</v>
      </c>
      <c r="H176" s="93">
        <v>34831.938274248299</v>
      </c>
      <c r="I176" s="93">
        <v>2397.5457928860201</v>
      </c>
      <c r="J176" s="93">
        <v>179684.01740557799</v>
      </c>
      <c r="K176" s="93">
        <v>10568.2684530192</v>
      </c>
      <c r="L176" s="93">
        <v>157533.51146884559</v>
      </c>
      <c r="M176" s="93">
        <v>524073.857776305</v>
      </c>
      <c r="N176" s="95">
        <v>2.4509523172920388E-2</v>
      </c>
      <c r="O176" s="95">
        <v>9.5028933718065409E-2</v>
      </c>
      <c r="P176" s="95">
        <v>0.36141285508542959</v>
      </c>
      <c r="Q176" s="95">
        <v>0.49021620461627546</v>
      </c>
      <c r="R176" s="96">
        <v>2.8832483407309224E-2</v>
      </c>
    </row>
    <row r="177" spans="1:18" ht="15.75" hidden="1" customHeight="1" x14ac:dyDescent="0.3">
      <c r="A177" s="89">
        <v>2020</v>
      </c>
      <c r="B177" s="90">
        <v>4</v>
      </c>
      <c r="C177" s="90" t="s">
        <v>725</v>
      </c>
      <c r="D177" s="90" t="s">
        <v>719</v>
      </c>
      <c r="E177" s="91" t="s">
        <v>11</v>
      </c>
      <c r="F177" s="92" t="s">
        <v>720</v>
      </c>
      <c r="G177" s="93">
        <v>24440.366532733999</v>
      </c>
      <c r="H177" s="93">
        <v>44218.358781031297</v>
      </c>
      <c r="I177" s="93">
        <v>2397.5457928860201</v>
      </c>
      <c r="J177" s="93">
        <v>444504.63378454698</v>
      </c>
      <c r="K177" s="93">
        <v>66828.807698162404</v>
      </c>
      <c r="L177" s="93">
        <v>163297.07541689961</v>
      </c>
      <c r="M177" s="93">
        <v>927958.42268838233</v>
      </c>
      <c r="N177" s="95">
        <v>3.1962340740700181E-2</v>
      </c>
      <c r="O177" s="95">
        <v>5.7827375398029845E-2</v>
      </c>
      <c r="P177" s="95">
        <v>0.24150453156022245</v>
      </c>
      <c r="Q177" s="95">
        <v>0.58130914472224737</v>
      </c>
      <c r="R177" s="96">
        <v>8.7396607578800162E-2</v>
      </c>
    </row>
    <row r="178" spans="1:18" ht="15.75" hidden="1" customHeight="1" x14ac:dyDescent="0.3">
      <c r="A178" s="89">
        <v>2020</v>
      </c>
      <c r="B178" s="90">
        <v>4</v>
      </c>
      <c r="C178" s="90" t="s">
        <v>725</v>
      </c>
      <c r="D178" s="90" t="s">
        <v>719</v>
      </c>
      <c r="E178" s="91" t="s">
        <v>11</v>
      </c>
      <c r="F178" s="92" t="s">
        <v>39</v>
      </c>
      <c r="G178" s="93">
        <v>1307.53598108302</v>
      </c>
      <c r="H178" s="93">
        <v>23655.664341882501</v>
      </c>
      <c r="I178" s="93">
        <v>2397.5457928860201</v>
      </c>
      <c r="J178" s="93">
        <v>114928.3550985</v>
      </c>
      <c r="K178" s="93">
        <v>3318.8631017907501</v>
      </c>
      <c r="L178" s="93">
        <v>36911.946656012966</v>
      </c>
      <c r="M178" s="93">
        <v>331195.16650096729</v>
      </c>
      <c r="N178" s="95">
        <v>4.4431210918920447E-3</v>
      </c>
      <c r="O178" s="95">
        <v>8.0384006788921547E-2</v>
      </c>
      <c r="P178" s="95">
        <v>0.5133585306063051</v>
      </c>
      <c r="Q178" s="95">
        <v>0.39053655576777707</v>
      </c>
      <c r="R178" s="96">
        <v>1.127778574510406E-2</v>
      </c>
    </row>
    <row r="179" spans="1:18" ht="15.75" hidden="1" customHeight="1" x14ac:dyDescent="0.3">
      <c r="A179" s="89">
        <v>2020</v>
      </c>
      <c r="B179" s="90">
        <v>4</v>
      </c>
      <c r="C179" s="90" t="s">
        <v>725</v>
      </c>
      <c r="D179" s="90" t="s">
        <v>719</v>
      </c>
      <c r="E179" s="91" t="s">
        <v>11</v>
      </c>
      <c r="F179" s="92" t="s">
        <v>40</v>
      </c>
      <c r="G179" s="93">
        <v>23863.207867016099</v>
      </c>
      <c r="H179" s="93">
        <v>73410.276525452704</v>
      </c>
      <c r="I179" s="93">
        <v>2397.5457928860201</v>
      </c>
      <c r="J179" s="93">
        <v>53204.874775867604</v>
      </c>
      <c r="K179" s="93">
        <v>1000.19085868872</v>
      </c>
      <c r="L179" s="93">
        <v>5480.6666762745299</v>
      </c>
      <c r="M179" s="93">
        <v>326305.02470135165</v>
      </c>
      <c r="N179" s="95">
        <v>7.4380910520362789E-2</v>
      </c>
      <c r="O179" s="95">
        <v>0.22881765267871154</v>
      </c>
      <c r="P179" s="95">
        <v>0.52784585634490744</v>
      </c>
      <c r="Q179" s="95">
        <v>0.1658380152410649</v>
      </c>
      <c r="R179" s="96">
        <v>3.1175652149533495E-3</v>
      </c>
    </row>
    <row r="180" spans="1:18" ht="15.75" hidden="1" customHeight="1" x14ac:dyDescent="0.3">
      <c r="A180" s="89">
        <v>2020</v>
      </c>
      <c r="B180" s="90">
        <v>4</v>
      </c>
      <c r="C180" s="90" t="s">
        <v>725</v>
      </c>
      <c r="D180" s="90" t="s">
        <v>719</v>
      </c>
      <c r="E180" s="91" t="s">
        <v>11</v>
      </c>
      <c r="F180" s="92" t="s">
        <v>41</v>
      </c>
      <c r="G180" s="93">
        <v>428.78669150581999</v>
      </c>
      <c r="H180" s="93">
        <v>3365.7624147763399</v>
      </c>
      <c r="I180" s="93">
        <v>2397.5457928860201</v>
      </c>
      <c r="J180" s="93">
        <v>5944.9842923835904</v>
      </c>
      <c r="K180" s="93">
        <v>1862.4242885646399</v>
      </c>
      <c r="L180" s="93">
        <v>1736.62514819393</v>
      </c>
      <c r="M180" s="93">
        <v>18714.332738962952</v>
      </c>
      <c r="N180" s="95">
        <v>2.5255865034391114E-2</v>
      </c>
      <c r="O180" s="95">
        <v>0.19824598796873755</v>
      </c>
      <c r="P180" s="95">
        <v>0.31663579283586479</v>
      </c>
      <c r="Q180" s="95">
        <v>0.35016413497520404</v>
      </c>
      <c r="R180" s="96">
        <v>0.1096982191858023</v>
      </c>
    </row>
    <row r="181" spans="1:18" ht="15.75" hidden="1" customHeight="1" x14ac:dyDescent="0.3">
      <c r="A181" s="89">
        <v>2020</v>
      </c>
      <c r="B181" s="90">
        <v>4</v>
      </c>
      <c r="C181" s="90" t="s">
        <v>725</v>
      </c>
      <c r="D181" s="90" t="s">
        <v>719</v>
      </c>
      <c r="E181" s="91" t="s">
        <v>11</v>
      </c>
      <c r="F181" s="92" t="s">
        <v>42</v>
      </c>
      <c r="G181" s="93">
        <v>8361.6349021630595</v>
      </c>
      <c r="H181" s="93">
        <v>105081.216242093</v>
      </c>
      <c r="I181" s="93">
        <v>2397.5457928860201</v>
      </c>
      <c r="J181" s="93">
        <v>107560.85126933501</v>
      </c>
      <c r="K181" s="93">
        <v>5141.6594270526803</v>
      </c>
      <c r="L181" s="93">
        <v>101748.75957769979</v>
      </c>
      <c r="M181" s="93">
        <v>620824.33975001459</v>
      </c>
      <c r="N181" s="95">
        <v>1.6108704053053875E-2</v>
      </c>
      <c r="O181" s="95">
        <v>0.20243914423254075</v>
      </c>
      <c r="P181" s="95">
        <v>0.56433057057785019</v>
      </c>
      <c r="Q181" s="95">
        <v>0.20721616538699161</v>
      </c>
      <c r="R181" s="96">
        <v>9.9054157495635422E-3</v>
      </c>
    </row>
    <row r="182" spans="1:18" ht="15.75" hidden="1" customHeight="1" x14ac:dyDescent="0.3">
      <c r="A182" s="89">
        <v>2020</v>
      </c>
      <c r="B182" s="90">
        <v>4</v>
      </c>
      <c r="C182" s="90" t="s">
        <v>725</v>
      </c>
      <c r="D182" s="90" t="s">
        <v>719</v>
      </c>
      <c r="E182" s="91" t="s">
        <v>11</v>
      </c>
      <c r="F182" s="92" t="s">
        <v>43</v>
      </c>
      <c r="G182" s="93">
        <v>1480.8556690303201</v>
      </c>
      <c r="H182" s="93">
        <v>16079.9435902435</v>
      </c>
      <c r="I182" s="93">
        <v>2397.5457928860201</v>
      </c>
      <c r="J182" s="93">
        <v>19379.012097581199</v>
      </c>
      <c r="K182" s="93">
        <v>5813.7165668551097</v>
      </c>
      <c r="L182" s="93">
        <v>116875.6400375591</v>
      </c>
      <c r="M182" s="93">
        <v>185575.48510012322</v>
      </c>
      <c r="N182" s="95">
        <v>2.1555444086980437E-2</v>
      </c>
      <c r="O182" s="95">
        <v>0.23406084214017786</v>
      </c>
      <c r="P182" s="95">
        <v>0.37767650152958859</v>
      </c>
      <c r="Q182" s="95">
        <v>0.28208232609451978</v>
      </c>
      <c r="R182" s="96">
        <v>8.4624886148733341E-2</v>
      </c>
    </row>
    <row r="183" spans="1:18" ht="15.75" hidden="1" customHeight="1" x14ac:dyDescent="0.3">
      <c r="A183" s="89">
        <v>2020</v>
      </c>
      <c r="B183" s="90">
        <v>4</v>
      </c>
      <c r="C183" s="90" t="s">
        <v>725</v>
      </c>
      <c r="D183" s="90" t="s">
        <v>719</v>
      </c>
      <c r="E183" s="91" t="s">
        <v>11</v>
      </c>
      <c r="F183" s="92" t="s">
        <v>58</v>
      </c>
      <c r="G183" s="93">
        <v>38967.043388803999</v>
      </c>
      <c r="H183" s="93">
        <v>156531.95245674599</v>
      </c>
      <c r="I183" s="93">
        <v>2397.5457928860201</v>
      </c>
      <c r="J183" s="93">
        <v>13351.294823448299</v>
      </c>
      <c r="K183" s="93">
        <v>190.338265242034</v>
      </c>
      <c r="L183" s="93">
        <v>4158.1221872778697</v>
      </c>
      <c r="M183" s="93">
        <v>371477.12559239322</v>
      </c>
      <c r="N183" s="95">
        <v>0.10608501881898914</v>
      </c>
      <c r="O183" s="95">
        <v>0.42614716637491046</v>
      </c>
      <c r="P183" s="95">
        <v>0.43090167675400698</v>
      </c>
      <c r="Q183" s="95">
        <v>3.6347955590860584E-2</v>
      </c>
      <c r="R183" s="96">
        <v>5.1818246123277849E-4</v>
      </c>
    </row>
    <row r="184" spans="1:18" ht="15.75" hidden="1" customHeight="1" x14ac:dyDescent="0.3">
      <c r="A184" s="89">
        <v>2020</v>
      </c>
      <c r="B184" s="90">
        <v>4</v>
      </c>
      <c r="C184" s="90" t="s">
        <v>725</v>
      </c>
      <c r="D184" s="90" t="s">
        <v>719</v>
      </c>
      <c r="E184" s="91" t="s">
        <v>11</v>
      </c>
      <c r="F184" s="92" t="s">
        <v>44</v>
      </c>
      <c r="G184" s="93">
        <v>3057.5340869653801</v>
      </c>
      <c r="H184" s="93">
        <v>10192.3633741497</v>
      </c>
      <c r="I184" s="93">
        <v>2397.5457928860201</v>
      </c>
      <c r="J184" s="93">
        <v>70321.458504881302</v>
      </c>
      <c r="K184" s="93">
        <v>1322.9793618198501</v>
      </c>
      <c r="L184" s="93">
        <v>44480.170575314034</v>
      </c>
      <c r="M184" s="93">
        <v>215729.28855108155</v>
      </c>
      <c r="N184" s="95">
        <v>1.7854305605229652E-2</v>
      </c>
      <c r="O184" s="95">
        <v>5.9517756906590093E-2</v>
      </c>
      <c r="P184" s="95">
        <v>0.5042641017291013</v>
      </c>
      <c r="Q184" s="95">
        <v>0.41063836903867784</v>
      </c>
      <c r="R184" s="96">
        <v>7.7254667204011947E-3</v>
      </c>
    </row>
    <row r="185" spans="1:18" ht="15.75" hidden="1" customHeight="1" x14ac:dyDescent="0.3">
      <c r="A185" s="89">
        <v>2020</v>
      </c>
      <c r="B185" s="90">
        <v>4</v>
      </c>
      <c r="C185" s="90" t="s">
        <v>725</v>
      </c>
      <c r="D185" s="90" t="s">
        <v>719</v>
      </c>
      <c r="E185" s="91" t="s">
        <v>11</v>
      </c>
      <c r="F185" s="92" t="s">
        <v>51</v>
      </c>
      <c r="G185" s="93">
        <v>7860.1367219316598</v>
      </c>
      <c r="H185" s="93">
        <v>52928.9936729037</v>
      </c>
      <c r="I185" s="93">
        <v>2397.5457928860201</v>
      </c>
      <c r="J185" s="93">
        <v>36808.3755905367</v>
      </c>
      <c r="K185" s="93">
        <v>16713.257647759099</v>
      </c>
      <c r="L185" s="93">
        <v>1102.16399773284</v>
      </c>
      <c r="M185" s="93">
        <v>211202.40923546921</v>
      </c>
      <c r="N185" s="95">
        <v>3.741136386127307E-2</v>
      </c>
      <c r="O185" s="95">
        <v>0.25192256969054244</v>
      </c>
      <c r="P185" s="95">
        <v>0.45592275009586863</v>
      </c>
      <c r="Q185" s="95">
        <v>0.17519434853056279</v>
      </c>
      <c r="R185" s="96">
        <v>7.9548967821752969E-2</v>
      </c>
    </row>
    <row r="186" spans="1:18" ht="15.75" hidden="1" customHeight="1" x14ac:dyDescent="0.3">
      <c r="A186" s="89">
        <v>2020</v>
      </c>
      <c r="B186" s="90">
        <v>4</v>
      </c>
      <c r="C186" s="90" t="s">
        <v>725</v>
      </c>
      <c r="D186" s="90" t="s">
        <v>719</v>
      </c>
      <c r="E186" s="91" t="s">
        <v>11</v>
      </c>
      <c r="F186" s="92" t="s">
        <v>45</v>
      </c>
      <c r="G186" s="93">
        <v>2008.39950327971</v>
      </c>
      <c r="H186" s="93">
        <v>6902.9750265073699</v>
      </c>
      <c r="I186" s="93">
        <v>2397.5457928860201</v>
      </c>
      <c r="J186" s="93">
        <v>42313.0179442679</v>
      </c>
      <c r="K186" s="93">
        <v>10825.502825071901</v>
      </c>
      <c r="L186" s="93">
        <v>49384.121396194336</v>
      </c>
      <c r="M186" s="93">
        <v>134096.09203645954</v>
      </c>
      <c r="N186" s="95">
        <v>2.3708567845842084E-2</v>
      </c>
      <c r="O186" s="95">
        <v>8.1487598202871409E-2</v>
      </c>
      <c r="P186" s="95">
        <v>0.26751916133995107</v>
      </c>
      <c r="Q186" s="95">
        <v>0.4994927827137069</v>
      </c>
      <c r="R186" s="96">
        <v>0.12779188989762841</v>
      </c>
    </row>
    <row r="187" spans="1:18" ht="15.75" hidden="1" customHeight="1" x14ac:dyDescent="0.3">
      <c r="A187" s="89">
        <v>2020</v>
      </c>
      <c r="B187" s="90">
        <v>4</v>
      </c>
      <c r="C187" s="90" t="s">
        <v>725</v>
      </c>
      <c r="D187" s="90" t="s">
        <v>719</v>
      </c>
      <c r="E187" s="91" t="s">
        <v>11</v>
      </c>
      <c r="F187" s="92" t="s">
        <v>721</v>
      </c>
      <c r="G187" s="93">
        <v>3120.1814238327202</v>
      </c>
      <c r="H187" s="93">
        <v>43224.594721608897</v>
      </c>
      <c r="I187" s="93">
        <v>2397.5457928860201</v>
      </c>
      <c r="J187" s="93">
        <v>93515.9528612539</v>
      </c>
      <c r="K187" s="93">
        <v>16584.987884910999</v>
      </c>
      <c r="L187" s="93">
        <v>153.41410438572305</v>
      </c>
      <c r="M187" s="93">
        <v>309330.85090303718</v>
      </c>
      <c r="N187" s="95">
        <v>1.0091879459705546E-2</v>
      </c>
      <c r="O187" s="95">
        <v>0.13980513962847313</v>
      </c>
      <c r="P187" s="95">
        <v>0.49399374510795852</v>
      </c>
      <c r="Q187" s="95">
        <v>0.30246693882178466</v>
      </c>
      <c r="R187" s="96">
        <v>5.3642296982078279E-2</v>
      </c>
    </row>
    <row r="188" spans="1:18" ht="15.75" hidden="1" customHeight="1" x14ac:dyDescent="0.3">
      <c r="A188" s="89">
        <v>2020</v>
      </c>
      <c r="B188" s="90">
        <v>4</v>
      </c>
      <c r="C188" s="90" t="s">
        <v>725</v>
      </c>
      <c r="D188" s="90" t="s">
        <v>719</v>
      </c>
      <c r="E188" s="91" t="s">
        <v>11</v>
      </c>
      <c r="F188" s="92" t="s">
        <v>46</v>
      </c>
      <c r="G188" s="93">
        <v>6746.4327059436</v>
      </c>
      <c r="H188" s="93">
        <v>32576.9249595162</v>
      </c>
      <c r="I188" s="93">
        <v>2397.5457928860201</v>
      </c>
      <c r="J188" s="93">
        <v>29413.0172245664</v>
      </c>
      <c r="K188" s="93">
        <v>9130.4205178156099</v>
      </c>
      <c r="L188" s="93">
        <v>4358.2345664843497</v>
      </c>
      <c r="M188" s="93">
        <v>149075.00300839084</v>
      </c>
      <c r="N188" s="95">
        <v>4.6618182388807376E-2</v>
      </c>
      <c r="O188" s="95">
        <v>0.2251081565063659</v>
      </c>
      <c r="P188" s="95">
        <v>0.46193660730408176</v>
      </c>
      <c r="Q188" s="95">
        <v>0.20324539817494361</v>
      </c>
      <c r="R188" s="96">
        <v>6.3091655625801407E-2</v>
      </c>
    </row>
    <row r="189" spans="1:18" ht="15.75" hidden="1" customHeight="1" x14ac:dyDescent="0.3">
      <c r="A189" s="89">
        <v>2020</v>
      </c>
      <c r="B189" s="90">
        <v>4</v>
      </c>
      <c r="C189" s="90" t="s">
        <v>725</v>
      </c>
      <c r="D189" s="90" t="s">
        <v>719</v>
      </c>
      <c r="E189" s="91" t="s">
        <v>11</v>
      </c>
      <c r="F189" s="92" t="s">
        <v>47</v>
      </c>
      <c r="G189" s="93">
        <v>17272.092191544099</v>
      </c>
      <c r="H189" s="93">
        <v>275835.36333996098</v>
      </c>
      <c r="I189" s="93">
        <v>2397.5457928860201</v>
      </c>
      <c r="J189" s="93">
        <v>220215.703273038</v>
      </c>
      <c r="K189" s="93">
        <v>40454.670048769702</v>
      </c>
      <c r="L189" s="93">
        <v>250839.70020433801</v>
      </c>
      <c r="M189" s="93">
        <v>1461770.3581410407</v>
      </c>
      <c r="N189" s="95">
        <v>1.4263485756462645E-2</v>
      </c>
      <c r="O189" s="95">
        <v>0.22778790968093512</v>
      </c>
      <c r="P189" s="95">
        <v>0.54268411223736679</v>
      </c>
      <c r="Q189" s="95">
        <v>0.18185657603901298</v>
      </c>
      <c r="R189" s="96">
        <v>3.34079162862225E-2</v>
      </c>
    </row>
    <row r="190" spans="1:18" ht="15.75" hidden="1" customHeight="1" x14ac:dyDescent="0.3">
      <c r="A190" s="89">
        <v>2020</v>
      </c>
      <c r="B190" s="90">
        <v>4</v>
      </c>
      <c r="C190" s="90" t="s">
        <v>725</v>
      </c>
      <c r="D190" s="90" t="s">
        <v>719</v>
      </c>
      <c r="E190" s="91" t="s">
        <v>11</v>
      </c>
      <c r="F190" s="92" t="s">
        <v>48</v>
      </c>
      <c r="G190" s="93">
        <v>169.77646953124901</v>
      </c>
      <c r="H190" s="93">
        <v>2084.9146758578399</v>
      </c>
      <c r="I190" s="93">
        <v>2397.5457928860201</v>
      </c>
      <c r="J190" s="93">
        <v>65031.5912590386</v>
      </c>
      <c r="K190" s="93">
        <v>9297.5357824631701</v>
      </c>
      <c r="L190" s="93">
        <v>8628.4071656143005</v>
      </c>
      <c r="M190" s="93">
        <v>110314.39779994547</v>
      </c>
      <c r="N190" s="95">
        <v>1.6696151404157061E-3</v>
      </c>
      <c r="O190" s="95">
        <v>2.0503460337573113E-2</v>
      </c>
      <c r="P190" s="95">
        <v>0.24685969316765768</v>
      </c>
      <c r="Q190" s="95">
        <v>0.63953343871031409</v>
      </c>
      <c r="R190" s="96">
        <v>9.1433792644039419E-2</v>
      </c>
    </row>
    <row r="191" spans="1:18" ht="15.75" hidden="1" customHeight="1" x14ac:dyDescent="0.3">
      <c r="A191" s="89">
        <v>2020</v>
      </c>
      <c r="B191" s="90">
        <v>4</v>
      </c>
      <c r="C191" s="90" t="s">
        <v>725</v>
      </c>
      <c r="D191" s="90" t="s">
        <v>722</v>
      </c>
      <c r="E191" s="91" t="s">
        <v>11</v>
      </c>
      <c r="F191" s="92" t="s">
        <v>12</v>
      </c>
      <c r="G191" s="93">
        <v>15965.8375342463</v>
      </c>
      <c r="H191" s="93">
        <v>66321.071393241698</v>
      </c>
      <c r="I191" s="93">
        <v>2397.5457928860201</v>
      </c>
      <c r="J191" s="93">
        <v>102860.23764023</v>
      </c>
      <c r="K191" s="93">
        <v>3293.1296792539802</v>
      </c>
      <c r="L191" s="93">
        <v>55986.040453327623</v>
      </c>
      <c r="M191" s="93">
        <v>433311.47680229158</v>
      </c>
      <c r="N191" s="95">
        <v>4.2313175832335161E-2</v>
      </c>
      <c r="O191" s="95">
        <v>0.17576623520261597</v>
      </c>
      <c r="P191" s="95">
        <v>0.50058952274636559</v>
      </c>
      <c r="Q191" s="95">
        <v>0.27260350808976791</v>
      </c>
      <c r="R191" s="96">
        <v>8.7275581289154788E-3</v>
      </c>
    </row>
    <row r="192" spans="1:18" ht="15.75" hidden="1" customHeight="1" x14ac:dyDescent="0.3">
      <c r="A192" s="89">
        <v>2020</v>
      </c>
      <c r="B192" s="90">
        <v>4</v>
      </c>
      <c r="C192" s="90" t="s">
        <v>725</v>
      </c>
      <c r="D192" s="90" t="s">
        <v>722</v>
      </c>
      <c r="E192" s="91" t="s">
        <v>11</v>
      </c>
      <c r="F192" s="92" t="s">
        <v>26</v>
      </c>
      <c r="G192" s="93">
        <v>23340.361061339099</v>
      </c>
      <c r="H192" s="93">
        <v>78722.825853439106</v>
      </c>
      <c r="I192" s="93">
        <v>2397.5457928860201</v>
      </c>
      <c r="J192" s="93">
        <v>478199.03775285499</v>
      </c>
      <c r="K192" s="93">
        <v>50719.7508005774</v>
      </c>
      <c r="L192" s="93">
        <v>322467.90274378302</v>
      </c>
      <c r="M192" s="93">
        <v>1302393.3163907817</v>
      </c>
      <c r="N192" s="95">
        <v>2.3818507752006383E-2</v>
      </c>
      <c r="O192" s="95">
        <v>8.0335528354607666E-2</v>
      </c>
      <c r="P192" s="95">
        <v>0.35609183445923864</v>
      </c>
      <c r="Q192" s="95">
        <v>0.48799534239359776</v>
      </c>
      <c r="R192" s="96">
        <v>5.1758787040549523E-2</v>
      </c>
    </row>
    <row r="193" spans="1:18" ht="15.75" hidden="1" customHeight="1" x14ac:dyDescent="0.3">
      <c r="A193" s="89">
        <v>2020</v>
      </c>
      <c r="B193" s="90">
        <v>4</v>
      </c>
      <c r="C193" s="90" t="s">
        <v>725</v>
      </c>
      <c r="D193" s="90" t="s">
        <v>722</v>
      </c>
      <c r="E193" s="91" t="s">
        <v>11</v>
      </c>
      <c r="F193" s="92" t="s">
        <v>27</v>
      </c>
      <c r="G193" s="93">
        <v>3350.3717653814201</v>
      </c>
      <c r="H193" s="93">
        <v>60054.553013680503</v>
      </c>
      <c r="I193" s="93">
        <v>2397.5457928860201</v>
      </c>
      <c r="J193" s="93">
        <v>20819.476025850399</v>
      </c>
      <c r="K193" s="93">
        <v>816.85605862438604</v>
      </c>
      <c r="L193" s="93">
        <v>33235.327852085487</v>
      </c>
      <c r="M193" s="93">
        <v>226689.6169993022</v>
      </c>
      <c r="N193" s="95">
        <v>1.7318673988312671E-2</v>
      </c>
      <c r="O193" s="95">
        <v>0.31043278119297529</v>
      </c>
      <c r="P193" s="95">
        <v>0.56040645447348447</v>
      </c>
      <c r="Q193" s="95">
        <v>0.10761961452303077</v>
      </c>
      <c r="R193" s="96">
        <v>4.2224758221967723E-3</v>
      </c>
    </row>
    <row r="194" spans="1:18" ht="15.75" hidden="1" customHeight="1" x14ac:dyDescent="0.3">
      <c r="A194" s="89">
        <v>2020</v>
      </c>
      <c r="B194" s="90">
        <v>4</v>
      </c>
      <c r="C194" s="90" t="s">
        <v>725</v>
      </c>
      <c r="D194" s="90" t="s">
        <v>722</v>
      </c>
      <c r="E194" s="91" t="s">
        <v>11</v>
      </c>
      <c r="F194" s="92" t="s">
        <v>28</v>
      </c>
      <c r="G194" s="93">
        <v>2896.1686439598502</v>
      </c>
      <c r="H194" s="93">
        <v>12719.3497199908</v>
      </c>
      <c r="I194" s="93">
        <v>2397.5457928860201</v>
      </c>
      <c r="J194" s="93">
        <v>253557.520200378</v>
      </c>
      <c r="K194" s="93">
        <v>12897.532004246201</v>
      </c>
      <c r="L194" s="93">
        <v>3941.6003713832647</v>
      </c>
      <c r="M194" s="93">
        <v>373104.581014934</v>
      </c>
      <c r="N194" s="95">
        <v>7.8452304153332122E-3</v>
      </c>
      <c r="O194" s="95">
        <v>3.4454564479400235E-2</v>
      </c>
      <c r="P194" s="95">
        <v>0.23591859054542877</v>
      </c>
      <c r="Q194" s="95">
        <v>0.68684438444602103</v>
      </c>
      <c r="R194" s="96">
        <v>3.493723011381672E-2</v>
      </c>
    </row>
    <row r="195" spans="1:18" ht="15.75" customHeight="1" x14ac:dyDescent="0.3">
      <c r="A195" s="89">
        <v>2020</v>
      </c>
      <c r="B195" s="90">
        <v>4</v>
      </c>
      <c r="C195" s="90" t="s">
        <v>725</v>
      </c>
      <c r="D195" s="90" t="s">
        <v>722</v>
      </c>
      <c r="E195" s="91" t="s">
        <v>11</v>
      </c>
      <c r="F195" s="92" t="s">
        <v>29</v>
      </c>
      <c r="G195" s="93">
        <v>6366.4674134512597</v>
      </c>
      <c r="H195" s="93">
        <v>23813.6740869026</v>
      </c>
      <c r="I195" s="93">
        <v>2397.5457928860201</v>
      </c>
      <c r="J195" s="93">
        <v>75576.691903563595</v>
      </c>
      <c r="K195" s="93">
        <v>7878.7628672778701</v>
      </c>
      <c r="L195" s="93">
        <v>162724.94763829088</v>
      </c>
      <c r="M195" s="93">
        <v>354392.05486975436</v>
      </c>
      <c r="N195" s="95">
        <v>3.3216275371459041E-2</v>
      </c>
      <c r="O195" s="95">
        <v>0.12424497051622124</v>
      </c>
      <c r="P195" s="95">
        <v>0.40711999094364576</v>
      </c>
      <c r="Q195" s="95">
        <v>0.39431226878326436</v>
      </c>
      <c r="R195" s="96">
        <v>4.1106494385409684E-2</v>
      </c>
    </row>
    <row r="196" spans="1:18" ht="15.75" hidden="1" customHeight="1" x14ac:dyDescent="0.3">
      <c r="A196" s="89">
        <v>2020</v>
      </c>
      <c r="B196" s="90">
        <v>4</v>
      </c>
      <c r="C196" s="90" t="s">
        <v>725</v>
      </c>
      <c r="D196" s="90" t="s">
        <v>722</v>
      </c>
      <c r="E196" s="91" t="s">
        <v>11</v>
      </c>
      <c r="F196" s="92" t="s">
        <v>30</v>
      </c>
      <c r="G196" s="93">
        <v>144.710799410232</v>
      </c>
      <c r="H196" s="93">
        <v>1317.51991261488</v>
      </c>
      <c r="I196" s="93">
        <v>2397.5457928860201</v>
      </c>
      <c r="J196" s="93">
        <v>6520.8921253431299</v>
      </c>
      <c r="K196" s="93">
        <v>1249.8121506418499</v>
      </c>
      <c r="L196" s="93">
        <v>216096.72994973755</v>
      </c>
      <c r="M196" s="93">
        <v>230086.50016211651</v>
      </c>
      <c r="N196" s="95">
        <v>1.0344044056004821E-2</v>
      </c>
      <c r="O196" s="95">
        <v>9.4177380515446982E-2</v>
      </c>
      <c r="P196" s="95">
        <v>0.34002239866382883</v>
      </c>
      <c r="Q196" s="95">
        <v>0.46611860140297812</v>
      </c>
      <c r="R196" s="96">
        <v>8.9337575361741306E-2</v>
      </c>
    </row>
    <row r="197" spans="1:18" ht="15.75" hidden="1" customHeight="1" x14ac:dyDescent="0.3">
      <c r="A197" s="89">
        <v>2020</v>
      </c>
      <c r="B197" s="90">
        <v>4</v>
      </c>
      <c r="C197" s="90" t="s">
        <v>725</v>
      </c>
      <c r="D197" s="90" t="s">
        <v>722</v>
      </c>
      <c r="E197" s="91" t="s">
        <v>11</v>
      </c>
      <c r="F197" s="92" t="s">
        <v>31</v>
      </c>
      <c r="G197" s="93">
        <v>888.32903067555105</v>
      </c>
      <c r="H197" s="93">
        <v>28852.366476211999</v>
      </c>
      <c r="I197" s="93">
        <v>2397.5457928860201</v>
      </c>
      <c r="J197" s="93">
        <v>68097.447514610598</v>
      </c>
      <c r="K197" s="93">
        <v>36198.209882802497</v>
      </c>
      <c r="L197" s="93">
        <v>44269.344486356109</v>
      </c>
      <c r="M197" s="93">
        <v>251948.68865991925</v>
      </c>
      <c r="N197" s="95">
        <v>4.2774067599768177E-3</v>
      </c>
      <c r="O197" s="95">
        <v>0.13892747298016941</v>
      </c>
      <c r="P197" s="95">
        <v>0.35459949838688382</v>
      </c>
      <c r="Q197" s="95">
        <v>0.3278970654765731</v>
      </c>
      <c r="R197" s="96">
        <v>0.1742985563963968</v>
      </c>
    </row>
    <row r="198" spans="1:18" ht="15.75" hidden="1" customHeight="1" x14ac:dyDescent="0.3">
      <c r="A198" s="89">
        <v>2020</v>
      </c>
      <c r="B198" s="90">
        <v>4</v>
      </c>
      <c r="C198" s="90" t="s">
        <v>725</v>
      </c>
      <c r="D198" s="90" t="s">
        <v>722</v>
      </c>
      <c r="E198" s="91" t="s">
        <v>11</v>
      </c>
      <c r="F198" s="92" t="s">
        <v>32</v>
      </c>
      <c r="G198" s="93">
        <v>12754.190576176399</v>
      </c>
      <c r="H198" s="93">
        <v>78453.494579163598</v>
      </c>
      <c r="I198" s="93">
        <v>2397.5457928860201</v>
      </c>
      <c r="J198" s="93">
        <v>171581.55687750701</v>
      </c>
      <c r="K198" s="93">
        <v>14172.0296682919</v>
      </c>
      <c r="L198" s="93">
        <v>107888.18917766711</v>
      </c>
      <c r="M198" s="93">
        <v>609521.81280337309</v>
      </c>
      <c r="N198" s="95">
        <v>2.5425310376907553E-2</v>
      </c>
      <c r="O198" s="95">
        <v>0.15639600474170307</v>
      </c>
      <c r="P198" s="95">
        <v>0.44788136469138745</v>
      </c>
      <c r="Q198" s="95">
        <v>0.34204556631860195</v>
      </c>
      <c r="R198" s="96">
        <v>2.8251753871399901E-2</v>
      </c>
    </row>
    <row r="199" spans="1:18" ht="15.75" hidden="1" customHeight="1" x14ac:dyDescent="0.3">
      <c r="A199" s="89">
        <v>2020</v>
      </c>
      <c r="B199" s="90">
        <v>4</v>
      </c>
      <c r="C199" s="90" t="s">
        <v>725</v>
      </c>
      <c r="D199" s="90" t="s">
        <v>722</v>
      </c>
      <c r="E199" s="91" t="s">
        <v>11</v>
      </c>
      <c r="F199" s="92" t="s">
        <v>33</v>
      </c>
      <c r="G199" s="93">
        <v>10819.196310326201</v>
      </c>
      <c r="H199" s="93">
        <v>36342.2384708803</v>
      </c>
      <c r="I199" s="93">
        <v>2397.5457928860201</v>
      </c>
      <c r="J199" s="93">
        <v>653517.88731762604</v>
      </c>
      <c r="K199" s="93">
        <v>139588.276469256</v>
      </c>
      <c r="L199" s="93">
        <v>187028.3426781134</v>
      </c>
      <c r="M199" s="93">
        <v>1352056.7882567279</v>
      </c>
      <c r="N199" s="95">
        <v>9.2866370356758272E-3</v>
      </c>
      <c r="O199" s="95">
        <v>3.1194292816456366E-2</v>
      </c>
      <c r="P199" s="95">
        <v>0.27875786916879325</v>
      </c>
      <c r="Q199" s="95">
        <v>0.56094586342314989</v>
      </c>
      <c r="R199" s="96">
        <v>0.11981533755592474</v>
      </c>
    </row>
    <row r="200" spans="1:18" ht="15.75" hidden="1" customHeight="1" x14ac:dyDescent="0.3">
      <c r="A200" s="89">
        <v>2020</v>
      </c>
      <c r="B200" s="90">
        <v>4</v>
      </c>
      <c r="C200" s="90" t="s">
        <v>725</v>
      </c>
      <c r="D200" s="90" t="s">
        <v>722</v>
      </c>
      <c r="E200" s="91" t="s">
        <v>11</v>
      </c>
      <c r="F200" s="92" t="s">
        <v>34</v>
      </c>
      <c r="G200" s="93">
        <v>10161.894878419</v>
      </c>
      <c r="H200" s="93">
        <v>21891.6204432983</v>
      </c>
      <c r="I200" s="93">
        <v>2397.5457928860201</v>
      </c>
      <c r="J200" s="93">
        <v>329456.61840331001</v>
      </c>
      <c r="K200" s="93">
        <v>82657.306657714595</v>
      </c>
      <c r="L200" s="93">
        <v>143078.7028954264</v>
      </c>
      <c r="M200" s="93">
        <v>713628.83042001433</v>
      </c>
      <c r="N200" s="95">
        <v>1.7810696007566962E-2</v>
      </c>
      <c r="O200" s="95">
        <v>3.8369320042531893E-2</v>
      </c>
      <c r="P200" s="95">
        <v>0.22151022503522189</v>
      </c>
      <c r="Q200" s="95">
        <v>0.57743676236250085</v>
      </c>
      <c r="R200" s="96">
        <v>0.14487299655217845</v>
      </c>
    </row>
    <row r="201" spans="1:18" ht="15.75" hidden="1" customHeight="1" x14ac:dyDescent="0.3">
      <c r="A201" s="89">
        <v>2020</v>
      </c>
      <c r="B201" s="90">
        <v>4</v>
      </c>
      <c r="C201" s="90" t="s">
        <v>725</v>
      </c>
      <c r="D201" s="90" t="s">
        <v>722</v>
      </c>
      <c r="E201" s="91" t="s">
        <v>11</v>
      </c>
      <c r="F201" s="92" t="s">
        <v>35</v>
      </c>
      <c r="G201" s="93">
        <v>14814.5436582614</v>
      </c>
      <c r="H201" s="93">
        <v>50072.084252281697</v>
      </c>
      <c r="I201" s="93">
        <v>2397.5457928860201</v>
      </c>
      <c r="J201" s="93">
        <v>154297.60526481201</v>
      </c>
      <c r="K201" s="93">
        <v>34341.784664911698</v>
      </c>
      <c r="L201" s="93">
        <v>278039.06264750689</v>
      </c>
      <c r="M201" s="93">
        <v>605861.196294914</v>
      </c>
      <c r="N201" s="95">
        <v>4.5190797501779886E-2</v>
      </c>
      <c r="O201" s="95">
        <v>0.1527416214859284</v>
      </c>
      <c r="P201" s="95">
        <v>0.22663544703497793</v>
      </c>
      <c r="Q201" s="95">
        <v>0.47067476362278987</v>
      </c>
      <c r="R201" s="96">
        <v>0.10475737035452401</v>
      </c>
    </row>
    <row r="202" spans="1:18" ht="15.75" hidden="1" customHeight="1" x14ac:dyDescent="0.3">
      <c r="A202" s="89">
        <v>2020</v>
      </c>
      <c r="B202" s="90">
        <v>4</v>
      </c>
      <c r="C202" s="90" t="s">
        <v>725</v>
      </c>
      <c r="D202" s="90" t="s">
        <v>722</v>
      </c>
      <c r="E202" s="91" t="s">
        <v>11</v>
      </c>
      <c r="F202" s="92" t="s">
        <v>36</v>
      </c>
      <c r="G202" s="93">
        <v>7315.3689757368502</v>
      </c>
      <c r="H202" s="93">
        <v>41567.742970527499</v>
      </c>
      <c r="I202" s="93">
        <v>2397.5457928860201</v>
      </c>
      <c r="J202" s="93">
        <v>45537.766248308901</v>
      </c>
      <c r="K202" s="93">
        <v>777.23364379442398</v>
      </c>
      <c r="L202" s="93">
        <v>57525.185048169704</v>
      </c>
      <c r="M202" s="93">
        <v>258886.87145458238</v>
      </c>
      <c r="N202" s="95">
        <v>3.6329497961057403E-2</v>
      </c>
      <c r="O202" s="95">
        <v>0.20643322824894511</v>
      </c>
      <c r="P202" s="95">
        <v>0.52722827496474556</v>
      </c>
      <c r="Q202" s="95">
        <v>0.22614911039431321</v>
      </c>
      <c r="R202" s="96">
        <v>3.8598884309387258E-3</v>
      </c>
    </row>
    <row r="203" spans="1:18" ht="15.75" hidden="1" customHeight="1" x14ac:dyDescent="0.3">
      <c r="A203" s="89">
        <v>2020</v>
      </c>
      <c r="B203" s="90">
        <v>4</v>
      </c>
      <c r="C203" s="90" t="s">
        <v>725</v>
      </c>
      <c r="D203" s="90" t="s">
        <v>722</v>
      </c>
      <c r="E203" s="91" t="s">
        <v>11</v>
      </c>
      <c r="F203" s="92" t="s">
        <v>37</v>
      </c>
      <c r="G203" s="93">
        <v>7005.66958058821</v>
      </c>
      <c r="H203" s="93">
        <v>29736.7211365855</v>
      </c>
      <c r="I203" s="93">
        <v>2397.5457928860201</v>
      </c>
      <c r="J203" s="93">
        <v>139129.022242879</v>
      </c>
      <c r="K203" s="93">
        <v>16279.5468874939</v>
      </c>
      <c r="L203" s="93">
        <v>235179.63631469291</v>
      </c>
      <c r="M203" s="93">
        <v>524073.85777632147</v>
      </c>
      <c r="N203" s="95">
        <v>2.4249947074551352E-2</v>
      </c>
      <c r="O203" s="95">
        <v>0.10293290390557425</v>
      </c>
      <c r="P203" s="95">
        <v>0.33487433955798768</v>
      </c>
      <c r="Q203" s="95">
        <v>0.48159157195658331</v>
      </c>
      <c r="R203" s="96">
        <v>5.6351237505303228E-2</v>
      </c>
    </row>
    <row r="204" spans="1:18" ht="15.75" hidden="1" customHeight="1" x14ac:dyDescent="0.3">
      <c r="A204" s="89">
        <v>2020</v>
      </c>
      <c r="B204" s="90">
        <v>4</v>
      </c>
      <c r="C204" s="90" t="s">
        <v>725</v>
      </c>
      <c r="D204" s="90" t="s">
        <v>722</v>
      </c>
      <c r="E204" s="91" t="s">
        <v>11</v>
      </c>
      <c r="F204" s="92" t="s">
        <v>720</v>
      </c>
      <c r="G204" s="93">
        <v>25602.613220986299</v>
      </c>
      <c r="H204" s="93">
        <v>59098.993590879603</v>
      </c>
      <c r="I204" s="93">
        <v>2397.5457928860201</v>
      </c>
      <c r="J204" s="93">
        <v>390270.76170942601</v>
      </c>
      <c r="K204" s="93">
        <v>57837.239826455501</v>
      </c>
      <c r="L204" s="93">
        <v>207329.09998142649</v>
      </c>
      <c r="M204" s="93">
        <v>927958.42268837488</v>
      </c>
      <c r="N204" s="95">
        <v>3.5528131335002412E-2</v>
      </c>
      <c r="O204" s="95">
        <v>8.2010253716684856E-2</v>
      </c>
      <c r="P204" s="95">
        <v>0.26063290576864284</v>
      </c>
      <c r="Q204" s="95">
        <v>0.54156936085174234</v>
      </c>
      <c r="R204" s="96">
        <v>8.0259348327927582E-2</v>
      </c>
    </row>
    <row r="205" spans="1:18" ht="15.75" hidden="1" customHeight="1" x14ac:dyDescent="0.3">
      <c r="A205" s="89">
        <v>2020</v>
      </c>
      <c r="B205" s="90">
        <v>4</v>
      </c>
      <c r="C205" s="90" t="s">
        <v>725</v>
      </c>
      <c r="D205" s="90" t="s">
        <v>722</v>
      </c>
      <c r="E205" s="91" t="s">
        <v>11</v>
      </c>
      <c r="F205" s="92" t="s">
        <v>39</v>
      </c>
      <c r="G205" s="93">
        <v>1301.4960285202201</v>
      </c>
      <c r="H205" s="93">
        <v>21612.795181646899</v>
      </c>
      <c r="I205" s="93">
        <v>2397.5457928860201</v>
      </c>
      <c r="J205" s="93">
        <v>79865.886104287798</v>
      </c>
      <c r="K205" s="93">
        <v>5975.7139918612102</v>
      </c>
      <c r="L205" s="93">
        <v>89119.442635610743</v>
      </c>
      <c r="M205" s="93">
        <v>331195.16650096985</v>
      </c>
      <c r="N205" s="95">
        <v>5.3764004408971781E-3</v>
      </c>
      <c r="O205" s="95">
        <v>8.9281134169685653E-2</v>
      </c>
      <c r="P205" s="95">
        <v>0.55073606898804361</v>
      </c>
      <c r="Q205" s="95">
        <v>0.32992108762094902</v>
      </c>
      <c r="R205" s="96">
        <v>2.4685308780424686E-2</v>
      </c>
    </row>
    <row r="206" spans="1:18" ht="15.75" hidden="1" customHeight="1" x14ac:dyDescent="0.3">
      <c r="A206" s="89">
        <v>2020</v>
      </c>
      <c r="B206" s="90">
        <v>4</v>
      </c>
      <c r="C206" s="90" t="s">
        <v>725</v>
      </c>
      <c r="D206" s="90" t="s">
        <v>722</v>
      </c>
      <c r="E206" s="91" t="s">
        <v>11</v>
      </c>
      <c r="F206" s="92" t="s">
        <v>40</v>
      </c>
      <c r="G206" s="93">
        <v>15510.1109479932</v>
      </c>
      <c r="H206" s="93">
        <v>50441.068832528799</v>
      </c>
      <c r="I206" s="93">
        <v>2397.5457928860201</v>
      </c>
      <c r="J206" s="93">
        <v>102913.379808542</v>
      </c>
      <c r="K206" s="93">
        <v>13126.715650021401</v>
      </c>
      <c r="L206" s="93">
        <v>6615.8830243811499</v>
      </c>
      <c r="M206" s="93">
        <v>326305.02470135054</v>
      </c>
      <c r="N206" s="95">
        <v>4.8516226940436488E-2</v>
      </c>
      <c r="O206" s="95">
        <v>0.15778161425168793</v>
      </c>
      <c r="P206" s="95">
        <v>0.4307242520517669</v>
      </c>
      <c r="Q206" s="95">
        <v>0.32191703249192943</v>
      </c>
      <c r="R206" s="96">
        <v>4.1060874264179162E-2</v>
      </c>
    </row>
    <row r="207" spans="1:18" ht="15.75" hidden="1" customHeight="1" x14ac:dyDescent="0.3">
      <c r="A207" s="89">
        <v>2020</v>
      </c>
      <c r="B207" s="90">
        <v>4</v>
      </c>
      <c r="C207" s="90" t="s">
        <v>725</v>
      </c>
      <c r="D207" s="90" t="s">
        <v>722</v>
      </c>
      <c r="E207" s="91" t="s">
        <v>11</v>
      </c>
      <c r="F207" s="92" t="s">
        <v>41</v>
      </c>
      <c r="G207" s="93">
        <v>469.44105802389601</v>
      </c>
      <c r="H207" s="93">
        <v>3185.2692351393898</v>
      </c>
      <c r="I207" s="93">
        <v>2397.5457928860201</v>
      </c>
      <c r="J207" s="93">
        <v>6322.5727059788796</v>
      </c>
      <c r="K207" s="93">
        <v>2497.1553775474799</v>
      </c>
      <c r="L207" s="93">
        <v>884.45689848498796</v>
      </c>
      <c r="M207" s="93">
        <v>18714.332738962952</v>
      </c>
      <c r="N207" s="95">
        <v>2.6328902243848248E-2</v>
      </c>
      <c r="O207" s="95">
        <v>0.17864786404782965</v>
      </c>
      <c r="P207" s="95">
        <v>0.30036313834728068</v>
      </c>
      <c r="Q207" s="95">
        <v>0.35460553750044455</v>
      </c>
      <c r="R207" s="96">
        <v>0.1400545578605969</v>
      </c>
    </row>
    <row r="208" spans="1:18" ht="15.75" hidden="1" customHeight="1" x14ac:dyDescent="0.3">
      <c r="A208" s="89">
        <v>2020</v>
      </c>
      <c r="B208" s="90">
        <v>4</v>
      </c>
      <c r="C208" s="90" t="s">
        <v>725</v>
      </c>
      <c r="D208" s="90" t="s">
        <v>722</v>
      </c>
      <c r="E208" s="91" t="s">
        <v>11</v>
      </c>
      <c r="F208" s="92" t="s">
        <v>42</v>
      </c>
      <c r="G208" s="93">
        <v>14645.341275741301</v>
      </c>
      <c r="H208" s="93">
        <v>151776.081335389</v>
      </c>
      <c r="I208" s="93">
        <v>2397.5457928860201</v>
      </c>
      <c r="J208" s="93">
        <v>48282.409168845799</v>
      </c>
      <c r="K208" s="93">
        <v>1628.6567145143899</v>
      </c>
      <c r="L208" s="93">
        <v>231001.3007633728</v>
      </c>
      <c r="M208" s="93">
        <v>620824.33974995231</v>
      </c>
      <c r="N208" s="95">
        <v>3.7569204000396449E-2</v>
      </c>
      <c r="O208" s="95">
        <v>0.38934610363194627</v>
      </c>
      <c r="P208" s="95">
        <v>0.44504950488075645</v>
      </c>
      <c r="Q208" s="95">
        <v>0.12385724890546562</v>
      </c>
      <c r="R208" s="96">
        <v>4.1779385814353061E-3</v>
      </c>
    </row>
    <row r="209" spans="1:18" ht="15.75" hidden="1" customHeight="1" x14ac:dyDescent="0.3">
      <c r="A209" s="89">
        <v>2020</v>
      </c>
      <c r="B209" s="90">
        <v>4</v>
      </c>
      <c r="C209" s="90" t="s">
        <v>725</v>
      </c>
      <c r="D209" s="90" t="s">
        <v>722</v>
      </c>
      <c r="E209" s="91" t="s">
        <v>11</v>
      </c>
      <c r="F209" s="92" t="s">
        <v>43</v>
      </c>
      <c r="G209" s="93">
        <v>1159.43241971354</v>
      </c>
      <c r="H209" s="93">
        <v>17173.156274788598</v>
      </c>
      <c r="I209" s="93">
        <v>2397.5457928860201</v>
      </c>
      <c r="J209" s="93">
        <v>18157.2073137025</v>
      </c>
      <c r="K209" s="93">
        <v>8369.2812618964399</v>
      </c>
      <c r="L209" s="93">
        <v>116512.69194531212</v>
      </c>
      <c r="M209" s="93">
        <v>185575.48510012359</v>
      </c>
      <c r="N209" s="95">
        <v>1.6788090471732745E-2</v>
      </c>
      <c r="O209" s="95">
        <v>0.24866003082576132</v>
      </c>
      <c r="P209" s="95">
        <v>0.35045955686233599</v>
      </c>
      <c r="Q209" s="95">
        <v>0.26290867316937533</v>
      </c>
      <c r="R209" s="96">
        <v>0.12118364867079472</v>
      </c>
    </row>
    <row r="210" spans="1:18" ht="15.75" hidden="1" customHeight="1" x14ac:dyDescent="0.3">
      <c r="A210" s="89">
        <v>2020</v>
      </c>
      <c r="B210" s="90">
        <v>4</v>
      </c>
      <c r="C210" s="90" t="s">
        <v>725</v>
      </c>
      <c r="D210" s="90" t="s">
        <v>722</v>
      </c>
      <c r="E210" s="91" t="s">
        <v>11</v>
      </c>
      <c r="F210" s="92" t="s">
        <v>58</v>
      </c>
      <c r="G210" s="93">
        <v>36067.889855523601</v>
      </c>
      <c r="H210" s="93">
        <v>133538.605412951</v>
      </c>
      <c r="I210" s="93">
        <v>2397.5457928860201</v>
      </c>
      <c r="J210" s="93">
        <v>28673.2633191147</v>
      </c>
      <c r="K210" s="93">
        <v>1217.0426430024499</v>
      </c>
      <c r="L210" s="93">
        <v>6872.7175304304201</v>
      </c>
      <c r="M210" s="93">
        <v>371477.12559241313</v>
      </c>
      <c r="N210" s="95">
        <v>9.8923351056666498E-2</v>
      </c>
      <c r="O210" s="95">
        <v>0.36625614627854264</v>
      </c>
      <c r="P210" s="95">
        <v>0.45284040231165473</v>
      </c>
      <c r="Q210" s="95">
        <v>7.8642119198515686E-2</v>
      </c>
      <c r="R210" s="96">
        <v>3.3379811546204695E-3</v>
      </c>
    </row>
    <row r="211" spans="1:18" ht="15.75" hidden="1" customHeight="1" x14ac:dyDescent="0.3">
      <c r="A211" s="89">
        <v>2020</v>
      </c>
      <c r="B211" s="90">
        <v>4</v>
      </c>
      <c r="C211" s="90" t="s">
        <v>725</v>
      </c>
      <c r="D211" s="90" t="s">
        <v>722</v>
      </c>
      <c r="E211" s="91" t="s">
        <v>11</v>
      </c>
      <c r="F211" s="92" t="s">
        <v>44</v>
      </c>
      <c r="G211" s="93">
        <v>5582.1770821706496</v>
      </c>
      <c r="H211" s="93">
        <v>23780.899533117099</v>
      </c>
      <c r="I211" s="93">
        <v>2397.5457928860201</v>
      </c>
      <c r="J211" s="93">
        <v>37124.912825775398</v>
      </c>
      <c r="K211" s="93">
        <v>1017.76183244485</v>
      </c>
      <c r="L211" s="93">
        <v>83344.587663975806</v>
      </c>
      <c r="M211" s="93">
        <v>215729.28855107489</v>
      </c>
      <c r="N211" s="95">
        <v>4.2166330737350585E-2</v>
      </c>
      <c r="O211" s="95">
        <v>0.17963480201083079</v>
      </c>
      <c r="P211" s="95">
        <v>0.49007890775023516</v>
      </c>
      <c r="Q211" s="95">
        <v>0.28043204824276813</v>
      </c>
      <c r="R211" s="96">
        <v>7.6879112588154903E-3</v>
      </c>
    </row>
    <row r="212" spans="1:18" ht="15.75" hidden="1" customHeight="1" x14ac:dyDescent="0.3">
      <c r="A212" s="89">
        <v>2020</v>
      </c>
      <c r="B212" s="90">
        <v>4</v>
      </c>
      <c r="C212" s="90" t="s">
        <v>725</v>
      </c>
      <c r="D212" s="90" t="s">
        <v>722</v>
      </c>
      <c r="E212" s="91" t="s">
        <v>11</v>
      </c>
      <c r="F212" s="92" t="s">
        <v>51</v>
      </c>
      <c r="G212" s="93">
        <v>8075.1959168228996</v>
      </c>
      <c r="H212" s="93">
        <v>76350.011273291399</v>
      </c>
      <c r="I212" s="93">
        <v>2397.5457928860201</v>
      </c>
      <c r="J212" s="93">
        <v>27758.770514328698</v>
      </c>
      <c r="K212" s="93">
        <v>5322.12754790902</v>
      </c>
      <c r="L212" s="93">
        <v>3280.0959734451599</v>
      </c>
      <c r="M212" s="93">
        <v>211202.40923547707</v>
      </c>
      <c r="N212" s="95">
        <v>3.8837562886510496E-2</v>
      </c>
      <c r="O212" s="95">
        <v>0.36720451054751446</v>
      </c>
      <c r="P212" s="95">
        <v>0.43485572371318237</v>
      </c>
      <c r="Q212" s="95">
        <v>0.13350549096356965</v>
      </c>
      <c r="R212" s="96">
        <v>2.5596711889223089E-2</v>
      </c>
    </row>
    <row r="213" spans="1:18" ht="15.75" hidden="1" customHeight="1" x14ac:dyDescent="0.3">
      <c r="A213" s="89">
        <v>2020</v>
      </c>
      <c r="B213" s="90">
        <v>4</v>
      </c>
      <c r="C213" s="90" t="s">
        <v>725</v>
      </c>
      <c r="D213" s="90" t="s">
        <v>722</v>
      </c>
      <c r="E213" s="91" t="s">
        <v>11</v>
      </c>
      <c r="F213" s="92" t="s">
        <v>45</v>
      </c>
      <c r="G213" s="93">
        <v>3340.7108221017102</v>
      </c>
      <c r="H213" s="93">
        <v>5643.9332667264098</v>
      </c>
      <c r="I213" s="93">
        <v>2397.5457928860201</v>
      </c>
      <c r="J213" s="93">
        <v>29932.268738394501</v>
      </c>
      <c r="K213" s="93">
        <v>11157.4421415992</v>
      </c>
      <c r="L213" s="93">
        <v>66563.920199225497</v>
      </c>
      <c r="M213" s="93">
        <v>134096.09203645872</v>
      </c>
      <c r="N213" s="95">
        <v>4.9468434543368862E-2</v>
      </c>
      <c r="O213" s="95">
        <v>8.3573993152915013E-2</v>
      </c>
      <c r="P213" s="95">
        <v>0.2585111124589391</v>
      </c>
      <c r="Q213" s="95">
        <v>0.44322976625922206</v>
      </c>
      <c r="R213" s="96">
        <v>0.16521669358555488</v>
      </c>
    </row>
    <row r="214" spans="1:18" ht="15.75" hidden="1" customHeight="1" x14ac:dyDescent="0.3">
      <c r="A214" s="89">
        <v>2020</v>
      </c>
      <c r="B214" s="90">
        <v>4</v>
      </c>
      <c r="C214" s="90" t="s">
        <v>725</v>
      </c>
      <c r="D214" s="90" t="s">
        <v>722</v>
      </c>
      <c r="E214" s="91" t="s">
        <v>11</v>
      </c>
      <c r="F214" s="92" t="s">
        <v>721</v>
      </c>
      <c r="G214" s="93">
        <v>3297.5326075888402</v>
      </c>
      <c r="H214" s="93">
        <v>38403.752235947402</v>
      </c>
      <c r="I214" s="93">
        <v>2397.5457928860201</v>
      </c>
      <c r="J214" s="93">
        <v>103975.301267705</v>
      </c>
      <c r="K214" s="93">
        <v>25459.920133318301</v>
      </c>
      <c r="L214" s="93">
        <v>636.90034977634798</v>
      </c>
      <c r="M214" s="93">
        <v>309330.85090303788</v>
      </c>
      <c r="N214" s="95">
        <v>1.0682206767184088E-2</v>
      </c>
      <c r="O214" s="95">
        <v>0.12440720709660065</v>
      </c>
      <c r="P214" s="95">
        <v>0.44561107874696776</v>
      </c>
      <c r="Q214" s="95">
        <v>0.33682325514106659</v>
      </c>
      <c r="R214" s="96">
        <v>8.2476252248180976E-2</v>
      </c>
    </row>
    <row r="215" spans="1:18" ht="15.75" hidden="1" customHeight="1" x14ac:dyDescent="0.3">
      <c r="A215" s="89">
        <v>2020</v>
      </c>
      <c r="B215" s="90">
        <v>4</v>
      </c>
      <c r="C215" s="90" t="s">
        <v>725</v>
      </c>
      <c r="D215" s="90" t="s">
        <v>722</v>
      </c>
      <c r="E215" s="91" t="s">
        <v>11</v>
      </c>
      <c r="F215" s="92" t="s">
        <v>46</v>
      </c>
      <c r="G215" s="93">
        <v>5915.5066001730802</v>
      </c>
      <c r="H215" s="93">
        <v>38493.134872531104</v>
      </c>
      <c r="I215" s="93">
        <v>2397.5457928860201</v>
      </c>
      <c r="J215" s="93">
        <v>27830.720647431001</v>
      </c>
      <c r="K215" s="93">
        <v>6334.1174302297704</v>
      </c>
      <c r="L215" s="93">
        <v>5788.0228145097599</v>
      </c>
      <c r="M215" s="93">
        <v>149075.00300839089</v>
      </c>
      <c r="N215" s="95">
        <v>4.1284327383889506E-2</v>
      </c>
      <c r="O215" s="95">
        <v>0.26864363266255015</v>
      </c>
      <c r="P215" s="95">
        <v>0.45163559561345051</v>
      </c>
      <c r="Q215" s="95">
        <v>0.19423063149054676</v>
      </c>
      <c r="R215" s="96">
        <v>4.4205812849563139E-2</v>
      </c>
    </row>
    <row r="216" spans="1:18" ht="15.75" hidden="1" customHeight="1" x14ac:dyDescent="0.3">
      <c r="A216" s="89">
        <v>2020</v>
      </c>
      <c r="B216" s="90">
        <v>4</v>
      </c>
      <c r="C216" s="90" t="s">
        <v>725</v>
      </c>
      <c r="D216" s="90" t="s">
        <v>722</v>
      </c>
      <c r="E216" s="91" t="s">
        <v>11</v>
      </c>
      <c r="F216" s="92" t="s">
        <v>47</v>
      </c>
      <c r="G216" s="93">
        <v>18672.621033324202</v>
      </c>
      <c r="H216" s="93">
        <v>121284.58672272001</v>
      </c>
      <c r="I216" s="93">
        <v>2397.5457928860201</v>
      </c>
      <c r="J216" s="93">
        <v>425786.403685786</v>
      </c>
      <c r="K216" s="93">
        <v>146301.2413389</v>
      </c>
      <c r="L216" s="93">
        <v>273157.653952842</v>
      </c>
      <c r="M216" s="93">
        <v>1461770.3581409343</v>
      </c>
      <c r="N216" s="95">
        <v>1.5709592340323288E-2</v>
      </c>
      <c r="O216" s="95">
        <v>0.10203877705107156</v>
      </c>
      <c r="P216" s="95">
        <v>0.400944605192397</v>
      </c>
      <c r="Q216" s="95">
        <v>0.35822131312034788</v>
      </c>
      <c r="R216" s="96">
        <v>0.12308571229586028</v>
      </c>
    </row>
    <row r="217" spans="1:18" ht="15.75" hidden="1" customHeight="1" x14ac:dyDescent="0.3">
      <c r="A217" s="89">
        <v>2020</v>
      </c>
      <c r="B217" s="90">
        <v>4</v>
      </c>
      <c r="C217" s="90" t="s">
        <v>725</v>
      </c>
      <c r="D217" s="90" t="s">
        <v>722</v>
      </c>
      <c r="E217" s="91" t="s">
        <v>11</v>
      </c>
      <c r="F217" s="92" t="s">
        <v>48</v>
      </c>
      <c r="G217" s="93">
        <v>330.44208937346798</v>
      </c>
      <c r="H217" s="93">
        <v>1330.9519903063699</v>
      </c>
      <c r="I217" s="93">
        <v>2397.5457928860201</v>
      </c>
      <c r="J217" s="93">
        <v>53025.3109435027</v>
      </c>
      <c r="K217" s="93">
        <v>18494.8324939675</v>
      </c>
      <c r="L217" s="93">
        <v>22359.45187618096</v>
      </c>
      <c r="M217" s="93">
        <v>110314.39779994079</v>
      </c>
      <c r="N217" s="95">
        <v>3.7569472177255187E-3</v>
      </c>
      <c r="O217" s="95">
        <v>1.5132201791813408E-2</v>
      </c>
      <c r="P217" s="95">
        <v>0.16796563571780862</v>
      </c>
      <c r="Q217" s="95">
        <v>0.60286900738322924</v>
      </c>
      <c r="R217" s="96">
        <v>0.21027620788942322</v>
      </c>
    </row>
    <row r="218" spans="1:18" ht="15.75" hidden="1" customHeight="1" x14ac:dyDescent="0.3">
      <c r="A218" s="89">
        <v>2020</v>
      </c>
      <c r="B218" s="90">
        <v>5</v>
      </c>
      <c r="C218" s="90" t="s">
        <v>726</v>
      </c>
      <c r="D218" s="90" t="s">
        <v>719</v>
      </c>
      <c r="E218" s="91" t="s">
        <v>11</v>
      </c>
      <c r="F218" s="92" t="s">
        <v>12</v>
      </c>
      <c r="G218" s="93">
        <v>15702.348913547799</v>
      </c>
      <c r="H218" s="93">
        <v>85048.661523364397</v>
      </c>
      <c r="I218" s="93">
        <v>2397.5457928860201</v>
      </c>
      <c r="J218" s="93">
        <v>61919.647470679898</v>
      </c>
      <c r="K218" s="93">
        <v>1880.8348539813101</v>
      </c>
      <c r="L218" s="93">
        <v>85762.093899902713</v>
      </c>
      <c r="M218" s="93">
        <v>433311.47680228815</v>
      </c>
      <c r="N218" s="95">
        <v>4.5180195062979135E-2</v>
      </c>
      <c r="O218" s="95">
        <v>0.24470957425711101</v>
      </c>
      <c r="P218" s="95">
        <v>0.52653780769971836</v>
      </c>
      <c r="Q218" s="95">
        <v>0.178160717632668</v>
      </c>
      <c r="R218" s="96">
        <v>5.4117053475234373E-3</v>
      </c>
    </row>
    <row r="219" spans="1:18" ht="15.75" hidden="1" customHeight="1" x14ac:dyDescent="0.3">
      <c r="A219" s="89">
        <v>2020</v>
      </c>
      <c r="B219" s="90">
        <v>5</v>
      </c>
      <c r="C219" s="90" t="s">
        <v>726</v>
      </c>
      <c r="D219" s="90" t="s">
        <v>719</v>
      </c>
      <c r="E219" s="91" t="s">
        <v>11</v>
      </c>
      <c r="F219" s="92" t="s">
        <v>26</v>
      </c>
      <c r="G219" s="93">
        <v>38820.389784834297</v>
      </c>
      <c r="H219" s="93">
        <v>100054.06025559601</v>
      </c>
      <c r="I219" s="93">
        <v>2397.5457928860201</v>
      </c>
      <c r="J219" s="93">
        <v>464717.087819579</v>
      </c>
      <c r="K219" s="93">
        <v>63049.894945132597</v>
      </c>
      <c r="L219" s="93">
        <v>264925.95663877222</v>
      </c>
      <c r="M219" s="93">
        <v>1302393.3163907491</v>
      </c>
      <c r="N219" s="95">
        <v>3.7418420367571786E-2</v>
      </c>
      <c r="O219" s="95">
        <v>9.6440682509294107E-2</v>
      </c>
      <c r="P219" s="95">
        <v>0.35743382522943845</v>
      </c>
      <c r="Q219" s="95">
        <v>0.44793417686960008</v>
      </c>
      <c r="R219" s="96">
        <v>6.0772895024095684E-2</v>
      </c>
    </row>
    <row r="220" spans="1:18" ht="15.75" hidden="1" customHeight="1" x14ac:dyDescent="0.3">
      <c r="A220" s="89">
        <v>2020</v>
      </c>
      <c r="B220" s="90">
        <v>5</v>
      </c>
      <c r="C220" s="90" t="s">
        <v>726</v>
      </c>
      <c r="D220" s="90" t="s">
        <v>719</v>
      </c>
      <c r="E220" s="91" t="s">
        <v>11</v>
      </c>
      <c r="F220" s="92" t="s">
        <v>27</v>
      </c>
      <c r="G220" s="93">
        <v>4386.1157606127399</v>
      </c>
      <c r="H220" s="93">
        <v>66367.930289996206</v>
      </c>
      <c r="I220" s="93">
        <v>2397.5457928860201</v>
      </c>
      <c r="J220" s="93">
        <v>15140.527155301799</v>
      </c>
      <c r="K220" s="93">
        <v>387.36213100949698</v>
      </c>
      <c r="L220" s="93">
        <v>53691.391236687734</v>
      </c>
      <c r="M220" s="93">
        <v>226689.61699930287</v>
      </c>
      <c r="N220" s="95">
        <v>2.5353530310948301E-2</v>
      </c>
      <c r="O220" s="95">
        <v>0.38363358928932034</v>
      </c>
      <c r="P220" s="95">
        <v>0.50125537440300305</v>
      </c>
      <c r="Q220" s="95">
        <v>8.7518395570584301E-2</v>
      </c>
      <c r="R220" s="96">
        <v>2.2391104261440687E-3</v>
      </c>
    </row>
    <row r="221" spans="1:18" ht="15.75" hidden="1" customHeight="1" x14ac:dyDescent="0.3">
      <c r="A221" s="89">
        <v>2020</v>
      </c>
      <c r="B221" s="90">
        <v>5</v>
      </c>
      <c r="C221" s="90" t="s">
        <v>726</v>
      </c>
      <c r="D221" s="90" t="s">
        <v>719</v>
      </c>
      <c r="E221" s="91" t="s">
        <v>11</v>
      </c>
      <c r="F221" s="92" t="s">
        <v>28</v>
      </c>
      <c r="G221" s="93">
        <v>3523.2839414920199</v>
      </c>
      <c r="H221" s="93">
        <v>17603.192211596201</v>
      </c>
      <c r="I221" s="93">
        <v>2397.5457928860201</v>
      </c>
      <c r="J221" s="93">
        <v>213705.49886220499</v>
      </c>
      <c r="K221" s="93">
        <v>11331.715687509</v>
      </c>
      <c r="L221" s="93">
        <v>4328.6612686259105</v>
      </c>
      <c r="M221" s="93">
        <v>373104.58101494511</v>
      </c>
      <c r="N221" s="95">
        <v>9.5539967574772393E-3</v>
      </c>
      <c r="O221" s="95">
        <v>4.7734115133399792E-2</v>
      </c>
      <c r="P221" s="95">
        <v>0.33248436917427232</v>
      </c>
      <c r="Q221" s="95">
        <v>0.57949960238513654</v>
      </c>
      <c r="R221" s="96">
        <v>3.0727916549714209E-2</v>
      </c>
    </row>
    <row r="222" spans="1:18" ht="15.75" customHeight="1" x14ac:dyDescent="0.3">
      <c r="A222" s="89">
        <v>2020</v>
      </c>
      <c r="B222" s="90">
        <v>5</v>
      </c>
      <c r="C222" s="90" t="s">
        <v>726</v>
      </c>
      <c r="D222" s="90" t="s">
        <v>719</v>
      </c>
      <c r="E222" s="91" t="s">
        <v>11</v>
      </c>
      <c r="F222" s="92" t="s">
        <v>29</v>
      </c>
      <c r="G222" s="93">
        <v>12238.706797254799</v>
      </c>
      <c r="H222" s="93">
        <v>42135.403446091899</v>
      </c>
      <c r="I222" s="93">
        <v>2397.5457928860201</v>
      </c>
      <c r="J222" s="93">
        <v>76765.850293466094</v>
      </c>
      <c r="K222" s="93">
        <v>6718.1558005820798</v>
      </c>
      <c r="L222" s="93">
        <v>115899.6990926204</v>
      </c>
      <c r="M222" s="93">
        <v>354392.05486975424</v>
      </c>
      <c r="N222" s="95">
        <v>5.1316977256460228E-2</v>
      </c>
      <c r="O222" s="95">
        <v>0.17667402088755649</v>
      </c>
      <c r="P222" s="95">
        <v>0.42196002094834267</v>
      </c>
      <c r="Q222" s="95">
        <v>0.32187970991071169</v>
      </c>
      <c r="R222" s="96">
        <v>2.8169270996928959E-2</v>
      </c>
    </row>
    <row r="223" spans="1:18" ht="15.75" hidden="1" customHeight="1" x14ac:dyDescent="0.3">
      <c r="A223" s="89">
        <v>2020</v>
      </c>
      <c r="B223" s="90">
        <v>5</v>
      </c>
      <c r="C223" s="90" t="s">
        <v>726</v>
      </c>
      <c r="D223" s="90" t="s">
        <v>719</v>
      </c>
      <c r="E223" s="91" t="s">
        <v>11</v>
      </c>
      <c r="F223" s="92" t="s">
        <v>30</v>
      </c>
      <c r="G223" s="93">
        <v>361.80551513786702</v>
      </c>
      <c r="H223" s="93">
        <v>2120.0323752895201</v>
      </c>
      <c r="I223" s="93">
        <v>2397.5457928860201</v>
      </c>
      <c r="J223" s="93">
        <v>3027.2660646415402</v>
      </c>
      <c r="K223" s="93">
        <v>172.10258505974201</v>
      </c>
      <c r="L223" s="93">
        <v>218006.16153503914</v>
      </c>
      <c r="M223" s="93">
        <v>230086.50016211634</v>
      </c>
      <c r="N223" s="95">
        <v>2.994994811874779E-2</v>
      </c>
      <c r="O223" s="95">
        <v>0.17549444934743982</v>
      </c>
      <c r="P223" s="95">
        <v>0.52971462841325834</v>
      </c>
      <c r="Q223" s="95">
        <v>0.25059447074241314</v>
      </c>
      <c r="R223" s="96">
        <v>1.4246503378140958E-2</v>
      </c>
    </row>
    <row r="224" spans="1:18" ht="15.75" hidden="1" customHeight="1" x14ac:dyDescent="0.3">
      <c r="A224" s="89">
        <v>2020</v>
      </c>
      <c r="B224" s="90">
        <v>5</v>
      </c>
      <c r="C224" s="90" t="s">
        <v>726</v>
      </c>
      <c r="D224" s="90" t="s">
        <v>719</v>
      </c>
      <c r="E224" s="91" t="s">
        <v>11</v>
      </c>
      <c r="F224" s="92" t="s">
        <v>31</v>
      </c>
      <c r="G224" s="93">
        <v>1355.0160139659899</v>
      </c>
      <c r="H224" s="93">
        <v>40215.308969400998</v>
      </c>
      <c r="I224" s="93">
        <v>2397.5457928860201</v>
      </c>
      <c r="J224" s="93">
        <v>55195.1428661479</v>
      </c>
      <c r="K224" s="93">
        <v>30969.868510409298</v>
      </c>
      <c r="L224" s="93">
        <v>54675.132439202105</v>
      </c>
      <c r="M224" s="93">
        <v>251948.68865991678</v>
      </c>
      <c r="N224" s="95">
        <v>6.8687159086338141E-3</v>
      </c>
      <c r="O224" s="95">
        <v>0.20385554830474636</v>
      </c>
      <c r="P224" s="95">
        <v>0.35249640749107486</v>
      </c>
      <c r="Q224" s="95">
        <v>0.27978987109855802</v>
      </c>
      <c r="R224" s="96">
        <v>0.15698945719698701</v>
      </c>
    </row>
    <row r="225" spans="1:18" ht="15.75" hidden="1" customHeight="1" x14ac:dyDescent="0.3">
      <c r="A225" s="89">
        <v>2020</v>
      </c>
      <c r="B225" s="90">
        <v>5</v>
      </c>
      <c r="C225" s="90" t="s">
        <v>726</v>
      </c>
      <c r="D225" s="90" t="s">
        <v>719</v>
      </c>
      <c r="E225" s="91" t="s">
        <v>11</v>
      </c>
      <c r="F225" s="92" t="s">
        <v>32</v>
      </c>
      <c r="G225" s="93">
        <v>22575.224698512699</v>
      </c>
      <c r="H225" s="93">
        <v>110751.3108449</v>
      </c>
      <c r="I225" s="93">
        <v>2397.5457928860201</v>
      </c>
      <c r="J225" s="93">
        <v>134507.85726341399</v>
      </c>
      <c r="K225" s="93">
        <v>8473.3493331142599</v>
      </c>
      <c r="L225" s="93">
        <v>114372.0028799172</v>
      </c>
      <c r="M225" s="93">
        <v>609521.81280337216</v>
      </c>
      <c r="N225" s="95">
        <v>4.5592716075166413E-2</v>
      </c>
      <c r="O225" s="95">
        <v>0.22367232830407632</v>
      </c>
      <c r="P225" s="95">
        <v>0.44197142642010656</v>
      </c>
      <c r="Q225" s="95">
        <v>0.27165083085502451</v>
      </c>
      <c r="R225" s="96">
        <v>1.7112698345626252E-2</v>
      </c>
    </row>
    <row r="226" spans="1:18" ht="15.75" hidden="1" customHeight="1" x14ac:dyDescent="0.3">
      <c r="A226" s="89">
        <v>2020</v>
      </c>
      <c r="B226" s="90">
        <v>5</v>
      </c>
      <c r="C226" s="90" t="s">
        <v>726</v>
      </c>
      <c r="D226" s="90" t="s">
        <v>719</v>
      </c>
      <c r="E226" s="91" t="s">
        <v>11</v>
      </c>
      <c r="F226" s="92" t="s">
        <v>33</v>
      </c>
      <c r="G226" s="93">
        <v>11463.3674332184</v>
      </c>
      <c r="H226" s="93">
        <v>35838.284843253103</v>
      </c>
      <c r="I226" s="93">
        <v>2397.5457928860201</v>
      </c>
      <c r="J226" s="93">
        <v>809546.61458369705</v>
      </c>
      <c r="K226" s="93">
        <v>154678.44241553501</v>
      </c>
      <c r="L226" s="93">
        <v>35093.509059695127</v>
      </c>
      <c r="M226" s="93">
        <v>1352056.7882570126</v>
      </c>
      <c r="N226" s="95">
        <v>8.7043941272267403E-3</v>
      </c>
      <c r="O226" s="95">
        <v>2.7212820136561709E-2</v>
      </c>
      <c r="P226" s="95">
        <v>0.23192489475315975</v>
      </c>
      <c r="Q226" s="95">
        <v>0.61470705172365292</v>
      </c>
      <c r="R226" s="96">
        <v>0.11745083925939889</v>
      </c>
    </row>
    <row r="227" spans="1:18" ht="15.75" hidden="1" customHeight="1" x14ac:dyDescent="0.3">
      <c r="A227" s="89">
        <v>2020</v>
      </c>
      <c r="B227" s="90">
        <v>5</v>
      </c>
      <c r="C227" s="90" t="s">
        <v>726</v>
      </c>
      <c r="D227" s="90" t="s">
        <v>719</v>
      </c>
      <c r="E227" s="91" t="s">
        <v>11</v>
      </c>
      <c r="F227" s="92" t="s">
        <v>34</v>
      </c>
      <c r="G227" s="93">
        <v>15598.091625859301</v>
      </c>
      <c r="H227" s="93">
        <v>33325.3531892096</v>
      </c>
      <c r="I227" s="93">
        <v>2397.5457928860201</v>
      </c>
      <c r="J227" s="93">
        <v>349895.74493357702</v>
      </c>
      <c r="K227" s="93">
        <v>44124.0749332173</v>
      </c>
      <c r="L227" s="93">
        <v>80372.824372314295</v>
      </c>
      <c r="M227" s="93">
        <v>713628.83042003238</v>
      </c>
      <c r="N227" s="95">
        <v>2.4631573134552991E-2</v>
      </c>
      <c r="O227" s="95">
        <v>5.2625404056094206E-2</v>
      </c>
      <c r="P227" s="95">
        <v>0.30053049564209622</v>
      </c>
      <c r="Q227" s="95">
        <v>0.55253442777013495</v>
      </c>
      <c r="R227" s="96">
        <v>6.9678099397121857E-2</v>
      </c>
    </row>
    <row r="228" spans="1:18" ht="15.75" hidden="1" customHeight="1" x14ac:dyDescent="0.3">
      <c r="A228" s="89">
        <v>2020</v>
      </c>
      <c r="B228" s="90">
        <v>5</v>
      </c>
      <c r="C228" s="90" t="s">
        <v>726</v>
      </c>
      <c r="D228" s="90" t="s">
        <v>719</v>
      </c>
      <c r="E228" s="91" t="s">
        <v>11</v>
      </c>
      <c r="F228" s="92" t="s">
        <v>35</v>
      </c>
      <c r="G228" s="93">
        <v>14615.663452938101</v>
      </c>
      <c r="H228" s="93">
        <v>67554.071413800702</v>
      </c>
      <c r="I228" s="93">
        <v>2397.5457928860201</v>
      </c>
      <c r="J228" s="93">
        <v>148669.79087002401</v>
      </c>
      <c r="K228" s="93">
        <v>23910.237584929499</v>
      </c>
      <c r="L228" s="93">
        <v>259213.1702076967</v>
      </c>
      <c r="M228" s="93">
        <v>605861.19629491551</v>
      </c>
      <c r="N228" s="95">
        <v>4.216283478637408E-2</v>
      </c>
      <c r="O228" s="95">
        <v>0.19487799245913973</v>
      </c>
      <c r="P228" s="95">
        <v>0.26510539754928336</v>
      </c>
      <c r="Q228" s="95">
        <v>0.42887822714045326</v>
      </c>
      <c r="R228" s="96">
        <v>6.8975548064749495E-2</v>
      </c>
    </row>
    <row r="229" spans="1:18" ht="15.75" hidden="1" customHeight="1" x14ac:dyDescent="0.3">
      <c r="A229" s="89">
        <v>2020</v>
      </c>
      <c r="B229" s="90">
        <v>5</v>
      </c>
      <c r="C229" s="90" t="s">
        <v>726</v>
      </c>
      <c r="D229" s="90" t="s">
        <v>719</v>
      </c>
      <c r="E229" s="91" t="s">
        <v>11</v>
      </c>
      <c r="F229" s="92" t="s">
        <v>36</v>
      </c>
      <c r="G229" s="93">
        <v>9570.0198344791297</v>
      </c>
      <c r="H229" s="93">
        <v>62528.694596328802</v>
      </c>
      <c r="I229" s="93">
        <v>2397.5457928860201</v>
      </c>
      <c r="J229" s="93">
        <v>39068.833640213299</v>
      </c>
      <c r="K229" s="93">
        <v>659.73449696537898</v>
      </c>
      <c r="L229" s="93">
        <v>35304.054030070707</v>
      </c>
      <c r="M229" s="93">
        <v>258886.87145458133</v>
      </c>
      <c r="N229" s="95">
        <v>4.2803020127923301E-2</v>
      </c>
      <c r="O229" s="95">
        <v>0.2796668157088622</v>
      </c>
      <c r="P229" s="95">
        <v>0.49983955003275943</v>
      </c>
      <c r="Q229" s="95">
        <v>0.17473987531892651</v>
      </c>
      <c r="R229" s="96">
        <v>2.9507388115284322E-3</v>
      </c>
    </row>
    <row r="230" spans="1:18" ht="15.75" hidden="1" customHeight="1" x14ac:dyDescent="0.3">
      <c r="A230" s="89">
        <v>2020</v>
      </c>
      <c r="B230" s="90">
        <v>5</v>
      </c>
      <c r="C230" s="90" t="s">
        <v>726</v>
      </c>
      <c r="D230" s="90" t="s">
        <v>719</v>
      </c>
      <c r="E230" s="91" t="s">
        <v>11</v>
      </c>
      <c r="F230" s="92" t="s">
        <v>37</v>
      </c>
      <c r="G230" s="93">
        <v>8345.5946471476309</v>
      </c>
      <c r="H230" s="93">
        <v>37483.856813460501</v>
      </c>
      <c r="I230" s="93">
        <v>2397.5457928860201</v>
      </c>
      <c r="J230" s="93">
        <v>163224.92352418401</v>
      </c>
      <c r="K230" s="93">
        <v>23297.345920793799</v>
      </c>
      <c r="L230" s="93">
        <v>170707.37120407881</v>
      </c>
      <c r="M230" s="93">
        <v>524073.85777630971</v>
      </c>
      <c r="N230" s="95">
        <v>2.3617391473941388E-2</v>
      </c>
      <c r="O230" s="95">
        <v>0.10607643406443554</v>
      </c>
      <c r="P230" s="95">
        <v>0.34246248658305806</v>
      </c>
      <c r="Q230" s="95">
        <v>0.46191398937550215</v>
      </c>
      <c r="R230" s="96">
        <v>6.5929698503062864E-2</v>
      </c>
    </row>
    <row r="231" spans="1:18" ht="15.75" hidden="1" customHeight="1" x14ac:dyDescent="0.3">
      <c r="A231" s="89">
        <v>2020</v>
      </c>
      <c r="B231" s="90">
        <v>5</v>
      </c>
      <c r="C231" s="90" t="s">
        <v>726</v>
      </c>
      <c r="D231" s="90" t="s">
        <v>719</v>
      </c>
      <c r="E231" s="91" t="s">
        <v>11</v>
      </c>
      <c r="F231" s="92" t="s">
        <v>720</v>
      </c>
      <c r="G231" s="93">
        <v>38190.935745463903</v>
      </c>
      <c r="H231" s="93">
        <v>96042.642067298497</v>
      </c>
      <c r="I231" s="93">
        <v>2397.5457928860201</v>
      </c>
      <c r="J231" s="93">
        <v>315759.71683292498</v>
      </c>
      <c r="K231" s="93">
        <v>33947.704009070701</v>
      </c>
      <c r="L231" s="93">
        <v>191680.69281912019</v>
      </c>
      <c r="M231" s="93">
        <v>927958.42268839525</v>
      </c>
      <c r="N231" s="95">
        <v>5.1870285078763199E-2</v>
      </c>
      <c r="O231" s="95">
        <v>0.13044349729870372</v>
      </c>
      <c r="P231" s="95">
        <v>0.34271949425839482</v>
      </c>
      <c r="Q231" s="95">
        <v>0.42885952409424033</v>
      </c>
      <c r="R231" s="96">
        <v>4.6107199269897869E-2</v>
      </c>
    </row>
    <row r="232" spans="1:18" ht="15.75" hidden="1" customHeight="1" x14ac:dyDescent="0.3">
      <c r="A232" s="89">
        <v>2020</v>
      </c>
      <c r="B232" s="90">
        <v>5</v>
      </c>
      <c r="C232" s="90" t="s">
        <v>726</v>
      </c>
      <c r="D232" s="90" t="s">
        <v>719</v>
      </c>
      <c r="E232" s="91" t="s">
        <v>11</v>
      </c>
      <c r="F232" s="92" t="s">
        <v>39</v>
      </c>
      <c r="G232" s="93">
        <v>5404.4895368596699</v>
      </c>
      <c r="H232" s="93">
        <v>50881.333817589497</v>
      </c>
      <c r="I232" s="93">
        <v>2397.5457928860201</v>
      </c>
      <c r="J232" s="93">
        <v>49890.097570606602</v>
      </c>
      <c r="K232" s="93">
        <v>656.71916716145802</v>
      </c>
      <c r="L232" s="93">
        <v>67659.910151464224</v>
      </c>
      <c r="M232" s="93">
        <v>331195.16650096548</v>
      </c>
      <c r="N232" s="95">
        <v>2.0507652796528369E-2</v>
      </c>
      <c r="O232" s="95">
        <v>0.19307220795577543</v>
      </c>
      <c r="P232" s="95">
        <v>0.59461727598778857</v>
      </c>
      <c r="Q232" s="95">
        <v>0.18931090383004467</v>
      </c>
      <c r="R232" s="96">
        <v>2.4919594298628304E-3</v>
      </c>
    </row>
    <row r="233" spans="1:18" ht="15.75" hidden="1" customHeight="1" x14ac:dyDescent="0.3">
      <c r="A233" s="89">
        <v>2020</v>
      </c>
      <c r="B233" s="90">
        <v>5</v>
      </c>
      <c r="C233" s="90" t="s">
        <v>726</v>
      </c>
      <c r="D233" s="90" t="s">
        <v>719</v>
      </c>
      <c r="E233" s="91" t="s">
        <v>11</v>
      </c>
      <c r="F233" s="92" t="s">
        <v>40</v>
      </c>
      <c r="G233" s="93">
        <v>24746.307857588999</v>
      </c>
      <c r="H233" s="93">
        <v>74661.940329688601</v>
      </c>
      <c r="I233" s="93">
        <v>2397.5457928860201</v>
      </c>
      <c r="J233" s="93">
        <v>66393.171357303203</v>
      </c>
      <c r="K233" s="93">
        <v>8687.7548290349405</v>
      </c>
      <c r="L233" s="93">
        <v>13951.911179508279</v>
      </c>
      <c r="M233" s="93">
        <v>326305.02470135904</v>
      </c>
      <c r="N233" s="95">
        <v>7.9225424003522421E-2</v>
      </c>
      <c r="O233" s="95">
        <v>0.23903056219884805</v>
      </c>
      <c r="P233" s="95">
        <v>0.44137206635717002</v>
      </c>
      <c r="Q233" s="95">
        <v>0.21255805843811013</v>
      </c>
      <c r="R233" s="96">
        <v>2.7813889002349212E-2</v>
      </c>
    </row>
    <row r="234" spans="1:18" ht="15.75" hidden="1" customHeight="1" x14ac:dyDescent="0.3">
      <c r="A234" s="89">
        <v>2020</v>
      </c>
      <c r="B234" s="90">
        <v>5</v>
      </c>
      <c r="C234" s="90" t="s">
        <v>726</v>
      </c>
      <c r="D234" s="90" t="s">
        <v>719</v>
      </c>
      <c r="E234" s="91" t="s">
        <v>11</v>
      </c>
      <c r="F234" s="92" t="s">
        <v>41</v>
      </c>
      <c r="G234" s="93">
        <v>1034.4159275597401</v>
      </c>
      <c r="H234" s="93">
        <v>2583.8998163174001</v>
      </c>
      <c r="I234" s="93">
        <v>2397.5457928860201</v>
      </c>
      <c r="J234" s="93">
        <v>2022.1783178017699</v>
      </c>
      <c r="K234" s="93">
        <v>121.722044983149</v>
      </c>
      <c r="L234" s="93">
        <v>9079.6529688082101</v>
      </c>
      <c r="M234" s="93">
        <v>18714.332738962912</v>
      </c>
      <c r="N234" s="95">
        <v>0.10736380992796929</v>
      </c>
      <c r="O234" s="95">
        <v>0.26818741026780502</v>
      </c>
      <c r="P234" s="95">
        <v>0.40192967030293542</v>
      </c>
      <c r="Q234" s="95">
        <v>0.2098853689009843</v>
      </c>
      <c r="R234" s="96">
        <v>1.2633740600305863E-2</v>
      </c>
    </row>
    <row r="235" spans="1:18" ht="15.75" hidden="1" customHeight="1" x14ac:dyDescent="0.3">
      <c r="A235" s="89">
        <v>2020</v>
      </c>
      <c r="B235" s="90">
        <v>5</v>
      </c>
      <c r="C235" s="90" t="s">
        <v>726</v>
      </c>
      <c r="D235" s="90" t="s">
        <v>719</v>
      </c>
      <c r="E235" s="91" t="s">
        <v>11</v>
      </c>
      <c r="F235" s="92" t="s">
        <v>42</v>
      </c>
      <c r="G235" s="93">
        <v>14846.1093352434</v>
      </c>
      <c r="H235" s="93">
        <v>155538.28537361801</v>
      </c>
      <c r="I235" s="93">
        <v>2397.5457928860201</v>
      </c>
      <c r="J235" s="93">
        <v>38664.6893347484</v>
      </c>
      <c r="K235" s="93">
        <v>1264.7691658532401</v>
      </c>
      <c r="L235" s="93">
        <v>256348.24293342532</v>
      </c>
      <c r="M235" s="93">
        <v>620824.3397499813</v>
      </c>
      <c r="N235" s="95">
        <v>4.0732737935117801E-2</v>
      </c>
      <c r="O235" s="95">
        <v>0.42674481737523046</v>
      </c>
      <c r="P235" s="95">
        <v>0.42296942091290063</v>
      </c>
      <c r="Q235" s="95">
        <v>0.10608292195964959</v>
      </c>
      <c r="R235" s="96">
        <v>3.4701018171016287E-3</v>
      </c>
    </row>
    <row r="236" spans="1:18" ht="15.75" hidden="1" customHeight="1" x14ac:dyDescent="0.3">
      <c r="A236" s="89">
        <v>2020</v>
      </c>
      <c r="B236" s="90">
        <v>5</v>
      </c>
      <c r="C236" s="90" t="s">
        <v>726</v>
      </c>
      <c r="D236" s="90" t="s">
        <v>719</v>
      </c>
      <c r="E236" s="91" t="s">
        <v>11</v>
      </c>
      <c r="F236" s="92" t="s">
        <v>43</v>
      </c>
      <c r="G236" s="93">
        <v>1257.61289881433</v>
      </c>
      <c r="H236" s="93">
        <v>20561.6249634788</v>
      </c>
      <c r="I236" s="93">
        <v>2397.5457928860201</v>
      </c>
      <c r="J236" s="93">
        <v>15075.590172619501</v>
      </c>
      <c r="K236" s="93">
        <v>5706.8687786596402</v>
      </c>
      <c r="L236" s="93">
        <v>117394.88625540749</v>
      </c>
      <c r="M236" s="93">
        <v>185575.48510012397</v>
      </c>
      <c r="N236" s="95">
        <v>1.8445319051517636E-2</v>
      </c>
      <c r="O236" s="95">
        <v>0.30157589273025553</v>
      </c>
      <c r="P236" s="95">
        <v>0.37516393907599699</v>
      </c>
      <c r="Q236" s="95">
        <v>0.22111261015695458</v>
      </c>
      <c r="R236" s="96">
        <v>8.3702238985275262E-2</v>
      </c>
    </row>
    <row r="237" spans="1:18" ht="15.75" hidden="1" customHeight="1" x14ac:dyDescent="0.3">
      <c r="A237" s="89">
        <v>2020</v>
      </c>
      <c r="B237" s="90">
        <v>5</v>
      </c>
      <c r="C237" s="90" t="s">
        <v>726</v>
      </c>
      <c r="D237" s="90" t="s">
        <v>719</v>
      </c>
      <c r="E237" s="91" t="s">
        <v>11</v>
      </c>
      <c r="F237" s="92" t="s">
        <v>58</v>
      </c>
      <c r="G237" s="93">
        <v>47595.817380661101</v>
      </c>
      <c r="H237" s="93">
        <v>148297.00924846399</v>
      </c>
      <c r="I237" s="93">
        <v>2397.5457928860201</v>
      </c>
      <c r="J237" s="93">
        <v>13346.672971763101</v>
      </c>
      <c r="K237" s="93">
        <v>59.343594148284303</v>
      </c>
      <c r="L237" s="93">
        <v>29154.456450690588</v>
      </c>
      <c r="M237" s="93">
        <v>371477.12559240509</v>
      </c>
      <c r="N237" s="95">
        <v>0.13903787762579467</v>
      </c>
      <c r="O237" s="95">
        <v>0.43320826406349411</v>
      </c>
      <c r="P237" s="95">
        <v>0.38859192784457075</v>
      </c>
      <c r="Q237" s="95">
        <v>3.8988574742147307E-2</v>
      </c>
      <c r="R237" s="96">
        <v>1.7335572399301805E-4</v>
      </c>
    </row>
    <row r="238" spans="1:18" ht="15.75" hidden="1" customHeight="1" x14ac:dyDescent="0.3">
      <c r="A238" s="89">
        <v>2020</v>
      </c>
      <c r="B238" s="90">
        <v>5</v>
      </c>
      <c r="C238" s="90" t="s">
        <v>726</v>
      </c>
      <c r="D238" s="90" t="s">
        <v>719</v>
      </c>
      <c r="E238" s="91" t="s">
        <v>11</v>
      </c>
      <c r="F238" s="92" t="s">
        <v>44</v>
      </c>
      <c r="G238" s="93">
        <v>6197.0140484665999</v>
      </c>
      <c r="H238" s="93">
        <v>14013.970851639</v>
      </c>
      <c r="I238" s="93">
        <v>2397.5457928860201</v>
      </c>
      <c r="J238" s="93">
        <v>85660.323841152305</v>
      </c>
      <c r="K238" s="93">
        <v>15763.4516551335</v>
      </c>
      <c r="L238" s="93">
        <v>48226.738913528097</v>
      </c>
      <c r="M238" s="93">
        <v>215729.28855108202</v>
      </c>
      <c r="N238" s="95">
        <v>3.699653564602956E-2</v>
      </c>
      <c r="O238" s="95">
        <v>8.3664224108604732E-2</v>
      </c>
      <c r="P238" s="95">
        <v>0.27383337949429626</v>
      </c>
      <c r="Q238" s="95">
        <v>0.51139713411232357</v>
      </c>
      <c r="R238" s="96">
        <v>9.4108726638745727E-2</v>
      </c>
    </row>
    <row r="239" spans="1:18" ht="15.75" hidden="1" customHeight="1" x14ac:dyDescent="0.3">
      <c r="A239" s="89">
        <v>2020</v>
      </c>
      <c r="B239" s="90">
        <v>5</v>
      </c>
      <c r="C239" s="90" t="s">
        <v>726</v>
      </c>
      <c r="D239" s="90" t="s">
        <v>719</v>
      </c>
      <c r="E239" s="91" t="s">
        <v>11</v>
      </c>
      <c r="F239" s="92" t="s">
        <v>51</v>
      </c>
      <c r="G239" s="93">
        <v>12822.6146862346</v>
      </c>
      <c r="H239" s="93">
        <v>91278.461667932599</v>
      </c>
      <c r="I239" s="93">
        <v>2397.5457928860201</v>
      </c>
      <c r="J239" s="93">
        <v>22388.500604815701</v>
      </c>
      <c r="K239" s="93">
        <v>3314.8433917325201</v>
      </c>
      <c r="L239" s="93">
        <v>11569.5510918166</v>
      </c>
      <c r="M239" s="93">
        <v>211202.4092354739</v>
      </c>
      <c r="N239" s="95">
        <v>6.4230982842550646E-2</v>
      </c>
      <c r="O239" s="95">
        <v>0.45723165272846983</v>
      </c>
      <c r="P239" s="95">
        <v>0.34978429123472665</v>
      </c>
      <c r="Q239" s="95">
        <v>0.11214837483669531</v>
      </c>
      <c r="R239" s="96">
        <v>1.6604698357557623E-2</v>
      </c>
    </row>
    <row r="240" spans="1:18" ht="15.75" hidden="1" customHeight="1" x14ac:dyDescent="0.3">
      <c r="A240" s="89">
        <v>2020</v>
      </c>
      <c r="B240" s="90">
        <v>5</v>
      </c>
      <c r="C240" s="90" t="s">
        <v>726</v>
      </c>
      <c r="D240" s="90" t="s">
        <v>719</v>
      </c>
      <c r="E240" s="91" t="s">
        <v>11</v>
      </c>
      <c r="F240" s="92" t="s">
        <v>45</v>
      </c>
      <c r="G240" s="93">
        <v>3128.55801202052</v>
      </c>
      <c r="H240" s="93">
        <v>10483.206473489499</v>
      </c>
      <c r="I240" s="93">
        <v>2397.5457928860201</v>
      </c>
      <c r="J240" s="93">
        <v>35462.057950942297</v>
      </c>
      <c r="K240" s="93">
        <v>6941.8741283210902</v>
      </c>
      <c r="L240" s="93">
        <v>50405.25958154643</v>
      </c>
      <c r="M240" s="93">
        <v>134096.09203645913</v>
      </c>
      <c r="N240" s="95">
        <v>3.7382326358218365E-2</v>
      </c>
      <c r="O240" s="95">
        <v>0.12526110884531091</v>
      </c>
      <c r="P240" s="95">
        <v>0.33068300407991408</v>
      </c>
      <c r="Q240" s="95">
        <v>0.42372691142780783</v>
      </c>
      <c r="R240" s="96">
        <v>8.2946649288748925E-2</v>
      </c>
    </row>
    <row r="241" spans="1:18" ht="15.75" hidden="1" customHeight="1" x14ac:dyDescent="0.3">
      <c r="A241" s="89">
        <v>2020</v>
      </c>
      <c r="B241" s="90">
        <v>5</v>
      </c>
      <c r="C241" s="90" t="s">
        <v>726</v>
      </c>
      <c r="D241" s="90" t="s">
        <v>719</v>
      </c>
      <c r="E241" s="91" t="s">
        <v>11</v>
      </c>
      <c r="F241" s="92" t="s">
        <v>721</v>
      </c>
      <c r="G241" s="93">
        <v>3168.1500191590098</v>
      </c>
      <c r="H241" s="93">
        <v>44096.858872265802</v>
      </c>
      <c r="I241" s="93">
        <v>2397.5457928860201</v>
      </c>
      <c r="J241" s="93">
        <v>96650.975254423305</v>
      </c>
      <c r="K241" s="93">
        <v>14311.210161934699</v>
      </c>
      <c r="L241" s="93">
        <v>5157.1937437224178</v>
      </c>
      <c r="M241" s="93">
        <v>309330.85090303322</v>
      </c>
      <c r="N241" s="95">
        <v>1.0415596303593419E-2</v>
      </c>
      <c r="O241" s="95">
        <v>0.14497264254928588</v>
      </c>
      <c r="P241" s="95">
        <v>0.47981296018375647</v>
      </c>
      <c r="Q241" s="95">
        <v>0.31774932831807456</v>
      </c>
      <c r="R241" s="96">
        <v>4.7049472645289622E-2</v>
      </c>
    </row>
    <row r="242" spans="1:18" ht="15.75" hidden="1" customHeight="1" x14ac:dyDescent="0.3">
      <c r="A242" s="89">
        <v>2020</v>
      </c>
      <c r="B242" s="90">
        <v>5</v>
      </c>
      <c r="C242" s="90" t="s">
        <v>726</v>
      </c>
      <c r="D242" s="90" t="s">
        <v>719</v>
      </c>
      <c r="E242" s="91" t="s">
        <v>11</v>
      </c>
      <c r="F242" s="92" t="s">
        <v>46</v>
      </c>
      <c r="G242" s="93">
        <v>11475.2524880208</v>
      </c>
      <c r="H242" s="93">
        <v>56451.126537260199</v>
      </c>
      <c r="I242" s="93">
        <v>2397.5457928860201</v>
      </c>
      <c r="J242" s="93">
        <v>18234.976022548999</v>
      </c>
      <c r="K242" s="93">
        <v>5704.6607283272197</v>
      </c>
      <c r="L242" s="93">
        <v>2790.3997314322701</v>
      </c>
      <c r="M242" s="93">
        <v>149075.00300838938</v>
      </c>
      <c r="N242" s="95">
        <v>7.8444704575607191E-2</v>
      </c>
      <c r="O242" s="95">
        <v>0.3858993036360952</v>
      </c>
      <c r="P242" s="95">
        <v>0.37200488829142531</v>
      </c>
      <c r="Q242" s="95">
        <v>0.1246541031254339</v>
      </c>
      <c r="R242" s="96">
        <v>3.8997000371438426E-2</v>
      </c>
    </row>
    <row r="243" spans="1:18" ht="15.75" hidden="1" customHeight="1" x14ac:dyDescent="0.3">
      <c r="A243" s="89">
        <v>2020</v>
      </c>
      <c r="B243" s="90">
        <v>5</v>
      </c>
      <c r="C243" s="90" t="s">
        <v>726</v>
      </c>
      <c r="D243" s="90" t="s">
        <v>719</v>
      </c>
      <c r="E243" s="91" t="s">
        <v>11</v>
      </c>
      <c r="F243" s="92" t="s">
        <v>47</v>
      </c>
      <c r="G243" s="93">
        <v>6000.6625154043904</v>
      </c>
      <c r="H243" s="93">
        <v>116108.01274864899</v>
      </c>
      <c r="I243" s="93">
        <v>2397.5457928860201</v>
      </c>
      <c r="J243" s="93">
        <v>360553.84774919198</v>
      </c>
      <c r="K243" s="93">
        <v>71961.988444768096</v>
      </c>
      <c r="L243" s="93">
        <v>353820.78339153202</v>
      </c>
      <c r="M243" s="93">
        <v>1461770.3581408965</v>
      </c>
      <c r="N243" s="95">
        <v>5.4160068762712727E-3</v>
      </c>
      <c r="O243" s="95">
        <v>0.104795394478954</v>
      </c>
      <c r="P243" s="95">
        <v>0.49941357973490963</v>
      </c>
      <c r="Q243" s="95">
        <v>0.32542441999741267</v>
      </c>
      <c r="R243" s="96">
        <v>6.4950598912452334E-2</v>
      </c>
    </row>
    <row r="244" spans="1:18" ht="15.75" hidden="1" customHeight="1" x14ac:dyDescent="0.3">
      <c r="A244" s="89">
        <v>2020</v>
      </c>
      <c r="B244" s="90">
        <v>5</v>
      </c>
      <c r="C244" s="90" t="s">
        <v>726</v>
      </c>
      <c r="D244" s="90" t="s">
        <v>719</v>
      </c>
      <c r="E244" s="91" t="s">
        <v>11</v>
      </c>
      <c r="F244" s="92" t="s">
        <v>48</v>
      </c>
      <c r="G244" s="93">
        <v>426.82613754136003</v>
      </c>
      <c r="H244" s="93">
        <v>5911.9695295756901</v>
      </c>
      <c r="I244" s="93">
        <v>2397.5457928860201</v>
      </c>
      <c r="J244" s="93">
        <v>52500.041233236603</v>
      </c>
      <c r="K244" s="93">
        <v>2481.6845410508599</v>
      </c>
      <c r="L244" s="93">
        <v>10170.762459215701</v>
      </c>
      <c r="M244" s="93">
        <v>110314.39779994081</v>
      </c>
      <c r="N244" s="95">
        <v>4.2621394369112137E-3</v>
      </c>
      <c r="O244" s="95">
        <v>5.9034900315541941E-2</v>
      </c>
      <c r="P244" s="95">
        <v>0.38767430168907113</v>
      </c>
      <c r="Q244" s="95">
        <v>0.52424740778195589</v>
      </c>
      <c r="R244" s="96">
        <v>2.4781250776519801E-2</v>
      </c>
    </row>
    <row r="245" spans="1:18" ht="15.75" hidden="1" customHeight="1" x14ac:dyDescent="0.3">
      <c r="A245" s="89">
        <v>2020</v>
      </c>
      <c r="B245" s="90">
        <v>5</v>
      </c>
      <c r="C245" s="90" t="s">
        <v>726</v>
      </c>
      <c r="D245" s="90" t="s">
        <v>722</v>
      </c>
      <c r="E245" s="91" t="s">
        <v>11</v>
      </c>
      <c r="F245" s="92" t="s">
        <v>12</v>
      </c>
      <c r="G245" s="93">
        <v>25710.819554920599</v>
      </c>
      <c r="H245" s="93">
        <v>86976.073627399499</v>
      </c>
      <c r="I245" s="93">
        <v>2397.5457928860201</v>
      </c>
      <c r="J245" s="93">
        <v>86037.060620347504</v>
      </c>
      <c r="K245" s="93">
        <v>6446.2353961871804</v>
      </c>
      <c r="L245" s="93">
        <v>66585.5759235406</v>
      </c>
      <c r="M245" s="93">
        <v>433311.47680228041</v>
      </c>
      <c r="N245" s="95">
        <v>7.0109090994971868E-2</v>
      </c>
      <c r="O245" s="95">
        <v>0.23716915936122734</v>
      </c>
      <c r="P245" s="95">
        <v>0.44053531886558622</v>
      </c>
      <c r="Q245" s="95">
        <v>0.23460862844480734</v>
      </c>
      <c r="R245" s="96">
        <v>1.7577802333407229E-2</v>
      </c>
    </row>
    <row r="246" spans="1:18" ht="15.75" hidden="1" customHeight="1" x14ac:dyDescent="0.3">
      <c r="A246" s="89">
        <v>2020</v>
      </c>
      <c r="B246" s="90">
        <v>5</v>
      </c>
      <c r="C246" s="90" t="s">
        <v>726</v>
      </c>
      <c r="D246" s="90" t="s">
        <v>722</v>
      </c>
      <c r="E246" s="91" t="s">
        <v>11</v>
      </c>
      <c r="F246" s="92" t="s">
        <v>26</v>
      </c>
      <c r="G246" s="93">
        <v>65931.662677106899</v>
      </c>
      <c r="H246" s="93">
        <v>124783.999966651</v>
      </c>
      <c r="I246" s="93">
        <v>2397.5457928860201</v>
      </c>
      <c r="J246" s="93">
        <v>423059.77629092598</v>
      </c>
      <c r="K246" s="93">
        <v>98622.399120158298</v>
      </c>
      <c r="L246" s="93">
        <v>276774.55329218612</v>
      </c>
      <c r="M246" s="93">
        <v>1302393.3163907551</v>
      </c>
      <c r="N246" s="95">
        <v>6.4284766473963584E-2</v>
      </c>
      <c r="O246" s="95">
        <v>0.12166704086970608</v>
      </c>
      <c r="P246" s="95">
        <v>0.30539703085914027</v>
      </c>
      <c r="Q246" s="95">
        <v>0.4124922354314095</v>
      </c>
      <c r="R246" s="96">
        <v>9.6158926365780606E-2</v>
      </c>
    </row>
    <row r="247" spans="1:18" ht="15.75" hidden="1" customHeight="1" x14ac:dyDescent="0.3">
      <c r="A247" s="89">
        <v>2020</v>
      </c>
      <c r="B247" s="90">
        <v>5</v>
      </c>
      <c r="C247" s="90" t="s">
        <v>726</v>
      </c>
      <c r="D247" s="90" t="s">
        <v>722</v>
      </c>
      <c r="E247" s="91" t="s">
        <v>11</v>
      </c>
      <c r="F247" s="92" t="s">
        <v>27</v>
      </c>
      <c r="G247" s="93">
        <v>19675.589491189901</v>
      </c>
      <c r="H247" s="93">
        <v>56665.4950176524</v>
      </c>
      <c r="I247" s="93">
        <v>2397.5457928860201</v>
      </c>
      <c r="J247" s="93">
        <v>21010.948299971002</v>
      </c>
      <c r="K247" s="93">
        <v>1248.8216842049601</v>
      </c>
      <c r="L247" s="93">
        <v>49149.963124178757</v>
      </c>
      <c r="M247" s="93">
        <v>226689.61699930445</v>
      </c>
      <c r="N247" s="95">
        <v>0.11082363326577693</v>
      </c>
      <c r="O247" s="95">
        <v>0.3191709219930588</v>
      </c>
      <c r="P247" s="95">
        <v>0.44462629986667546</v>
      </c>
      <c r="Q247" s="95">
        <v>0.11834510117243591</v>
      </c>
      <c r="R247" s="96">
        <v>7.0340437020527903E-3</v>
      </c>
    </row>
    <row r="248" spans="1:18" ht="15.75" hidden="1" customHeight="1" x14ac:dyDescent="0.3">
      <c r="A248" s="89">
        <v>2020</v>
      </c>
      <c r="B248" s="90">
        <v>5</v>
      </c>
      <c r="C248" s="90" t="s">
        <v>726</v>
      </c>
      <c r="D248" s="90" t="s">
        <v>722</v>
      </c>
      <c r="E248" s="91" t="s">
        <v>11</v>
      </c>
      <c r="F248" s="92" t="s">
        <v>28</v>
      </c>
      <c r="G248" s="93">
        <v>4420.6879806004899</v>
      </c>
      <c r="H248" s="93">
        <v>15918.6935544853</v>
      </c>
      <c r="I248" s="93">
        <v>2397.5457928860201</v>
      </c>
      <c r="J248" s="93">
        <v>243577.03331836799</v>
      </c>
      <c r="K248" s="93">
        <v>38517.971630624299</v>
      </c>
      <c r="L248" s="93">
        <v>4033.4841479166639</v>
      </c>
      <c r="M248" s="93">
        <v>373104.58101493859</v>
      </c>
      <c r="N248" s="95">
        <v>1.1977876398685548E-2</v>
      </c>
      <c r="O248" s="95">
        <v>4.313178054205876E-2</v>
      </c>
      <c r="P248" s="95">
        <v>0.18055250315890578</v>
      </c>
      <c r="Q248" s="95">
        <v>0.65997320133180182</v>
      </c>
      <c r="R248" s="96">
        <v>0.10436463856854797</v>
      </c>
    </row>
    <row r="249" spans="1:18" ht="15.75" customHeight="1" x14ac:dyDescent="0.3">
      <c r="A249" s="89">
        <v>2020</v>
      </c>
      <c r="B249" s="90">
        <v>5</v>
      </c>
      <c r="C249" s="90" t="s">
        <v>726</v>
      </c>
      <c r="D249" s="90" t="s">
        <v>722</v>
      </c>
      <c r="E249" s="91" t="s">
        <v>11</v>
      </c>
      <c r="F249" s="92" t="s">
        <v>29</v>
      </c>
      <c r="G249" s="93">
        <v>31717.433477690101</v>
      </c>
      <c r="H249" s="93">
        <v>64287.060114041</v>
      </c>
      <c r="I249" s="93">
        <v>2397.5457928860201</v>
      </c>
      <c r="J249" s="93">
        <v>54310.031076009502</v>
      </c>
      <c r="K249" s="93">
        <v>2307.9389209466799</v>
      </c>
      <c r="L249" s="93">
        <v>100713.06842355239</v>
      </c>
      <c r="M249" s="93">
        <v>354392.05486975564</v>
      </c>
      <c r="N249" s="95">
        <v>0.12502980212125808</v>
      </c>
      <c r="O249" s="95">
        <v>0.25341894105869944</v>
      </c>
      <c r="P249" s="95">
        <v>0.39836379147212758</v>
      </c>
      <c r="Q249" s="95">
        <v>0.21408959345368098</v>
      </c>
      <c r="R249" s="96">
        <v>9.097871894233998E-3</v>
      </c>
    </row>
    <row r="250" spans="1:18" ht="15.75" hidden="1" customHeight="1" x14ac:dyDescent="0.3">
      <c r="A250" s="89">
        <v>2020</v>
      </c>
      <c r="B250" s="90">
        <v>5</v>
      </c>
      <c r="C250" s="90" t="s">
        <v>726</v>
      </c>
      <c r="D250" s="90" t="s">
        <v>722</v>
      </c>
      <c r="E250" s="91" t="s">
        <v>11</v>
      </c>
      <c r="F250" s="92" t="s">
        <v>30</v>
      </c>
      <c r="G250" s="93">
        <v>480.93840439184999</v>
      </c>
      <c r="H250" s="93">
        <v>3755.0821505101198</v>
      </c>
      <c r="I250" s="93">
        <v>2397.5457928860201</v>
      </c>
      <c r="J250" s="93">
        <v>1818.9574972594901</v>
      </c>
      <c r="K250" s="93">
        <v>162.49404218750001</v>
      </c>
      <c r="L250" s="93">
        <v>218021.7655627114</v>
      </c>
      <c r="M250" s="93">
        <v>230086.50016211704</v>
      </c>
      <c r="N250" s="95">
        <v>3.9863156576651321E-2</v>
      </c>
      <c r="O250" s="95">
        <v>0.3112444886019381</v>
      </c>
      <c r="P250" s="95">
        <v>0.4846573670459976</v>
      </c>
      <c r="Q250" s="95">
        <v>0.15076647416256453</v>
      </c>
      <c r="R250" s="96">
        <v>1.3468513612848561E-2</v>
      </c>
    </row>
    <row r="251" spans="1:18" ht="15.75" hidden="1" customHeight="1" x14ac:dyDescent="0.3">
      <c r="A251" s="89">
        <v>2020</v>
      </c>
      <c r="B251" s="90">
        <v>5</v>
      </c>
      <c r="C251" s="90" t="s">
        <v>726</v>
      </c>
      <c r="D251" s="90" t="s">
        <v>722</v>
      </c>
      <c r="E251" s="91" t="s">
        <v>11</v>
      </c>
      <c r="F251" s="92" t="s">
        <v>31</v>
      </c>
      <c r="G251" s="93">
        <v>1070.3045845955801</v>
      </c>
      <c r="H251" s="93">
        <v>41943.828134435003</v>
      </c>
      <c r="I251" s="93">
        <v>2397.5457928860201</v>
      </c>
      <c r="J251" s="93">
        <v>54821.172391812703</v>
      </c>
      <c r="K251" s="93">
        <v>33009.932323517598</v>
      </c>
      <c r="L251" s="93">
        <v>46767.392799179288</v>
      </c>
      <c r="M251" s="93">
        <v>251948.68865991809</v>
      </c>
      <c r="N251" s="95">
        <v>5.2163847591742488E-3</v>
      </c>
      <c r="O251" s="95">
        <v>0.20442325387643148</v>
      </c>
      <c r="P251" s="95">
        <v>0.36229451673232183</v>
      </c>
      <c r="Q251" s="95">
        <v>0.2671840635465188</v>
      </c>
      <c r="R251" s="96">
        <v>0.16088178108555368</v>
      </c>
    </row>
    <row r="252" spans="1:18" ht="15.75" hidden="1" customHeight="1" x14ac:dyDescent="0.3">
      <c r="A252" s="89">
        <v>2020</v>
      </c>
      <c r="B252" s="90">
        <v>5</v>
      </c>
      <c r="C252" s="90" t="s">
        <v>726</v>
      </c>
      <c r="D252" s="90" t="s">
        <v>722</v>
      </c>
      <c r="E252" s="91" t="s">
        <v>11</v>
      </c>
      <c r="F252" s="92" t="s">
        <v>32</v>
      </c>
      <c r="G252" s="93">
        <v>34163.013821065098</v>
      </c>
      <c r="H252" s="93">
        <v>138052.696172422</v>
      </c>
      <c r="I252" s="93">
        <v>2397.5457928860201</v>
      </c>
      <c r="J252" s="93">
        <v>159608.182127771</v>
      </c>
      <c r="K252" s="93">
        <v>12246.988920845501</v>
      </c>
      <c r="L252" s="93">
        <v>34830.545321472498</v>
      </c>
      <c r="M252" s="93">
        <v>609521.81280337216</v>
      </c>
      <c r="N252" s="95">
        <v>5.9445855112355762E-2</v>
      </c>
      <c r="O252" s="95">
        <v>0.24022062624567384</v>
      </c>
      <c r="P252" s="95">
        <v>0.40129439838244901</v>
      </c>
      <c r="Q252" s="95">
        <v>0.27772856690013648</v>
      </c>
      <c r="R252" s="96">
        <v>2.1310553359384789E-2</v>
      </c>
    </row>
    <row r="253" spans="1:18" ht="15.75" hidden="1" customHeight="1" x14ac:dyDescent="0.3">
      <c r="A253" s="89">
        <v>2020</v>
      </c>
      <c r="B253" s="90">
        <v>5</v>
      </c>
      <c r="C253" s="90" t="s">
        <v>726</v>
      </c>
      <c r="D253" s="90" t="s">
        <v>722</v>
      </c>
      <c r="E253" s="91" t="s">
        <v>11</v>
      </c>
      <c r="F253" s="92" t="s">
        <v>33</v>
      </c>
      <c r="G253" s="93">
        <v>24187.452651646599</v>
      </c>
      <c r="H253" s="93">
        <v>66553.0343294013</v>
      </c>
      <c r="I253" s="93">
        <v>2397.5457928860201</v>
      </c>
      <c r="J253" s="93">
        <v>716351.84455051995</v>
      </c>
      <c r="K253" s="93">
        <v>156056.40144850701</v>
      </c>
      <c r="L253" s="93">
        <v>37045.715954655338</v>
      </c>
      <c r="M253" s="93">
        <v>1352056.7882569383</v>
      </c>
      <c r="N253" s="95">
        <v>1.8393345243321726E-2</v>
      </c>
      <c r="O253" s="95">
        <v>5.0610246355479116E-2</v>
      </c>
      <c r="P253" s="95">
        <v>0.2675736704681716</v>
      </c>
      <c r="Q253" s="95">
        <v>0.54474966761789467</v>
      </c>
      <c r="R253" s="96">
        <v>0.1186730703151328</v>
      </c>
    </row>
    <row r="254" spans="1:18" ht="15.75" hidden="1" customHeight="1" x14ac:dyDescent="0.3">
      <c r="A254" s="89">
        <v>2020</v>
      </c>
      <c r="B254" s="90">
        <v>5</v>
      </c>
      <c r="C254" s="90" t="s">
        <v>726</v>
      </c>
      <c r="D254" s="90" t="s">
        <v>722</v>
      </c>
      <c r="E254" s="91" t="s">
        <v>11</v>
      </c>
      <c r="F254" s="92" t="s">
        <v>34</v>
      </c>
      <c r="G254" s="93">
        <v>29499.388999917599</v>
      </c>
      <c r="H254" s="93">
        <v>47221.736568728098</v>
      </c>
      <c r="I254" s="93">
        <v>2397.5457928860201</v>
      </c>
      <c r="J254" s="93">
        <v>325618.77707877703</v>
      </c>
      <c r="K254" s="93">
        <v>53561.481040495797</v>
      </c>
      <c r="L254" s="93">
        <v>72764.147218903003</v>
      </c>
      <c r="M254" s="93">
        <v>713628.83042002143</v>
      </c>
      <c r="N254" s="95">
        <v>4.6030604858061736E-2</v>
      </c>
      <c r="O254" s="95">
        <v>7.3684410775852971E-2</v>
      </c>
      <c r="P254" s="95">
        <v>0.28861521684937996</v>
      </c>
      <c r="Q254" s="95">
        <v>0.50809287141914505</v>
      </c>
      <c r="R254" s="96">
        <v>8.3576896097560333E-2</v>
      </c>
    </row>
    <row r="255" spans="1:18" ht="15.75" hidden="1" customHeight="1" x14ac:dyDescent="0.3">
      <c r="A255" s="89">
        <v>2020</v>
      </c>
      <c r="B255" s="90">
        <v>5</v>
      </c>
      <c r="C255" s="90" t="s">
        <v>726</v>
      </c>
      <c r="D255" s="90" t="s">
        <v>722</v>
      </c>
      <c r="E255" s="91" t="s">
        <v>11</v>
      </c>
      <c r="F255" s="92" t="s">
        <v>35</v>
      </c>
      <c r="G255" s="93">
        <v>15484.702228129599</v>
      </c>
      <c r="H255" s="93">
        <v>57812.578273207298</v>
      </c>
      <c r="I255" s="93">
        <v>2397.5457928860201</v>
      </c>
      <c r="J255" s="93">
        <v>126474.373118765</v>
      </c>
      <c r="K255" s="93">
        <v>46490.724810072301</v>
      </c>
      <c r="L255" s="93">
        <v>286557.73266186792</v>
      </c>
      <c r="M255" s="93">
        <v>605861.19629491679</v>
      </c>
      <c r="N255" s="95">
        <v>4.8495252923172132E-2</v>
      </c>
      <c r="O255" s="95">
        <v>0.18105841263171166</v>
      </c>
      <c r="P255" s="95">
        <v>0.22875130877632838</v>
      </c>
      <c r="Q255" s="95">
        <v>0.3960945856325328</v>
      </c>
      <c r="R255" s="96">
        <v>0.14560044003625514</v>
      </c>
    </row>
    <row r="256" spans="1:18" ht="15.75" hidden="1" customHeight="1" x14ac:dyDescent="0.3">
      <c r="A256" s="89">
        <v>2020</v>
      </c>
      <c r="B256" s="90">
        <v>5</v>
      </c>
      <c r="C256" s="90" t="s">
        <v>726</v>
      </c>
      <c r="D256" s="90" t="s">
        <v>722</v>
      </c>
      <c r="E256" s="91" t="s">
        <v>11</v>
      </c>
      <c r="F256" s="92" t="s">
        <v>36</v>
      </c>
      <c r="G256" s="93">
        <v>10441.4065762392</v>
      </c>
      <c r="H256" s="93">
        <v>63200.452187851697</v>
      </c>
      <c r="I256" s="93">
        <v>2397.5457928860201</v>
      </c>
      <c r="J256" s="93">
        <v>33934.313654057703</v>
      </c>
      <c r="K256" s="93">
        <v>148.131870569852</v>
      </c>
      <c r="L256" s="93">
        <v>32988.005554062736</v>
      </c>
      <c r="M256" s="93">
        <v>258886.87145458022</v>
      </c>
      <c r="N256" s="95">
        <v>4.622159803510232E-2</v>
      </c>
      <c r="O256" s="95">
        <v>0.27977321592966403</v>
      </c>
      <c r="P256" s="95">
        <v>0.52313038908234866</v>
      </c>
      <c r="Q256" s="95">
        <v>0.1502190527552355</v>
      </c>
      <c r="R256" s="96">
        <v>6.5574419764943435E-4</v>
      </c>
    </row>
    <row r="257" spans="1:18" ht="15.75" hidden="1" customHeight="1" x14ac:dyDescent="0.3">
      <c r="A257" s="89">
        <v>2020</v>
      </c>
      <c r="B257" s="90">
        <v>5</v>
      </c>
      <c r="C257" s="90" t="s">
        <v>726</v>
      </c>
      <c r="D257" s="90" t="s">
        <v>722</v>
      </c>
      <c r="E257" s="91" t="s">
        <v>11</v>
      </c>
      <c r="F257" s="92" t="s">
        <v>37</v>
      </c>
      <c r="G257" s="93">
        <v>24448.488530331</v>
      </c>
      <c r="H257" s="93">
        <v>80189.299719623101</v>
      </c>
      <c r="I257" s="93">
        <v>2397.5457928860201</v>
      </c>
      <c r="J257" s="93">
        <v>122033.697089212</v>
      </c>
      <c r="K257" s="93">
        <v>13000.3178781358</v>
      </c>
      <c r="L257" s="93">
        <v>165201.37683449811</v>
      </c>
      <c r="M257" s="93">
        <v>524073.85777632706</v>
      </c>
      <c r="N257" s="95">
        <v>6.8125838086464913E-2</v>
      </c>
      <c r="O257" s="95">
        <v>0.22344789299300244</v>
      </c>
      <c r="P257" s="95">
        <v>0.33215329693626944</v>
      </c>
      <c r="Q257" s="95">
        <v>0.34004751985704063</v>
      </c>
      <c r="R257" s="96">
        <v>3.6225452127222522E-2</v>
      </c>
    </row>
    <row r="258" spans="1:18" ht="15.75" hidden="1" customHeight="1" x14ac:dyDescent="0.3">
      <c r="A258" s="89">
        <v>2020</v>
      </c>
      <c r="B258" s="90">
        <v>5</v>
      </c>
      <c r="C258" s="90" t="s">
        <v>726</v>
      </c>
      <c r="D258" s="90" t="s">
        <v>722</v>
      </c>
      <c r="E258" s="91" t="s">
        <v>11</v>
      </c>
      <c r="F258" s="92" t="s">
        <v>720</v>
      </c>
      <c r="G258" s="93">
        <v>64742.782567064198</v>
      </c>
      <c r="H258" s="93">
        <v>138358.00219004799</v>
      </c>
      <c r="I258" s="93">
        <v>2397.5457928860201</v>
      </c>
      <c r="J258" s="93">
        <v>185827.57203768499</v>
      </c>
      <c r="K258" s="93">
        <v>28647.4093113692</v>
      </c>
      <c r="L258" s="93">
        <v>264109.194420157</v>
      </c>
      <c r="M258" s="93">
        <v>927958.42268837232</v>
      </c>
      <c r="N258" s="95">
        <v>9.7526335514404094E-2</v>
      </c>
      <c r="O258" s="95">
        <v>0.20841780979543015</v>
      </c>
      <c r="P258" s="95">
        <v>0.37097800475644599</v>
      </c>
      <c r="Q258" s="95">
        <v>0.27992436252800007</v>
      </c>
      <c r="R258" s="96">
        <v>4.315348740571974E-2</v>
      </c>
    </row>
    <row r="259" spans="1:18" ht="15.75" hidden="1" customHeight="1" x14ac:dyDescent="0.3">
      <c r="A259" s="89">
        <v>2020</v>
      </c>
      <c r="B259" s="90">
        <v>5</v>
      </c>
      <c r="C259" s="90" t="s">
        <v>726</v>
      </c>
      <c r="D259" s="90" t="s">
        <v>722</v>
      </c>
      <c r="E259" s="91" t="s">
        <v>11</v>
      </c>
      <c r="F259" s="92" t="s">
        <v>39</v>
      </c>
      <c r="G259" s="93">
        <v>7184.7897563312099</v>
      </c>
      <c r="H259" s="93">
        <v>62921.1834399898</v>
      </c>
      <c r="I259" s="93">
        <v>2397.5457928860201</v>
      </c>
      <c r="J259" s="93">
        <v>59237.290967927598</v>
      </c>
      <c r="K259" s="93">
        <v>1599.8432017631701</v>
      </c>
      <c r="L259" s="93">
        <v>53235.56871906569</v>
      </c>
      <c r="M259" s="93">
        <v>331195.16650096845</v>
      </c>
      <c r="N259" s="95">
        <v>2.5848324050204801E-2</v>
      </c>
      <c r="O259" s="95">
        <v>0.22636809069410171</v>
      </c>
      <c r="P259" s="95">
        <v>0.52891316431982138</v>
      </c>
      <c r="Q259" s="95">
        <v>0.21311475279370398</v>
      </c>
      <c r="R259" s="96">
        <v>5.7556681421681482E-3</v>
      </c>
    </row>
    <row r="260" spans="1:18" ht="15.75" hidden="1" customHeight="1" x14ac:dyDescent="0.3">
      <c r="A260" s="89">
        <v>2020</v>
      </c>
      <c r="B260" s="90">
        <v>5</v>
      </c>
      <c r="C260" s="90" t="s">
        <v>726</v>
      </c>
      <c r="D260" s="90" t="s">
        <v>722</v>
      </c>
      <c r="E260" s="91" t="s">
        <v>11</v>
      </c>
      <c r="F260" s="92" t="s">
        <v>40</v>
      </c>
      <c r="G260" s="93">
        <v>17394.394424370501</v>
      </c>
      <c r="H260" s="93">
        <v>82551.209873207205</v>
      </c>
      <c r="I260" s="93">
        <v>2397.5457928860201</v>
      </c>
      <c r="J260" s="93">
        <v>69529.378594451598</v>
      </c>
      <c r="K260" s="93">
        <v>13674.9496510185</v>
      </c>
      <c r="L260" s="93">
        <v>6936.4644941651395</v>
      </c>
      <c r="M260" s="93">
        <v>326305.02470135794</v>
      </c>
      <c r="N260" s="95">
        <v>5.4464955514361701E-2</v>
      </c>
      <c r="O260" s="95">
        <v>0.25848258144023784</v>
      </c>
      <c r="P260" s="95">
        <v>0.42652485133718898</v>
      </c>
      <c r="Q260" s="95">
        <v>0.21770890205768498</v>
      </c>
      <c r="R260" s="96">
        <v>4.2818709650526567E-2</v>
      </c>
    </row>
    <row r="261" spans="1:18" ht="15.75" hidden="1" customHeight="1" x14ac:dyDescent="0.3">
      <c r="A261" s="89">
        <v>2020</v>
      </c>
      <c r="B261" s="90">
        <v>5</v>
      </c>
      <c r="C261" s="90" t="s">
        <v>726</v>
      </c>
      <c r="D261" s="90" t="s">
        <v>722</v>
      </c>
      <c r="E261" s="91" t="s">
        <v>11</v>
      </c>
      <c r="F261" s="92" t="s">
        <v>41</v>
      </c>
      <c r="G261" s="93">
        <v>1175.20549369025</v>
      </c>
      <c r="H261" s="93">
        <v>2856.91723453431</v>
      </c>
      <c r="I261" s="93">
        <v>2397.5457928860201</v>
      </c>
      <c r="J261" s="93">
        <v>4373.3348313265797</v>
      </c>
      <c r="K261" s="93">
        <v>595.30779628063704</v>
      </c>
      <c r="L261" s="93">
        <v>5283.1597170864197</v>
      </c>
      <c r="M261" s="93">
        <v>18714.332738962916</v>
      </c>
      <c r="N261" s="95">
        <v>8.7498351169781871E-2</v>
      </c>
      <c r="O261" s="95">
        <v>0.21270794664628362</v>
      </c>
      <c r="P261" s="95">
        <v>0.32986006946887936</v>
      </c>
      <c r="Q261" s="95">
        <v>0.32561078799322712</v>
      </c>
      <c r="R261" s="96">
        <v>4.4322844721827979E-2</v>
      </c>
    </row>
    <row r="262" spans="1:18" ht="15.75" hidden="1" customHeight="1" x14ac:dyDescent="0.3">
      <c r="A262" s="89">
        <v>2020</v>
      </c>
      <c r="B262" s="90">
        <v>5</v>
      </c>
      <c r="C262" s="90" t="s">
        <v>726</v>
      </c>
      <c r="D262" s="90" t="s">
        <v>722</v>
      </c>
      <c r="E262" s="91" t="s">
        <v>11</v>
      </c>
      <c r="F262" s="92" t="s">
        <v>42</v>
      </c>
      <c r="G262" s="93">
        <v>18971.319527985499</v>
      </c>
      <c r="H262" s="93">
        <v>173533.427104248</v>
      </c>
      <c r="I262" s="93">
        <v>2397.5457928860201</v>
      </c>
      <c r="J262" s="93">
        <v>84100.563583691604</v>
      </c>
      <c r="K262" s="93">
        <v>3516.3557476179499</v>
      </c>
      <c r="L262" s="93">
        <v>125373.7524148236</v>
      </c>
      <c r="M262" s="93">
        <v>620824.3397499976</v>
      </c>
      <c r="N262" s="95">
        <v>3.8291042563950654E-2</v>
      </c>
      <c r="O262" s="95">
        <v>0.35025375191825542</v>
      </c>
      <c r="P262" s="95">
        <v>0.43461230418516034</v>
      </c>
      <c r="Q262" s="95">
        <v>0.16974561284917256</v>
      </c>
      <c r="R262" s="96">
        <v>7.0972884834610622E-3</v>
      </c>
    </row>
    <row r="263" spans="1:18" ht="15.75" hidden="1" customHeight="1" x14ac:dyDescent="0.3">
      <c r="A263" s="89">
        <v>2020</v>
      </c>
      <c r="B263" s="90">
        <v>5</v>
      </c>
      <c r="C263" s="90" t="s">
        <v>726</v>
      </c>
      <c r="D263" s="90" t="s">
        <v>722</v>
      </c>
      <c r="E263" s="91" t="s">
        <v>11</v>
      </c>
      <c r="F263" s="92" t="s">
        <v>43</v>
      </c>
      <c r="G263" s="93">
        <v>924.11182995557499</v>
      </c>
      <c r="H263" s="93">
        <v>19587.602514636899</v>
      </c>
      <c r="I263" s="93">
        <v>2397.5457928860201</v>
      </c>
      <c r="J263" s="93">
        <v>15086.728689580201</v>
      </c>
      <c r="K263" s="93">
        <v>5003.2044502971903</v>
      </c>
      <c r="L263" s="93">
        <v>117557.90864939743</v>
      </c>
      <c r="M263" s="93">
        <v>185575.4851001233</v>
      </c>
      <c r="N263" s="95">
        <v>1.3586368085681963E-2</v>
      </c>
      <c r="O263" s="95">
        <v>0.28797854226439235</v>
      </c>
      <c r="P263" s="95">
        <v>0.40307124124184263</v>
      </c>
      <c r="Q263" s="95">
        <v>0.22180632531812589</v>
      </c>
      <c r="R263" s="96">
        <v>7.3557523089957097E-2</v>
      </c>
    </row>
    <row r="264" spans="1:18" ht="15.75" hidden="1" customHeight="1" x14ac:dyDescent="0.3">
      <c r="A264" s="89">
        <v>2020</v>
      </c>
      <c r="B264" s="90">
        <v>5</v>
      </c>
      <c r="C264" s="90" t="s">
        <v>726</v>
      </c>
      <c r="D264" s="90" t="s">
        <v>722</v>
      </c>
      <c r="E264" s="91" t="s">
        <v>11</v>
      </c>
      <c r="F264" s="92" t="s">
        <v>58</v>
      </c>
      <c r="G264" s="93">
        <v>62068.948297742099</v>
      </c>
      <c r="H264" s="93">
        <v>143708.66378509399</v>
      </c>
      <c r="I264" s="93">
        <v>2397.5457928860201</v>
      </c>
      <c r="J264" s="93">
        <v>19486.848382328601</v>
      </c>
      <c r="K264" s="93">
        <v>672.84291432904297</v>
      </c>
      <c r="L264" s="93">
        <v>5645.9170866038503</v>
      </c>
      <c r="M264" s="93">
        <v>371477.12559240358</v>
      </c>
      <c r="N264" s="95">
        <v>0.16966553660431649</v>
      </c>
      <c r="O264" s="95">
        <v>0.39282778626803705</v>
      </c>
      <c r="P264" s="95">
        <v>0.38240013939130124</v>
      </c>
      <c r="Q264" s="95">
        <v>5.3267320909882586E-2</v>
      </c>
      <c r="R264" s="96">
        <v>1.8392168264626774E-3</v>
      </c>
    </row>
    <row r="265" spans="1:18" ht="15.75" hidden="1" customHeight="1" x14ac:dyDescent="0.3">
      <c r="A265" s="89">
        <v>2020</v>
      </c>
      <c r="B265" s="90">
        <v>5</v>
      </c>
      <c r="C265" s="90" t="s">
        <v>726</v>
      </c>
      <c r="D265" s="90" t="s">
        <v>722</v>
      </c>
      <c r="E265" s="91" t="s">
        <v>11</v>
      </c>
      <c r="F265" s="92" t="s">
        <v>44</v>
      </c>
      <c r="G265" s="93">
        <v>10139.964408396099</v>
      </c>
      <c r="H265" s="93">
        <v>29458.371632518501</v>
      </c>
      <c r="I265" s="93">
        <v>2397.5457928860201</v>
      </c>
      <c r="J265" s="93">
        <v>51911.054939648799</v>
      </c>
      <c r="K265" s="93">
        <v>1557.87357730239</v>
      </c>
      <c r="L265" s="93">
        <v>44775.584788414599</v>
      </c>
      <c r="M265" s="93">
        <v>215729.28855107957</v>
      </c>
      <c r="N265" s="95">
        <v>5.9314096069386195E-2</v>
      </c>
      <c r="O265" s="95">
        <v>0.17231783216241725</v>
      </c>
      <c r="P265" s="95">
        <v>0.45559960088919127</v>
      </c>
      <c r="Q265" s="95">
        <v>0.30365563188801636</v>
      </c>
      <c r="R265" s="96">
        <v>9.1128389909889626E-3</v>
      </c>
    </row>
    <row r="266" spans="1:18" ht="15.75" hidden="1" customHeight="1" x14ac:dyDescent="0.3">
      <c r="A266" s="89">
        <v>2020</v>
      </c>
      <c r="B266" s="90">
        <v>5</v>
      </c>
      <c r="C266" s="90" t="s">
        <v>726</v>
      </c>
      <c r="D266" s="90" t="s">
        <v>722</v>
      </c>
      <c r="E266" s="91" t="s">
        <v>11</v>
      </c>
      <c r="F266" s="92" t="s">
        <v>51</v>
      </c>
      <c r="G266" s="93">
        <v>4491.7581334283204</v>
      </c>
      <c r="H266" s="93">
        <v>29518.4890865042</v>
      </c>
      <c r="I266" s="93">
        <v>2397.5457928860201</v>
      </c>
      <c r="J266" s="93">
        <v>64477.063645720402</v>
      </c>
      <c r="K266" s="93">
        <v>20567.130400860598</v>
      </c>
      <c r="L266" s="93">
        <v>5767.5136036167396</v>
      </c>
      <c r="M266" s="93">
        <v>211202.40923547765</v>
      </c>
      <c r="N266" s="95">
        <v>2.1864630736725205E-2</v>
      </c>
      <c r="O266" s="95">
        <v>0.14368780433194417</v>
      </c>
      <c r="P266" s="95">
        <v>0.4204760544680835</v>
      </c>
      <c r="Q266" s="95">
        <v>0.31385643343311653</v>
      </c>
      <c r="R266" s="96">
        <v>0.10011507703013062</v>
      </c>
    </row>
    <row r="267" spans="1:18" ht="15.75" hidden="1" customHeight="1" x14ac:dyDescent="0.3">
      <c r="A267" s="89">
        <v>2020</v>
      </c>
      <c r="B267" s="90">
        <v>5</v>
      </c>
      <c r="C267" s="90" t="s">
        <v>726</v>
      </c>
      <c r="D267" s="90" t="s">
        <v>722</v>
      </c>
      <c r="E267" s="91" t="s">
        <v>11</v>
      </c>
      <c r="F267" s="92" t="s">
        <v>45</v>
      </c>
      <c r="G267" s="93">
        <v>9163.2359084313593</v>
      </c>
      <c r="H267" s="93">
        <v>17059.202854370302</v>
      </c>
      <c r="I267" s="93">
        <v>2397.5457928860201</v>
      </c>
      <c r="J267" s="93">
        <v>18686.670673291901</v>
      </c>
      <c r="K267" s="93">
        <v>2565.3527026884199</v>
      </c>
      <c r="L267" s="93">
        <v>60821.333772758102</v>
      </c>
      <c r="M267" s="93">
        <v>134096.0920364589</v>
      </c>
      <c r="N267" s="95">
        <v>0.12505310321809263</v>
      </c>
      <c r="O267" s="95">
        <v>0.23281145183690322</v>
      </c>
      <c r="P267" s="95">
        <v>0.35210346286055072</v>
      </c>
      <c r="Q267" s="95">
        <v>0.25502193546708701</v>
      </c>
      <c r="R267" s="96">
        <v>3.5010046617366418E-2</v>
      </c>
    </row>
    <row r="268" spans="1:18" ht="15.75" hidden="1" customHeight="1" x14ac:dyDescent="0.3">
      <c r="A268" s="89">
        <v>2020</v>
      </c>
      <c r="B268" s="90">
        <v>5</v>
      </c>
      <c r="C268" s="90" t="s">
        <v>726</v>
      </c>
      <c r="D268" s="90" t="s">
        <v>722</v>
      </c>
      <c r="E268" s="91" t="s">
        <v>11</v>
      </c>
      <c r="F268" s="92" t="s">
        <v>721</v>
      </c>
      <c r="G268" s="93">
        <v>8754.6497114445392</v>
      </c>
      <c r="H268" s="93">
        <v>49542.731716026101</v>
      </c>
      <c r="I268" s="93">
        <v>2397.5457928860201</v>
      </c>
      <c r="J268" s="93">
        <v>102650.691922385</v>
      </c>
      <c r="K268" s="93">
        <v>25059.624791062099</v>
      </c>
      <c r="L268" s="93">
        <v>13589.661307702299</v>
      </c>
      <c r="M268" s="93">
        <v>309330.85090304306</v>
      </c>
      <c r="N268" s="95">
        <v>2.9602402436479765E-2</v>
      </c>
      <c r="O268" s="95">
        <v>0.16752056683012215</v>
      </c>
      <c r="P268" s="95">
        <v>0.37104568222157375</v>
      </c>
      <c r="Q268" s="95">
        <v>0.34709636511180858</v>
      </c>
      <c r="R268" s="96">
        <v>8.4734983400015715E-2</v>
      </c>
    </row>
    <row r="269" spans="1:18" ht="15.75" hidden="1" customHeight="1" x14ac:dyDescent="0.3">
      <c r="A269" s="89">
        <v>2020</v>
      </c>
      <c r="B269" s="90">
        <v>5</v>
      </c>
      <c r="C269" s="90" t="s">
        <v>726</v>
      </c>
      <c r="D269" s="90" t="s">
        <v>722</v>
      </c>
      <c r="E269" s="91" t="s">
        <v>11</v>
      </c>
      <c r="F269" s="92" t="s">
        <v>46</v>
      </c>
      <c r="G269" s="93">
        <v>4438.3401972211896</v>
      </c>
      <c r="H269" s="93">
        <v>31264.7404888376</v>
      </c>
      <c r="I269" s="93">
        <v>2397.5457928860201</v>
      </c>
      <c r="J269" s="93">
        <v>30152.7362883608</v>
      </c>
      <c r="K269" s="93">
        <v>11843.129134946301</v>
      </c>
      <c r="L269" s="93">
        <v>8450.6093050460295</v>
      </c>
      <c r="M269" s="93">
        <v>149075.00300839043</v>
      </c>
      <c r="N269" s="95">
        <v>3.1561666367672561E-2</v>
      </c>
      <c r="O269" s="95">
        <v>0.22232800203066083</v>
      </c>
      <c r="P269" s="95">
        <v>0.4474717788061971</v>
      </c>
      <c r="Q269" s="95">
        <v>0.21442038251179812</v>
      </c>
      <c r="R269" s="96">
        <v>8.4218170283671359E-2</v>
      </c>
    </row>
    <row r="270" spans="1:18" ht="15.75" hidden="1" customHeight="1" x14ac:dyDescent="0.3">
      <c r="A270" s="89">
        <v>2020</v>
      </c>
      <c r="B270" s="90">
        <v>5</v>
      </c>
      <c r="C270" s="90" t="s">
        <v>726</v>
      </c>
      <c r="D270" s="90" t="s">
        <v>722</v>
      </c>
      <c r="E270" s="91" t="s">
        <v>11</v>
      </c>
      <c r="F270" s="92" t="s">
        <v>47</v>
      </c>
      <c r="G270" s="93">
        <v>9945.1011142769603</v>
      </c>
      <c r="H270" s="93">
        <v>92932.434844965101</v>
      </c>
      <c r="I270" s="93">
        <v>2397.5457928860201</v>
      </c>
      <c r="J270" s="93">
        <v>138685.75048373401</v>
      </c>
      <c r="K270" s="93">
        <v>24170.605747118701</v>
      </c>
      <c r="L270" s="93">
        <v>959151.67218539398</v>
      </c>
      <c r="M270" s="93">
        <v>1461770.3581411568</v>
      </c>
      <c r="N270" s="95">
        <v>1.9786572589050665E-2</v>
      </c>
      <c r="O270" s="95">
        <v>0.18489649796494911</v>
      </c>
      <c r="P270" s="95">
        <v>0.47130120782361251</v>
      </c>
      <c r="Q270" s="95">
        <v>0.27592637193743375</v>
      </c>
      <c r="R270" s="96">
        <v>4.8089349684953896E-2</v>
      </c>
    </row>
    <row r="271" spans="1:18" ht="15.75" hidden="1" customHeight="1" x14ac:dyDescent="0.3">
      <c r="A271" s="89">
        <v>2020</v>
      </c>
      <c r="B271" s="90">
        <v>5</v>
      </c>
      <c r="C271" s="90" t="s">
        <v>726</v>
      </c>
      <c r="D271" s="90" t="s">
        <v>722</v>
      </c>
      <c r="E271" s="91" t="s">
        <v>11</v>
      </c>
      <c r="F271" s="92" t="s">
        <v>48</v>
      </c>
      <c r="G271" s="93">
        <v>1089.5451796032401</v>
      </c>
      <c r="H271" s="93">
        <v>7369.5141858103898</v>
      </c>
      <c r="I271" s="93">
        <v>2397.5457928860201</v>
      </c>
      <c r="J271" s="93">
        <v>54688.247832141598</v>
      </c>
      <c r="K271" s="93">
        <v>4775.6781905775197</v>
      </c>
      <c r="L271" s="93">
        <v>8486.8035866712817</v>
      </c>
      <c r="M271" s="93">
        <v>110314.39779994232</v>
      </c>
      <c r="N271" s="95">
        <v>1.0699901024090394E-2</v>
      </c>
      <c r="O271" s="95">
        <v>7.2372466842096236E-2</v>
      </c>
      <c r="P271" s="95">
        <v>0.33296091385727306</v>
      </c>
      <c r="Q271" s="95">
        <v>0.53706707159947964</v>
      </c>
      <c r="R271" s="96">
        <v>4.6899646677060668E-2</v>
      </c>
    </row>
    <row r="272" spans="1:18" ht="15.75" hidden="1" customHeight="1" x14ac:dyDescent="0.3">
      <c r="A272" s="89">
        <v>2020</v>
      </c>
      <c r="B272" s="90">
        <v>6</v>
      </c>
      <c r="C272" s="90" t="s">
        <v>727</v>
      </c>
      <c r="D272" s="90" t="s">
        <v>719</v>
      </c>
      <c r="E272" s="91" t="s">
        <v>11</v>
      </c>
      <c r="F272" s="92" t="s">
        <v>12</v>
      </c>
      <c r="G272" s="93">
        <v>28141.653314418101</v>
      </c>
      <c r="H272" s="93">
        <v>110927.988733715</v>
      </c>
      <c r="I272" s="93">
        <v>2397.5457928860201</v>
      </c>
      <c r="J272" s="93">
        <v>53929.936484602302</v>
      </c>
      <c r="K272" s="93">
        <v>2861.22842684436</v>
      </c>
      <c r="L272" s="93">
        <v>71134.150659864492</v>
      </c>
      <c r="M272" s="93">
        <v>433311.47680228524</v>
      </c>
      <c r="N272" s="95">
        <v>7.7701311714228685E-2</v>
      </c>
      <c r="O272" s="95">
        <v>0.3062808760427323</v>
      </c>
      <c r="P272" s="95">
        <v>0.45921295226924158</v>
      </c>
      <c r="Q272" s="95">
        <v>0.14890478390520551</v>
      </c>
      <c r="R272" s="96">
        <v>7.9000760685919505E-3</v>
      </c>
    </row>
    <row r="273" spans="1:18" ht="15.75" hidden="1" customHeight="1" x14ac:dyDescent="0.3">
      <c r="A273" s="89">
        <v>2020</v>
      </c>
      <c r="B273" s="90">
        <v>6</v>
      </c>
      <c r="C273" s="90" t="s">
        <v>727</v>
      </c>
      <c r="D273" s="90" t="s">
        <v>719</v>
      </c>
      <c r="E273" s="91" t="s">
        <v>11</v>
      </c>
      <c r="F273" s="92" t="s">
        <v>26</v>
      </c>
      <c r="G273" s="93">
        <v>53598.318198155197</v>
      </c>
      <c r="H273" s="93">
        <v>142872.10744051801</v>
      </c>
      <c r="I273" s="93">
        <v>2397.5457928860201</v>
      </c>
      <c r="J273" s="93">
        <v>374642.22899684502</v>
      </c>
      <c r="K273" s="93">
        <v>24848.896452270201</v>
      </c>
      <c r="L273" s="93">
        <v>319529.5892850887</v>
      </c>
      <c r="M273" s="93">
        <v>1302393.3163907991</v>
      </c>
      <c r="N273" s="95">
        <v>5.4532807265142376E-2</v>
      </c>
      <c r="O273" s="95">
        <v>0.1453630890024204</v>
      </c>
      <c r="P273" s="95">
        <v>0.39364783270337267</v>
      </c>
      <c r="Q273" s="95">
        <v>0.38117413295948294</v>
      </c>
      <c r="R273" s="96">
        <v>2.5282138069581659E-2</v>
      </c>
    </row>
    <row r="274" spans="1:18" ht="15.75" hidden="1" customHeight="1" x14ac:dyDescent="0.3">
      <c r="A274" s="89">
        <v>2020</v>
      </c>
      <c r="B274" s="90">
        <v>6</v>
      </c>
      <c r="C274" s="90" t="s">
        <v>727</v>
      </c>
      <c r="D274" s="90" t="s">
        <v>719</v>
      </c>
      <c r="E274" s="91" t="s">
        <v>11</v>
      </c>
      <c r="F274" s="92" t="s">
        <v>27</v>
      </c>
      <c r="G274" s="93">
        <v>2644.9546343520001</v>
      </c>
      <c r="H274" s="93">
        <v>28301.346065710401</v>
      </c>
      <c r="I274" s="93">
        <v>2397.5457928860201</v>
      </c>
      <c r="J274" s="93">
        <v>8503.7525499172498</v>
      </c>
      <c r="K274" s="93">
        <v>253.13147499999999</v>
      </c>
      <c r="L274" s="93">
        <v>132926.00132508326</v>
      </c>
      <c r="M274" s="93">
        <v>226689.61699930031</v>
      </c>
      <c r="N274" s="95">
        <v>2.8208752567114418E-2</v>
      </c>
      <c r="O274" s="95">
        <v>0.3018371877215551</v>
      </c>
      <c r="P274" s="95">
        <v>0.57656086063352219</v>
      </c>
      <c r="Q274" s="95">
        <v>9.0693522095645851E-2</v>
      </c>
      <c r="R274" s="96">
        <v>2.6996769821623422E-3</v>
      </c>
    </row>
    <row r="275" spans="1:18" ht="15.75" hidden="1" customHeight="1" x14ac:dyDescent="0.3">
      <c r="A275" s="89">
        <v>2020</v>
      </c>
      <c r="B275" s="90">
        <v>6</v>
      </c>
      <c r="C275" s="90" t="s">
        <v>727</v>
      </c>
      <c r="D275" s="90" t="s">
        <v>719</v>
      </c>
      <c r="E275" s="91" t="s">
        <v>11</v>
      </c>
      <c r="F275" s="92" t="s">
        <v>28</v>
      </c>
      <c r="G275" s="93">
        <v>3496.2736574034798</v>
      </c>
      <c r="H275" s="93">
        <v>16123.2323494716</v>
      </c>
      <c r="I275" s="93">
        <v>2397.5457928860201</v>
      </c>
      <c r="J275" s="93">
        <v>169602.29241636599</v>
      </c>
      <c r="K275" s="93">
        <v>10711.447910787199</v>
      </c>
      <c r="L275" s="93">
        <v>88450.539853959272</v>
      </c>
      <c r="M275" s="93">
        <v>373104.58101494994</v>
      </c>
      <c r="N275" s="95">
        <v>1.2282536524489763E-2</v>
      </c>
      <c r="O275" s="95">
        <v>5.6641501675898737E-2</v>
      </c>
      <c r="P275" s="95">
        <v>0.29762723368134864</v>
      </c>
      <c r="Q275" s="95">
        <v>0.59581902201221415</v>
      </c>
      <c r="R275" s="96">
        <v>3.7629706106048808E-2</v>
      </c>
    </row>
    <row r="276" spans="1:18" ht="15.75" customHeight="1" x14ac:dyDescent="0.3">
      <c r="A276" s="89">
        <v>2020</v>
      </c>
      <c r="B276" s="90">
        <v>6</v>
      </c>
      <c r="C276" s="90" t="s">
        <v>727</v>
      </c>
      <c r="D276" s="90" t="s">
        <v>719</v>
      </c>
      <c r="E276" s="91" t="s">
        <v>11</v>
      </c>
      <c r="F276" s="92" t="s">
        <v>29</v>
      </c>
      <c r="G276" s="93">
        <v>10157.006365817901</v>
      </c>
      <c r="H276" s="93">
        <v>26906.685059047501</v>
      </c>
      <c r="I276" s="93">
        <v>2397.5457928860201</v>
      </c>
      <c r="J276" s="93">
        <v>16604.338777262601</v>
      </c>
      <c r="K276" s="93">
        <v>1827.6691634788499</v>
      </c>
      <c r="L276" s="93">
        <v>262191.1754991503</v>
      </c>
      <c r="M276" s="93">
        <v>354392.05486977153</v>
      </c>
      <c r="N276" s="95">
        <v>0.11016170816538128</v>
      </c>
      <c r="O276" s="95">
        <v>0.29182677261558754</v>
      </c>
      <c r="P276" s="95">
        <v>0.39810010767326898</v>
      </c>
      <c r="Q276" s="95">
        <v>0.18008872464781917</v>
      </c>
      <c r="R276" s="96">
        <v>1.9822686897943143E-2</v>
      </c>
    </row>
    <row r="277" spans="1:18" ht="15.75" hidden="1" customHeight="1" x14ac:dyDescent="0.3">
      <c r="A277" s="89">
        <v>2020</v>
      </c>
      <c r="B277" s="90">
        <v>6</v>
      </c>
      <c r="C277" s="90" t="s">
        <v>727</v>
      </c>
      <c r="D277" s="90" t="s">
        <v>719</v>
      </c>
      <c r="E277" s="91" t="s">
        <v>11</v>
      </c>
      <c r="F277" s="92" t="s">
        <v>30</v>
      </c>
      <c r="G277" s="93">
        <v>693.407752962622</v>
      </c>
      <c r="H277" s="93">
        <v>2048.1068215854698</v>
      </c>
      <c r="I277" s="93">
        <v>2397.5457928860201</v>
      </c>
      <c r="J277" s="93">
        <v>1263.1058791513401</v>
      </c>
      <c r="K277" s="93">
        <v>36.053011328125002</v>
      </c>
      <c r="L277" s="93">
        <v>223170.09196770747</v>
      </c>
      <c r="M277" s="93">
        <v>230086.50016211616</v>
      </c>
      <c r="N277" s="95">
        <v>0.10025546981498022</v>
      </c>
      <c r="O277" s="95">
        <v>0.29612289558635152</v>
      </c>
      <c r="P277" s="95">
        <v>0.4157844141856622</v>
      </c>
      <c r="Q277" s="95">
        <v>0.18262454205239809</v>
      </c>
      <c r="R277" s="96">
        <v>5.2126783606078536E-3</v>
      </c>
    </row>
    <row r="278" spans="1:18" ht="15.75" hidden="1" customHeight="1" x14ac:dyDescent="0.3">
      <c r="A278" s="89">
        <v>2020</v>
      </c>
      <c r="B278" s="90">
        <v>6</v>
      </c>
      <c r="C278" s="90" t="s">
        <v>727</v>
      </c>
      <c r="D278" s="90" t="s">
        <v>719</v>
      </c>
      <c r="E278" s="91" t="s">
        <v>11</v>
      </c>
      <c r="F278" s="92" t="s">
        <v>31</v>
      </c>
      <c r="G278" s="93">
        <v>1180.07990867647</v>
      </c>
      <c r="H278" s="93">
        <v>43306.411334834702</v>
      </c>
      <c r="I278" s="93">
        <v>2397.5457928860201</v>
      </c>
      <c r="J278" s="93">
        <v>55167.110536669003</v>
      </c>
      <c r="K278" s="93">
        <v>31595.8104067114</v>
      </c>
      <c r="L278" s="93">
        <v>44416.74177247734</v>
      </c>
      <c r="M278" s="93">
        <v>251948.68865991739</v>
      </c>
      <c r="N278" s="95">
        <v>5.6862566287999737E-3</v>
      </c>
      <c r="O278" s="95">
        <v>0.20867346923856006</v>
      </c>
      <c r="P278" s="95">
        <v>0.36757008183382084</v>
      </c>
      <c r="Q278" s="95">
        <v>0.26582466634204621</v>
      </c>
      <c r="R278" s="96">
        <v>0.15224552595677304</v>
      </c>
    </row>
    <row r="279" spans="1:18" ht="15.75" hidden="1" customHeight="1" x14ac:dyDescent="0.3">
      <c r="A279" s="89">
        <v>2020</v>
      </c>
      <c r="B279" s="90">
        <v>6</v>
      </c>
      <c r="C279" s="90" t="s">
        <v>727</v>
      </c>
      <c r="D279" s="90" t="s">
        <v>719</v>
      </c>
      <c r="E279" s="91" t="s">
        <v>11</v>
      </c>
      <c r="F279" s="92" t="s">
        <v>32</v>
      </c>
      <c r="G279" s="93">
        <v>14003.4061924448</v>
      </c>
      <c r="H279" s="93">
        <v>109110.372777779</v>
      </c>
      <c r="I279" s="93">
        <v>2397.5457928860201</v>
      </c>
      <c r="J279" s="93">
        <v>163334.332536584</v>
      </c>
      <c r="K279" s="93">
        <v>10945.0954693443</v>
      </c>
      <c r="L279" s="93">
        <v>66489.8222909451</v>
      </c>
      <c r="M279" s="93">
        <v>609521.81280337821</v>
      </c>
      <c r="N279" s="95">
        <v>2.5787442429000287E-2</v>
      </c>
      <c r="O279" s="95">
        <v>0.20092807548007771</v>
      </c>
      <c r="P279" s="95">
        <v>0.45234680060834631</v>
      </c>
      <c r="Q279" s="95">
        <v>0.30078215536151609</v>
      </c>
      <c r="R279" s="96">
        <v>2.0155526121059537E-2</v>
      </c>
    </row>
    <row r="280" spans="1:18" ht="15.75" hidden="1" customHeight="1" x14ac:dyDescent="0.3">
      <c r="A280" s="89">
        <v>2020</v>
      </c>
      <c r="B280" s="90">
        <v>6</v>
      </c>
      <c r="C280" s="90" t="s">
        <v>727</v>
      </c>
      <c r="D280" s="90" t="s">
        <v>719</v>
      </c>
      <c r="E280" s="91" t="s">
        <v>11</v>
      </c>
      <c r="F280" s="92" t="s">
        <v>33</v>
      </c>
      <c r="G280" s="93">
        <v>17528.4706566559</v>
      </c>
      <c r="H280" s="93">
        <v>73878.921537349393</v>
      </c>
      <c r="I280" s="93">
        <v>2397.5457928860201</v>
      </c>
      <c r="J280" s="93">
        <v>711690.69188810303</v>
      </c>
      <c r="K280" s="93">
        <v>25796.192806137798</v>
      </c>
      <c r="L280" s="93">
        <v>67270.084223109196</v>
      </c>
      <c r="M280" s="93">
        <v>1352056.7882568524</v>
      </c>
      <c r="N280" s="95">
        <v>1.3643097801077135E-2</v>
      </c>
      <c r="O280" s="95">
        <v>5.7502869001833212E-2</v>
      </c>
      <c r="P280" s="95">
        <v>0.35483899834436927</v>
      </c>
      <c r="Q280" s="95">
        <v>0.55393684387740327</v>
      </c>
      <c r="R280" s="96">
        <v>2.0078190975317173E-2</v>
      </c>
    </row>
    <row r="281" spans="1:18" ht="15.75" hidden="1" customHeight="1" x14ac:dyDescent="0.3">
      <c r="A281" s="89">
        <v>2020</v>
      </c>
      <c r="B281" s="90">
        <v>6</v>
      </c>
      <c r="C281" s="90" t="s">
        <v>727</v>
      </c>
      <c r="D281" s="90" t="s">
        <v>719</v>
      </c>
      <c r="E281" s="91" t="s">
        <v>11</v>
      </c>
      <c r="F281" s="92" t="s">
        <v>34</v>
      </c>
      <c r="G281" s="93">
        <v>16747.716245045998</v>
      </c>
      <c r="H281" s="93">
        <v>37921.942814793198</v>
      </c>
      <c r="I281" s="93">
        <v>2397.5457928860201</v>
      </c>
      <c r="J281" s="93">
        <v>284809.52773250901</v>
      </c>
      <c r="K281" s="93">
        <v>27562.240881035501</v>
      </c>
      <c r="L281" s="93">
        <v>135112.0297720955</v>
      </c>
      <c r="M281" s="93">
        <v>713628.83042006614</v>
      </c>
      <c r="N281" s="95">
        <v>2.8949403416266624E-2</v>
      </c>
      <c r="O281" s="95">
        <v>6.5550287860816722E-2</v>
      </c>
      <c r="P281" s="95">
        <v>0.36554750482219867</v>
      </c>
      <c r="Q281" s="95">
        <v>0.49230986449055009</v>
      </c>
      <c r="R281" s="96">
        <v>4.7642939410167992E-2</v>
      </c>
    </row>
    <row r="282" spans="1:18" ht="15.75" hidden="1" customHeight="1" x14ac:dyDescent="0.3">
      <c r="A282" s="89">
        <v>2020</v>
      </c>
      <c r="B282" s="90">
        <v>6</v>
      </c>
      <c r="C282" s="90" t="s">
        <v>727</v>
      </c>
      <c r="D282" s="90" t="s">
        <v>719</v>
      </c>
      <c r="E282" s="91" t="s">
        <v>11</v>
      </c>
      <c r="F282" s="92" t="s">
        <v>35</v>
      </c>
      <c r="G282" s="93">
        <v>17126.017213076</v>
      </c>
      <c r="H282" s="93">
        <v>83436.850710862898</v>
      </c>
      <c r="I282" s="93">
        <v>2397.5457928860201</v>
      </c>
      <c r="J282" s="93">
        <v>120873.82191403701</v>
      </c>
      <c r="K282" s="93">
        <v>21479.271229191301</v>
      </c>
      <c r="L282" s="93">
        <v>268374.87335133919</v>
      </c>
      <c r="M282" s="93">
        <v>605861.19629491365</v>
      </c>
      <c r="N282" s="95">
        <v>5.0745811159699533E-2</v>
      </c>
      <c r="O282" s="95">
        <v>0.24723031731514941</v>
      </c>
      <c r="P282" s="95">
        <v>0.28021983543380174</v>
      </c>
      <c r="Q282" s="95">
        <v>0.35815917178441131</v>
      </c>
      <c r="R282" s="96">
        <v>6.3644864306938137E-2</v>
      </c>
    </row>
    <row r="283" spans="1:18" ht="15.75" hidden="1" customHeight="1" x14ac:dyDescent="0.3">
      <c r="A283" s="89">
        <v>2020</v>
      </c>
      <c r="B283" s="90">
        <v>6</v>
      </c>
      <c r="C283" s="90" t="s">
        <v>727</v>
      </c>
      <c r="D283" s="90" t="s">
        <v>719</v>
      </c>
      <c r="E283" s="91" t="s">
        <v>11</v>
      </c>
      <c r="F283" s="92" t="s">
        <v>36</v>
      </c>
      <c r="G283" s="93">
        <v>4674.9660411856503</v>
      </c>
      <c r="H283" s="93">
        <v>29769.991082201399</v>
      </c>
      <c r="I283" s="93">
        <v>2397.5457928860201</v>
      </c>
      <c r="J283" s="93">
        <v>26417.972639626001</v>
      </c>
      <c r="K283" s="93">
        <v>514.61656328431297</v>
      </c>
      <c r="L283" s="93">
        <v>140072.74605444411</v>
      </c>
      <c r="M283" s="93">
        <v>258886.87145458377</v>
      </c>
      <c r="N283" s="95">
        <v>3.9346887631764318E-2</v>
      </c>
      <c r="O283" s="95">
        <v>0.25055935884679248</v>
      </c>
      <c r="P283" s="95">
        <v>0.48341540940867611</v>
      </c>
      <c r="Q283" s="95">
        <v>0.22234706985096359</v>
      </c>
      <c r="R283" s="96">
        <v>4.3312742618034543E-3</v>
      </c>
    </row>
    <row r="284" spans="1:18" ht="15.75" hidden="1" customHeight="1" x14ac:dyDescent="0.3">
      <c r="A284" s="89">
        <v>2020</v>
      </c>
      <c r="B284" s="90">
        <v>6</v>
      </c>
      <c r="C284" s="90" t="s">
        <v>727</v>
      </c>
      <c r="D284" s="90" t="s">
        <v>719</v>
      </c>
      <c r="E284" s="91" t="s">
        <v>11</v>
      </c>
      <c r="F284" s="92" t="s">
        <v>37</v>
      </c>
      <c r="G284" s="93">
        <v>10232.835783629</v>
      </c>
      <c r="H284" s="93">
        <v>31228.069343053099</v>
      </c>
      <c r="I284" s="93">
        <v>2397.5457928860201</v>
      </c>
      <c r="J284" s="93">
        <v>48792.449962320999</v>
      </c>
      <c r="K284" s="93">
        <v>2462.51513995711</v>
      </c>
      <c r="L284" s="93">
        <v>366494.05883413902</v>
      </c>
      <c r="M284" s="93">
        <v>524073.85777630529</v>
      </c>
      <c r="N284" s="95">
        <v>6.4937484705032369E-2</v>
      </c>
      <c r="O284" s="95">
        <v>0.1981730497988145</v>
      </c>
      <c r="P284" s="95">
        <v>0.4116259136554169</v>
      </c>
      <c r="Q284" s="95">
        <v>0.30963645270437501</v>
      </c>
      <c r="R284" s="96">
        <v>1.5627099136361275E-2</v>
      </c>
    </row>
    <row r="285" spans="1:18" ht="15.75" hidden="1" customHeight="1" x14ac:dyDescent="0.3">
      <c r="A285" s="89">
        <v>2020</v>
      </c>
      <c r="B285" s="90">
        <v>6</v>
      </c>
      <c r="C285" s="90" t="s">
        <v>727</v>
      </c>
      <c r="D285" s="90" t="s">
        <v>719</v>
      </c>
      <c r="E285" s="91" t="s">
        <v>11</v>
      </c>
      <c r="F285" s="92" t="s">
        <v>720</v>
      </c>
      <c r="G285" s="93">
        <v>46216.270895596499</v>
      </c>
      <c r="H285" s="93">
        <v>106274.266892841</v>
      </c>
      <c r="I285" s="93">
        <v>2397.5457928860201</v>
      </c>
      <c r="J285" s="93">
        <v>276886.27301744302</v>
      </c>
      <c r="K285" s="93">
        <v>49743.547708070102</v>
      </c>
      <c r="L285" s="93">
        <v>269457.773814574</v>
      </c>
      <c r="M285" s="93">
        <v>927958.42268835765</v>
      </c>
      <c r="N285" s="95">
        <v>7.0184093173847245E-2</v>
      </c>
      <c r="O285" s="95">
        <v>0.16138824931243284</v>
      </c>
      <c r="P285" s="95">
        <v>0.27240715808955146</v>
      </c>
      <c r="Q285" s="95">
        <v>0.42047987878371013</v>
      </c>
      <c r="R285" s="96">
        <v>7.5540620640458273E-2</v>
      </c>
    </row>
    <row r="286" spans="1:18" ht="15.75" hidden="1" customHeight="1" x14ac:dyDescent="0.3">
      <c r="A286" s="89">
        <v>2020</v>
      </c>
      <c r="B286" s="90">
        <v>6</v>
      </c>
      <c r="C286" s="90" t="s">
        <v>727</v>
      </c>
      <c r="D286" s="90" t="s">
        <v>719</v>
      </c>
      <c r="E286" s="91" t="s">
        <v>11</v>
      </c>
      <c r="F286" s="92" t="s">
        <v>39</v>
      </c>
      <c r="G286" s="93">
        <v>2517.8721465104099</v>
      </c>
      <c r="H286" s="93">
        <v>46301.193513726401</v>
      </c>
      <c r="I286" s="93">
        <v>2397.5457928860201</v>
      </c>
      <c r="J286" s="93">
        <v>56316.033149445902</v>
      </c>
      <c r="K286" s="93">
        <v>1371.9467462561199</v>
      </c>
      <c r="L286" s="93">
        <v>85366.248957887961</v>
      </c>
      <c r="M286" s="93">
        <v>331195.16650096979</v>
      </c>
      <c r="N286" s="95">
        <v>1.024237576146488E-2</v>
      </c>
      <c r="O286" s="95">
        <v>0.18834722121579556</v>
      </c>
      <c r="P286" s="95">
        <v>0.56674321873758682</v>
      </c>
      <c r="Q286" s="95">
        <v>0.22908628371426826</v>
      </c>
      <c r="R286" s="96">
        <v>5.5809005708845642E-3</v>
      </c>
    </row>
    <row r="287" spans="1:18" ht="15.75" hidden="1" customHeight="1" x14ac:dyDescent="0.3">
      <c r="A287" s="89">
        <v>2020</v>
      </c>
      <c r="B287" s="90">
        <v>6</v>
      </c>
      <c r="C287" s="90" t="s">
        <v>727</v>
      </c>
      <c r="D287" s="90" t="s">
        <v>719</v>
      </c>
      <c r="E287" s="91" t="s">
        <v>11</v>
      </c>
      <c r="F287" s="92" t="s">
        <v>40</v>
      </c>
      <c r="G287" s="93">
        <v>14034.862621787601</v>
      </c>
      <c r="H287" s="93">
        <v>75213.904982185006</v>
      </c>
      <c r="I287" s="93">
        <v>2397.5457928860201</v>
      </c>
      <c r="J287" s="93">
        <v>70510.730424862399</v>
      </c>
      <c r="K287" s="93">
        <v>9079.8033239521992</v>
      </c>
      <c r="L287" s="93">
        <v>11569.711825438109</v>
      </c>
      <c r="M287" s="93">
        <v>326305.02470135334</v>
      </c>
      <c r="N287" s="95">
        <v>4.4592589543076988E-2</v>
      </c>
      <c r="O287" s="95">
        <v>0.23897510671717406</v>
      </c>
      <c r="P287" s="95">
        <v>0.4635514527746929</v>
      </c>
      <c r="Q287" s="95">
        <v>0.22403183735744753</v>
      </c>
      <c r="R287" s="96">
        <v>2.8849013607608508E-2</v>
      </c>
    </row>
    <row r="288" spans="1:18" ht="15.75" hidden="1" customHeight="1" x14ac:dyDescent="0.3">
      <c r="A288" s="89">
        <v>2020</v>
      </c>
      <c r="B288" s="90">
        <v>6</v>
      </c>
      <c r="C288" s="90" t="s">
        <v>727</v>
      </c>
      <c r="D288" s="90" t="s">
        <v>719</v>
      </c>
      <c r="E288" s="91" t="s">
        <v>11</v>
      </c>
      <c r="F288" s="92" t="s">
        <v>41</v>
      </c>
      <c r="G288" s="93">
        <v>284.62341683517099</v>
      </c>
      <c r="H288" s="93">
        <v>917.92168828125</v>
      </c>
      <c r="I288" s="93">
        <v>2397.5457928860201</v>
      </c>
      <c r="J288" s="93">
        <v>1337.1586351164201</v>
      </c>
      <c r="K288" s="93">
        <v>125.143763772977</v>
      </c>
      <c r="L288" s="93">
        <v>14180.6329261395</v>
      </c>
      <c r="M288" s="93">
        <v>18714.332738962719</v>
      </c>
      <c r="N288" s="95">
        <v>6.2779502081310223E-2</v>
      </c>
      <c r="O288" s="95">
        <v>0.20246635776038363</v>
      </c>
      <c r="P288" s="95">
        <v>0.41221350904872356</v>
      </c>
      <c r="Q288" s="95">
        <v>0.29493762055757877</v>
      </c>
      <c r="R288" s="96">
        <v>2.7603010552003811E-2</v>
      </c>
    </row>
    <row r="289" spans="1:18" ht="15.75" hidden="1" customHeight="1" x14ac:dyDescent="0.3">
      <c r="A289" s="89">
        <v>2020</v>
      </c>
      <c r="B289" s="90">
        <v>6</v>
      </c>
      <c r="C289" s="90" t="s">
        <v>727</v>
      </c>
      <c r="D289" s="90" t="s">
        <v>719</v>
      </c>
      <c r="E289" s="91" t="s">
        <v>11</v>
      </c>
      <c r="F289" s="92" t="s">
        <v>42</v>
      </c>
      <c r="G289" s="93">
        <v>5438.4991935769403</v>
      </c>
      <c r="H289" s="93">
        <v>119691.514735777</v>
      </c>
      <c r="I289" s="93">
        <v>2397.5457928860201</v>
      </c>
      <c r="J289" s="93">
        <v>85857.176458088798</v>
      </c>
      <c r="K289" s="93">
        <v>7558.0962605131499</v>
      </c>
      <c r="L289" s="93">
        <v>170348.97305300692</v>
      </c>
      <c r="M289" s="93">
        <v>620824.33974999178</v>
      </c>
      <c r="N289" s="95">
        <v>1.2072800414046129E-2</v>
      </c>
      <c r="O289" s="95">
        <v>0.26570046573997969</v>
      </c>
      <c r="P289" s="95">
        <v>0.51485629891287321</v>
      </c>
      <c r="Q289" s="95">
        <v>0.19059238929670749</v>
      </c>
      <c r="R289" s="96">
        <v>1.6778045636393592E-2</v>
      </c>
    </row>
    <row r="290" spans="1:18" ht="15.75" hidden="1" customHeight="1" x14ac:dyDescent="0.3">
      <c r="A290" s="89">
        <v>2020</v>
      </c>
      <c r="B290" s="90">
        <v>6</v>
      </c>
      <c r="C290" s="90" t="s">
        <v>727</v>
      </c>
      <c r="D290" s="90" t="s">
        <v>719</v>
      </c>
      <c r="E290" s="91" t="s">
        <v>11</v>
      </c>
      <c r="F290" s="92" t="s">
        <v>43</v>
      </c>
      <c r="G290" s="93">
        <v>467.33848403186198</v>
      </c>
      <c r="H290" s="93">
        <v>15733.0512134329</v>
      </c>
      <c r="I290" s="93">
        <v>2397.5457928860201</v>
      </c>
      <c r="J290" s="93">
        <v>17805.1395314445</v>
      </c>
      <c r="K290" s="93">
        <v>6215.5839294362804</v>
      </c>
      <c r="L290" s="93">
        <v>116774.35846919545</v>
      </c>
      <c r="M290" s="93">
        <v>185575.48510012357</v>
      </c>
      <c r="N290" s="95">
        <v>6.7925992918519964E-3</v>
      </c>
      <c r="O290" s="95">
        <v>0.2286743253178129</v>
      </c>
      <c r="P290" s="95">
        <v>0.41540037019880777</v>
      </c>
      <c r="Q290" s="95">
        <v>0.25879139489905628</v>
      </c>
      <c r="R290" s="96">
        <v>9.0341310292471166E-2</v>
      </c>
    </row>
    <row r="291" spans="1:18" ht="15.75" hidden="1" customHeight="1" x14ac:dyDescent="0.3">
      <c r="A291" s="89">
        <v>2020</v>
      </c>
      <c r="B291" s="90">
        <v>6</v>
      </c>
      <c r="C291" s="90" t="s">
        <v>727</v>
      </c>
      <c r="D291" s="90" t="s">
        <v>719</v>
      </c>
      <c r="E291" s="91" t="s">
        <v>11</v>
      </c>
      <c r="F291" s="92" t="s">
        <v>58</v>
      </c>
      <c r="G291" s="93">
        <v>24596.812072555</v>
      </c>
      <c r="H291" s="93">
        <v>118858.636916203</v>
      </c>
      <c r="I291" s="93">
        <v>2397.5457928860201</v>
      </c>
      <c r="J291" s="93">
        <v>16017.4515889063</v>
      </c>
      <c r="K291" s="93">
        <v>169.671699877451</v>
      </c>
      <c r="L291" s="93">
        <v>74450.324628888033</v>
      </c>
      <c r="M291" s="93">
        <v>371477.12559240678</v>
      </c>
      <c r="N291" s="95">
        <v>8.2810076372791752E-2</v>
      </c>
      <c r="O291" s="95">
        <v>0.40016132056312786</v>
      </c>
      <c r="P291" s="95">
        <v>0.46253142221617477</v>
      </c>
      <c r="Q291" s="95">
        <v>5.3925947210647793E-2</v>
      </c>
      <c r="R291" s="96">
        <v>5.7123363725783904E-4</v>
      </c>
    </row>
    <row r="292" spans="1:18" ht="15.75" hidden="1" customHeight="1" x14ac:dyDescent="0.3">
      <c r="A292" s="89">
        <v>2020</v>
      </c>
      <c r="B292" s="90">
        <v>6</v>
      </c>
      <c r="C292" s="90" t="s">
        <v>727</v>
      </c>
      <c r="D292" s="90" t="s">
        <v>719</v>
      </c>
      <c r="E292" s="91" t="s">
        <v>11</v>
      </c>
      <c r="F292" s="92" t="s">
        <v>44</v>
      </c>
      <c r="G292" s="93">
        <v>2882.3499154595502</v>
      </c>
      <c r="H292" s="93">
        <v>7191.13394947913</v>
      </c>
      <c r="I292" s="93">
        <v>2397.5457928860201</v>
      </c>
      <c r="J292" s="93">
        <v>4394.5534151210204</v>
      </c>
      <c r="K292" s="93">
        <v>136.554966654411</v>
      </c>
      <c r="L292" s="93">
        <v>191871.3443871786</v>
      </c>
      <c r="M292" s="93">
        <v>215729.2885510771</v>
      </c>
      <c r="N292" s="95">
        <v>0.12081300449269554</v>
      </c>
      <c r="O292" s="95">
        <v>0.30141465249804078</v>
      </c>
      <c r="P292" s="95">
        <v>0.38785202336027069</v>
      </c>
      <c r="Q292" s="95">
        <v>0.18419665101617572</v>
      </c>
      <c r="R292" s="96">
        <v>5.7236686328172382E-3</v>
      </c>
    </row>
    <row r="293" spans="1:18" ht="15.75" hidden="1" customHeight="1" x14ac:dyDescent="0.3">
      <c r="A293" s="89">
        <v>2020</v>
      </c>
      <c r="B293" s="90">
        <v>6</v>
      </c>
      <c r="C293" s="90" t="s">
        <v>727</v>
      </c>
      <c r="D293" s="90" t="s">
        <v>719</v>
      </c>
      <c r="E293" s="91" t="s">
        <v>11</v>
      </c>
      <c r="F293" s="92" t="s">
        <v>51</v>
      </c>
      <c r="G293" s="93">
        <v>5140.9945839415004</v>
      </c>
      <c r="H293" s="93">
        <v>38932.716634642798</v>
      </c>
      <c r="I293" s="93">
        <v>2397.5457928860201</v>
      </c>
      <c r="J293" s="93">
        <v>48096.198967873999</v>
      </c>
      <c r="K293" s="93">
        <v>9676.5432495052391</v>
      </c>
      <c r="L293" s="93">
        <v>18425.445997046401</v>
      </c>
      <c r="M293" s="93">
        <v>211202.40923547442</v>
      </c>
      <c r="N293" s="95">
        <v>2.6668096112620464E-2</v>
      </c>
      <c r="O293" s="95">
        <v>0.20195730849069615</v>
      </c>
      <c r="P293" s="95">
        <v>0.47168763463713737</v>
      </c>
      <c r="Q293" s="95">
        <v>0.24949142345596684</v>
      </c>
      <c r="R293" s="96">
        <v>5.0195537303579243E-2</v>
      </c>
    </row>
    <row r="294" spans="1:18" ht="15.75" hidden="1" customHeight="1" x14ac:dyDescent="0.3">
      <c r="A294" s="89">
        <v>2020</v>
      </c>
      <c r="B294" s="90">
        <v>6</v>
      </c>
      <c r="C294" s="90" t="s">
        <v>727</v>
      </c>
      <c r="D294" s="90" t="s">
        <v>719</v>
      </c>
      <c r="E294" s="91" t="s">
        <v>11</v>
      </c>
      <c r="F294" s="92" t="s">
        <v>45</v>
      </c>
      <c r="G294" s="93">
        <v>4661.1844517156997</v>
      </c>
      <c r="H294" s="93">
        <v>14894.8466550214</v>
      </c>
      <c r="I294" s="93">
        <v>2397.5457928860201</v>
      </c>
      <c r="J294" s="93">
        <v>21573.182628656501</v>
      </c>
      <c r="K294" s="93">
        <v>2375.0435797319201</v>
      </c>
      <c r="L294" s="93">
        <v>63059.934692234398</v>
      </c>
      <c r="M294" s="93">
        <v>134096.09203645942</v>
      </c>
      <c r="N294" s="95">
        <v>6.5617069193772165E-2</v>
      </c>
      <c r="O294" s="95">
        <v>0.20967979141726895</v>
      </c>
      <c r="P294" s="95">
        <v>0.38757586359417201</v>
      </c>
      <c r="Q294" s="95">
        <v>0.30369298446307808</v>
      </c>
      <c r="R294" s="96">
        <v>3.3434291331708728E-2</v>
      </c>
    </row>
    <row r="295" spans="1:18" ht="15.75" hidden="1" customHeight="1" x14ac:dyDescent="0.3">
      <c r="A295" s="89">
        <v>2020</v>
      </c>
      <c r="B295" s="90">
        <v>6</v>
      </c>
      <c r="C295" s="90" t="s">
        <v>727</v>
      </c>
      <c r="D295" s="90" t="s">
        <v>719</v>
      </c>
      <c r="E295" s="91" t="s">
        <v>11</v>
      </c>
      <c r="F295" s="92" t="s">
        <v>721</v>
      </c>
      <c r="G295" s="93">
        <v>628.74261409619999</v>
      </c>
      <c r="H295" s="93">
        <v>13200.566407337699</v>
      </c>
      <c r="I295" s="93">
        <v>2397.5457928860201</v>
      </c>
      <c r="J295" s="93">
        <v>60549.293975191402</v>
      </c>
      <c r="K295" s="93">
        <v>4733.2980910217402</v>
      </c>
      <c r="L295" s="93">
        <v>155835.981318784</v>
      </c>
      <c r="M295" s="93">
        <v>309330.85090304347</v>
      </c>
      <c r="N295" s="95">
        <v>4.0961799948046997E-3</v>
      </c>
      <c r="O295" s="95">
        <v>8.6000049663493033E-2</v>
      </c>
      <c r="P295" s="95">
        <v>0.48459579592515711</v>
      </c>
      <c r="Q295" s="95">
        <v>0.39447112557695929</v>
      </c>
      <c r="R295" s="96">
        <v>3.0836848839585769E-2</v>
      </c>
    </row>
    <row r="296" spans="1:18" ht="15.75" hidden="1" customHeight="1" x14ac:dyDescent="0.3">
      <c r="A296" s="89">
        <v>2020</v>
      </c>
      <c r="B296" s="90">
        <v>6</v>
      </c>
      <c r="C296" s="90" t="s">
        <v>727</v>
      </c>
      <c r="D296" s="90" t="s">
        <v>719</v>
      </c>
      <c r="E296" s="91" t="s">
        <v>11</v>
      </c>
      <c r="F296" s="92" t="s">
        <v>46</v>
      </c>
      <c r="G296" s="93">
        <v>6140.5325643489296</v>
      </c>
      <c r="H296" s="93">
        <v>34093.810213483499</v>
      </c>
      <c r="I296" s="93">
        <v>2397.5457928860201</v>
      </c>
      <c r="J296" s="93">
        <v>30354.023215356701</v>
      </c>
      <c r="K296" s="93">
        <v>11901.7259882077</v>
      </c>
      <c r="L296" s="93">
        <v>8802.3611534452393</v>
      </c>
      <c r="M296" s="93">
        <v>149075.00300838935</v>
      </c>
      <c r="N296" s="95">
        <v>4.3775696266552477E-2</v>
      </c>
      <c r="O296" s="95">
        <v>0.24305388251502311</v>
      </c>
      <c r="P296" s="95">
        <v>0.41193028882495997</v>
      </c>
      <c r="Q296" s="95">
        <v>0.21639303868494744</v>
      </c>
      <c r="R296" s="96">
        <v>8.4847093708517091E-2</v>
      </c>
    </row>
    <row r="297" spans="1:18" ht="15.75" hidden="1" customHeight="1" x14ac:dyDescent="0.3">
      <c r="A297" s="89">
        <v>2020</v>
      </c>
      <c r="B297" s="90">
        <v>6</v>
      </c>
      <c r="C297" s="90" t="s">
        <v>727</v>
      </c>
      <c r="D297" s="90" t="s">
        <v>719</v>
      </c>
      <c r="E297" s="91" t="s">
        <v>11</v>
      </c>
      <c r="F297" s="92" t="s">
        <v>47</v>
      </c>
      <c r="G297" s="93">
        <v>6609.5116275199198</v>
      </c>
      <c r="H297" s="93">
        <v>24429.763606734199</v>
      </c>
      <c r="I297" s="93">
        <v>2397.5457928860201</v>
      </c>
      <c r="J297" s="93">
        <v>71039.336584167206</v>
      </c>
      <c r="K297" s="93">
        <v>19742.925762402101</v>
      </c>
      <c r="L297" s="93">
        <v>1258424.0458680601</v>
      </c>
      <c r="M297" s="93">
        <v>1461770.358141419</v>
      </c>
      <c r="N297" s="95">
        <v>3.2503720149272934E-2</v>
      </c>
      <c r="O297" s="95">
        <v>0.12013870983749743</v>
      </c>
      <c r="P297" s="95">
        <v>0.40091592407607318</v>
      </c>
      <c r="Q297" s="95">
        <v>0.34935148707623914</v>
      </c>
      <c r="R297" s="96">
        <v>9.7090158860917278E-2</v>
      </c>
    </row>
    <row r="298" spans="1:18" ht="15.75" hidden="1" customHeight="1" x14ac:dyDescent="0.3">
      <c r="A298" s="89">
        <v>2020</v>
      </c>
      <c r="B298" s="90">
        <v>6</v>
      </c>
      <c r="C298" s="90" t="s">
        <v>727</v>
      </c>
      <c r="D298" s="90" t="s">
        <v>719</v>
      </c>
      <c r="E298" s="91" t="s">
        <v>11</v>
      </c>
      <c r="F298" s="92" t="s">
        <v>48</v>
      </c>
      <c r="G298" s="93">
        <v>1294.7118127098599</v>
      </c>
      <c r="H298" s="93">
        <v>2037.66142908547</v>
      </c>
      <c r="I298" s="93">
        <v>2397.5457928860201</v>
      </c>
      <c r="J298" s="93">
        <v>3832.0038722732802</v>
      </c>
      <c r="K298" s="93">
        <v>96.946579172794102</v>
      </c>
      <c r="L298" s="93">
        <v>98607.993771628389</v>
      </c>
      <c r="M298" s="93">
        <v>110314.39779994792</v>
      </c>
      <c r="N298" s="95">
        <v>0.1105985928366866</v>
      </c>
      <c r="O298" s="95">
        <v>0.17406382217426153</v>
      </c>
      <c r="P298" s="95">
        <v>0.37971355886272323</v>
      </c>
      <c r="Q298" s="95">
        <v>0.32734252662073621</v>
      </c>
      <c r="R298" s="96">
        <v>8.2814995055924857E-3</v>
      </c>
    </row>
    <row r="299" spans="1:18" ht="15.75" hidden="1" customHeight="1" x14ac:dyDescent="0.3">
      <c r="A299" s="89">
        <v>2020</v>
      </c>
      <c r="B299" s="90">
        <v>6</v>
      </c>
      <c r="C299" s="90" t="s">
        <v>727</v>
      </c>
      <c r="D299" s="90" t="s">
        <v>722</v>
      </c>
      <c r="E299" s="91" t="s">
        <v>11</v>
      </c>
      <c r="F299" s="92" t="s">
        <v>12</v>
      </c>
      <c r="G299" s="93">
        <v>20439.6873042753</v>
      </c>
      <c r="H299" s="93">
        <v>95273.175076561005</v>
      </c>
      <c r="I299" s="93">
        <v>2397.5457928860201</v>
      </c>
      <c r="J299" s="93">
        <v>66488.879511236897</v>
      </c>
      <c r="K299" s="93">
        <v>3863.20840182139</v>
      </c>
      <c r="L299" s="93">
        <v>94701.4942807388</v>
      </c>
      <c r="M299" s="93">
        <v>433311.47680229438</v>
      </c>
      <c r="N299" s="95">
        <v>6.0363510703569205E-2</v>
      </c>
      <c r="O299" s="95">
        <v>0.28136552374233686</v>
      </c>
      <c r="P299" s="95">
        <v>0.4505036475643483</v>
      </c>
      <c r="Q299" s="95">
        <v>0.19635829698849555</v>
      </c>
      <c r="R299" s="96">
        <v>1.1409021001250198E-2</v>
      </c>
    </row>
    <row r="300" spans="1:18" ht="15.75" hidden="1" customHeight="1" x14ac:dyDescent="0.3">
      <c r="A300" s="89">
        <v>2020</v>
      </c>
      <c r="B300" s="90">
        <v>6</v>
      </c>
      <c r="C300" s="90" t="s">
        <v>727</v>
      </c>
      <c r="D300" s="90" t="s">
        <v>722</v>
      </c>
      <c r="E300" s="91" t="s">
        <v>11</v>
      </c>
      <c r="F300" s="92" t="s">
        <v>26</v>
      </c>
      <c r="G300" s="93">
        <v>50776.0684968485</v>
      </c>
      <c r="H300" s="93">
        <v>165210.94594605899</v>
      </c>
      <c r="I300" s="93">
        <v>2397.5457928860201</v>
      </c>
      <c r="J300" s="93">
        <v>279871.22277713899</v>
      </c>
      <c r="K300" s="93">
        <v>7361.2587785386204</v>
      </c>
      <c r="L300" s="93">
        <v>327096.11647088832</v>
      </c>
      <c r="M300" s="93">
        <v>1302393.3163907214</v>
      </c>
      <c r="N300" s="95">
        <v>5.2062149364339574E-2</v>
      </c>
      <c r="O300" s="95">
        <v>0.16939548884139</v>
      </c>
      <c r="P300" s="95">
        <v>0.4840347167612617</v>
      </c>
      <c r="Q300" s="95">
        <v>0.28695993672507591</v>
      </c>
      <c r="R300" s="96">
        <v>7.5477083079329025E-3</v>
      </c>
    </row>
    <row r="301" spans="1:18" ht="15.75" hidden="1" customHeight="1" x14ac:dyDescent="0.3">
      <c r="A301" s="89">
        <v>2020</v>
      </c>
      <c r="B301" s="90">
        <v>6</v>
      </c>
      <c r="C301" s="90" t="s">
        <v>727</v>
      </c>
      <c r="D301" s="90" t="s">
        <v>722</v>
      </c>
      <c r="E301" s="91" t="s">
        <v>11</v>
      </c>
      <c r="F301" s="92" t="s">
        <v>27</v>
      </c>
      <c r="G301" s="93">
        <v>3815.4271017646902</v>
      </c>
      <c r="H301" s="93">
        <v>40039.982697149899</v>
      </c>
      <c r="I301" s="93">
        <v>2397.5457928860201</v>
      </c>
      <c r="J301" s="93">
        <v>46067.2836764983</v>
      </c>
      <c r="K301" s="93">
        <v>3084.7641710094999</v>
      </c>
      <c r="L301" s="93">
        <v>12593.350041781461</v>
      </c>
      <c r="M301" s="93">
        <v>226689.61699929988</v>
      </c>
      <c r="N301" s="95">
        <v>1.7821081871183482E-2</v>
      </c>
      <c r="O301" s="95">
        <v>0.1870185933932923</v>
      </c>
      <c r="P301" s="95">
        <v>0.56558113334653703</v>
      </c>
      <c r="Q301" s="95">
        <v>0.21517088705539691</v>
      </c>
      <c r="R301" s="96">
        <v>1.4408304333590215E-2</v>
      </c>
    </row>
    <row r="302" spans="1:18" ht="15.75" hidden="1" customHeight="1" x14ac:dyDescent="0.3">
      <c r="A302" s="89">
        <v>2020</v>
      </c>
      <c r="B302" s="90">
        <v>6</v>
      </c>
      <c r="C302" s="90" t="s">
        <v>727</v>
      </c>
      <c r="D302" s="90" t="s">
        <v>722</v>
      </c>
      <c r="E302" s="91" t="s">
        <v>11</v>
      </c>
      <c r="F302" s="92" t="s">
        <v>28</v>
      </c>
      <c r="G302" s="93">
        <v>4157.7375196982202</v>
      </c>
      <c r="H302" s="93">
        <v>15877.5272402222</v>
      </c>
      <c r="I302" s="93">
        <v>2397.5457928860201</v>
      </c>
      <c r="J302" s="93">
        <v>227776.78138695</v>
      </c>
      <c r="K302" s="93">
        <v>31458.2288010878</v>
      </c>
      <c r="L302" s="93">
        <v>4221.4915272426406</v>
      </c>
      <c r="M302" s="93">
        <v>373104.58101494709</v>
      </c>
      <c r="N302" s="95">
        <v>1.1271152400811817E-2</v>
      </c>
      <c r="O302" s="95">
        <v>4.3042166184067997E-2</v>
      </c>
      <c r="P302" s="95">
        <v>0.24293012364486058</v>
      </c>
      <c r="Q302" s="95">
        <v>0.61747688597837502</v>
      </c>
      <c r="R302" s="96">
        <v>8.5279671791884518E-2</v>
      </c>
    </row>
    <row r="303" spans="1:18" ht="15.75" customHeight="1" x14ac:dyDescent="0.3">
      <c r="A303" s="89">
        <v>2020</v>
      </c>
      <c r="B303" s="90">
        <v>6</v>
      </c>
      <c r="C303" s="90" t="s">
        <v>727</v>
      </c>
      <c r="D303" s="90" t="s">
        <v>722</v>
      </c>
      <c r="E303" s="91" t="s">
        <v>11</v>
      </c>
      <c r="F303" s="92" t="s">
        <v>29</v>
      </c>
      <c r="G303" s="93">
        <v>11580.4609886411</v>
      </c>
      <c r="H303" s="93">
        <v>51007.436980432802</v>
      </c>
      <c r="I303" s="93">
        <v>2397.5457928860201</v>
      </c>
      <c r="J303" s="93">
        <v>72045.446205065193</v>
      </c>
      <c r="K303" s="93">
        <v>5795.7761168505003</v>
      </c>
      <c r="L303" s="93">
        <v>106045.3358826481</v>
      </c>
      <c r="M303" s="93">
        <v>354392.05486975773</v>
      </c>
      <c r="N303" s="95">
        <v>4.6630215353246449E-2</v>
      </c>
      <c r="O303" s="95">
        <v>0.20538800427268916</v>
      </c>
      <c r="P303" s="95">
        <v>0.43454408874925154</v>
      </c>
      <c r="Q303" s="95">
        <v>0.29010025378593668</v>
      </c>
      <c r="R303" s="96">
        <v>2.3337437838876096E-2</v>
      </c>
    </row>
    <row r="304" spans="1:18" ht="15.75" hidden="1" customHeight="1" x14ac:dyDescent="0.3">
      <c r="A304" s="89">
        <v>2020</v>
      </c>
      <c r="B304" s="90">
        <v>6</v>
      </c>
      <c r="C304" s="90" t="s">
        <v>727</v>
      </c>
      <c r="D304" s="90" t="s">
        <v>722</v>
      </c>
      <c r="E304" s="91" t="s">
        <v>11</v>
      </c>
      <c r="F304" s="92" t="s">
        <v>30</v>
      </c>
      <c r="G304" s="93">
        <v>440.72800564950899</v>
      </c>
      <c r="H304" s="93">
        <v>6197.3118389399397</v>
      </c>
      <c r="I304" s="93">
        <v>2397.5457928860201</v>
      </c>
      <c r="J304" s="93">
        <v>1448.45718480085</v>
      </c>
      <c r="K304" s="93">
        <v>103.81097265625</v>
      </c>
      <c r="L304" s="93">
        <v>217722.42690576994</v>
      </c>
      <c r="M304" s="93">
        <v>230086.50016211643</v>
      </c>
      <c r="N304" s="95">
        <v>3.5645858489497591E-2</v>
      </c>
      <c r="O304" s="95">
        <v>0.50123545133144931</v>
      </c>
      <c r="P304" s="95">
        <v>0.3375720256394914</v>
      </c>
      <c r="Q304" s="95">
        <v>0.11715048550503812</v>
      </c>
      <c r="R304" s="96">
        <v>8.3961790345235664E-3</v>
      </c>
    </row>
    <row r="305" spans="1:18" ht="15.75" hidden="1" customHeight="1" x14ac:dyDescent="0.3">
      <c r="A305" s="89">
        <v>2020</v>
      </c>
      <c r="B305" s="90">
        <v>6</v>
      </c>
      <c r="C305" s="90" t="s">
        <v>727</v>
      </c>
      <c r="D305" s="90" t="s">
        <v>722</v>
      </c>
      <c r="E305" s="91" t="s">
        <v>11</v>
      </c>
      <c r="F305" s="92" t="s">
        <v>31</v>
      </c>
      <c r="G305" s="93">
        <v>582.65965166207104</v>
      </c>
      <c r="H305" s="93">
        <v>25894.873782056002</v>
      </c>
      <c r="I305" s="93">
        <v>2397.5457928860201</v>
      </c>
      <c r="J305" s="93">
        <v>63679.915469997701</v>
      </c>
      <c r="K305" s="93">
        <v>38748.986263866696</v>
      </c>
      <c r="L305" s="93">
        <v>46835.81394634537</v>
      </c>
      <c r="M305" s="93">
        <v>251948.68865991815</v>
      </c>
      <c r="N305" s="95">
        <v>2.8406781021216663E-3</v>
      </c>
      <c r="O305" s="95">
        <v>0.12624694485032478</v>
      </c>
      <c r="P305" s="95">
        <v>0.37153415967870274</v>
      </c>
      <c r="Q305" s="95">
        <v>0.31046279059236381</v>
      </c>
      <c r="R305" s="96">
        <v>0.18891542677648693</v>
      </c>
    </row>
    <row r="306" spans="1:18" ht="15.75" hidden="1" customHeight="1" x14ac:dyDescent="0.3">
      <c r="A306" s="89">
        <v>2020</v>
      </c>
      <c r="B306" s="90">
        <v>6</v>
      </c>
      <c r="C306" s="90" t="s">
        <v>727</v>
      </c>
      <c r="D306" s="90" t="s">
        <v>722</v>
      </c>
      <c r="E306" s="91" t="s">
        <v>11</v>
      </c>
      <c r="F306" s="92" t="s">
        <v>32</v>
      </c>
      <c r="G306" s="93">
        <v>23171.2232961646</v>
      </c>
      <c r="H306" s="93">
        <v>111452.052155438</v>
      </c>
      <c r="I306" s="93">
        <v>2397.5457928860201</v>
      </c>
      <c r="J306" s="93">
        <v>185613.91633094801</v>
      </c>
      <c r="K306" s="93">
        <v>51102.077742129601</v>
      </c>
      <c r="L306" s="93">
        <v>68501.180236529195</v>
      </c>
      <c r="M306" s="93">
        <v>609521.81280337239</v>
      </c>
      <c r="N306" s="95">
        <v>4.2828723899548865E-2</v>
      </c>
      <c r="O306" s="95">
        <v>0.20600333045832236</v>
      </c>
      <c r="P306" s="95">
        <v>0.31363196304939228</v>
      </c>
      <c r="Q306" s="95">
        <v>0.34308103084777525</v>
      </c>
      <c r="R306" s="96">
        <v>9.4454951744961282E-2</v>
      </c>
    </row>
    <row r="307" spans="1:18" ht="15.75" hidden="1" customHeight="1" x14ac:dyDescent="0.3">
      <c r="A307" s="89">
        <v>2020</v>
      </c>
      <c r="B307" s="90">
        <v>6</v>
      </c>
      <c r="C307" s="90" t="s">
        <v>727</v>
      </c>
      <c r="D307" s="90" t="s">
        <v>722</v>
      </c>
      <c r="E307" s="91" t="s">
        <v>11</v>
      </c>
      <c r="F307" s="92" t="s">
        <v>33</v>
      </c>
      <c r="G307" s="93">
        <v>18613.4796651822</v>
      </c>
      <c r="H307" s="93">
        <v>103875.113539639</v>
      </c>
      <c r="I307" s="93">
        <v>2397.5457928860201</v>
      </c>
      <c r="J307" s="93">
        <v>485100.32429930102</v>
      </c>
      <c r="K307" s="93">
        <v>4479.5033961197896</v>
      </c>
      <c r="L307" s="93">
        <v>52546.047000021295</v>
      </c>
      <c r="M307" s="93">
        <v>1352056.7882566152</v>
      </c>
      <c r="N307" s="95">
        <v>1.4323451953297005E-2</v>
      </c>
      <c r="O307" s="95">
        <v>7.9934016889459794E-2</v>
      </c>
      <c r="P307" s="95">
        <v>0.5290008758924245</v>
      </c>
      <c r="Q307" s="95">
        <v>0.37329458610724625</v>
      </c>
      <c r="R307" s="96">
        <v>3.4470691575725055E-3</v>
      </c>
    </row>
    <row r="308" spans="1:18" ht="15.75" hidden="1" customHeight="1" x14ac:dyDescent="0.3">
      <c r="A308" s="89">
        <v>2020</v>
      </c>
      <c r="B308" s="90">
        <v>6</v>
      </c>
      <c r="C308" s="90" t="s">
        <v>727</v>
      </c>
      <c r="D308" s="90" t="s">
        <v>722</v>
      </c>
      <c r="E308" s="91" t="s">
        <v>11</v>
      </c>
      <c r="F308" s="92" t="s">
        <v>34</v>
      </c>
      <c r="G308" s="93">
        <v>15369.234870673999</v>
      </c>
      <c r="H308" s="93">
        <v>31038.206553889901</v>
      </c>
      <c r="I308" s="93">
        <v>2397.5457928860201</v>
      </c>
      <c r="J308" s="93">
        <v>354617.79634437</v>
      </c>
      <c r="K308" s="93">
        <v>36625.1669941289</v>
      </c>
      <c r="L308" s="93">
        <v>78812.816840428306</v>
      </c>
      <c r="M308" s="93">
        <v>713628.83042003901</v>
      </c>
      <c r="N308" s="95">
        <v>2.4210534299551945E-2</v>
      </c>
      <c r="O308" s="95">
        <v>4.8893231881267714E-2</v>
      </c>
      <c r="P308" s="95">
        <v>0.31058701198283795</v>
      </c>
      <c r="Q308" s="95">
        <v>0.5586150770594861</v>
      </c>
      <c r="R308" s="96">
        <v>5.7694144776856401E-2</v>
      </c>
    </row>
    <row r="309" spans="1:18" ht="15.75" hidden="1" customHeight="1" x14ac:dyDescent="0.3">
      <c r="A309" s="89">
        <v>2020</v>
      </c>
      <c r="B309" s="90">
        <v>6</v>
      </c>
      <c r="C309" s="90" t="s">
        <v>727</v>
      </c>
      <c r="D309" s="90" t="s">
        <v>722</v>
      </c>
      <c r="E309" s="91" t="s">
        <v>11</v>
      </c>
      <c r="F309" s="92" t="s">
        <v>35</v>
      </c>
      <c r="G309" s="93">
        <v>12550.9864050505</v>
      </c>
      <c r="H309" s="93">
        <v>51145.964685963103</v>
      </c>
      <c r="I309" s="93">
        <v>2397.5457928860201</v>
      </c>
      <c r="J309" s="93">
        <v>126009.491739128</v>
      </c>
      <c r="K309" s="93">
        <v>33905.020516760596</v>
      </c>
      <c r="L309" s="93">
        <v>274145.43980796798</v>
      </c>
      <c r="M309" s="93">
        <v>605861.19629491516</v>
      </c>
      <c r="N309" s="95">
        <v>3.7836569893370059E-2</v>
      </c>
      <c r="O309" s="95">
        <v>0.15418611774016128</v>
      </c>
      <c r="P309" s="95">
        <v>0.32589435691849278</v>
      </c>
      <c r="Q309" s="95">
        <v>0.37987189114450887</v>
      </c>
      <c r="R309" s="96">
        <v>0.10221106430346712</v>
      </c>
    </row>
    <row r="310" spans="1:18" ht="15.75" hidden="1" customHeight="1" x14ac:dyDescent="0.3">
      <c r="A310" s="89">
        <v>2020</v>
      </c>
      <c r="B310" s="90">
        <v>6</v>
      </c>
      <c r="C310" s="90" t="s">
        <v>727</v>
      </c>
      <c r="D310" s="90" t="s">
        <v>722</v>
      </c>
      <c r="E310" s="91" t="s">
        <v>11</v>
      </c>
      <c r="F310" s="92" t="s">
        <v>36</v>
      </c>
      <c r="G310" s="93">
        <v>7866.6311650551297</v>
      </c>
      <c r="H310" s="93">
        <v>50367.899468873104</v>
      </c>
      <c r="I310" s="93">
        <v>2397.5457928860201</v>
      </c>
      <c r="J310" s="93">
        <v>62079.651913617199</v>
      </c>
      <c r="K310" s="93">
        <v>2587.8176093458901</v>
      </c>
      <c r="L310" s="93">
        <v>35216.869414503883</v>
      </c>
      <c r="M310" s="93">
        <v>258886.87145458322</v>
      </c>
      <c r="N310" s="95">
        <v>3.5170702791183915E-2</v>
      </c>
      <c r="O310" s="95">
        <v>0.22518844283753214</v>
      </c>
      <c r="P310" s="95">
        <v>0.45052086092944832</v>
      </c>
      <c r="Q310" s="95">
        <v>0.27755019156522015</v>
      </c>
      <c r="R310" s="96">
        <v>1.1569801876615445E-2</v>
      </c>
    </row>
    <row r="311" spans="1:18" ht="15.75" hidden="1" customHeight="1" x14ac:dyDescent="0.3">
      <c r="A311" s="89">
        <v>2020</v>
      </c>
      <c r="B311" s="90">
        <v>6</v>
      </c>
      <c r="C311" s="90" t="s">
        <v>727</v>
      </c>
      <c r="D311" s="90" t="s">
        <v>722</v>
      </c>
      <c r="E311" s="91" t="s">
        <v>11</v>
      </c>
      <c r="F311" s="92" t="s">
        <v>37</v>
      </c>
      <c r="G311" s="93">
        <v>11899.693287878399</v>
      </c>
      <c r="H311" s="93">
        <v>55596.075033453599</v>
      </c>
      <c r="I311" s="93">
        <v>2397.5457928860201</v>
      </c>
      <c r="J311" s="93">
        <v>125447.20610489701</v>
      </c>
      <c r="K311" s="93">
        <v>12418.7719401425</v>
      </c>
      <c r="L311" s="93">
        <v>179671.82193519658</v>
      </c>
      <c r="M311" s="93">
        <v>524073.85777632106</v>
      </c>
      <c r="N311" s="95">
        <v>3.4551750714295504E-2</v>
      </c>
      <c r="O311" s="95">
        <v>0.16142783505234717</v>
      </c>
      <c r="P311" s="95">
        <v>0.4037150626452552</v>
      </c>
      <c r="Q311" s="95">
        <v>0.36424641276733583</v>
      </c>
      <c r="R311" s="96">
        <v>3.6058938820766384E-2</v>
      </c>
    </row>
    <row r="312" spans="1:18" ht="15.75" hidden="1" customHeight="1" x14ac:dyDescent="0.3">
      <c r="A312" s="89">
        <v>2020</v>
      </c>
      <c r="B312" s="90">
        <v>6</v>
      </c>
      <c r="C312" s="90" t="s">
        <v>727</v>
      </c>
      <c r="D312" s="90" t="s">
        <v>722</v>
      </c>
      <c r="E312" s="91" t="s">
        <v>11</v>
      </c>
      <c r="F312" s="92" t="s">
        <v>720</v>
      </c>
      <c r="G312" s="93">
        <v>41744.3053894595</v>
      </c>
      <c r="H312" s="93">
        <v>100547.174203273</v>
      </c>
      <c r="I312" s="93">
        <v>2397.5457928860201</v>
      </c>
      <c r="J312" s="93">
        <v>285211.758104546</v>
      </c>
      <c r="K312" s="93">
        <v>78000.639281402197</v>
      </c>
      <c r="L312" s="93">
        <v>244686.19477868092</v>
      </c>
      <c r="M312" s="93">
        <v>927958.42268836265</v>
      </c>
      <c r="N312" s="95">
        <v>6.109469064353288E-2</v>
      </c>
      <c r="O312" s="95">
        <v>0.14715536516224953</v>
      </c>
      <c r="P312" s="95">
        <v>0.26017207149607624</v>
      </c>
      <c r="Q312" s="95">
        <v>0.41742038744511462</v>
      </c>
      <c r="R312" s="96">
        <v>0.11415748525302671</v>
      </c>
    </row>
    <row r="313" spans="1:18" ht="15.75" hidden="1" customHeight="1" x14ac:dyDescent="0.3">
      <c r="A313" s="89">
        <v>2020</v>
      </c>
      <c r="B313" s="90">
        <v>6</v>
      </c>
      <c r="C313" s="90" t="s">
        <v>727</v>
      </c>
      <c r="D313" s="90" t="s">
        <v>722</v>
      </c>
      <c r="E313" s="91" t="s">
        <v>11</v>
      </c>
      <c r="F313" s="92" t="s">
        <v>39</v>
      </c>
      <c r="G313" s="93">
        <v>4356.13211613355</v>
      </c>
      <c r="H313" s="93">
        <v>42204.507723393901</v>
      </c>
      <c r="I313" s="93">
        <v>2397.5457928860201</v>
      </c>
      <c r="J313" s="93">
        <v>89014.551400880999</v>
      </c>
      <c r="K313" s="93">
        <v>13885.277610401299</v>
      </c>
      <c r="L313" s="93">
        <v>49350.50523847132</v>
      </c>
      <c r="M313" s="93">
        <v>331195.16650096909</v>
      </c>
      <c r="N313" s="95">
        <v>1.5455790777163025E-2</v>
      </c>
      <c r="O313" s="95">
        <v>0.14974386080028129</v>
      </c>
      <c r="P313" s="95">
        <v>0.46970622689351271</v>
      </c>
      <c r="Q313" s="95">
        <v>0.31582841059379424</v>
      </c>
      <c r="R313" s="96">
        <v>4.9265710935248688E-2</v>
      </c>
    </row>
    <row r="314" spans="1:18" ht="15.75" hidden="1" customHeight="1" x14ac:dyDescent="0.3">
      <c r="A314" s="89">
        <v>2020</v>
      </c>
      <c r="B314" s="90">
        <v>6</v>
      </c>
      <c r="C314" s="90" t="s">
        <v>727</v>
      </c>
      <c r="D314" s="90" t="s">
        <v>722</v>
      </c>
      <c r="E314" s="91" t="s">
        <v>11</v>
      </c>
      <c r="F314" s="92" t="s">
        <v>40</v>
      </c>
      <c r="G314" s="93">
        <v>13290.953174934</v>
      </c>
      <c r="H314" s="93">
        <v>79118.739698233694</v>
      </c>
      <c r="I314" s="93">
        <v>2397.5457928860201</v>
      </c>
      <c r="J314" s="93">
        <v>76845.3216320629</v>
      </c>
      <c r="K314" s="93">
        <v>7236.9770156433997</v>
      </c>
      <c r="L314" s="93">
        <v>8562.0258916390903</v>
      </c>
      <c r="M314" s="93">
        <v>326305.02470135508</v>
      </c>
      <c r="N314" s="95">
        <v>4.1829255797052003E-2</v>
      </c>
      <c r="O314" s="95">
        <v>0.24900230687888378</v>
      </c>
      <c r="P314" s="95">
        <v>0.44454482968303505</v>
      </c>
      <c r="Q314" s="95">
        <v>0.2418474110206362</v>
      </c>
      <c r="R314" s="96">
        <v>2.2776196620393031E-2</v>
      </c>
    </row>
    <row r="315" spans="1:18" ht="15.75" hidden="1" customHeight="1" x14ac:dyDescent="0.3">
      <c r="A315" s="89">
        <v>2020</v>
      </c>
      <c r="B315" s="90">
        <v>6</v>
      </c>
      <c r="C315" s="90" t="s">
        <v>727</v>
      </c>
      <c r="D315" s="90" t="s">
        <v>722</v>
      </c>
      <c r="E315" s="91" t="s">
        <v>11</v>
      </c>
      <c r="F315" s="92" t="s">
        <v>41</v>
      </c>
      <c r="G315" s="93">
        <v>0</v>
      </c>
      <c r="H315" s="93">
        <v>21.8992804258578</v>
      </c>
      <c r="I315" s="93">
        <v>2397.5457928860201</v>
      </c>
      <c r="J315" s="93">
        <v>4.4047156249999997</v>
      </c>
      <c r="K315" s="93">
        <v>0</v>
      </c>
      <c r="L315" s="93">
        <v>18661.172740226801</v>
      </c>
      <c r="M315" s="93">
        <v>18714.332738963014</v>
      </c>
      <c r="N315" s="95">
        <v>0</v>
      </c>
      <c r="O315" s="95">
        <v>0.41195035640472577</v>
      </c>
      <c r="P315" s="95">
        <v>0.50519193611381297</v>
      </c>
      <c r="Q315" s="95">
        <v>8.2857707481461179E-2</v>
      </c>
      <c r="R315" s="96">
        <v>0</v>
      </c>
    </row>
    <row r="316" spans="1:18" ht="15.75" hidden="1" customHeight="1" x14ac:dyDescent="0.3">
      <c r="A316" s="89">
        <v>2020</v>
      </c>
      <c r="B316" s="90">
        <v>6</v>
      </c>
      <c r="C316" s="90" t="s">
        <v>727</v>
      </c>
      <c r="D316" s="90" t="s">
        <v>722</v>
      </c>
      <c r="E316" s="91" t="s">
        <v>11</v>
      </c>
      <c r="F316" s="92" t="s">
        <v>42</v>
      </c>
      <c r="G316" s="93">
        <v>6178.6670513665103</v>
      </c>
      <c r="H316" s="93">
        <v>91905.6251816781</v>
      </c>
      <c r="I316" s="93">
        <v>2397.5457928860201</v>
      </c>
      <c r="J316" s="93">
        <v>89979.744625072897</v>
      </c>
      <c r="K316" s="93">
        <v>9810.5780222962694</v>
      </c>
      <c r="L316" s="93">
        <v>225315.56621958548</v>
      </c>
      <c r="M316" s="93">
        <v>620824.33974997816</v>
      </c>
      <c r="N316" s="95">
        <v>1.5622073301217711E-2</v>
      </c>
      <c r="O316" s="95">
        <v>0.23237316421911344</v>
      </c>
      <c r="P316" s="95">
        <v>0.49969601656584206</v>
      </c>
      <c r="Q316" s="95">
        <v>0.22750378916223571</v>
      </c>
      <c r="R316" s="96">
        <v>2.4804956751591199E-2</v>
      </c>
    </row>
    <row r="317" spans="1:18" ht="15.75" hidden="1" customHeight="1" x14ac:dyDescent="0.3">
      <c r="A317" s="89">
        <v>2020</v>
      </c>
      <c r="B317" s="90">
        <v>6</v>
      </c>
      <c r="C317" s="90" t="s">
        <v>727</v>
      </c>
      <c r="D317" s="90" t="s">
        <v>722</v>
      </c>
      <c r="E317" s="91" t="s">
        <v>11</v>
      </c>
      <c r="F317" s="92" t="s">
        <v>43</v>
      </c>
      <c r="G317" s="93">
        <v>510.462383593749</v>
      </c>
      <c r="H317" s="93">
        <v>8616.3081622763293</v>
      </c>
      <c r="I317" s="93">
        <v>2397.5457928860201</v>
      </c>
      <c r="J317" s="93">
        <v>22504.8664036671</v>
      </c>
      <c r="K317" s="93">
        <v>9337.3956442540402</v>
      </c>
      <c r="L317" s="93">
        <v>117243.5710252377</v>
      </c>
      <c r="M317" s="93">
        <v>185575.48510012263</v>
      </c>
      <c r="N317" s="95">
        <v>7.4703363794892891E-3</v>
      </c>
      <c r="O317" s="95">
        <v>0.12609493351574669</v>
      </c>
      <c r="P317" s="95">
        <v>0.40044072892655591</v>
      </c>
      <c r="Q317" s="95">
        <v>0.32934634875007346</v>
      </c>
      <c r="R317" s="96">
        <v>0.1366476524281347</v>
      </c>
    </row>
    <row r="318" spans="1:18" ht="15.75" hidden="1" customHeight="1" x14ac:dyDescent="0.3">
      <c r="A318" s="89">
        <v>2020</v>
      </c>
      <c r="B318" s="90">
        <v>6</v>
      </c>
      <c r="C318" s="90" t="s">
        <v>727</v>
      </c>
      <c r="D318" s="90" t="s">
        <v>722</v>
      </c>
      <c r="E318" s="91" t="s">
        <v>11</v>
      </c>
      <c r="F318" s="92" t="s">
        <v>58</v>
      </c>
      <c r="G318" s="93">
        <v>27104.7654666081</v>
      </c>
      <c r="H318" s="93">
        <v>133334.46682904</v>
      </c>
      <c r="I318" s="93">
        <v>2397.5457928860201</v>
      </c>
      <c r="J318" s="93">
        <v>39312.780541011998</v>
      </c>
      <c r="K318" s="93">
        <v>899.46538150428898</v>
      </c>
      <c r="L318" s="93">
        <v>6368.8171872778603</v>
      </c>
      <c r="M318" s="93">
        <v>371477.12559239421</v>
      </c>
      <c r="N318" s="95">
        <v>7.4237602493924165E-2</v>
      </c>
      <c r="O318" s="95">
        <v>0.36519154387770031</v>
      </c>
      <c r="P318" s="95">
        <v>0.45043299865001762</v>
      </c>
      <c r="Q318" s="95">
        <v>0.10767429728657771</v>
      </c>
      <c r="R318" s="96">
        <v>2.4635576917802194E-3</v>
      </c>
    </row>
    <row r="319" spans="1:18" ht="15.75" hidden="1" customHeight="1" x14ac:dyDescent="0.3">
      <c r="A319" s="89">
        <v>2020</v>
      </c>
      <c r="B319" s="90">
        <v>6</v>
      </c>
      <c r="C319" s="90" t="s">
        <v>727</v>
      </c>
      <c r="D319" s="90" t="s">
        <v>722</v>
      </c>
      <c r="E319" s="91" t="s">
        <v>11</v>
      </c>
      <c r="F319" s="92" t="s">
        <v>44</v>
      </c>
      <c r="G319" s="93">
        <v>5924.7783742585798</v>
      </c>
      <c r="H319" s="93">
        <v>20591.755559286099</v>
      </c>
      <c r="I319" s="93">
        <v>2397.5457928860201</v>
      </c>
      <c r="J319" s="93">
        <v>73627.460106939005</v>
      </c>
      <c r="K319" s="93">
        <v>5500.48575678002</v>
      </c>
      <c r="L319" s="93">
        <v>44004.838119093278</v>
      </c>
      <c r="M319" s="93">
        <v>215729.28855108027</v>
      </c>
      <c r="N319" s="95">
        <v>3.4501658670936561E-2</v>
      </c>
      <c r="O319" s="95">
        <v>0.11991161134879652</v>
      </c>
      <c r="P319" s="95">
        <v>0.38480234159139071</v>
      </c>
      <c r="Q319" s="95">
        <v>0.42875350552424574</v>
      </c>
      <c r="R319" s="96">
        <v>3.2030882864630489E-2</v>
      </c>
    </row>
    <row r="320" spans="1:18" ht="15.75" hidden="1" customHeight="1" x14ac:dyDescent="0.3">
      <c r="A320" s="89">
        <v>2020</v>
      </c>
      <c r="B320" s="90">
        <v>6</v>
      </c>
      <c r="C320" s="90" t="s">
        <v>727</v>
      </c>
      <c r="D320" s="90" t="s">
        <v>722</v>
      </c>
      <c r="E320" s="91" t="s">
        <v>11</v>
      </c>
      <c r="F320" s="92" t="s">
        <v>51</v>
      </c>
      <c r="G320" s="93">
        <v>703.23563553461997</v>
      </c>
      <c r="H320" s="93">
        <v>6601.3590890211399</v>
      </c>
      <c r="I320" s="93">
        <v>2397.5457928860201</v>
      </c>
      <c r="J320" s="93">
        <v>85914.864038885207</v>
      </c>
      <c r="K320" s="93">
        <v>62997.793007744498</v>
      </c>
      <c r="L320" s="93">
        <v>11373.796613054399</v>
      </c>
      <c r="M320" s="93">
        <v>211202.40923547707</v>
      </c>
      <c r="N320" s="95">
        <v>3.5191939047457023E-3</v>
      </c>
      <c r="O320" s="95">
        <v>3.3035104444699551E-2</v>
      </c>
      <c r="P320" s="95">
        <v>0.21824382544075971</v>
      </c>
      <c r="Q320" s="95">
        <v>0.42994275400000825</v>
      </c>
      <c r="R320" s="96">
        <v>0.31525912220978686</v>
      </c>
    </row>
    <row r="321" spans="1:18" ht="15.75" hidden="1" customHeight="1" x14ac:dyDescent="0.3">
      <c r="A321" s="89">
        <v>2020</v>
      </c>
      <c r="B321" s="90">
        <v>6</v>
      </c>
      <c r="C321" s="90" t="s">
        <v>727</v>
      </c>
      <c r="D321" s="90" t="s">
        <v>722</v>
      </c>
      <c r="E321" s="91" t="s">
        <v>11</v>
      </c>
      <c r="F321" s="92" t="s">
        <v>45</v>
      </c>
      <c r="G321" s="93">
        <v>2494.5309981096798</v>
      </c>
      <c r="H321" s="93">
        <v>11921.1998981663</v>
      </c>
      <c r="I321" s="93">
        <v>2397.5457928860201</v>
      </c>
      <c r="J321" s="93">
        <v>32093.330169489702</v>
      </c>
      <c r="K321" s="93">
        <v>7596.0446919776396</v>
      </c>
      <c r="L321" s="93">
        <v>50134.214980425102</v>
      </c>
      <c r="M321" s="93">
        <v>134096.09203645893</v>
      </c>
      <c r="N321" s="95">
        <v>2.9710281446481947E-2</v>
      </c>
      <c r="O321" s="95">
        <v>0.14198348484051188</v>
      </c>
      <c r="P321" s="95">
        <v>0.35559914029035966</v>
      </c>
      <c r="Q321" s="95">
        <v>0.38223693055446473</v>
      </c>
      <c r="R321" s="96">
        <v>9.0470162868181839E-2</v>
      </c>
    </row>
    <row r="322" spans="1:18" ht="15.75" hidden="1" customHeight="1" x14ac:dyDescent="0.3">
      <c r="A322" s="89">
        <v>2020</v>
      </c>
      <c r="B322" s="90">
        <v>6</v>
      </c>
      <c r="C322" s="90" t="s">
        <v>727</v>
      </c>
      <c r="D322" s="90" t="s">
        <v>722</v>
      </c>
      <c r="E322" s="91" t="s">
        <v>11</v>
      </c>
      <c r="F322" s="92" t="s">
        <v>721</v>
      </c>
      <c r="G322" s="93">
        <v>1398.6908669040999</v>
      </c>
      <c r="H322" s="93">
        <v>22806.148747632</v>
      </c>
      <c r="I322" s="93">
        <v>2397.5457928860201</v>
      </c>
      <c r="J322" s="93">
        <v>129692.995734633</v>
      </c>
      <c r="K322" s="93">
        <v>12537.8915793366</v>
      </c>
      <c r="L322" s="93">
        <v>2739.531048995088</v>
      </c>
      <c r="M322" s="93">
        <v>309330.85090302676</v>
      </c>
      <c r="N322" s="95">
        <v>4.5620693618136929E-3</v>
      </c>
      <c r="O322" s="95">
        <v>7.4386152740690839E-2</v>
      </c>
      <c r="P322" s="95">
        <v>0.45714142524404855</v>
      </c>
      <c r="Q322" s="95">
        <v>0.42301587597581014</v>
      </c>
      <c r="R322" s="96">
        <v>4.0894476677636855E-2</v>
      </c>
    </row>
    <row r="323" spans="1:18" ht="15.75" hidden="1" customHeight="1" x14ac:dyDescent="0.3">
      <c r="A323" s="89">
        <v>2020</v>
      </c>
      <c r="B323" s="90">
        <v>6</v>
      </c>
      <c r="C323" s="90" t="s">
        <v>727</v>
      </c>
      <c r="D323" s="90" t="s">
        <v>722</v>
      </c>
      <c r="E323" s="91" t="s">
        <v>11</v>
      </c>
      <c r="F323" s="92" t="s">
        <v>46</v>
      </c>
      <c r="G323" s="93">
        <v>570.71322676011005</v>
      </c>
      <c r="H323" s="93">
        <v>6431.7688351393699</v>
      </c>
      <c r="I323" s="93">
        <v>2397.5457928860201</v>
      </c>
      <c r="J323" s="93">
        <v>69784.402512371395</v>
      </c>
      <c r="K323" s="93">
        <v>32406.0588358073</v>
      </c>
      <c r="L323" s="93">
        <v>1707.9679056678899</v>
      </c>
      <c r="M323" s="93">
        <v>149075.00300839057</v>
      </c>
      <c r="N323" s="95">
        <v>3.8727333176126707E-3</v>
      </c>
      <c r="O323" s="95">
        <v>4.3644556129232598E-2</v>
      </c>
      <c r="P323" s="95">
        <v>0.25904091553470643</v>
      </c>
      <c r="Q323" s="95">
        <v>0.47354147054480639</v>
      </c>
      <c r="R323" s="96">
        <v>0.21990032447364197</v>
      </c>
    </row>
    <row r="324" spans="1:18" ht="15.75" hidden="1" customHeight="1" x14ac:dyDescent="0.3">
      <c r="A324" s="89">
        <v>2020</v>
      </c>
      <c r="B324" s="90">
        <v>6</v>
      </c>
      <c r="C324" s="90" t="s">
        <v>727</v>
      </c>
      <c r="D324" s="90" t="s">
        <v>722</v>
      </c>
      <c r="E324" s="91" t="s">
        <v>11</v>
      </c>
      <c r="F324" s="92" t="s">
        <v>47</v>
      </c>
      <c r="G324" s="93">
        <v>7.5179664062500002</v>
      </c>
      <c r="H324" s="93">
        <v>146.60851015624999</v>
      </c>
      <c r="I324" s="93">
        <v>2397.5457928860201</v>
      </c>
      <c r="J324" s="93">
        <v>0</v>
      </c>
      <c r="K324" s="93">
        <v>0</v>
      </c>
      <c r="L324" s="93">
        <v>1461578.6363425399</v>
      </c>
      <c r="M324" s="93">
        <v>1461770.3581409773</v>
      </c>
      <c r="N324" s="95">
        <v>3.9212893200043744E-2</v>
      </c>
      <c r="O324" s="95">
        <v>0.76469400637321572</v>
      </c>
      <c r="P324" s="95">
        <v>0.19609310042674061</v>
      </c>
      <c r="Q324" s="95">
        <v>0</v>
      </c>
      <c r="R324" s="96">
        <v>0</v>
      </c>
    </row>
    <row r="325" spans="1:18" ht="15.75" hidden="1" customHeight="1" x14ac:dyDescent="0.3">
      <c r="A325" s="89">
        <v>2020</v>
      </c>
      <c r="B325" s="90">
        <v>6</v>
      </c>
      <c r="C325" s="90" t="s">
        <v>727</v>
      </c>
      <c r="D325" s="90" t="s">
        <v>722</v>
      </c>
      <c r="E325" s="91" t="s">
        <v>11</v>
      </c>
      <c r="F325" s="92" t="s">
        <v>48</v>
      </c>
      <c r="G325" s="93">
        <v>984.59997238051506</v>
      </c>
      <c r="H325" s="93">
        <v>4046.2234649433199</v>
      </c>
      <c r="I325" s="93">
        <v>2397.5457928860201</v>
      </c>
      <c r="J325" s="93">
        <v>59711.974781462202</v>
      </c>
      <c r="K325" s="93">
        <v>13907.6761617417</v>
      </c>
      <c r="L325" s="93">
        <v>8668.5262743704188</v>
      </c>
      <c r="M325" s="93">
        <v>110314.39779994426</v>
      </c>
      <c r="N325" s="95">
        <v>9.6865712065127198E-3</v>
      </c>
      <c r="O325" s="95">
        <v>3.9807061558081093E-2</v>
      </c>
      <c r="P325" s="95">
        <v>0.226230507938146</v>
      </c>
      <c r="Q325" s="95">
        <v>0.5874510581223048</v>
      </c>
      <c r="R325" s="96">
        <v>0.13682480117495538</v>
      </c>
    </row>
    <row r="326" spans="1:18" ht="15.75" hidden="1" customHeight="1" x14ac:dyDescent="0.3">
      <c r="A326" s="89">
        <v>2020</v>
      </c>
      <c r="B326" s="90">
        <v>7</v>
      </c>
      <c r="C326" s="90" t="s">
        <v>728</v>
      </c>
      <c r="D326" s="90" t="s">
        <v>719</v>
      </c>
      <c r="E326" s="91" t="s">
        <v>11</v>
      </c>
      <c r="F326" s="92" t="s">
        <v>12</v>
      </c>
      <c r="G326" s="93">
        <v>30405.276205168699</v>
      </c>
      <c r="H326" s="93">
        <v>111369.99220111901</v>
      </c>
      <c r="I326" s="93">
        <v>2397.5457928860201</v>
      </c>
      <c r="J326" s="93">
        <v>60691.859384928401</v>
      </c>
      <c r="K326" s="93">
        <v>4831.35679268075</v>
      </c>
      <c r="L326" s="93">
        <v>75040.154281864699</v>
      </c>
      <c r="M326" s="93">
        <v>433311.47680229158</v>
      </c>
      <c r="N326" s="95">
        <v>8.4866620055628755E-2</v>
      </c>
      <c r="O326" s="95">
        <v>0.31085377254767366</v>
      </c>
      <c r="P326" s="95">
        <v>0.4213924711429346</v>
      </c>
      <c r="Q326" s="95">
        <v>0.16940194642977055</v>
      </c>
      <c r="R326" s="96">
        <v>1.3485189823992372E-2</v>
      </c>
    </row>
    <row r="327" spans="1:18" ht="15.75" hidden="1" customHeight="1" x14ac:dyDescent="0.3">
      <c r="A327" s="89">
        <v>2020</v>
      </c>
      <c r="B327" s="90">
        <v>7</v>
      </c>
      <c r="C327" s="90" t="s">
        <v>728</v>
      </c>
      <c r="D327" s="90" t="s">
        <v>719</v>
      </c>
      <c r="E327" s="91" t="s">
        <v>11</v>
      </c>
      <c r="F327" s="92" t="s">
        <v>26</v>
      </c>
      <c r="G327" s="93">
        <v>41291.115707193698</v>
      </c>
      <c r="H327" s="93">
        <v>128657.721320874</v>
      </c>
      <c r="I327" s="93">
        <v>2397.5457928860201</v>
      </c>
      <c r="J327" s="93">
        <v>482162.49961068801</v>
      </c>
      <c r="K327" s="93">
        <v>25237.6028522995</v>
      </c>
      <c r="L327" s="93">
        <v>291069.16206138401</v>
      </c>
      <c r="M327" s="93">
        <v>1302393.3163907703</v>
      </c>
      <c r="N327" s="95">
        <v>4.0828764477175997E-2</v>
      </c>
      <c r="O327" s="95">
        <v>0.12721709530035652</v>
      </c>
      <c r="P327" s="95">
        <v>0.33023557620829447</v>
      </c>
      <c r="Q327" s="95">
        <v>0.47676355552924793</v>
      </c>
      <c r="R327" s="96">
        <v>2.4955008484925066E-2</v>
      </c>
    </row>
    <row r="328" spans="1:18" ht="15.75" hidden="1" customHeight="1" x14ac:dyDescent="0.3">
      <c r="A328" s="89">
        <v>2020</v>
      </c>
      <c r="B328" s="90">
        <v>7</v>
      </c>
      <c r="C328" s="90" t="s">
        <v>728</v>
      </c>
      <c r="D328" s="90" t="s">
        <v>719</v>
      </c>
      <c r="E328" s="91" t="s">
        <v>11</v>
      </c>
      <c r="F328" s="92" t="s">
        <v>27</v>
      </c>
      <c r="G328" s="93">
        <v>3904.5140068075798</v>
      </c>
      <c r="H328" s="93">
        <v>46829.462346303299</v>
      </c>
      <c r="I328" s="93">
        <v>2397.5457928860201</v>
      </c>
      <c r="J328" s="93">
        <v>30926.9336300615</v>
      </c>
      <c r="K328" s="93">
        <v>1927.86730075061</v>
      </c>
      <c r="L328" s="93">
        <v>17110.94590586529</v>
      </c>
      <c r="M328" s="93">
        <v>226689.61699930127</v>
      </c>
      <c r="N328" s="95">
        <v>1.8630302341533785E-2</v>
      </c>
      <c r="O328" s="95">
        <v>0.22344574522769745</v>
      </c>
      <c r="P328" s="95">
        <v>0.60115799547819071</v>
      </c>
      <c r="Q328" s="95">
        <v>0.14756718070930708</v>
      </c>
      <c r="R328" s="96">
        <v>9.1987762432710202E-3</v>
      </c>
    </row>
    <row r="329" spans="1:18" ht="15.75" hidden="1" customHeight="1" x14ac:dyDescent="0.3">
      <c r="A329" s="89">
        <v>2020</v>
      </c>
      <c r="B329" s="90">
        <v>7</v>
      </c>
      <c r="C329" s="90" t="s">
        <v>728</v>
      </c>
      <c r="D329" s="90" t="s">
        <v>719</v>
      </c>
      <c r="E329" s="91" t="s">
        <v>11</v>
      </c>
      <c r="F329" s="92" t="s">
        <v>28</v>
      </c>
      <c r="G329" s="93">
        <v>3882.8960690961999</v>
      </c>
      <c r="H329" s="93">
        <v>15567.491352284</v>
      </c>
      <c r="I329" s="93">
        <v>2397.5457928860201</v>
      </c>
      <c r="J329" s="93">
        <v>219189.28953463901</v>
      </c>
      <c r="K329" s="93">
        <v>27312.277974283199</v>
      </c>
      <c r="L329" s="93">
        <v>4721.2762780039702</v>
      </c>
      <c r="M329" s="93">
        <v>373104.58101494744</v>
      </c>
      <c r="N329" s="95">
        <v>1.0540369281579993E-2</v>
      </c>
      <c r="O329" s="95">
        <v>4.2258949176321912E-2</v>
      </c>
      <c r="P329" s="95">
        <v>0.27805643874058178</v>
      </c>
      <c r="Q329" s="95">
        <v>0.59500332049835569</v>
      </c>
      <c r="R329" s="96">
        <v>7.4140922303160439E-2</v>
      </c>
    </row>
    <row r="330" spans="1:18" ht="15.75" customHeight="1" x14ac:dyDescent="0.3">
      <c r="A330" s="89">
        <v>2020</v>
      </c>
      <c r="B330" s="90">
        <v>7</v>
      </c>
      <c r="C330" s="90" t="s">
        <v>728</v>
      </c>
      <c r="D330" s="90" t="s">
        <v>719</v>
      </c>
      <c r="E330" s="91" t="s">
        <v>11</v>
      </c>
      <c r="F330" s="92" t="s">
        <v>29</v>
      </c>
      <c r="G330" s="93">
        <v>8479.1798508501597</v>
      </c>
      <c r="H330" s="93">
        <v>40907.4523517446</v>
      </c>
      <c r="I330" s="93">
        <v>2397.5457928860201</v>
      </c>
      <c r="J330" s="93">
        <v>79570.393687989796</v>
      </c>
      <c r="K330" s="93">
        <v>9613.7169367830393</v>
      </c>
      <c r="L330" s="93">
        <v>118484.39409186851</v>
      </c>
      <c r="M330" s="93">
        <v>354392.05486975517</v>
      </c>
      <c r="N330" s="95">
        <v>3.5942791441747758E-2</v>
      </c>
      <c r="O330" s="95">
        <v>0.17340451012423902</v>
      </c>
      <c r="P330" s="95">
        <v>0.41260600706886064</v>
      </c>
      <c r="Q330" s="95">
        <v>0.33729465768772737</v>
      </c>
      <c r="R330" s="96">
        <v>4.0752033677425206E-2</v>
      </c>
    </row>
    <row r="331" spans="1:18" ht="15.75" hidden="1" customHeight="1" x14ac:dyDescent="0.3">
      <c r="A331" s="89">
        <v>2020</v>
      </c>
      <c r="B331" s="90">
        <v>7</v>
      </c>
      <c r="C331" s="90" t="s">
        <v>728</v>
      </c>
      <c r="D331" s="90" t="s">
        <v>719</v>
      </c>
      <c r="E331" s="91" t="s">
        <v>11</v>
      </c>
      <c r="F331" s="92" t="s">
        <v>30</v>
      </c>
      <c r="G331" s="93">
        <v>1304.3945065517701</v>
      </c>
      <c r="H331" s="93">
        <v>8348.9381604595801</v>
      </c>
      <c r="I331" s="93">
        <v>2397.5457928860201</v>
      </c>
      <c r="J331" s="93">
        <v>719.97160727328401</v>
      </c>
      <c r="K331" s="93">
        <v>52.825201011029399</v>
      </c>
      <c r="L331" s="93">
        <v>215828.2205406233</v>
      </c>
      <c r="M331" s="93">
        <v>230086.50016211689</v>
      </c>
      <c r="N331" s="95">
        <v>9.148330241647569E-2</v>
      </c>
      <c r="O331" s="95">
        <v>0.58555017730708603</v>
      </c>
      <c r="P331" s="95">
        <v>0.26876665684274798</v>
      </c>
      <c r="Q331" s="95">
        <v>5.0494984415087908E-2</v>
      </c>
      <c r="R331" s="96">
        <v>3.7048790186018144E-3</v>
      </c>
    </row>
    <row r="332" spans="1:18" ht="15.75" hidden="1" customHeight="1" x14ac:dyDescent="0.3">
      <c r="A332" s="89">
        <v>2020</v>
      </c>
      <c r="B332" s="90">
        <v>7</v>
      </c>
      <c r="C332" s="90" t="s">
        <v>728</v>
      </c>
      <c r="D332" s="90" t="s">
        <v>719</v>
      </c>
      <c r="E332" s="91" t="s">
        <v>11</v>
      </c>
      <c r="F332" s="92" t="s">
        <v>31</v>
      </c>
      <c r="G332" s="93">
        <v>1059.9264824341301</v>
      </c>
      <c r="H332" s="93">
        <v>3902.8279813725499</v>
      </c>
      <c r="I332" s="93">
        <v>2397.5457928860201</v>
      </c>
      <c r="J332" s="93">
        <v>41364.663370258997</v>
      </c>
      <c r="K332" s="93">
        <v>22652.166158399199</v>
      </c>
      <c r="L332" s="93">
        <v>148387.85447614669</v>
      </c>
      <c r="M332" s="93">
        <v>251948.68865991427</v>
      </c>
      <c r="N332" s="95">
        <v>1.0234819860115282E-2</v>
      </c>
      <c r="O332" s="95">
        <v>3.768633202053031E-2</v>
      </c>
      <c r="P332" s="95">
        <v>0.33392208998566625</v>
      </c>
      <c r="Q332" s="95">
        <v>0.39942381399572208</v>
      </c>
      <c r="R332" s="96">
        <v>0.21873294413796604</v>
      </c>
    </row>
    <row r="333" spans="1:18" ht="15.75" hidden="1" customHeight="1" x14ac:dyDescent="0.3">
      <c r="A333" s="89">
        <v>2020</v>
      </c>
      <c r="B333" s="90">
        <v>7</v>
      </c>
      <c r="C333" s="90" t="s">
        <v>728</v>
      </c>
      <c r="D333" s="90" t="s">
        <v>719</v>
      </c>
      <c r="E333" s="91" t="s">
        <v>11</v>
      </c>
      <c r="F333" s="92" t="s">
        <v>32</v>
      </c>
      <c r="G333" s="93">
        <v>26849.6480093842</v>
      </c>
      <c r="H333" s="93">
        <v>133226.475387796</v>
      </c>
      <c r="I333" s="93">
        <v>2397.5457928860201</v>
      </c>
      <c r="J333" s="93">
        <v>158407.874480814</v>
      </c>
      <c r="K333" s="93">
        <v>22219.8791081911</v>
      </c>
      <c r="L333" s="93">
        <v>78767.233451741107</v>
      </c>
      <c r="M333" s="93">
        <v>609521.81280337251</v>
      </c>
      <c r="N333" s="95">
        <v>5.0587689779678723E-2</v>
      </c>
      <c r="O333" s="95">
        <v>0.2510133319067076</v>
      </c>
      <c r="P333" s="95">
        <v>0.35807642507316945</v>
      </c>
      <c r="Q333" s="95">
        <v>0.2984578572535817</v>
      </c>
      <c r="R333" s="96">
        <v>4.1864695986862432E-2</v>
      </c>
    </row>
    <row r="334" spans="1:18" ht="15.75" hidden="1" customHeight="1" x14ac:dyDescent="0.3">
      <c r="A334" s="89">
        <v>2020</v>
      </c>
      <c r="B334" s="90">
        <v>7</v>
      </c>
      <c r="C334" s="90" t="s">
        <v>728</v>
      </c>
      <c r="D334" s="90" t="s">
        <v>719</v>
      </c>
      <c r="E334" s="91" t="s">
        <v>11</v>
      </c>
      <c r="F334" s="92" t="s">
        <v>33</v>
      </c>
      <c r="G334" s="93">
        <v>16419.643133936799</v>
      </c>
      <c r="H334" s="93">
        <v>60807.158998224499</v>
      </c>
      <c r="I334" s="93">
        <v>2397.5457928860201</v>
      </c>
      <c r="J334" s="93">
        <v>837649.44727632904</v>
      </c>
      <c r="K334" s="93">
        <v>48677.285223624502</v>
      </c>
      <c r="L334" s="93">
        <v>37761.921608255208</v>
      </c>
      <c r="M334" s="93">
        <v>1352056.7882569181</v>
      </c>
      <c r="N334" s="95">
        <v>1.2493119733325488E-2</v>
      </c>
      <c r="O334" s="95">
        <v>4.6265994444060675E-2</v>
      </c>
      <c r="P334" s="95">
        <v>0.26686654640210822</v>
      </c>
      <c r="Q334" s="95">
        <v>0.63733753249167135</v>
      </c>
      <c r="R334" s="96">
        <v>3.7036806928834265E-2</v>
      </c>
    </row>
    <row r="335" spans="1:18" ht="15.75" hidden="1" customHeight="1" x14ac:dyDescent="0.3">
      <c r="A335" s="89">
        <v>2020</v>
      </c>
      <c r="B335" s="90">
        <v>7</v>
      </c>
      <c r="C335" s="90" t="s">
        <v>728</v>
      </c>
      <c r="D335" s="90" t="s">
        <v>719</v>
      </c>
      <c r="E335" s="91" t="s">
        <v>11</v>
      </c>
      <c r="F335" s="92" t="s">
        <v>34</v>
      </c>
      <c r="G335" s="93">
        <v>10753.625453434401</v>
      </c>
      <c r="H335" s="93">
        <v>26251.188144212902</v>
      </c>
      <c r="I335" s="93">
        <v>2397.5457928860201</v>
      </c>
      <c r="J335" s="93">
        <v>364838.68323967099</v>
      </c>
      <c r="K335" s="93">
        <v>44805.471219503197</v>
      </c>
      <c r="L335" s="93">
        <v>99798.639343051007</v>
      </c>
      <c r="M335" s="93">
        <v>713628.83042005647</v>
      </c>
      <c r="N335" s="95">
        <v>1.7518893025718494E-2</v>
      </c>
      <c r="O335" s="95">
        <v>4.2766205582285652E-2</v>
      </c>
      <c r="P335" s="95">
        <v>0.27235744583832466</v>
      </c>
      <c r="Q335" s="95">
        <v>0.59436418824485893</v>
      </c>
      <c r="R335" s="96">
        <v>7.299326730881231E-2</v>
      </c>
    </row>
    <row r="336" spans="1:18" ht="15.75" hidden="1" customHeight="1" x14ac:dyDescent="0.3">
      <c r="A336" s="89">
        <v>2020</v>
      </c>
      <c r="B336" s="90">
        <v>7</v>
      </c>
      <c r="C336" s="90" t="s">
        <v>728</v>
      </c>
      <c r="D336" s="90" t="s">
        <v>719</v>
      </c>
      <c r="E336" s="91" t="s">
        <v>11</v>
      </c>
      <c r="F336" s="92" t="s">
        <v>35</v>
      </c>
      <c r="G336" s="93">
        <v>9904.0535714859197</v>
      </c>
      <c r="H336" s="93">
        <v>44154.468038213403</v>
      </c>
      <c r="I336" s="93">
        <v>2397.5457928860201</v>
      </c>
      <c r="J336" s="93">
        <v>133453.10679621901</v>
      </c>
      <c r="K336" s="93">
        <v>76267.371495984</v>
      </c>
      <c r="L336" s="93">
        <v>255360.663196212</v>
      </c>
      <c r="M336" s="93">
        <v>605861.19629491481</v>
      </c>
      <c r="N336" s="95">
        <v>2.825688589950557E-2</v>
      </c>
      <c r="O336" s="95">
        <v>0.12597546613653587</v>
      </c>
      <c r="P336" s="95">
        <v>0.24742197231517238</v>
      </c>
      <c r="Q336" s="95">
        <v>0.38075008222209444</v>
      </c>
      <c r="R336" s="96">
        <v>0.21759559342669163</v>
      </c>
    </row>
    <row r="337" spans="1:18" ht="15.75" hidden="1" customHeight="1" x14ac:dyDescent="0.3">
      <c r="A337" s="89">
        <v>2020</v>
      </c>
      <c r="B337" s="90">
        <v>7</v>
      </c>
      <c r="C337" s="90" t="s">
        <v>728</v>
      </c>
      <c r="D337" s="90" t="s">
        <v>719</v>
      </c>
      <c r="E337" s="91" t="s">
        <v>11</v>
      </c>
      <c r="F337" s="92" t="s">
        <v>36</v>
      </c>
      <c r="G337" s="93">
        <v>8679.8913308057199</v>
      </c>
      <c r="H337" s="93">
        <v>58003.540582556103</v>
      </c>
      <c r="I337" s="93">
        <v>2397.5457928860201</v>
      </c>
      <c r="J337" s="93">
        <v>48333.326735367998</v>
      </c>
      <c r="K337" s="93">
        <v>1777.5130751271399</v>
      </c>
      <c r="L337" s="93">
        <v>46139.490374326095</v>
      </c>
      <c r="M337" s="93">
        <v>258886.87145458558</v>
      </c>
      <c r="N337" s="95">
        <v>4.0799051376012987E-2</v>
      </c>
      <c r="O337" s="95">
        <v>0.27264044468154519</v>
      </c>
      <c r="P337" s="95">
        <v>0.45101899195743311</v>
      </c>
      <c r="Q337" s="95">
        <v>0.22718647106228834</v>
      </c>
      <c r="R337" s="96">
        <v>8.3550409227203075E-3</v>
      </c>
    </row>
    <row r="338" spans="1:18" ht="15.75" hidden="1" customHeight="1" x14ac:dyDescent="0.3">
      <c r="A338" s="89">
        <v>2020</v>
      </c>
      <c r="B338" s="90">
        <v>7</v>
      </c>
      <c r="C338" s="90" t="s">
        <v>728</v>
      </c>
      <c r="D338" s="90" t="s">
        <v>719</v>
      </c>
      <c r="E338" s="91" t="s">
        <v>11</v>
      </c>
      <c r="F338" s="92" t="s">
        <v>37</v>
      </c>
      <c r="G338" s="93">
        <v>9165.3643811213205</v>
      </c>
      <c r="H338" s="93">
        <v>44079.520088685204</v>
      </c>
      <c r="I338" s="93">
        <v>2397.5457928860201</v>
      </c>
      <c r="J338" s="93">
        <v>131755.70862846199</v>
      </c>
      <c r="K338" s="93">
        <v>17129.240688626</v>
      </c>
      <c r="L338" s="93">
        <v>209041.38606746792</v>
      </c>
      <c r="M338" s="93">
        <v>524073.85777631542</v>
      </c>
      <c r="N338" s="95">
        <v>2.9093395774109077E-2</v>
      </c>
      <c r="O338" s="95">
        <v>0.13992056072690634</v>
      </c>
      <c r="P338" s="95">
        <v>0.35838412881544934</v>
      </c>
      <c r="Q338" s="95">
        <v>0.41822897783765733</v>
      </c>
      <c r="R338" s="96">
        <v>5.4372936845877955E-2</v>
      </c>
    </row>
    <row r="339" spans="1:18" ht="15.75" hidden="1" customHeight="1" x14ac:dyDescent="0.3">
      <c r="A339" s="89">
        <v>2020</v>
      </c>
      <c r="B339" s="90">
        <v>7</v>
      </c>
      <c r="C339" s="90" t="s">
        <v>728</v>
      </c>
      <c r="D339" s="90" t="s">
        <v>719</v>
      </c>
      <c r="E339" s="91" t="s">
        <v>11</v>
      </c>
      <c r="F339" s="92" t="s">
        <v>720</v>
      </c>
      <c r="G339" s="93">
        <v>35582.094307854</v>
      </c>
      <c r="H339" s="93">
        <v>106086.09331177799</v>
      </c>
      <c r="I339" s="93">
        <v>2397.5457928860201</v>
      </c>
      <c r="J339" s="93">
        <v>314113.19893875602</v>
      </c>
      <c r="K339" s="93">
        <v>64845.839769801401</v>
      </c>
      <c r="L339" s="93">
        <v>230636.4952835326</v>
      </c>
      <c r="M339" s="93">
        <v>927958.42268838198</v>
      </c>
      <c r="N339" s="95">
        <v>5.1026782479472843E-2</v>
      </c>
      <c r="O339" s="95">
        <v>0.15213359732797677</v>
      </c>
      <c r="P339" s="95">
        <v>0.25339042719371574</v>
      </c>
      <c r="Q339" s="95">
        <v>0.45045650594662717</v>
      </c>
      <c r="R339" s="96">
        <v>9.2992687052207632E-2</v>
      </c>
    </row>
    <row r="340" spans="1:18" ht="15.75" hidden="1" customHeight="1" x14ac:dyDescent="0.3">
      <c r="A340" s="89">
        <v>2020</v>
      </c>
      <c r="B340" s="90">
        <v>7</v>
      </c>
      <c r="C340" s="90" t="s">
        <v>728</v>
      </c>
      <c r="D340" s="90" t="s">
        <v>719</v>
      </c>
      <c r="E340" s="91" t="s">
        <v>11</v>
      </c>
      <c r="F340" s="92" t="s">
        <v>39</v>
      </c>
      <c r="G340" s="93">
        <v>6333.5696684497498</v>
      </c>
      <c r="H340" s="93">
        <v>47450.718376462297</v>
      </c>
      <c r="I340" s="93">
        <v>2397.5457928860201</v>
      </c>
      <c r="J340" s="93">
        <v>79780.384554671997</v>
      </c>
      <c r="K340" s="93">
        <v>9476.5321948560104</v>
      </c>
      <c r="L340" s="93">
        <v>54974.686874063293</v>
      </c>
      <c r="M340" s="93">
        <v>331195.16650097235</v>
      </c>
      <c r="N340" s="95">
        <v>2.2929399286412435E-2</v>
      </c>
      <c r="O340" s="95">
        <v>0.17178566354150848</v>
      </c>
      <c r="P340" s="95">
        <v>0.48214844537361679</v>
      </c>
      <c r="Q340" s="95">
        <v>0.2888286366833891</v>
      </c>
      <c r="R340" s="96">
        <v>3.4307855115073144E-2</v>
      </c>
    </row>
    <row r="341" spans="1:18" ht="15.75" hidden="1" customHeight="1" x14ac:dyDescent="0.3">
      <c r="A341" s="89">
        <v>2020</v>
      </c>
      <c r="B341" s="90">
        <v>7</v>
      </c>
      <c r="C341" s="90" t="s">
        <v>728</v>
      </c>
      <c r="D341" s="90" t="s">
        <v>719</v>
      </c>
      <c r="E341" s="91" t="s">
        <v>11</v>
      </c>
      <c r="F341" s="92" t="s">
        <v>40</v>
      </c>
      <c r="G341" s="93">
        <v>19582.903480523899</v>
      </c>
      <c r="H341" s="93">
        <v>92192.127388344903</v>
      </c>
      <c r="I341" s="93">
        <v>2397.5457928860201</v>
      </c>
      <c r="J341" s="93">
        <v>66988.788755282498</v>
      </c>
      <c r="K341" s="93">
        <v>9554.8350764200404</v>
      </c>
      <c r="L341" s="93">
        <v>13570.56327878376</v>
      </c>
      <c r="M341" s="93">
        <v>326305.02470135514</v>
      </c>
      <c r="N341" s="95">
        <v>6.2618310087877369E-2</v>
      </c>
      <c r="O341" s="95">
        <v>0.29479363089369787</v>
      </c>
      <c r="P341" s="95">
        <v>0.39783209741598491</v>
      </c>
      <c r="Q341" s="95">
        <v>0.21420341221930853</v>
      </c>
      <c r="R341" s="96">
        <v>3.0552549383131164E-2</v>
      </c>
    </row>
    <row r="342" spans="1:18" ht="15.75" hidden="1" customHeight="1" x14ac:dyDescent="0.3">
      <c r="A342" s="89">
        <v>2020</v>
      </c>
      <c r="B342" s="90">
        <v>7</v>
      </c>
      <c r="C342" s="90" t="s">
        <v>728</v>
      </c>
      <c r="D342" s="90" t="s">
        <v>719</v>
      </c>
      <c r="E342" s="91" t="s">
        <v>11</v>
      </c>
      <c r="F342" s="92" t="s">
        <v>41</v>
      </c>
      <c r="G342" s="93">
        <v>643.16061692861501</v>
      </c>
      <c r="H342" s="93">
        <v>4196.9201727680702</v>
      </c>
      <c r="I342" s="93">
        <v>2397.5457928860201</v>
      </c>
      <c r="J342" s="93">
        <v>4472.3027225107098</v>
      </c>
      <c r="K342" s="93">
        <v>461.64823238970502</v>
      </c>
      <c r="L342" s="93">
        <v>2298.7799779932602</v>
      </c>
      <c r="M342" s="93">
        <v>18714.33273896297</v>
      </c>
      <c r="N342" s="95">
        <v>3.9179954905802505E-2</v>
      </c>
      <c r="O342" s="95">
        <v>0.25566730733227816</v>
      </c>
      <c r="P342" s="95">
        <v>0.40458710791413388</v>
      </c>
      <c r="Q342" s="95">
        <v>0.27244301715774322</v>
      </c>
      <c r="R342" s="96">
        <v>2.8122612690042261E-2</v>
      </c>
    </row>
    <row r="343" spans="1:18" ht="15.75" hidden="1" customHeight="1" x14ac:dyDescent="0.3">
      <c r="A343" s="89">
        <v>2020</v>
      </c>
      <c r="B343" s="90">
        <v>7</v>
      </c>
      <c r="C343" s="90" t="s">
        <v>728</v>
      </c>
      <c r="D343" s="90" t="s">
        <v>719</v>
      </c>
      <c r="E343" s="91" t="s">
        <v>11</v>
      </c>
      <c r="F343" s="92" t="s">
        <v>42</v>
      </c>
      <c r="G343" s="93">
        <v>7730.6473932997196</v>
      </c>
      <c r="H343" s="93">
        <v>129102.751798112</v>
      </c>
      <c r="I343" s="93">
        <v>2397.5457928860201</v>
      </c>
      <c r="J343" s="93">
        <v>44973.623620401202</v>
      </c>
      <c r="K343" s="93">
        <v>2717.34139109527</v>
      </c>
      <c r="L343" s="93">
        <v>241268.7458601917</v>
      </c>
      <c r="M343" s="93">
        <v>620824.33974997397</v>
      </c>
      <c r="N343" s="95">
        <v>2.0367628662968922E-2</v>
      </c>
      <c r="O343" s="95">
        <v>0.34014187612158259</v>
      </c>
      <c r="P343" s="95">
        <v>0.51384100992464465</v>
      </c>
      <c r="Q343" s="95">
        <v>0.1184902141989269</v>
      </c>
      <c r="R343" s="96">
        <v>7.1592710918768569E-3</v>
      </c>
    </row>
    <row r="344" spans="1:18" ht="15.75" hidden="1" customHeight="1" x14ac:dyDescent="0.3">
      <c r="A344" s="89">
        <v>2020</v>
      </c>
      <c r="B344" s="90">
        <v>7</v>
      </c>
      <c r="C344" s="90" t="s">
        <v>728</v>
      </c>
      <c r="D344" s="90" t="s">
        <v>719</v>
      </c>
      <c r="E344" s="91" t="s">
        <v>11</v>
      </c>
      <c r="F344" s="92" t="s">
        <v>43</v>
      </c>
      <c r="G344" s="93">
        <v>1722.6652894684401</v>
      </c>
      <c r="H344" s="93">
        <v>4335.0205349142097</v>
      </c>
      <c r="I344" s="93">
        <v>2397.5457928860201</v>
      </c>
      <c r="J344" s="93">
        <v>13889.002692034301</v>
      </c>
      <c r="K344" s="93">
        <v>4763.8044327450898</v>
      </c>
      <c r="L344" s="93">
        <v>144455.96537846571</v>
      </c>
      <c r="M344" s="93">
        <v>185575.48510012304</v>
      </c>
      <c r="N344" s="95">
        <v>4.1894100444979786E-2</v>
      </c>
      <c r="O344" s="95">
        <v>0.10542488249518603</v>
      </c>
      <c r="P344" s="95">
        <v>0.39905686845492966</v>
      </c>
      <c r="Q344" s="95">
        <v>0.33777152033998753</v>
      </c>
      <c r="R344" s="96">
        <v>0.11585262826491696</v>
      </c>
    </row>
    <row r="345" spans="1:18" ht="15.75" hidden="1" customHeight="1" x14ac:dyDescent="0.3">
      <c r="A345" s="89">
        <v>2020</v>
      </c>
      <c r="B345" s="90">
        <v>7</v>
      </c>
      <c r="C345" s="90" t="s">
        <v>728</v>
      </c>
      <c r="D345" s="90" t="s">
        <v>719</v>
      </c>
      <c r="E345" s="91" t="s">
        <v>11</v>
      </c>
      <c r="F345" s="92" t="s">
        <v>58</v>
      </c>
      <c r="G345" s="93">
        <v>35135.8106778488</v>
      </c>
      <c r="H345" s="93">
        <v>156856.15208750701</v>
      </c>
      <c r="I345" s="93">
        <v>2397.5457928860201</v>
      </c>
      <c r="J345" s="93">
        <v>23167.162942475799</v>
      </c>
      <c r="K345" s="93">
        <v>275.03092243412902</v>
      </c>
      <c r="L345" s="93">
        <v>13692.30957476094</v>
      </c>
      <c r="M345" s="93">
        <v>371477.12559239776</v>
      </c>
      <c r="N345" s="95">
        <v>9.8203750144938512E-2</v>
      </c>
      <c r="O345" s="95">
        <v>0.43840919196463296</v>
      </c>
      <c r="P345" s="95">
        <v>0.39786668694278493</v>
      </c>
      <c r="Q345" s="95">
        <v>6.475166610014492E-2</v>
      </c>
      <c r="R345" s="96">
        <v>7.6870484749853537E-4</v>
      </c>
    </row>
    <row r="346" spans="1:18" ht="15.75" hidden="1" customHeight="1" x14ac:dyDescent="0.3">
      <c r="A346" s="89">
        <v>2020</v>
      </c>
      <c r="B346" s="90">
        <v>7</v>
      </c>
      <c r="C346" s="90" t="s">
        <v>728</v>
      </c>
      <c r="D346" s="90" t="s">
        <v>719</v>
      </c>
      <c r="E346" s="91" t="s">
        <v>11</v>
      </c>
      <c r="F346" s="92" t="s">
        <v>44</v>
      </c>
      <c r="G346" s="93">
        <v>3947.1961227389702</v>
      </c>
      <c r="H346" s="93">
        <v>20104.217745468701</v>
      </c>
      <c r="I346" s="93">
        <v>2397.5457928860201</v>
      </c>
      <c r="J346" s="93">
        <v>72500.799789719706</v>
      </c>
      <c r="K346" s="93">
        <v>15596.147828831399</v>
      </c>
      <c r="L346" s="93">
        <v>47698.434812204505</v>
      </c>
      <c r="M346" s="93">
        <v>215729.28855107867</v>
      </c>
      <c r="N346" s="95">
        <v>2.3490900837015629E-2</v>
      </c>
      <c r="O346" s="95">
        <v>0.11964598940091895</v>
      </c>
      <c r="P346" s="95">
        <v>0.33257280439078618</v>
      </c>
      <c r="Q346" s="95">
        <v>0.43147313827488187</v>
      </c>
      <c r="R346" s="96">
        <v>9.2817167096397424E-2</v>
      </c>
    </row>
    <row r="347" spans="1:18" ht="15.75" hidden="1" customHeight="1" x14ac:dyDescent="0.3">
      <c r="A347" s="89">
        <v>2020</v>
      </c>
      <c r="B347" s="90">
        <v>7</v>
      </c>
      <c r="C347" s="90" t="s">
        <v>728</v>
      </c>
      <c r="D347" s="90" t="s">
        <v>719</v>
      </c>
      <c r="E347" s="91" t="s">
        <v>11</v>
      </c>
      <c r="F347" s="92" t="s">
        <v>51</v>
      </c>
      <c r="G347" s="93">
        <v>1566.1729247135399</v>
      </c>
      <c r="H347" s="93">
        <v>18993.433535538999</v>
      </c>
      <c r="I347" s="93">
        <v>2397.5457928860201</v>
      </c>
      <c r="J347" s="93">
        <v>84313.470114070296</v>
      </c>
      <c r="K347" s="93">
        <v>34577.603790754401</v>
      </c>
      <c r="L347" s="93">
        <v>5968.8602213143504</v>
      </c>
      <c r="M347" s="93">
        <v>211202.40923547361</v>
      </c>
      <c r="N347" s="95">
        <v>7.6311740075473153E-3</v>
      </c>
      <c r="O347" s="95">
        <v>9.2545461630294298E-2</v>
      </c>
      <c r="P347" s="95">
        <v>0.32052687762342197</v>
      </c>
      <c r="Q347" s="95">
        <v>0.41081719104440101</v>
      </c>
      <c r="R347" s="96">
        <v>0.16847929569433534</v>
      </c>
    </row>
    <row r="348" spans="1:18" ht="15.75" hidden="1" customHeight="1" x14ac:dyDescent="0.3">
      <c r="A348" s="89">
        <v>2020</v>
      </c>
      <c r="B348" s="90">
        <v>7</v>
      </c>
      <c r="C348" s="90" t="s">
        <v>728</v>
      </c>
      <c r="D348" s="90" t="s">
        <v>719</v>
      </c>
      <c r="E348" s="91" t="s">
        <v>11</v>
      </c>
      <c r="F348" s="92" t="s">
        <v>45</v>
      </c>
      <c r="G348" s="93">
        <v>3177.4602825719999</v>
      </c>
      <c r="H348" s="93">
        <v>14599.378540076599</v>
      </c>
      <c r="I348" s="93">
        <v>2397.5457928860201</v>
      </c>
      <c r="J348" s="93">
        <v>29302.146840257199</v>
      </c>
      <c r="K348" s="93">
        <v>5117.9469165042901</v>
      </c>
      <c r="L348" s="93">
        <v>51236.12718114975</v>
      </c>
      <c r="M348" s="93">
        <v>134096.09203645916</v>
      </c>
      <c r="N348" s="95">
        <v>3.8347352525679938E-2</v>
      </c>
      <c r="O348" s="95">
        <v>0.17619339527321942</v>
      </c>
      <c r="P348" s="95">
        <v>0.37005847551882604</v>
      </c>
      <c r="Q348" s="95">
        <v>0.35363455549884426</v>
      </c>
      <c r="R348" s="96">
        <v>6.1766221183430163E-2</v>
      </c>
    </row>
    <row r="349" spans="1:18" ht="15.75" hidden="1" customHeight="1" x14ac:dyDescent="0.3">
      <c r="A349" s="89">
        <v>2020</v>
      </c>
      <c r="B349" s="90">
        <v>7</v>
      </c>
      <c r="C349" s="90" t="s">
        <v>728</v>
      </c>
      <c r="D349" s="90" t="s">
        <v>719</v>
      </c>
      <c r="E349" s="91" t="s">
        <v>11</v>
      </c>
      <c r="F349" s="92" t="s">
        <v>721</v>
      </c>
      <c r="G349" s="93">
        <v>2391.81746832721</v>
      </c>
      <c r="H349" s="93">
        <v>33077.119845786001</v>
      </c>
      <c r="I349" s="93">
        <v>2397.5457928860201</v>
      </c>
      <c r="J349" s="93">
        <v>100101.698608071</v>
      </c>
      <c r="K349" s="93">
        <v>9413.66639942859</v>
      </c>
      <c r="L349" s="93">
        <v>5042.1537202129284</v>
      </c>
      <c r="M349" s="93">
        <v>309330.85090303171</v>
      </c>
      <c r="N349" s="95">
        <v>7.8603559398402155E-3</v>
      </c>
      <c r="O349" s="95">
        <v>0.10870308411722909</v>
      </c>
      <c r="P349" s="95">
        <v>0.52353043782462549</v>
      </c>
      <c r="Q349" s="95">
        <v>0.32896949355936544</v>
      </c>
      <c r="R349" s="96">
        <v>3.0936628558939847E-2</v>
      </c>
    </row>
    <row r="350" spans="1:18" ht="15.75" hidden="1" customHeight="1" x14ac:dyDescent="0.3">
      <c r="A350" s="89">
        <v>2020</v>
      </c>
      <c r="B350" s="90">
        <v>7</v>
      </c>
      <c r="C350" s="90" t="s">
        <v>728</v>
      </c>
      <c r="D350" s="90" t="s">
        <v>719</v>
      </c>
      <c r="E350" s="91" t="s">
        <v>11</v>
      </c>
      <c r="F350" s="92" t="s">
        <v>46</v>
      </c>
      <c r="G350" s="93">
        <v>1938.4327763679501</v>
      </c>
      <c r="H350" s="93">
        <v>18158.394809306301</v>
      </c>
      <c r="I350" s="93">
        <v>2397.5457928860201</v>
      </c>
      <c r="J350" s="93">
        <v>45115.787266979802</v>
      </c>
      <c r="K350" s="93">
        <v>25323.608206556099</v>
      </c>
      <c r="L350" s="93">
        <v>6677.84289049167</v>
      </c>
      <c r="M350" s="93">
        <v>149075.00300838973</v>
      </c>
      <c r="N350" s="95">
        <v>1.3612861202871042E-2</v>
      </c>
      <c r="O350" s="95">
        <v>0.12751936059870869</v>
      </c>
      <c r="P350" s="95">
        <v>0.364199236949315</v>
      </c>
      <c r="Q350" s="95">
        <v>0.3168306673365261</v>
      </c>
      <c r="R350" s="96">
        <v>0.17783787391257916</v>
      </c>
    </row>
    <row r="351" spans="1:18" ht="15.75" hidden="1" customHeight="1" x14ac:dyDescent="0.3">
      <c r="A351" s="89">
        <v>2020</v>
      </c>
      <c r="B351" s="90">
        <v>7</v>
      </c>
      <c r="C351" s="90" t="s">
        <v>728</v>
      </c>
      <c r="D351" s="90" t="s">
        <v>719</v>
      </c>
      <c r="E351" s="91" t="s">
        <v>11</v>
      </c>
      <c r="F351" s="92" t="s">
        <v>47</v>
      </c>
      <c r="G351" s="93">
        <v>2061.6607582031202</v>
      </c>
      <c r="H351" s="93">
        <v>10921.2963082031</v>
      </c>
      <c r="I351" s="93">
        <v>2397.5457928860201</v>
      </c>
      <c r="J351" s="93">
        <v>8356.02377711392</v>
      </c>
      <c r="K351" s="93">
        <v>1858.28124492187</v>
      </c>
      <c r="L351" s="93">
        <v>1419574.4393150101</v>
      </c>
      <c r="M351" s="93">
        <v>1461770.3581409643</v>
      </c>
      <c r="N351" s="95">
        <v>4.8859245528148382E-2</v>
      </c>
      <c r="O351" s="95">
        <v>0.25882352161236777</v>
      </c>
      <c r="P351" s="95">
        <v>0.45024867963833526</v>
      </c>
      <c r="Q351" s="95">
        <v>0.19802919357154061</v>
      </c>
      <c r="R351" s="96">
        <v>4.4039359649608076E-2</v>
      </c>
    </row>
    <row r="352" spans="1:18" ht="15.75" hidden="1" customHeight="1" x14ac:dyDescent="0.3">
      <c r="A352" s="89">
        <v>2020</v>
      </c>
      <c r="B352" s="90">
        <v>7</v>
      </c>
      <c r="C352" s="90" t="s">
        <v>728</v>
      </c>
      <c r="D352" s="90" t="s">
        <v>719</v>
      </c>
      <c r="E352" s="91" t="s">
        <v>11</v>
      </c>
      <c r="F352" s="92" t="s">
        <v>48</v>
      </c>
      <c r="G352" s="93">
        <v>1149.1877342187499</v>
      </c>
      <c r="H352" s="93">
        <v>4601.9759829105496</v>
      </c>
      <c r="I352" s="93">
        <v>2397.5457928860201</v>
      </c>
      <c r="J352" s="93">
        <v>61554.091169627201</v>
      </c>
      <c r="K352" s="93">
        <v>10791.840193115801</v>
      </c>
      <c r="L352" s="93">
        <v>8896.9914518428541</v>
      </c>
      <c r="M352" s="93">
        <v>110314.39779994615</v>
      </c>
      <c r="N352" s="95">
        <v>1.1331267240993113E-2</v>
      </c>
      <c r="O352" s="95">
        <v>4.5376589173606055E-2</v>
      </c>
      <c r="P352" s="95">
        <v>0.22994387362053786</v>
      </c>
      <c r="Q352" s="95">
        <v>0.60693813208306702</v>
      </c>
      <c r="R352" s="96">
        <v>0.10641013788179596</v>
      </c>
    </row>
    <row r="353" spans="1:18" ht="15.75" hidden="1" customHeight="1" x14ac:dyDescent="0.3">
      <c r="A353" s="89">
        <v>2020</v>
      </c>
      <c r="B353" s="90">
        <v>7</v>
      </c>
      <c r="C353" s="90" t="s">
        <v>728</v>
      </c>
      <c r="D353" s="90" t="s">
        <v>722</v>
      </c>
      <c r="E353" s="91" t="s">
        <v>11</v>
      </c>
      <c r="F353" s="92" t="s">
        <v>12</v>
      </c>
      <c r="G353" s="93">
        <v>4464.6899370000001</v>
      </c>
      <c r="H353" s="93">
        <v>9901.4693060000009</v>
      </c>
      <c r="I353" s="93">
        <v>2397.5457928860201</v>
      </c>
      <c r="J353" s="93">
        <v>9319.8983869999993</v>
      </c>
      <c r="K353" s="93">
        <v>1627.5661700000001</v>
      </c>
      <c r="L353" s="93">
        <v>395898.10803</v>
      </c>
      <c r="M353" s="93">
        <v>433311.4768</v>
      </c>
      <c r="N353" s="95">
        <v>0.11933407986986787</v>
      </c>
      <c r="O353" s="95">
        <v>0.26465056827332578</v>
      </c>
      <c r="P353" s="95">
        <v>0.32340698974165111</v>
      </c>
      <c r="Q353" s="95">
        <v>0.24910610012945913</v>
      </c>
      <c r="R353" s="96">
        <v>4.3502261985696081E-2</v>
      </c>
    </row>
    <row r="354" spans="1:18" ht="15.75" hidden="1" customHeight="1" x14ac:dyDescent="0.3">
      <c r="A354" s="89">
        <v>2020</v>
      </c>
      <c r="B354" s="90">
        <v>7</v>
      </c>
      <c r="C354" s="90" t="s">
        <v>728</v>
      </c>
      <c r="D354" s="90" t="s">
        <v>722</v>
      </c>
      <c r="E354" s="91" t="s">
        <v>11</v>
      </c>
      <c r="F354" s="92" t="s">
        <v>26</v>
      </c>
      <c r="G354" s="93">
        <v>49159.611190000003</v>
      </c>
      <c r="H354" s="93">
        <v>155214.54010000001</v>
      </c>
      <c r="I354" s="93">
        <v>2397.5457928860201</v>
      </c>
      <c r="J354" s="93">
        <v>114093.91379999999</v>
      </c>
      <c r="K354" s="93">
        <v>13910.571959999999</v>
      </c>
      <c r="L354" s="93">
        <v>818822.83070000005</v>
      </c>
      <c r="M354" s="93">
        <v>1302393.31645</v>
      </c>
      <c r="N354" s="95">
        <v>0.10165966004677737</v>
      </c>
      <c r="O354" s="95">
        <v>0.32097604108172151</v>
      </c>
      <c r="P354" s="95">
        <v>0.31265731295719384</v>
      </c>
      <c r="Q354" s="95">
        <v>0.23594060672053743</v>
      </c>
      <c r="R354" s="96">
        <v>2.8766379193769891E-2</v>
      </c>
    </row>
    <row r="355" spans="1:18" ht="15.75" hidden="1" customHeight="1" x14ac:dyDescent="0.3">
      <c r="A355" s="89">
        <v>2020</v>
      </c>
      <c r="B355" s="90">
        <v>7</v>
      </c>
      <c r="C355" s="90" t="s">
        <v>728</v>
      </c>
      <c r="D355" s="90" t="s">
        <v>722</v>
      </c>
      <c r="E355" s="91" t="s">
        <v>11</v>
      </c>
      <c r="F355" s="92" t="s">
        <v>27</v>
      </c>
      <c r="G355" s="93">
        <v>386.0778742</v>
      </c>
      <c r="H355" s="93">
        <v>1727.792029</v>
      </c>
      <c r="I355" s="93">
        <v>2397.5457928860201</v>
      </c>
      <c r="J355" s="93">
        <v>7549.7362739999999</v>
      </c>
      <c r="K355" s="93">
        <v>555.27976060000003</v>
      </c>
      <c r="L355" s="93">
        <v>210131.25383999999</v>
      </c>
      <c r="M355" s="93">
        <v>226689.61703879997</v>
      </c>
      <c r="N355" s="95">
        <v>2.3316185879289051E-2</v>
      </c>
      <c r="O355" s="95">
        <v>0.10434558103697199</v>
      </c>
      <c r="P355" s="95">
        <v>0.38285651696898571</v>
      </c>
      <c r="Q355" s="95">
        <v>0.45594701501336421</v>
      </c>
      <c r="R355" s="96">
        <v>3.3534701101389161E-2</v>
      </c>
    </row>
    <row r="356" spans="1:18" ht="15.75" hidden="1" customHeight="1" x14ac:dyDescent="0.3">
      <c r="A356" s="89">
        <v>2020</v>
      </c>
      <c r="B356" s="90">
        <v>7</v>
      </c>
      <c r="C356" s="90" t="s">
        <v>728</v>
      </c>
      <c r="D356" s="90" t="s">
        <v>722</v>
      </c>
      <c r="E356" s="91" t="s">
        <v>11</v>
      </c>
      <c r="F356" s="92" t="s">
        <v>28</v>
      </c>
      <c r="G356" s="93">
        <v>1358.6111249999999</v>
      </c>
      <c r="H356" s="93">
        <v>3709.5884639999999</v>
      </c>
      <c r="I356" s="93">
        <v>2397.5457928860201</v>
      </c>
      <c r="J356" s="93">
        <v>4258.927874</v>
      </c>
      <c r="K356" s="93">
        <v>540.14542229999995</v>
      </c>
      <c r="L356" s="93">
        <v>357967.67709199997</v>
      </c>
      <c r="M356" s="93">
        <v>373104.58099929994</v>
      </c>
      <c r="N356" s="95">
        <v>8.9754888669458313E-2</v>
      </c>
      <c r="O356" s="95">
        <v>0.24506916914567947</v>
      </c>
      <c r="P356" s="95">
        <v>0.34813136519011928</v>
      </c>
      <c r="Q356" s="95">
        <v>0.28136056752966954</v>
      </c>
      <c r="R356" s="96">
        <v>3.568400946507342E-2</v>
      </c>
    </row>
    <row r="357" spans="1:18" ht="15.75" customHeight="1" x14ac:dyDescent="0.3">
      <c r="A357" s="89">
        <v>2020</v>
      </c>
      <c r="B357" s="90">
        <v>7</v>
      </c>
      <c r="C357" s="90" t="s">
        <v>728</v>
      </c>
      <c r="D357" s="90" t="s">
        <v>722</v>
      </c>
      <c r="E357" s="91" t="s">
        <v>11</v>
      </c>
      <c r="F357" s="92" t="s">
        <v>29</v>
      </c>
      <c r="G357" s="93">
        <v>8691.8439120000003</v>
      </c>
      <c r="H357" s="93">
        <v>17255.706699999999</v>
      </c>
      <c r="I357" s="93">
        <v>2397.5457928860201</v>
      </c>
      <c r="J357" s="93">
        <v>18114.962630000002</v>
      </c>
      <c r="K357" s="93">
        <v>1838.8004189999999</v>
      </c>
      <c r="L357" s="93">
        <v>279602.80355999997</v>
      </c>
      <c r="M357" s="93">
        <v>354392.05488099996</v>
      </c>
      <c r="N357" s="95">
        <v>0.11621782219338013</v>
      </c>
      <c r="O357" s="95">
        <v>0.23072442089221426</v>
      </c>
      <c r="P357" s="95">
        <v>0.38625787997276795</v>
      </c>
      <c r="Q357" s="95">
        <v>0.242213450596657</v>
      </c>
      <c r="R357" s="96">
        <v>2.4586426344980466E-2</v>
      </c>
    </row>
    <row r="358" spans="1:18" ht="15.75" hidden="1" customHeight="1" x14ac:dyDescent="0.3">
      <c r="A358" s="89">
        <v>2020</v>
      </c>
      <c r="B358" s="90">
        <v>7</v>
      </c>
      <c r="C358" s="90" t="s">
        <v>728</v>
      </c>
      <c r="D358" s="90" t="s">
        <v>722</v>
      </c>
      <c r="E358" s="91" t="s">
        <v>11</v>
      </c>
      <c r="F358" s="92" t="s">
        <v>30</v>
      </c>
      <c r="G358" s="93">
        <v>1320.533277</v>
      </c>
      <c r="H358" s="93">
        <v>8434.169817</v>
      </c>
      <c r="I358" s="93">
        <v>2397.5457928860201</v>
      </c>
      <c r="J358" s="93">
        <v>757.47434390000001</v>
      </c>
      <c r="K358" s="93">
        <v>31.567991800000001</v>
      </c>
      <c r="L358" s="93">
        <v>216307.58694800001</v>
      </c>
      <c r="M358" s="93">
        <v>230086.5001297</v>
      </c>
      <c r="N358" s="95">
        <v>9.5837259411273593E-2</v>
      </c>
      <c r="O358" s="95">
        <v>0.61210704398671723</v>
      </c>
      <c r="P358" s="95">
        <v>0.23479121388881954</v>
      </c>
      <c r="Q358" s="95">
        <v>5.4973446302427835E-2</v>
      </c>
      <c r="R358" s="96">
        <v>2.2910364107617694E-3</v>
      </c>
    </row>
    <row r="359" spans="1:18" ht="15.75" hidden="1" customHeight="1" x14ac:dyDescent="0.3">
      <c r="A359" s="89">
        <v>2020</v>
      </c>
      <c r="B359" s="90">
        <v>7</v>
      </c>
      <c r="C359" s="90" t="s">
        <v>728</v>
      </c>
      <c r="D359" s="90" t="s">
        <v>722</v>
      </c>
      <c r="E359" s="91" t="s">
        <v>11</v>
      </c>
      <c r="F359" s="92" t="s">
        <v>31</v>
      </c>
      <c r="G359" s="93">
        <v>753.73474099999999</v>
      </c>
      <c r="H359" s="93">
        <v>35140.915390000002</v>
      </c>
      <c r="I359" s="93">
        <v>2397.5457928860201</v>
      </c>
      <c r="J359" s="93">
        <v>62683.588539999997</v>
      </c>
      <c r="K359" s="93">
        <v>29054.846519999999</v>
      </c>
      <c r="L359" s="93">
        <v>43644.149379000002</v>
      </c>
      <c r="M359" s="93">
        <v>251948.68867</v>
      </c>
      <c r="N359" s="95">
        <v>3.6184268646543404E-3</v>
      </c>
      <c r="O359" s="95">
        <v>0.16869971009565177</v>
      </c>
      <c r="P359" s="95">
        <v>0.38727650570928052</v>
      </c>
      <c r="Q359" s="95">
        <v>0.30092281595664827</v>
      </c>
      <c r="R359" s="96">
        <v>0.13948254137376517</v>
      </c>
    </row>
    <row r="360" spans="1:18" ht="15.75" hidden="1" customHeight="1" x14ac:dyDescent="0.3">
      <c r="A360" s="89">
        <v>2020</v>
      </c>
      <c r="B360" s="90">
        <v>7</v>
      </c>
      <c r="C360" s="90" t="s">
        <v>728</v>
      </c>
      <c r="D360" s="90" t="s">
        <v>722</v>
      </c>
      <c r="E360" s="91" t="s">
        <v>11</v>
      </c>
      <c r="F360" s="92" t="s">
        <v>32</v>
      </c>
      <c r="G360" s="93">
        <v>10075.91332</v>
      </c>
      <c r="H360" s="93">
        <v>63820.485480000003</v>
      </c>
      <c r="I360" s="93">
        <v>2397.5457928860201</v>
      </c>
      <c r="J360" s="93">
        <v>34086.609049999999</v>
      </c>
      <c r="K360" s="93">
        <v>5870.492424</v>
      </c>
      <c r="L360" s="93">
        <v>434519.08149999997</v>
      </c>
      <c r="M360" s="93">
        <v>609521.8128539999</v>
      </c>
      <c r="N360" s="95">
        <v>5.7575748915702267E-2</v>
      </c>
      <c r="O360" s="95">
        <v>0.36468279658391328</v>
      </c>
      <c r="P360" s="95">
        <v>0.3494187239644036</v>
      </c>
      <c r="Q360" s="95">
        <v>0.19477758310553872</v>
      </c>
      <c r="R360" s="96">
        <v>3.3545147430442207E-2</v>
      </c>
    </row>
    <row r="361" spans="1:18" ht="15.75" hidden="1" customHeight="1" x14ac:dyDescent="0.3">
      <c r="A361" s="89">
        <v>2020</v>
      </c>
      <c r="B361" s="90">
        <v>7</v>
      </c>
      <c r="C361" s="90" t="s">
        <v>728</v>
      </c>
      <c r="D361" s="90" t="s">
        <v>722</v>
      </c>
      <c r="E361" s="91" t="s">
        <v>11</v>
      </c>
      <c r="F361" s="92" t="s">
        <v>33</v>
      </c>
      <c r="G361" s="93">
        <v>23395.031719999999</v>
      </c>
      <c r="H361" s="93">
        <v>85849.99497</v>
      </c>
      <c r="I361" s="93">
        <v>2397.5457928860201</v>
      </c>
      <c r="J361" s="93">
        <v>211488.02220000001</v>
      </c>
      <c r="K361" s="93">
        <v>9692.6283289999992</v>
      </c>
      <c r="L361" s="93">
        <v>601252.59718000004</v>
      </c>
      <c r="M361" s="93">
        <v>1352056.7881990001</v>
      </c>
      <c r="N361" s="95">
        <v>3.1159964208841182E-2</v>
      </c>
      <c r="O361" s="95">
        <v>0.11434405401158378</v>
      </c>
      <c r="P361" s="95">
        <v>0.55990432502708531</v>
      </c>
      <c r="Q361" s="95">
        <v>0.28168199475946726</v>
      </c>
      <c r="R361" s="96">
        <v>1.2909661993022513E-2</v>
      </c>
    </row>
    <row r="362" spans="1:18" ht="15.75" hidden="1" customHeight="1" x14ac:dyDescent="0.3">
      <c r="A362" s="89">
        <v>2020</v>
      </c>
      <c r="B362" s="90">
        <v>7</v>
      </c>
      <c r="C362" s="90" t="s">
        <v>728</v>
      </c>
      <c r="D362" s="90" t="s">
        <v>722</v>
      </c>
      <c r="E362" s="91" t="s">
        <v>11</v>
      </c>
      <c r="F362" s="92" t="s">
        <v>34</v>
      </c>
      <c r="G362" s="93">
        <v>11059.86852</v>
      </c>
      <c r="H362" s="93">
        <v>17610.489030000001</v>
      </c>
      <c r="I362" s="93">
        <v>2397.5457928860201</v>
      </c>
      <c r="J362" s="93">
        <v>115921.2534</v>
      </c>
      <c r="K362" s="93">
        <v>12844.52176</v>
      </c>
      <c r="L362" s="93">
        <v>477587.60116000002</v>
      </c>
      <c r="M362" s="93">
        <v>713628.83033999999</v>
      </c>
      <c r="N362" s="95">
        <v>4.6855663980490375E-2</v>
      </c>
      <c r="O362" s="95">
        <v>7.4607682273043152E-2</v>
      </c>
      <c r="P362" s="95">
        <v>0.33301426510559917</v>
      </c>
      <c r="Q362" s="95">
        <v>0.49110595552610403</v>
      </c>
      <c r="R362" s="96">
        <v>5.4416433114763359E-2</v>
      </c>
    </row>
    <row r="363" spans="1:18" ht="15.75" hidden="1" customHeight="1" x14ac:dyDescent="0.3">
      <c r="A363" s="89">
        <v>2020</v>
      </c>
      <c r="B363" s="90">
        <v>7</v>
      </c>
      <c r="C363" s="90" t="s">
        <v>728</v>
      </c>
      <c r="D363" s="90" t="s">
        <v>722</v>
      </c>
      <c r="E363" s="91" t="s">
        <v>11</v>
      </c>
      <c r="F363" s="92" t="s">
        <v>35</v>
      </c>
      <c r="G363" s="93">
        <v>11269.26404</v>
      </c>
      <c r="H363" s="93">
        <v>22373.704760000001</v>
      </c>
      <c r="I363" s="93">
        <v>2397.5457928860201</v>
      </c>
      <c r="J363" s="93">
        <v>22368.767889999999</v>
      </c>
      <c r="K363" s="93">
        <v>9490.0690070000001</v>
      </c>
      <c r="L363" s="93">
        <v>513462.22</v>
      </c>
      <c r="M363" s="93">
        <v>605861.19634699996</v>
      </c>
      <c r="N363" s="95">
        <v>0.12196308320212131</v>
      </c>
      <c r="O363" s="95">
        <v>0.24214234447767696</v>
      </c>
      <c r="P363" s="95">
        <v>0.2910981453840889</v>
      </c>
      <c r="Q363" s="95">
        <v>0.24208891455674947</v>
      </c>
      <c r="R363" s="96">
        <v>0.10270751237936331</v>
      </c>
    </row>
    <row r="364" spans="1:18" ht="15.75" hidden="1" customHeight="1" x14ac:dyDescent="0.3">
      <c r="A364" s="89">
        <v>2020</v>
      </c>
      <c r="B364" s="90">
        <v>7</v>
      </c>
      <c r="C364" s="90" t="s">
        <v>728</v>
      </c>
      <c r="D364" s="90" t="s">
        <v>722</v>
      </c>
      <c r="E364" s="91" t="s">
        <v>11</v>
      </c>
      <c r="F364" s="92" t="s">
        <v>36</v>
      </c>
      <c r="G364" s="93">
        <v>6921.5179209999997</v>
      </c>
      <c r="H364" s="93">
        <v>39306.37343</v>
      </c>
      <c r="I364" s="93">
        <v>2397.5457928860201</v>
      </c>
      <c r="J364" s="93">
        <v>41330.171309999998</v>
      </c>
      <c r="K364" s="93">
        <v>3030.073367</v>
      </c>
      <c r="L364" s="93">
        <v>103071.37456</v>
      </c>
      <c r="M364" s="93">
        <v>258886.87145800001</v>
      </c>
      <c r="N364" s="95">
        <v>4.4421242166502645E-2</v>
      </c>
      <c r="O364" s="95">
        <v>0.25226228592481242</v>
      </c>
      <c r="P364" s="95">
        <v>0.41861921418958187</v>
      </c>
      <c r="Q364" s="95">
        <v>0.26525071082663598</v>
      </c>
      <c r="R364" s="96">
        <v>1.9446546892466977E-2</v>
      </c>
    </row>
    <row r="365" spans="1:18" ht="15.75" hidden="1" customHeight="1" x14ac:dyDescent="0.3">
      <c r="A365" s="89">
        <v>2020</v>
      </c>
      <c r="B365" s="90">
        <v>7</v>
      </c>
      <c r="C365" s="90" t="s">
        <v>728</v>
      </c>
      <c r="D365" s="90" t="s">
        <v>722</v>
      </c>
      <c r="E365" s="91" t="s">
        <v>11</v>
      </c>
      <c r="F365" s="92" t="s">
        <v>37</v>
      </c>
      <c r="G365" s="93">
        <v>7644.5364529999997</v>
      </c>
      <c r="H365" s="93">
        <v>32936.322310000003</v>
      </c>
      <c r="I365" s="93">
        <v>2397.5457928860201</v>
      </c>
      <c r="J365" s="93">
        <v>24903.520240000002</v>
      </c>
      <c r="K365" s="93">
        <v>2709.8511279999998</v>
      </c>
      <c r="L365" s="93">
        <v>415239.28760000004</v>
      </c>
      <c r="M365" s="93">
        <v>524073.85775100003</v>
      </c>
      <c r="N365" s="95">
        <v>7.0239965503550619E-2</v>
      </c>
      <c r="O365" s="95">
        <v>0.30262739370682745</v>
      </c>
      <c r="P365" s="95">
        <v>0.37341388828581312</v>
      </c>
      <c r="Q365" s="95">
        <v>0.22881994393369856</v>
      </c>
      <c r="R365" s="96">
        <v>2.4898808570110398E-2</v>
      </c>
    </row>
    <row r="366" spans="1:18" ht="15.75" hidden="1" customHeight="1" x14ac:dyDescent="0.3">
      <c r="A366" s="89">
        <v>2020</v>
      </c>
      <c r="B366" s="90">
        <v>7</v>
      </c>
      <c r="C366" s="90" t="s">
        <v>728</v>
      </c>
      <c r="D366" s="90" t="s">
        <v>722</v>
      </c>
      <c r="E366" s="91" t="s">
        <v>11</v>
      </c>
      <c r="F366" s="92" t="s">
        <v>720</v>
      </c>
      <c r="G366" s="93">
        <v>29535.207869999998</v>
      </c>
      <c r="H366" s="93">
        <v>77634.695940000005</v>
      </c>
      <c r="I366" s="93">
        <v>2397.5457928860201</v>
      </c>
      <c r="J366" s="93">
        <v>93312.708769999997</v>
      </c>
      <c r="K366" s="93">
        <v>13265.55884</v>
      </c>
      <c r="L366" s="93">
        <v>631795.28540000005</v>
      </c>
      <c r="M366" s="93">
        <v>927958.42261000001</v>
      </c>
      <c r="N366" s="95">
        <v>9.9726144679030418E-2</v>
      </c>
      <c r="O366" s="95">
        <v>0.26213490534762829</v>
      </c>
      <c r="P366" s="95">
        <v>0.27827556989836355</v>
      </c>
      <c r="Q366" s="95">
        <v>0.31507198920517537</v>
      </c>
      <c r="R366" s="96">
        <v>4.47913908698023E-2</v>
      </c>
    </row>
    <row r="367" spans="1:18" ht="15.75" hidden="1" customHeight="1" x14ac:dyDescent="0.3">
      <c r="A367" s="89">
        <v>2020</v>
      </c>
      <c r="B367" s="90">
        <v>7</v>
      </c>
      <c r="C367" s="90" t="s">
        <v>728</v>
      </c>
      <c r="D367" s="90" t="s">
        <v>722</v>
      </c>
      <c r="E367" s="91" t="s">
        <v>11</v>
      </c>
      <c r="F367" s="92" t="s">
        <v>39</v>
      </c>
      <c r="G367" s="93">
        <v>1225.4803919999999</v>
      </c>
      <c r="H367" s="93">
        <v>3759.6287240000001</v>
      </c>
      <c r="I367" s="93">
        <v>2397.5457928860201</v>
      </c>
      <c r="J367" s="93">
        <v>2561.4389249999999</v>
      </c>
      <c r="K367" s="93">
        <v>218.49073630000001</v>
      </c>
      <c r="L367" s="93">
        <v>318339.83044019999</v>
      </c>
      <c r="M367" s="93">
        <v>331195.16650649998</v>
      </c>
      <c r="N367" s="95">
        <v>9.5328537945621794E-2</v>
      </c>
      <c r="O367" s="95">
        <v>0.29245666582422453</v>
      </c>
      <c r="P367" s="95">
        <v>0.39596765597938044</v>
      </c>
      <c r="Q367" s="95">
        <v>0.19925102788364743</v>
      </c>
      <c r="R367" s="96">
        <v>1.699611236712582E-2</v>
      </c>
    </row>
    <row r="368" spans="1:18" ht="15.75" hidden="1" customHeight="1" x14ac:dyDescent="0.3">
      <c r="A368" s="89">
        <v>2020</v>
      </c>
      <c r="B368" s="90">
        <v>7</v>
      </c>
      <c r="C368" s="90" t="s">
        <v>728</v>
      </c>
      <c r="D368" s="90" t="s">
        <v>722</v>
      </c>
      <c r="E368" s="91" t="s">
        <v>11</v>
      </c>
      <c r="F368" s="92" t="s">
        <v>40</v>
      </c>
      <c r="G368" s="93">
        <v>1462.1884640000001</v>
      </c>
      <c r="H368" s="93">
        <v>25091.55588</v>
      </c>
      <c r="I368" s="93">
        <v>2397.5457928860201</v>
      </c>
      <c r="J368" s="93">
        <v>30536.97048</v>
      </c>
      <c r="K368" s="93">
        <v>5841.3953320000001</v>
      </c>
      <c r="L368" s="93">
        <v>210588.40502899999</v>
      </c>
      <c r="M368" s="93">
        <v>326305.02473499998</v>
      </c>
      <c r="N368" s="95">
        <v>1.2635941731749225E-2</v>
      </c>
      <c r="O368" s="95">
        <v>0.21683623271877325</v>
      </c>
      <c r="P368" s="95">
        <v>0.4561532274629958</v>
      </c>
      <c r="Q368" s="95">
        <v>0.26389442205955344</v>
      </c>
      <c r="R368" s="96">
        <v>5.0480176026928301E-2</v>
      </c>
    </row>
    <row r="369" spans="1:18" ht="15.75" hidden="1" customHeight="1" x14ac:dyDescent="0.3">
      <c r="A369" s="89">
        <v>2020</v>
      </c>
      <c r="B369" s="90">
        <v>7</v>
      </c>
      <c r="C369" s="90" t="s">
        <v>728</v>
      </c>
      <c r="D369" s="90" t="s">
        <v>722</v>
      </c>
      <c r="E369" s="91" t="s">
        <v>11</v>
      </c>
      <c r="F369" s="92" t="s">
        <v>41</v>
      </c>
      <c r="G369" s="93">
        <v>763.49860460000002</v>
      </c>
      <c r="H369" s="93">
        <v>5164.1442690000003</v>
      </c>
      <c r="I369" s="93">
        <v>2397.5457928860201</v>
      </c>
      <c r="J369" s="93">
        <v>3567.0305239999998</v>
      </c>
      <c r="K369" s="93">
        <v>318.77279870000001</v>
      </c>
      <c r="L369" s="93">
        <v>1554.098692</v>
      </c>
      <c r="M369" s="93">
        <v>18714.3327393</v>
      </c>
      <c r="N369" s="95">
        <v>4.4492318839912864E-2</v>
      </c>
      <c r="O369" s="95">
        <v>0.30093670370495496</v>
      </c>
      <c r="P369" s="95">
        <v>0.42812865085345075</v>
      </c>
      <c r="Q369" s="95">
        <v>0.20786607654464004</v>
      </c>
      <c r="R369" s="96">
        <v>1.8576250057041378E-2</v>
      </c>
    </row>
    <row r="370" spans="1:18" ht="15.75" hidden="1" customHeight="1" x14ac:dyDescent="0.3">
      <c r="A370" s="89">
        <v>2020</v>
      </c>
      <c r="B370" s="90">
        <v>7</v>
      </c>
      <c r="C370" s="90" t="s">
        <v>728</v>
      </c>
      <c r="D370" s="90" t="s">
        <v>722</v>
      </c>
      <c r="E370" s="91" t="s">
        <v>11</v>
      </c>
      <c r="F370" s="92" t="s">
        <v>42</v>
      </c>
      <c r="G370" s="93">
        <v>8996.7239680000002</v>
      </c>
      <c r="H370" s="93">
        <v>83025.950339999996</v>
      </c>
      <c r="I370" s="93">
        <v>2397.5457928860201</v>
      </c>
      <c r="J370" s="93">
        <v>6692.1057739999997</v>
      </c>
      <c r="K370" s="93">
        <v>687.87625830000002</v>
      </c>
      <c r="L370" s="93">
        <v>452165.15489999996</v>
      </c>
      <c r="M370" s="93">
        <v>620824.33974029997</v>
      </c>
      <c r="N370" s="95">
        <v>5.3342626886989986E-2</v>
      </c>
      <c r="O370" s="95">
        <v>0.49227055389017566</v>
      </c>
      <c r="P370" s="95">
        <v>0.41063004404757214</v>
      </c>
      <c r="Q370" s="95">
        <v>3.9678276521593649E-2</v>
      </c>
      <c r="R370" s="96">
        <v>4.0784986536685575E-3</v>
      </c>
    </row>
    <row r="371" spans="1:18" ht="15.75" hidden="1" customHeight="1" x14ac:dyDescent="0.3">
      <c r="A371" s="89">
        <v>2020</v>
      </c>
      <c r="B371" s="90">
        <v>7</v>
      </c>
      <c r="C371" s="90" t="s">
        <v>728</v>
      </c>
      <c r="D371" s="90" t="s">
        <v>722</v>
      </c>
      <c r="E371" s="91" t="s">
        <v>11</v>
      </c>
      <c r="F371" s="92" t="s">
        <v>43</v>
      </c>
      <c r="G371" s="93">
        <v>868.3379946</v>
      </c>
      <c r="H371" s="93">
        <v>16573.104490000002</v>
      </c>
      <c r="I371" s="93">
        <v>2397.5457928860201</v>
      </c>
      <c r="J371" s="93">
        <v>18746.25201</v>
      </c>
      <c r="K371" s="93">
        <v>6319.5180920000003</v>
      </c>
      <c r="L371" s="93">
        <v>117051.1687861</v>
      </c>
      <c r="M371" s="93">
        <v>185575.48508269998</v>
      </c>
      <c r="N371" s="95">
        <v>1.2671968748166623E-2</v>
      </c>
      <c r="O371" s="95">
        <v>0.2418572761567607</v>
      </c>
      <c r="P371" s="95">
        <v>0.37967695434402904</v>
      </c>
      <c r="Q371" s="95">
        <v>0.27357079972690135</v>
      </c>
      <c r="R371" s="96">
        <v>9.2223001024142423E-2</v>
      </c>
    </row>
    <row r="372" spans="1:18" ht="15.75" hidden="1" customHeight="1" x14ac:dyDescent="0.3">
      <c r="A372" s="89">
        <v>2020</v>
      </c>
      <c r="B372" s="90">
        <v>7</v>
      </c>
      <c r="C372" s="90" t="s">
        <v>728</v>
      </c>
      <c r="D372" s="90" t="s">
        <v>722</v>
      </c>
      <c r="E372" s="91" t="s">
        <v>11</v>
      </c>
      <c r="F372" s="92" t="s">
        <v>58</v>
      </c>
      <c r="G372" s="93">
        <v>26190.21081</v>
      </c>
      <c r="H372" s="93">
        <v>81667.13149</v>
      </c>
      <c r="I372" s="93">
        <v>2397.5457928860201</v>
      </c>
      <c r="J372" s="93">
        <v>39503.196980000001</v>
      </c>
      <c r="K372" s="93">
        <v>5773.5386500000004</v>
      </c>
      <c r="L372" s="93">
        <v>169852.52839700002</v>
      </c>
      <c r="M372" s="93">
        <v>371477.12557700003</v>
      </c>
      <c r="N372" s="95">
        <v>0.12989591139328469</v>
      </c>
      <c r="O372" s="95">
        <v>0.40504547873735769</v>
      </c>
      <c r="P372" s="95">
        <v>0.2404990260524125</v>
      </c>
      <c r="Q372" s="95">
        <v>0.19592449300584883</v>
      </c>
      <c r="R372" s="96">
        <v>2.8635090811096248E-2</v>
      </c>
    </row>
    <row r="373" spans="1:18" ht="15.75" hidden="1" customHeight="1" x14ac:dyDescent="0.3">
      <c r="A373" s="89">
        <v>2020</v>
      </c>
      <c r="B373" s="90">
        <v>7</v>
      </c>
      <c r="C373" s="90" t="s">
        <v>728</v>
      </c>
      <c r="D373" s="90" t="s">
        <v>722</v>
      </c>
      <c r="E373" s="91" t="s">
        <v>11</v>
      </c>
      <c r="F373" s="92" t="s">
        <v>44</v>
      </c>
      <c r="G373" s="93">
        <v>4239.351917</v>
      </c>
      <c r="H373" s="93">
        <v>14288.96888</v>
      </c>
      <c r="I373" s="93">
        <v>2397.5457928860201</v>
      </c>
      <c r="J373" s="93">
        <v>56817.382579999998</v>
      </c>
      <c r="K373" s="93">
        <v>10562.21528</v>
      </c>
      <c r="L373" s="93">
        <v>90173.218740000011</v>
      </c>
      <c r="M373" s="93">
        <v>215729.28856700001</v>
      </c>
      <c r="N373" s="95">
        <v>3.376461148267286E-2</v>
      </c>
      <c r="O373" s="95">
        <v>0.11380548068833589</v>
      </c>
      <c r="P373" s="95">
        <v>0.31578044155595197</v>
      </c>
      <c r="Q373" s="95">
        <v>0.45252597232684161</v>
      </c>
      <c r="R373" s="96">
        <v>8.4123493946197628E-2</v>
      </c>
    </row>
    <row r="374" spans="1:18" ht="15.75" hidden="1" customHeight="1" x14ac:dyDescent="0.3">
      <c r="A374" s="89">
        <v>2020</v>
      </c>
      <c r="B374" s="90">
        <v>7</v>
      </c>
      <c r="C374" s="90" t="s">
        <v>728</v>
      </c>
      <c r="D374" s="90" t="s">
        <v>722</v>
      </c>
      <c r="E374" s="91" t="s">
        <v>11</v>
      </c>
      <c r="F374" s="92" t="s">
        <v>51</v>
      </c>
      <c r="G374" s="93">
        <v>2560.5027060000002</v>
      </c>
      <c r="H374" s="93">
        <v>21960.058830000002</v>
      </c>
      <c r="I374" s="93">
        <v>2397.5457928860201</v>
      </c>
      <c r="J374" s="93">
        <v>80841.283530000001</v>
      </c>
      <c r="K374" s="93">
        <v>21067.719929999999</v>
      </c>
      <c r="L374" s="93">
        <v>17093.773440000001</v>
      </c>
      <c r="M374" s="93">
        <v>211202.40923599998</v>
      </c>
      <c r="N374" s="95">
        <v>1.3191080837284236E-2</v>
      </c>
      <c r="O374" s="95">
        <v>0.11313282760422416</v>
      </c>
      <c r="P374" s="95">
        <v>0.34866594431753084</v>
      </c>
      <c r="Q374" s="95">
        <v>0.41647443040587223</v>
      </c>
      <c r="R374" s="96">
        <v>0.10853571683508861</v>
      </c>
    </row>
    <row r="375" spans="1:18" ht="15.75" hidden="1" customHeight="1" x14ac:dyDescent="0.3">
      <c r="A375" s="89">
        <v>2020</v>
      </c>
      <c r="B375" s="90">
        <v>7</v>
      </c>
      <c r="C375" s="90" t="s">
        <v>728</v>
      </c>
      <c r="D375" s="90" t="s">
        <v>722</v>
      </c>
      <c r="E375" s="91" t="s">
        <v>11</v>
      </c>
      <c r="F375" s="92" t="s">
        <v>45</v>
      </c>
      <c r="G375" s="93">
        <v>3095.6907510000001</v>
      </c>
      <c r="H375" s="93">
        <v>2660.1236199999998</v>
      </c>
      <c r="I375" s="93">
        <v>2397.5457928860201</v>
      </c>
      <c r="J375" s="93">
        <v>4218.2808709999999</v>
      </c>
      <c r="K375" s="93">
        <v>364.82916289999997</v>
      </c>
      <c r="L375" s="93">
        <v>118334.33340999999</v>
      </c>
      <c r="M375" s="93">
        <v>134096.0920379</v>
      </c>
      <c r="N375" s="95">
        <v>0.19640516163724878</v>
      </c>
      <c r="O375" s="95">
        <v>0.1687707369970313</v>
      </c>
      <c r="P375" s="95">
        <v>0.34405007404446625</v>
      </c>
      <c r="Q375" s="95">
        <v>0.26762755163203622</v>
      </c>
      <c r="R375" s="96">
        <v>2.3146475689217402E-2</v>
      </c>
    </row>
    <row r="376" spans="1:18" ht="15.75" hidden="1" customHeight="1" x14ac:dyDescent="0.3">
      <c r="A376" s="89">
        <v>2020</v>
      </c>
      <c r="B376" s="90">
        <v>7</v>
      </c>
      <c r="C376" s="90" t="s">
        <v>728</v>
      </c>
      <c r="D376" s="90" t="s">
        <v>722</v>
      </c>
      <c r="E376" s="91" t="s">
        <v>11</v>
      </c>
      <c r="F376" s="92" t="s">
        <v>721</v>
      </c>
      <c r="G376" s="93">
        <v>736.24326580000002</v>
      </c>
      <c r="H376" s="93">
        <v>2854.0243230000001</v>
      </c>
      <c r="I376" s="93">
        <v>2397.5457928860201</v>
      </c>
      <c r="J376" s="93">
        <v>25029.851719999999</v>
      </c>
      <c r="K376" s="93">
        <v>4014.4991490000002</v>
      </c>
      <c r="L376" s="93">
        <v>263745.63415836997</v>
      </c>
      <c r="M376" s="93">
        <v>309330.85093616997</v>
      </c>
      <c r="N376" s="95">
        <v>1.6150921676839552E-2</v>
      </c>
      <c r="O376" s="95">
        <v>6.2608549980394293E-2</v>
      </c>
      <c r="P376" s="95">
        <v>0.28409645133698125</v>
      </c>
      <c r="Q376" s="95">
        <v>0.54907826460506237</v>
      </c>
      <c r="R376" s="96">
        <v>8.8065812400722449E-2</v>
      </c>
    </row>
    <row r="377" spans="1:18" ht="15.75" hidden="1" customHeight="1" x14ac:dyDescent="0.3">
      <c r="A377" s="89">
        <v>2020</v>
      </c>
      <c r="B377" s="90">
        <v>7</v>
      </c>
      <c r="C377" s="90" t="s">
        <v>728</v>
      </c>
      <c r="D377" s="90" t="s">
        <v>722</v>
      </c>
      <c r="E377" s="91" t="s">
        <v>11</v>
      </c>
      <c r="F377" s="92" t="s">
        <v>46</v>
      </c>
      <c r="G377" s="93">
        <v>2599.2464249999998</v>
      </c>
      <c r="H377" s="93">
        <v>24871.013080000001</v>
      </c>
      <c r="I377" s="93">
        <v>2397.5457928860201</v>
      </c>
      <c r="J377" s="93">
        <v>29678.590530000001</v>
      </c>
      <c r="K377" s="93">
        <v>24622.88222</v>
      </c>
      <c r="L377" s="93">
        <v>14829.30027</v>
      </c>
      <c r="M377" s="93">
        <v>149075.00300500001</v>
      </c>
      <c r="N377" s="95">
        <v>1.936185942674748E-2</v>
      </c>
      <c r="O377" s="95">
        <v>0.18526487308942166</v>
      </c>
      <c r="P377" s="95">
        <v>0.39088007594241747</v>
      </c>
      <c r="Q377" s="95">
        <v>0.22107665217847094</v>
      </c>
      <c r="R377" s="96">
        <v>0.18341653936294247</v>
      </c>
    </row>
    <row r="378" spans="1:18" ht="15.75" hidden="1" customHeight="1" x14ac:dyDescent="0.3">
      <c r="A378" s="89">
        <v>2020</v>
      </c>
      <c r="B378" s="90">
        <v>7</v>
      </c>
      <c r="C378" s="90" t="s">
        <v>728</v>
      </c>
      <c r="D378" s="90" t="s">
        <v>722</v>
      </c>
      <c r="E378" s="91" t="s">
        <v>11</v>
      </c>
      <c r="F378" s="92" t="s">
        <v>47</v>
      </c>
      <c r="G378" s="93">
        <v>12424.482260000001</v>
      </c>
      <c r="H378" s="93">
        <v>129647.1599</v>
      </c>
      <c r="I378" s="93">
        <v>2397.5457928860201</v>
      </c>
      <c r="J378" s="93">
        <v>61108.540699999998</v>
      </c>
      <c r="K378" s="93">
        <v>8269.8197970000001</v>
      </c>
      <c r="L378" s="93">
        <v>1029698.596</v>
      </c>
      <c r="M378" s="93">
        <v>1461770.3578570001</v>
      </c>
      <c r="N378" s="95">
        <v>2.875559885376645E-2</v>
      </c>
      <c r="O378" s="95">
        <v>0.30005932195797713</v>
      </c>
      <c r="P378" s="95">
        <v>0.51061369586336858</v>
      </c>
      <c r="Q378" s="95">
        <v>0.14143146137891949</v>
      </c>
      <c r="R378" s="96">
        <v>1.9139921945968339E-2</v>
      </c>
    </row>
    <row r="379" spans="1:18" ht="15.75" hidden="1" customHeight="1" x14ac:dyDescent="0.3">
      <c r="A379" s="89">
        <v>2020</v>
      </c>
      <c r="B379" s="90">
        <v>7</v>
      </c>
      <c r="C379" s="90" t="s">
        <v>728</v>
      </c>
      <c r="D379" s="90" t="s">
        <v>722</v>
      </c>
      <c r="E379" s="91" t="s">
        <v>11</v>
      </c>
      <c r="F379" s="92" t="s">
        <v>48</v>
      </c>
      <c r="G379" s="93">
        <v>1463.3410690000001</v>
      </c>
      <c r="H379" s="93">
        <v>1052.2340670000001</v>
      </c>
      <c r="I379" s="93">
        <v>2397.5457928860201</v>
      </c>
      <c r="J379" s="93">
        <v>2444.2422430000001</v>
      </c>
      <c r="K379" s="93">
        <v>466.05027460000002</v>
      </c>
      <c r="L379" s="93">
        <v>102345.367535</v>
      </c>
      <c r="M379" s="93">
        <v>110314.3977956</v>
      </c>
      <c r="N379" s="95">
        <v>0.18362849947188215</v>
      </c>
      <c r="O379" s="95">
        <v>0.13204041553241333</v>
      </c>
      <c r="P379" s="95">
        <v>0.3191307503967894</v>
      </c>
      <c r="Q379" s="95">
        <v>0.30671765109045646</v>
      </c>
      <c r="R379" s="96">
        <v>5.8482683508458706E-2</v>
      </c>
    </row>
    <row r="380" spans="1:18" ht="15.75" hidden="1" customHeight="1" x14ac:dyDescent="0.3">
      <c r="A380" s="89">
        <v>2020</v>
      </c>
      <c r="B380" s="90">
        <v>8</v>
      </c>
      <c r="C380" s="90" t="s">
        <v>729</v>
      </c>
      <c r="D380" s="90" t="s">
        <v>719</v>
      </c>
      <c r="E380" s="91" t="s">
        <v>11</v>
      </c>
      <c r="F380" s="92" t="s">
        <v>12</v>
      </c>
      <c r="G380" s="93">
        <v>11490.286980000001</v>
      </c>
      <c r="H380" s="93">
        <v>97654.707620000001</v>
      </c>
      <c r="I380" s="93">
        <v>2397.5457928860201</v>
      </c>
      <c r="J380" s="93">
        <v>36941.081180000001</v>
      </c>
      <c r="K380" s="93">
        <v>1807.929085</v>
      </c>
      <c r="L380" s="93">
        <v>159409.02682</v>
      </c>
      <c r="M380" s="93">
        <v>433311.47678499995</v>
      </c>
      <c r="N380" s="95">
        <v>4.1950289168527923E-2</v>
      </c>
      <c r="O380" s="95">
        <v>0.35653097528875188</v>
      </c>
      <c r="P380" s="95">
        <v>0.46004862357420206</v>
      </c>
      <c r="Q380" s="95">
        <v>0.1348694806662753</v>
      </c>
      <c r="R380" s="96">
        <v>6.6006313022429052E-3</v>
      </c>
    </row>
    <row r="381" spans="1:18" ht="15.75" hidden="1" customHeight="1" x14ac:dyDescent="0.3">
      <c r="A381" s="89">
        <v>2020</v>
      </c>
      <c r="B381" s="90">
        <v>8</v>
      </c>
      <c r="C381" s="90" t="s">
        <v>729</v>
      </c>
      <c r="D381" s="90" t="s">
        <v>719</v>
      </c>
      <c r="E381" s="91" t="s">
        <v>11</v>
      </c>
      <c r="F381" s="92" t="s">
        <v>26</v>
      </c>
      <c r="G381" s="93">
        <v>49898.447</v>
      </c>
      <c r="H381" s="93">
        <v>187865.10800000001</v>
      </c>
      <c r="I381" s="93">
        <v>2397.5457928860201</v>
      </c>
      <c r="J381" s="93">
        <v>98957.037389999998</v>
      </c>
      <c r="K381" s="93">
        <v>3939.6209349999999</v>
      </c>
      <c r="L381" s="93">
        <v>669646.01280000003</v>
      </c>
      <c r="M381" s="93">
        <v>1302393.3164249999</v>
      </c>
      <c r="N381" s="95">
        <v>7.8859991522891582E-2</v>
      </c>
      <c r="O381" s="95">
        <v>0.29690384601202341</v>
      </c>
      <c r="P381" s="95">
        <v>0.46161728169624328</v>
      </c>
      <c r="Q381" s="95">
        <v>0.15639266548126968</v>
      </c>
      <c r="R381" s="96">
        <v>6.2262152875721E-3</v>
      </c>
    </row>
    <row r="382" spans="1:18" ht="15.75" hidden="1" customHeight="1" x14ac:dyDescent="0.3">
      <c r="A382" s="89">
        <v>2020</v>
      </c>
      <c r="B382" s="90">
        <v>8</v>
      </c>
      <c r="C382" s="90" t="s">
        <v>729</v>
      </c>
      <c r="D382" s="90" t="s">
        <v>719</v>
      </c>
      <c r="E382" s="91" t="s">
        <v>11</v>
      </c>
      <c r="F382" s="92" t="s">
        <v>27</v>
      </c>
      <c r="G382" s="93">
        <v>1995.135223</v>
      </c>
      <c r="H382" s="93">
        <v>28586.120419999999</v>
      </c>
      <c r="I382" s="93">
        <v>2397.5457928860201</v>
      </c>
      <c r="J382" s="93">
        <v>18456.839189999999</v>
      </c>
      <c r="K382" s="93">
        <v>657.22125630000005</v>
      </c>
      <c r="L382" s="93">
        <v>99051.209533000001</v>
      </c>
      <c r="M382" s="93">
        <v>226689.6169923</v>
      </c>
      <c r="N382" s="95">
        <v>1.5631151020402599E-2</v>
      </c>
      <c r="O382" s="95">
        <v>0.22396174465836424</v>
      </c>
      <c r="P382" s="95">
        <v>0.61065546743721066</v>
      </c>
      <c r="Q382" s="95">
        <v>0.14460254994865337</v>
      </c>
      <c r="R382" s="96">
        <v>5.149086935369104E-3</v>
      </c>
    </row>
    <row r="383" spans="1:18" ht="15.75" hidden="1" customHeight="1" x14ac:dyDescent="0.3">
      <c r="A383" s="89">
        <v>2020</v>
      </c>
      <c r="B383" s="90">
        <v>8</v>
      </c>
      <c r="C383" s="90" t="s">
        <v>729</v>
      </c>
      <c r="D383" s="90" t="s">
        <v>719</v>
      </c>
      <c r="E383" s="91" t="s">
        <v>11</v>
      </c>
      <c r="F383" s="92" t="s">
        <v>28</v>
      </c>
      <c r="G383" s="93">
        <v>4325.7343339999998</v>
      </c>
      <c r="H383" s="93">
        <v>23102.731039999999</v>
      </c>
      <c r="I383" s="93">
        <v>2397.5457928860201</v>
      </c>
      <c r="J383" s="93">
        <v>114740.8539</v>
      </c>
      <c r="K383" s="93">
        <v>4202.0106530000003</v>
      </c>
      <c r="L383" s="93">
        <v>88833.751142000008</v>
      </c>
      <c r="M383" s="93">
        <v>373104.580969</v>
      </c>
      <c r="N383" s="95">
        <v>1.521694764331793E-2</v>
      </c>
      <c r="O383" s="95">
        <v>8.1270143173183595E-2</v>
      </c>
      <c r="P383" s="95">
        <v>0.48509901625827079</v>
      </c>
      <c r="Q383" s="95">
        <v>0.40363217699764825</v>
      </c>
      <c r="R383" s="96">
        <v>1.4781715927579476E-2</v>
      </c>
    </row>
    <row r="384" spans="1:18" ht="15.75" customHeight="1" x14ac:dyDescent="0.3">
      <c r="A384" s="89">
        <v>2020</v>
      </c>
      <c r="B384" s="90">
        <v>8</v>
      </c>
      <c r="C384" s="90" t="s">
        <v>729</v>
      </c>
      <c r="D384" s="90" t="s">
        <v>719</v>
      </c>
      <c r="E384" s="91" t="s">
        <v>11</v>
      </c>
      <c r="F384" s="92" t="s">
        <v>29</v>
      </c>
      <c r="G384" s="93">
        <v>17589.81813</v>
      </c>
      <c r="H384" s="93">
        <v>72239.944300000003</v>
      </c>
      <c r="I384" s="93">
        <v>2397.5457928860201</v>
      </c>
      <c r="J384" s="93">
        <v>31018.97291</v>
      </c>
      <c r="K384" s="93">
        <v>969.87746689999994</v>
      </c>
      <c r="L384" s="93">
        <v>126078.97955</v>
      </c>
      <c r="M384" s="93">
        <v>354392.05485690001</v>
      </c>
      <c r="N384" s="95">
        <v>7.7042535152030356E-2</v>
      </c>
      <c r="O384" s="95">
        <v>0.31640739017200203</v>
      </c>
      <c r="P384" s="95">
        <v>0.46644048903834961</v>
      </c>
      <c r="Q384" s="95">
        <v>0.13586157020706799</v>
      </c>
      <c r="R384" s="96">
        <v>4.2480154305498449E-3</v>
      </c>
    </row>
    <row r="385" spans="1:18" ht="15.75" hidden="1" customHeight="1" x14ac:dyDescent="0.3">
      <c r="A385" s="89">
        <v>2020</v>
      </c>
      <c r="B385" s="90">
        <v>8</v>
      </c>
      <c r="C385" s="90" t="s">
        <v>729</v>
      </c>
      <c r="D385" s="90" t="s">
        <v>719</v>
      </c>
      <c r="E385" s="91" t="s">
        <v>11</v>
      </c>
      <c r="F385" s="92" t="s">
        <v>30</v>
      </c>
      <c r="G385" s="93">
        <v>1307.265075</v>
      </c>
      <c r="H385" s="93">
        <v>4781.7248049999998</v>
      </c>
      <c r="I385" s="93">
        <v>2397.5457928860201</v>
      </c>
      <c r="J385" s="93">
        <v>631.84056350000003</v>
      </c>
      <c r="K385" s="93">
        <v>9.0251492189999993</v>
      </c>
      <c r="L385" s="93">
        <v>220821.02596600002</v>
      </c>
      <c r="M385" s="93">
        <v>230086.500129719</v>
      </c>
      <c r="N385" s="95">
        <v>0.14108992717489663</v>
      </c>
      <c r="O385" s="95">
        <v>0.51607988112728154</v>
      </c>
      <c r="P385" s="95">
        <v>0.27366312033212198</v>
      </c>
      <c r="Q385" s="95">
        <v>6.8193009050104586E-2</v>
      </c>
      <c r="R385" s="96">
        <v>9.7406231559524009E-4</v>
      </c>
    </row>
    <row r="386" spans="1:18" ht="15.75" hidden="1" customHeight="1" x14ac:dyDescent="0.3">
      <c r="A386" s="89">
        <v>2020</v>
      </c>
      <c r="B386" s="90">
        <v>8</v>
      </c>
      <c r="C386" s="90" t="s">
        <v>729</v>
      </c>
      <c r="D386" s="90" t="s">
        <v>719</v>
      </c>
      <c r="E386" s="91" t="s">
        <v>11</v>
      </c>
      <c r="F386" s="92" t="s">
        <v>31</v>
      </c>
      <c r="G386" s="93">
        <v>505.66786580000002</v>
      </c>
      <c r="H386" s="93">
        <v>37450.571369999998</v>
      </c>
      <c r="I386" s="93">
        <v>2397.5457928860201</v>
      </c>
      <c r="J386" s="93">
        <v>58908.635799999996</v>
      </c>
      <c r="K386" s="93">
        <v>19327.12516</v>
      </c>
      <c r="L386" s="93">
        <v>46610.273118999998</v>
      </c>
      <c r="M386" s="93">
        <v>251948.68865479997</v>
      </c>
      <c r="N386" s="95">
        <v>2.4626072256403414E-3</v>
      </c>
      <c r="O386" s="95">
        <v>0.18238463208298514</v>
      </c>
      <c r="P386" s="95">
        <v>0.4341438746733568</v>
      </c>
      <c r="Q386" s="95">
        <v>0.28688560611655006</v>
      </c>
      <c r="R386" s="96">
        <v>9.4123279901467766E-2</v>
      </c>
    </row>
    <row r="387" spans="1:18" ht="15.75" hidden="1" customHeight="1" x14ac:dyDescent="0.3">
      <c r="A387" s="89">
        <v>2020</v>
      </c>
      <c r="B387" s="90">
        <v>8</v>
      </c>
      <c r="C387" s="90" t="s">
        <v>729</v>
      </c>
      <c r="D387" s="90" t="s">
        <v>719</v>
      </c>
      <c r="E387" s="91" t="s">
        <v>11</v>
      </c>
      <c r="F387" s="92" t="s">
        <v>32</v>
      </c>
      <c r="G387" s="93">
        <v>21081.935850000002</v>
      </c>
      <c r="H387" s="93">
        <v>131270.63690000001</v>
      </c>
      <c r="I387" s="93">
        <v>2397.5457928860201</v>
      </c>
      <c r="J387" s="93">
        <v>70670.736319999996</v>
      </c>
      <c r="K387" s="93">
        <v>8791.2391740000003</v>
      </c>
      <c r="L387" s="93">
        <v>247819.31161</v>
      </c>
      <c r="M387" s="93">
        <v>609521.81275399996</v>
      </c>
      <c r="N387" s="95">
        <v>5.8285291871971109E-2</v>
      </c>
      <c r="O387" s="95">
        <v>0.36292432727120932</v>
      </c>
      <c r="P387" s="95">
        <v>0.35910161663020784</v>
      </c>
      <c r="Q387" s="95">
        <v>0.19538359866597871</v>
      </c>
      <c r="R387" s="96">
        <v>2.4305165560633092E-2</v>
      </c>
    </row>
    <row r="388" spans="1:18" ht="15.75" hidden="1" customHeight="1" x14ac:dyDescent="0.3">
      <c r="A388" s="89">
        <v>2020</v>
      </c>
      <c r="B388" s="90">
        <v>8</v>
      </c>
      <c r="C388" s="90" t="s">
        <v>729</v>
      </c>
      <c r="D388" s="90" t="s">
        <v>719</v>
      </c>
      <c r="E388" s="91" t="s">
        <v>11</v>
      </c>
      <c r="F388" s="92" t="s">
        <v>33</v>
      </c>
      <c r="G388" s="93">
        <v>23599.12991</v>
      </c>
      <c r="H388" s="93">
        <v>91271.683789999995</v>
      </c>
      <c r="I388" s="93">
        <v>2397.5457928860201</v>
      </c>
      <c r="J388" s="93">
        <v>144802.73430000001</v>
      </c>
      <c r="K388" s="93">
        <v>1807.7366830000001</v>
      </c>
      <c r="L388" s="93">
        <v>717185.91130000004</v>
      </c>
      <c r="M388" s="93">
        <v>1352056.7882830002</v>
      </c>
      <c r="N388" s="95">
        <v>3.7171542695652607E-2</v>
      </c>
      <c r="O388" s="95">
        <v>0.14376416858769217</v>
      </c>
      <c r="P388" s="95">
        <v>0.58813469925475614</v>
      </c>
      <c r="Q388" s="95">
        <v>0.22808218103833008</v>
      </c>
      <c r="R388" s="96">
        <v>2.8474084235689486E-3</v>
      </c>
    </row>
    <row r="389" spans="1:18" ht="15.75" hidden="1" customHeight="1" x14ac:dyDescent="0.3">
      <c r="A389" s="89">
        <v>2020</v>
      </c>
      <c r="B389" s="90">
        <v>8</v>
      </c>
      <c r="C389" s="90" t="s">
        <v>729</v>
      </c>
      <c r="D389" s="90" t="s">
        <v>719</v>
      </c>
      <c r="E389" s="91" t="s">
        <v>11</v>
      </c>
      <c r="F389" s="92" t="s">
        <v>34</v>
      </c>
      <c r="G389" s="93">
        <v>17298.326209999999</v>
      </c>
      <c r="H389" s="93">
        <v>48183.978690000004</v>
      </c>
      <c r="I389" s="93">
        <v>2397.5457928860201</v>
      </c>
      <c r="J389" s="93">
        <v>198879.5926</v>
      </c>
      <c r="K389" s="93">
        <v>7252.8225599999996</v>
      </c>
      <c r="L389" s="93">
        <v>132732.09476000001</v>
      </c>
      <c r="M389" s="93">
        <v>713628.83042000001</v>
      </c>
      <c r="N389" s="95">
        <v>2.9778659696453765E-2</v>
      </c>
      <c r="O389" s="95">
        <v>8.2947580408167729E-2</v>
      </c>
      <c r="P389" s="95">
        <v>0.53242167947217278</v>
      </c>
      <c r="Q389" s="95">
        <v>0.34236651781841759</v>
      </c>
      <c r="R389" s="96">
        <v>1.2485562604788144E-2</v>
      </c>
    </row>
    <row r="390" spans="1:18" ht="15.75" hidden="1" customHeight="1" x14ac:dyDescent="0.3">
      <c r="A390" s="89">
        <v>2020</v>
      </c>
      <c r="B390" s="90">
        <v>8</v>
      </c>
      <c r="C390" s="90" t="s">
        <v>729</v>
      </c>
      <c r="D390" s="90" t="s">
        <v>719</v>
      </c>
      <c r="E390" s="91" t="s">
        <v>11</v>
      </c>
      <c r="F390" s="92" t="s">
        <v>35</v>
      </c>
      <c r="G390" s="93">
        <v>11779.23055</v>
      </c>
      <c r="H390" s="93">
        <v>38227.943639999998</v>
      </c>
      <c r="I390" s="93">
        <v>2397.5457928860201</v>
      </c>
      <c r="J390" s="93">
        <v>73276.377280000001</v>
      </c>
      <c r="K390" s="93">
        <v>17780.731599999999</v>
      </c>
      <c r="L390" s="93">
        <v>392625.24809999997</v>
      </c>
      <c r="M390" s="93">
        <v>605861.19628000003</v>
      </c>
      <c r="N390" s="95">
        <v>5.5240360035619954E-2</v>
      </c>
      <c r="O390" s="95">
        <v>0.1792753237260466</v>
      </c>
      <c r="P390" s="95">
        <v>0.33845918441986783</v>
      </c>
      <c r="Q390" s="95">
        <v>0.34363988767102638</v>
      </c>
      <c r="R390" s="96">
        <v>8.3385244147439225E-2</v>
      </c>
    </row>
    <row r="391" spans="1:18" ht="15.75" hidden="1" customHeight="1" x14ac:dyDescent="0.3">
      <c r="A391" s="89">
        <v>2020</v>
      </c>
      <c r="B391" s="90">
        <v>8</v>
      </c>
      <c r="C391" s="90" t="s">
        <v>729</v>
      </c>
      <c r="D391" s="90" t="s">
        <v>719</v>
      </c>
      <c r="E391" s="91" t="s">
        <v>11</v>
      </c>
      <c r="F391" s="92" t="s">
        <v>36</v>
      </c>
      <c r="G391" s="93">
        <v>10755.937959999999</v>
      </c>
      <c r="H391" s="93">
        <v>79192.228529999993</v>
      </c>
      <c r="I391" s="93">
        <v>2397.5457928860201</v>
      </c>
      <c r="J391" s="93">
        <v>32909.36838</v>
      </c>
      <c r="K391" s="93">
        <v>644.48918760000004</v>
      </c>
      <c r="L391" s="93">
        <v>37617.026825000001</v>
      </c>
      <c r="M391" s="93">
        <v>258886.87146259999</v>
      </c>
      <c r="N391" s="95">
        <v>4.8610048864165298E-2</v>
      </c>
      <c r="O391" s="95">
        <v>0.35789887528371772</v>
      </c>
      <c r="P391" s="95">
        <v>0.44184882372980389</v>
      </c>
      <c r="Q391" s="95">
        <v>0.14872956788982972</v>
      </c>
      <c r="R391" s="96">
        <v>2.9126842324834496E-3</v>
      </c>
    </row>
    <row r="392" spans="1:18" ht="15.75" hidden="1" customHeight="1" x14ac:dyDescent="0.3">
      <c r="A392" s="89">
        <v>2020</v>
      </c>
      <c r="B392" s="90">
        <v>8</v>
      </c>
      <c r="C392" s="90" t="s">
        <v>729</v>
      </c>
      <c r="D392" s="90" t="s">
        <v>719</v>
      </c>
      <c r="E392" s="91" t="s">
        <v>11</v>
      </c>
      <c r="F392" s="92" t="s">
        <v>37</v>
      </c>
      <c r="G392" s="93">
        <v>19743.33711</v>
      </c>
      <c r="H392" s="93">
        <v>92883.123430000007</v>
      </c>
      <c r="I392" s="93">
        <v>2397.5457928860201</v>
      </c>
      <c r="J392" s="93">
        <v>51673.333859999999</v>
      </c>
      <c r="K392" s="93">
        <v>1107.195003</v>
      </c>
      <c r="L392" s="93">
        <v>227467.90247000003</v>
      </c>
      <c r="M392" s="93">
        <v>524073.85777300003</v>
      </c>
      <c r="N392" s="95">
        <v>6.6564196561161595E-2</v>
      </c>
      <c r="O392" s="95">
        <v>0.3131532653655405</v>
      </c>
      <c r="P392" s="95">
        <v>0.44233422678911738</v>
      </c>
      <c r="Q392" s="95">
        <v>0.17421542938075105</v>
      </c>
      <c r="R392" s="96">
        <v>3.7328819034295412E-3</v>
      </c>
    </row>
    <row r="393" spans="1:18" ht="15.75" hidden="1" customHeight="1" x14ac:dyDescent="0.3">
      <c r="A393" s="89">
        <v>2020</v>
      </c>
      <c r="B393" s="90">
        <v>8</v>
      </c>
      <c r="C393" s="90" t="s">
        <v>729</v>
      </c>
      <c r="D393" s="90" t="s">
        <v>719</v>
      </c>
      <c r="E393" s="91" t="s">
        <v>11</v>
      </c>
      <c r="F393" s="92" t="s">
        <v>720</v>
      </c>
      <c r="G393" s="93">
        <v>33962.487350000003</v>
      </c>
      <c r="H393" s="93">
        <v>112675.4145</v>
      </c>
      <c r="I393" s="93">
        <v>2397.5457928860201</v>
      </c>
      <c r="J393" s="93">
        <v>130423.3846</v>
      </c>
      <c r="K393" s="93">
        <v>7974.9011780000001</v>
      </c>
      <c r="L393" s="93">
        <v>447608.89040000003</v>
      </c>
      <c r="M393" s="93">
        <v>927958.42262800003</v>
      </c>
      <c r="N393" s="95">
        <v>7.070369610327748E-2</v>
      </c>
      <c r="O393" s="95">
        <v>0.23456963511003925</v>
      </c>
      <c r="P393" s="95">
        <v>0.40660671343652666</v>
      </c>
      <c r="Q393" s="95">
        <v>0.2715176675514987</v>
      </c>
      <c r="R393" s="96">
        <v>1.6602287798657994E-2</v>
      </c>
    </row>
    <row r="394" spans="1:18" ht="15.75" hidden="1" customHeight="1" x14ac:dyDescent="0.3">
      <c r="A394" s="89">
        <v>2020</v>
      </c>
      <c r="B394" s="90">
        <v>8</v>
      </c>
      <c r="C394" s="90" t="s">
        <v>729</v>
      </c>
      <c r="D394" s="90" t="s">
        <v>719</v>
      </c>
      <c r="E394" s="91" t="s">
        <v>11</v>
      </c>
      <c r="F394" s="92" t="s">
        <v>39</v>
      </c>
      <c r="G394" s="93">
        <v>4207.6679359999998</v>
      </c>
      <c r="H394" s="93">
        <v>32895.857629999999</v>
      </c>
      <c r="I394" s="93">
        <v>2397.5457928860201</v>
      </c>
      <c r="J394" s="93">
        <v>37495.436780000004</v>
      </c>
      <c r="K394" s="93">
        <v>1754.506339</v>
      </c>
      <c r="L394" s="93">
        <v>163786.932631</v>
      </c>
      <c r="M394" s="93">
        <v>331195.166486</v>
      </c>
      <c r="N394" s="95">
        <v>2.513417553669705E-2</v>
      </c>
      <c r="O394" s="95">
        <v>0.196500834352584</v>
      </c>
      <c r="P394" s="95">
        <v>0.54390852273650248</v>
      </c>
      <c r="Q394" s="95">
        <v>0.22397606089361491</v>
      </c>
      <c r="R394" s="96">
        <v>1.0480406480601539E-2</v>
      </c>
    </row>
    <row r="395" spans="1:18" ht="15.75" hidden="1" customHeight="1" x14ac:dyDescent="0.3">
      <c r="A395" s="89">
        <v>2020</v>
      </c>
      <c r="B395" s="90">
        <v>8</v>
      </c>
      <c r="C395" s="90" t="s">
        <v>729</v>
      </c>
      <c r="D395" s="90" t="s">
        <v>719</v>
      </c>
      <c r="E395" s="91" t="s">
        <v>11</v>
      </c>
      <c r="F395" s="92" t="s">
        <v>40</v>
      </c>
      <c r="G395" s="93">
        <v>9538.7648509999999</v>
      </c>
      <c r="H395" s="93">
        <v>80437.858739999996</v>
      </c>
      <c r="I395" s="93">
        <v>2397.5457928860201</v>
      </c>
      <c r="J395" s="93">
        <v>46120.633049999997</v>
      </c>
      <c r="K395" s="93">
        <v>5647.2791010000001</v>
      </c>
      <c r="L395" s="93">
        <v>78063.996568999995</v>
      </c>
      <c r="M395" s="93">
        <v>326305.02471099998</v>
      </c>
      <c r="N395" s="95">
        <v>3.8425416307668492E-2</v>
      </c>
      <c r="O395" s="95">
        <v>0.32403128258874098</v>
      </c>
      <c r="P395" s="95">
        <v>0.42900439623977621</v>
      </c>
      <c r="Q395" s="95">
        <v>0.18578972781089939</v>
      </c>
      <c r="R395" s="96">
        <v>2.2749177052914949E-2</v>
      </c>
    </row>
    <row r="396" spans="1:18" ht="15.75" hidden="1" customHeight="1" x14ac:dyDescent="0.3">
      <c r="A396" s="89">
        <v>2020</v>
      </c>
      <c r="B396" s="90">
        <v>8</v>
      </c>
      <c r="C396" s="90" t="s">
        <v>729</v>
      </c>
      <c r="D396" s="90" t="s">
        <v>719</v>
      </c>
      <c r="E396" s="91" t="s">
        <v>11</v>
      </c>
      <c r="F396" s="92" t="s">
        <v>41</v>
      </c>
      <c r="G396" s="93">
        <v>1215.5926010000001</v>
      </c>
      <c r="H396" s="93">
        <v>5684.2969110000004</v>
      </c>
      <c r="I396" s="93">
        <v>2397.5457928860201</v>
      </c>
      <c r="J396" s="93">
        <v>1723.4328620000001</v>
      </c>
      <c r="K396" s="93">
        <v>45.893404779999997</v>
      </c>
      <c r="L396" s="93">
        <v>3594.577628</v>
      </c>
      <c r="M396" s="93">
        <v>18714.332738780002</v>
      </c>
      <c r="N396" s="95">
        <v>8.0397638195430388E-2</v>
      </c>
      <c r="O396" s="95">
        <v>0.3759516519515082</v>
      </c>
      <c r="P396" s="95">
        <v>0.42662988155151599</v>
      </c>
      <c r="Q396" s="95">
        <v>0.11398550104632557</v>
      </c>
      <c r="R396" s="96">
        <v>3.0353272552198392E-3</v>
      </c>
    </row>
    <row r="397" spans="1:18" ht="15.75" hidden="1" customHeight="1" x14ac:dyDescent="0.3">
      <c r="A397" s="89">
        <v>2020</v>
      </c>
      <c r="B397" s="90">
        <v>8</v>
      </c>
      <c r="C397" s="90" t="s">
        <v>729</v>
      </c>
      <c r="D397" s="90" t="s">
        <v>719</v>
      </c>
      <c r="E397" s="91" t="s">
        <v>11</v>
      </c>
      <c r="F397" s="92" t="s">
        <v>42</v>
      </c>
      <c r="G397" s="93">
        <v>7786.9875270000002</v>
      </c>
      <c r="H397" s="93">
        <v>101407.3616</v>
      </c>
      <c r="I397" s="93">
        <v>2397.5457928860201</v>
      </c>
      <c r="J397" s="93">
        <v>22441.118930000001</v>
      </c>
      <c r="K397" s="93">
        <v>826.01019580000002</v>
      </c>
      <c r="L397" s="93">
        <v>370586.15133000002</v>
      </c>
      <c r="M397" s="93">
        <v>620824.33978280006</v>
      </c>
      <c r="N397" s="95">
        <v>3.1118302027145568E-2</v>
      </c>
      <c r="O397" s="95">
        <v>0.40524334925453431</v>
      </c>
      <c r="P397" s="95">
        <v>0.47065841919733642</v>
      </c>
      <c r="Q397" s="95">
        <v>8.9679033678877723E-2</v>
      </c>
      <c r="R397" s="96">
        <v>3.3008958421060597E-3</v>
      </c>
    </row>
    <row r="398" spans="1:18" ht="15.75" hidden="1" customHeight="1" x14ac:dyDescent="0.3">
      <c r="A398" s="89">
        <v>2020</v>
      </c>
      <c r="B398" s="90">
        <v>8</v>
      </c>
      <c r="C398" s="90" t="s">
        <v>729</v>
      </c>
      <c r="D398" s="90" t="s">
        <v>719</v>
      </c>
      <c r="E398" s="91" t="s">
        <v>11</v>
      </c>
      <c r="F398" s="92" t="s">
        <v>43</v>
      </c>
      <c r="G398" s="93">
        <v>1660.2504879999999</v>
      </c>
      <c r="H398" s="93">
        <v>16909.200779999999</v>
      </c>
      <c r="I398" s="93">
        <v>2397.5457928860201</v>
      </c>
      <c r="J398" s="93">
        <v>13486.11022</v>
      </c>
      <c r="K398" s="93">
        <v>2881.0246969999998</v>
      </c>
      <c r="L398" s="93">
        <v>125665.12440999999</v>
      </c>
      <c r="M398" s="93">
        <v>185575.48507499998</v>
      </c>
      <c r="N398" s="95">
        <v>2.7712243250939541E-2</v>
      </c>
      <c r="O398" s="95">
        <v>0.28224167894015795</v>
      </c>
      <c r="P398" s="95">
        <v>0.41685234745364891</v>
      </c>
      <c r="Q398" s="95">
        <v>0.22510480775454034</v>
      </c>
      <c r="R398" s="96">
        <v>4.8088922600713235E-2</v>
      </c>
    </row>
    <row r="399" spans="1:18" ht="15.75" hidden="1" customHeight="1" x14ac:dyDescent="0.3">
      <c r="A399" s="89">
        <v>2020</v>
      </c>
      <c r="B399" s="90">
        <v>8</v>
      </c>
      <c r="C399" s="90" t="s">
        <v>729</v>
      </c>
      <c r="D399" s="90" t="s">
        <v>719</v>
      </c>
      <c r="E399" s="91" t="s">
        <v>11</v>
      </c>
      <c r="F399" s="92" t="s">
        <v>58</v>
      </c>
      <c r="G399" s="93">
        <v>14155.085719999999</v>
      </c>
      <c r="H399" s="93">
        <v>111484.399</v>
      </c>
      <c r="I399" s="93">
        <v>2397.5457928860201</v>
      </c>
      <c r="J399" s="93">
        <v>14507.23603</v>
      </c>
      <c r="K399" s="93">
        <v>230.1079704</v>
      </c>
      <c r="L399" s="93">
        <v>129620.861494</v>
      </c>
      <c r="M399" s="93">
        <v>371477.12561440002</v>
      </c>
      <c r="N399" s="95">
        <v>5.8526851770741677E-2</v>
      </c>
      <c r="O399" s="95">
        <v>0.46095311777618975</v>
      </c>
      <c r="P399" s="95">
        <v>0.41958572282205547</v>
      </c>
      <c r="Q399" s="95">
        <v>5.9982883150704998E-2</v>
      </c>
      <c r="R399" s="96">
        <v>9.5142448030805806E-4</v>
      </c>
    </row>
    <row r="400" spans="1:18" ht="15.75" hidden="1" customHeight="1" x14ac:dyDescent="0.3">
      <c r="A400" s="89">
        <v>2020</v>
      </c>
      <c r="B400" s="90">
        <v>8</v>
      </c>
      <c r="C400" s="90" t="s">
        <v>729</v>
      </c>
      <c r="D400" s="90" t="s">
        <v>719</v>
      </c>
      <c r="E400" s="91" t="s">
        <v>11</v>
      </c>
      <c r="F400" s="92" t="s">
        <v>44</v>
      </c>
      <c r="G400" s="93">
        <v>5956.2210519999999</v>
      </c>
      <c r="H400" s="93">
        <v>35767.44904</v>
      </c>
      <c r="I400" s="93">
        <v>2397.5457928860201</v>
      </c>
      <c r="J400" s="93">
        <v>31668.952499999999</v>
      </c>
      <c r="K400" s="93">
        <v>905.83175140000003</v>
      </c>
      <c r="L400" s="93">
        <v>63331.623079999998</v>
      </c>
      <c r="M400" s="93">
        <v>215729.28855339999</v>
      </c>
      <c r="N400" s="95">
        <v>3.9083413997831995E-2</v>
      </c>
      <c r="O400" s="95">
        <v>0.23469814271034861</v>
      </c>
      <c r="P400" s="95">
        <v>0.51246986551530671</v>
      </c>
      <c r="Q400" s="95">
        <v>0.20780470882952995</v>
      </c>
      <c r="R400" s="96">
        <v>5.9438689469827012E-3</v>
      </c>
    </row>
    <row r="401" spans="1:18" ht="15.75" hidden="1" customHeight="1" x14ac:dyDescent="0.3">
      <c r="A401" s="89">
        <v>2020</v>
      </c>
      <c r="B401" s="90">
        <v>8</v>
      </c>
      <c r="C401" s="90" t="s">
        <v>729</v>
      </c>
      <c r="D401" s="90" t="s">
        <v>719</v>
      </c>
      <c r="E401" s="91" t="s">
        <v>11</v>
      </c>
      <c r="F401" s="92" t="s">
        <v>51</v>
      </c>
      <c r="G401" s="93">
        <v>4438.5025649999998</v>
      </c>
      <c r="H401" s="93">
        <v>42615.77317</v>
      </c>
      <c r="I401" s="93">
        <v>2397.5457928860201</v>
      </c>
      <c r="J401" s="93">
        <v>46457.237880000001</v>
      </c>
      <c r="K401" s="93">
        <v>5304.4543160000003</v>
      </c>
      <c r="L401" s="93">
        <v>4632.3795179999997</v>
      </c>
      <c r="M401" s="93">
        <v>211202.40924899999</v>
      </c>
      <c r="N401" s="95">
        <v>2.1486672441205119E-2</v>
      </c>
      <c r="O401" s="95">
        <v>0.20630182038263339</v>
      </c>
      <c r="P401" s="95">
        <v>0.52163453691864059</v>
      </c>
      <c r="Q401" s="95">
        <v>0.22489824850438195</v>
      </c>
      <c r="R401" s="96">
        <v>2.5678721753139004E-2</v>
      </c>
    </row>
    <row r="402" spans="1:18" ht="15.75" hidden="1" customHeight="1" x14ac:dyDescent="0.3">
      <c r="A402" s="89">
        <v>2020</v>
      </c>
      <c r="B402" s="90">
        <v>8</v>
      </c>
      <c r="C402" s="90" t="s">
        <v>729</v>
      </c>
      <c r="D402" s="90" t="s">
        <v>719</v>
      </c>
      <c r="E402" s="91" t="s">
        <v>11</v>
      </c>
      <c r="F402" s="92" t="s">
        <v>45</v>
      </c>
      <c r="G402" s="93">
        <v>5857.4494800000002</v>
      </c>
      <c r="H402" s="93">
        <v>25364.17913</v>
      </c>
      <c r="I402" s="93">
        <v>2397.5457928860201</v>
      </c>
      <c r="J402" s="93">
        <v>16840.208200000001</v>
      </c>
      <c r="K402" s="93">
        <v>1478.2270490000001</v>
      </c>
      <c r="L402" s="93">
        <v>53935.996805000002</v>
      </c>
      <c r="M402" s="93">
        <v>134096.09203399997</v>
      </c>
      <c r="N402" s="95">
        <v>7.3071887742480079E-2</v>
      </c>
      <c r="O402" s="95">
        <v>0.3164190244228135</v>
      </c>
      <c r="P402" s="95">
        <v>0.38198596549224673</v>
      </c>
      <c r="Q402" s="95">
        <v>0.21008218804994161</v>
      </c>
      <c r="R402" s="96">
        <v>1.8440934292518321E-2</v>
      </c>
    </row>
    <row r="403" spans="1:18" ht="15.75" hidden="1" customHeight="1" x14ac:dyDescent="0.3">
      <c r="A403" s="89">
        <v>2020</v>
      </c>
      <c r="B403" s="90">
        <v>8</v>
      </c>
      <c r="C403" s="90" t="s">
        <v>729</v>
      </c>
      <c r="D403" s="90" t="s">
        <v>719</v>
      </c>
      <c r="E403" s="91" t="s">
        <v>11</v>
      </c>
      <c r="F403" s="92" t="s">
        <v>721</v>
      </c>
      <c r="G403" s="93">
        <v>2275.9869469999999</v>
      </c>
      <c r="H403" s="93">
        <v>33043.261680000003</v>
      </c>
      <c r="I403" s="93">
        <v>2397.5457928860201</v>
      </c>
      <c r="J403" s="93">
        <v>47068.685579999998</v>
      </c>
      <c r="K403" s="93">
        <v>4353.6117789999998</v>
      </c>
      <c r="L403" s="93">
        <v>83691.170338370008</v>
      </c>
      <c r="M403" s="93">
        <v>309330.85092437</v>
      </c>
      <c r="N403" s="95">
        <v>1.0086820461228821E-2</v>
      </c>
      <c r="O403" s="95">
        <v>0.14644260085010155</v>
      </c>
      <c r="P403" s="95">
        <v>0.61557494780737632</v>
      </c>
      <c r="Q403" s="95">
        <v>0.20860110002708637</v>
      </c>
      <c r="R403" s="96">
        <v>1.929453085420705E-2</v>
      </c>
    </row>
    <row r="404" spans="1:18" ht="15.75" hidden="1" customHeight="1" x14ac:dyDescent="0.3">
      <c r="A404" s="89">
        <v>2020</v>
      </c>
      <c r="B404" s="90">
        <v>8</v>
      </c>
      <c r="C404" s="90" t="s">
        <v>729</v>
      </c>
      <c r="D404" s="90" t="s">
        <v>719</v>
      </c>
      <c r="E404" s="91" t="s">
        <v>11</v>
      </c>
      <c r="F404" s="92" t="s">
        <v>46</v>
      </c>
      <c r="G404" s="93">
        <v>3929.8759599999998</v>
      </c>
      <c r="H404" s="93">
        <v>41375.666100000002</v>
      </c>
      <c r="I404" s="93">
        <v>2397.5457928860201</v>
      </c>
      <c r="J404" s="93">
        <v>25953.212579999999</v>
      </c>
      <c r="K404" s="93">
        <v>7630.7593459999998</v>
      </c>
      <c r="L404" s="93">
        <v>5893.9075439999997</v>
      </c>
      <c r="M404" s="93">
        <v>149075.00300999999</v>
      </c>
      <c r="N404" s="95">
        <v>2.7446891275763385E-2</v>
      </c>
      <c r="O404" s="95">
        <v>0.28897436470462773</v>
      </c>
      <c r="P404" s="95">
        <v>0.44902283552696226</v>
      </c>
      <c r="Q404" s="95">
        <v>0.18126144722899462</v>
      </c>
      <c r="R404" s="96">
        <v>5.3294461263652025E-2</v>
      </c>
    </row>
    <row r="405" spans="1:18" ht="15.75" hidden="1" customHeight="1" x14ac:dyDescent="0.3">
      <c r="A405" s="89">
        <v>2020</v>
      </c>
      <c r="B405" s="90">
        <v>8</v>
      </c>
      <c r="C405" s="90" t="s">
        <v>729</v>
      </c>
      <c r="D405" s="90" t="s">
        <v>719</v>
      </c>
      <c r="E405" s="91" t="s">
        <v>11</v>
      </c>
      <c r="F405" s="92" t="s">
        <v>47</v>
      </c>
      <c r="G405" s="93">
        <v>15019.75208</v>
      </c>
      <c r="H405" s="93">
        <v>161552.29639999999</v>
      </c>
      <c r="I405" s="93">
        <v>2397.5457928860201</v>
      </c>
      <c r="J405" s="93">
        <v>142653.7715</v>
      </c>
      <c r="K405" s="93">
        <v>19773.931270000001</v>
      </c>
      <c r="L405" s="93">
        <v>738273.30009999999</v>
      </c>
      <c r="M405" s="93">
        <v>1461770.3581500002</v>
      </c>
      <c r="N405" s="95">
        <v>2.0759935251819642E-2</v>
      </c>
      <c r="O405" s="95">
        <v>0.22329364660503606</v>
      </c>
      <c r="P405" s="95">
        <v>0.53144280618958351</v>
      </c>
      <c r="Q405" s="95">
        <v>0.19717256609790024</v>
      </c>
      <c r="R405" s="96">
        <v>2.7331045855660475E-2</v>
      </c>
    </row>
    <row r="406" spans="1:18" ht="15.75" hidden="1" customHeight="1" x14ac:dyDescent="0.3">
      <c r="A406" s="89">
        <v>2020</v>
      </c>
      <c r="B406" s="90">
        <v>8</v>
      </c>
      <c r="C406" s="90" t="s">
        <v>729</v>
      </c>
      <c r="D406" s="90" t="s">
        <v>719</v>
      </c>
      <c r="E406" s="91" t="s">
        <v>11</v>
      </c>
      <c r="F406" s="92" t="s">
        <v>48</v>
      </c>
      <c r="G406" s="93">
        <v>2197.712004</v>
      </c>
      <c r="H406" s="93">
        <v>11165.71046</v>
      </c>
      <c r="I406" s="93">
        <v>2397.5457928860201</v>
      </c>
      <c r="J406" s="93">
        <v>42887.445970000001</v>
      </c>
      <c r="K406" s="93">
        <v>2806.3477979999998</v>
      </c>
      <c r="L406" s="93">
        <v>8405.4199545800002</v>
      </c>
      <c r="M406" s="93">
        <v>110314.39779658001</v>
      </c>
      <c r="N406" s="95">
        <v>2.1565440558214011E-2</v>
      </c>
      <c r="O406" s="95">
        <v>0.10956552304264451</v>
      </c>
      <c r="P406" s="95">
        <v>0.42049054477258624</v>
      </c>
      <c r="Q406" s="95">
        <v>0.42084070391219924</v>
      </c>
      <c r="R406" s="96">
        <v>2.7537787714355944E-2</v>
      </c>
    </row>
    <row r="407" spans="1:18" ht="15.75" hidden="1" customHeight="1" x14ac:dyDescent="0.3">
      <c r="A407" s="89">
        <v>2020</v>
      </c>
      <c r="B407" s="90">
        <v>8</v>
      </c>
      <c r="C407" s="90" t="s">
        <v>729</v>
      </c>
      <c r="D407" s="90" t="s">
        <v>722</v>
      </c>
      <c r="E407" s="98" t="s">
        <v>11</v>
      </c>
      <c r="F407" s="99" t="s">
        <v>12</v>
      </c>
      <c r="G407" s="93">
        <v>19040.983829768498</v>
      </c>
      <c r="H407" s="93">
        <v>115485.836526543</v>
      </c>
      <c r="I407" s="93">
        <v>2397.5457928860201</v>
      </c>
      <c r="J407" s="93">
        <v>68733.140220648405</v>
      </c>
      <c r="K407" s="93">
        <v>4588.3787788541604</v>
      </c>
      <c r="L407" s="93">
        <v>71645.829040630299</v>
      </c>
      <c r="M407" s="93">
        <v>433311.47680228442</v>
      </c>
      <c r="N407" s="95">
        <v>5.2648029879566939E-2</v>
      </c>
      <c r="O407" s="95">
        <v>0.31931657662618484</v>
      </c>
      <c r="P407" s="95">
        <v>0.42530251174756062</v>
      </c>
      <c r="Q407" s="95">
        <v>0.19004608440430348</v>
      </c>
      <c r="R407" s="96">
        <v>1.2686797342384053E-2</v>
      </c>
    </row>
    <row r="408" spans="1:18" ht="15.75" hidden="1" customHeight="1" x14ac:dyDescent="0.3">
      <c r="A408" s="89">
        <v>2020</v>
      </c>
      <c r="B408" s="90">
        <v>8</v>
      </c>
      <c r="C408" s="90" t="s">
        <v>729</v>
      </c>
      <c r="D408" s="90" t="s">
        <v>722</v>
      </c>
      <c r="E408" s="98" t="s">
        <v>11</v>
      </c>
      <c r="F408" s="99" t="s">
        <v>26</v>
      </c>
      <c r="G408" s="93">
        <v>49507.840143271598</v>
      </c>
      <c r="H408" s="93">
        <v>171591.17614527</v>
      </c>
      <c r="I408" s="93">
        <v>2397.5457928860201</v>
      </c>
      <c r="J408" s="93">
        <v>412969.87852689502</v>
      </c>
      <c r="K408" s="93">
        <v>11874.0356160232</v>
      </c>
      <c r="L408" s="93">
        <v>266434.40206124069</v>
      </c>
      <c r="M408" s="93">
        <v>1302393.3163907246</v>
      </c>
      <c r="N408" s="95">
        <v>4.778938571643563E-2</v>
      </c>
      <c r="O408" s="95">
        <v>0.16563511715745119</v>
      </c>
      <c r="P408" s="95">
        <v>0.3764782352883741</v>
      </c>
      <c r="Q408" s="95">
        <v>0.39863538294294854</v>
      </c>
      <c r="R408" s="96">
        <v>1.1461878894790509E-2</v>
      </c>
    </row>
    <row r="409" spans="1:18" ht="15.75" hidden="1" customHeight="1" x14ac:dyDescent="0.3">
      <c r="A409" s="89">
        <v>2020</v>
      </c>
      <c r="B409" s="90">
        <v>8</v>
      </c>
      <c r="C409" s="90" t="s">
        <v>729</v>
      </c>
      <c r="D409" s="90" t="s">
        <v>722</v>
      </c>
      <c r="E409" s="91" t="s">
        <v>11</v>
      </c>
      <c r="F409" s="92" t="s">
        <v>27</v>
      </c>
      <c r="G409" s="93">
        <v>1138.6221515625</v>
      </c>
      <c r="H409" s="93">
        <v>15383.367870150099</v>
      </c>
      <c r="I409" s="93">
        <v>2397.5457928860201</v>
      </c>
      <c r="J409" s="93">
        <v>88864.519331603005</v>
      </c>
      <c r="K409" s="93">
        <v>5136.0622413756</v>
      </c>
      <c r="L409" s="93">
        <v>4620.6575807597901</v>
      </c>
      <c r="M409" s="93">
        <v>226689.61699929999</v>
      </c>
      <c r="N409" s="95">
        <v>5.1273359164821578E-3</v>
      </c>
      <c r="O409" s="95">
        <v>6.927293175250393E-2</v>
      </c>
      <c r="P409" s="95">
        <v>0.50230517635566563</v>
      </c>
      <c r="Q409" s="95">
        <v>0.40016632475013003</v>
      </c>
      <c r="R409" s="96">
        <v>2.3128231225218222E-2</v>
      </c>
    </row>
    <row r="410" spans="1:18" ht="15.75" hidden="1" customHeight="1" x14ac:dyDescent="0.3">
      <c r="A410" s="89">
        <v>2020</v>
      </c>
      <c r="B410" s="90">
        <v>8</v>
      </c>
      <c r="C410" s="90" t="s">
        <v>729</v>
      </c>
      <c r="D410" s="90" t="s">
        <v>722</v>
      </c>
      <c r="E410" s="91" t="s">
        <v>11</v>
      </c>
      <c r="F410" s="92" t="s">
        <v>28</v>
      </c>
      <c r="G410" s="93">
        <v>3419.4848209788502</v>
      </c>
      <c r="H410" s="93">
        <v>14714.4434642985</v>
      </c>
      <c r="I410" s="93">
        <v>2397.5457928860201</v>
      </c>
      <c r="J410" s="93">
        <v>237884.14386139801</v>
      </c>
      <c r="K410" s="93">
        <v>15687.363982996299</v>
      </c>
      <c r="L410" s="93">
        <v>3373.4996315395201</v>
      </c>
      <c r="M410" s="93">
        <v>373104.58101494372</v>
      </c>
      <c r="N410" s="95">
        <v>9.2485727956230657E-3</v>
      </c>
      <c r="O410" s="95">
        <v>3.9797691363253007E-2</v>
      </c>
      <c r="P410" s="95">
        <v>0.26512687244727945</v>
      </c>
      <c r="Q410" s="95">
        <v>0.64339774457510812</v>
      </c>
      <c r="R410" s="96">
        <v>4.2429118818736247E-2</v>
      </c>
    </row>
    <row r="411" spans="1:18" ht="15.75" customHeight="1" x14ac:dyDescent="0.3">
      <c r="A411" s="89">
        <v>2020</v>
      </c>
      <c r="B411" s="90">
        <v>8</v>
      </c>
      <c r="C411" s="90" t="s">
        <v>729</v>
      </c>
      <c r="D411" s="90" t="s">
        <v>722</v>
      </c>
      <c r="E411" s="91" t="s">
        <v>11</v>
      </c>
      <c r="F411" s="92" t="s">
        <v>29</v>
      </c>
      <c r="G411" s="93">
        <v>8303.0720705913009</v>
      </c>
      <c r="H411" s="93">
        <v>45489.208462888499</v>
      </c>
      <c r="I411" s="93">
        <v>2397.5457928860201</v>
      </c>
      <c r="J411" s="93">
        <v>79801.367978172202</v>
      </c>
      <c r="K411" s="93">
        <v>8192.2268967861601</v>
      </c>
      <c r="L411" s="93">
        <v>105764.34903025991</v>
      </c>
      <c r="M411" s="93">
        <v>354392.05486975505</v>
      </c>
      <c r="N411" s="95">
        <v>3.3395602644346711E-2</v>
      </c>
      <c r="O411" s="95">
        <v>0.18296113986690868</v>
      </c>
      <c r="P411" s="95">
        <v>0.4297261645491357</v>
      </c>
      <c r="Q411" s="95">
        <v>0.32096731821870655</v>
      </c>
      <c r="R411" s="96">
        <v>3.2949774720902422E-2</v>
      </c>
    </row>
    <row r="412" spans="1:18" ht="15.75" hidden="1" customHeight="1" x14ac:dyDescent="0.3">
      <c r="A412" s="89">
        <v>2020</v>
      </c>
      <c r="B412" s="90">
        <v>8</v>
      </c>
      <c r="C412" s="90" t="s">
        <v>729</v>
      </c>
      <c r="D412" s="90" t="s">
        <v>722</v>
      </c>
      <c r="E412" s="91" t="s">
        <v>11</v>
      </c>
      <c r="F412" s="92" t="s">
        <v>30</v>
      </c>
      <c r="G412" s="93">
        <v>1006.22462120098</v>
      </c>
      <c r="H412" s="93">
        <v>2622.6805102941198</v>
      </c>
      <c r="I412" s="93">
        <v>2397.5457928860201</v>
      </c>
      <c r="J412" s="93">
        <v>920.80016111979103</v>
      </c>
      <c r="K412" s="93">
        <v>7.7484084329044096</v>
      </c>
      <c r="L412" s="93">
        <v>223393.8163180422</v>
      </c>
      <c r="M412" s="93">
        <v>230086.50016211695</v>
      </c>
      <c r="N412" s="95">
        <v>0.15034695267905454</v>
      </c>
      <c r="O412" s="95">
        <v>0.39187276306441132</v>
      </c>
      <c r="P412" s="95">
        <v>0.31903944557568592</v>
      </c>
      <c r="Q412" s="95">
        <v>0.13758309559699353</v>
      </c>
      <c r="R412" s="96">
        <v>1.1577430838548158E-3</v>
      </c>
    </row>
    <row r="413" spans="1:18" ht="15.75" hidden="1" customHeight="1" x14ac:dyDescent="0.3">
      <c r="A413" s="89">
        <v>2020</v>
      </c>
      <c r="B413" s="90">
        <v>8</v>
      </c>
      <c r="C413" s="90" t="s">
        <v>729</v>
      </c>
      <c r="D413" s="90" t="s">
        <v>722</v>
      </c>
      <c r="E413" s="91" t="s">
        <v>11</v>
      </c>
      <c r="F413" s="92" t="s">
        <v>31</v>
      </c>
      <c r="G413" s="93">
        <v>277.91295531096802</v>
      </c>
      <c r="H413" s="93">
        <v>25547.377260241901</v>
      </c>
      <c r="I413" s="93">
        <v>2397.5457928860201</v>
      </c>
      <c r="J413" s="93">
        <v>61721.306926888501</v>
      </c>
      <c r="K413" s="93">
        <v>14398.954811908799</v>
      </c>
      <c r="L413" s="93">
        <v>53934.731287538605</v>
      </c>
      <c r="M413" s="93">
        <v>251948.68865991596</v>
      </c>
      <c r="N413" s="95">
        <v>1.4035018490556992E-3</v>
      </c>
      <c r="O413" s="95">
        <v>0.12901806316712561</v>
      </c>
      <c r="P413" s="95">
        <v>0.48515976698230767</v>
      </c>
      <c r="Q413" s="95">
        <v>0.31170179994341413</v>
      </c>
      <c r="R413" s="96">
        <v>7.2716868058096948E-2</v>
      </c>
    </row>
    <row r="414" spans="1:18" ht="15.75" hidden="1" customHeight="1" x14ac:dyDescent="0.3">
      <c r="A414" s="89">
        <v>2020</v>
      </c>
      <c r="B414" s="90">
        <v>8</v>
      </c>
      <c r="C414" s="90" t="s">
        <v>729</v>
      </c>
      <c r="D414" s="90" t="s">
        <v>722</v>
      </c>
      <c r="E414" s="91" t="s">
        <v>11</v>
      </c>
      <c r="F414" s="92" t="s">
        <v>32</v>
      </c>
      <c r="G414" s="93">
        <v>13962.4764760616</v>
      </c>
      <c r="H414" s="93">
        <v>114096.143527879</v>
      </c>
      <c r="I414" s="93">
        <v>2397.5457928860201</v>
      </c>
      <c r="J414" s="93">
        <v>166328.51033893399</v>
      </c>
      <c r="K414" s="93">
        <v>31614.489532438802</v>
      </c>
      <c r="L414" s="93">
        <v>61110.792188440799</v>
      </c>
      <c r="M414" s="93">
        <v>609521.81280337926</v>
      </c>
      <c r="N414" s="95">
        <v>2.5459875807027625E-2</v>
      </c>
      <c r="O414" s="95">
        <v>0.20804859719985552</v>
      </c>
      <c r="P414" s="95">
        <v>0.40555239114311609</v>
      </c>
      <c r="Q414" s="95">
        <v>0.30329169926678035</v>
      </c>
      <c r="R414" s="96">
        <v>5.7647436583220329E-2</v>
      </c>
    </row>
    <row r="415" spans="1:18" ht="15.75" hidden="1" customHeight="1" x14ac:dyDescent="0.3">
      <c r="A415" s="89">
        <v>2020</v>
      </c>
      <c r="B415" s="90">
        <v>8</v>
      </c>
      <c r="C415" s="90" t="s">
        <v>729</v>
      </c>
      <c r="D415" s="90" t="s">
        <v>722</v>
      </c>
      <c r="E415" s="91" t="s">
        <v>11</v>
      </c>
      <c r="F415" s="92" t="s">
        <v>33</v>
      </c>
      <c r="G415" s="93">
        <v>27116.8604603858</v>
      </c>
      <c r="H415" s="93">
        <v>107114.668914658</v>
      </c>
      <c r="I415" s="93">
        <v>2397.5457928860201</v>
      </c>
      <c r="J415" s="93">
        <v>454768.77750730101</v>
      </c>
      <c r="K415" s="93">
        <v>11318.189998633499</v>
      </c>
      <c r="L415" s="93">
        <v>36242.874880750605</v>
      </c>
      <c r="M415" s="93">
        <v>1352056.788256783</v>
      </c>
      <c r="N415" s="95">
        <v>2.0608431165476181E-2</v>
      </c>
      <c r="O415" s="95">
        <v>8.1405636333355028E-2</v>
      </c>
      <c r="P415" s="95">
        <v>0.5437664165286723</v>
      </c>
      <c r="Q415" s="95">
        <v>0.34561785134227979</v>
      </c>
      <c r="R415" s="96">
        <v>8.6016646302165944E-3</v>
      </c>
    </row>
    <row r="416" spans="1:18" ht="15.75" hidden="1" customHeight="1" x14ac:dyDescent="0.3">
      <c r="A416" s="89">
        <v>2020</v>
      </c>
      <c r="B416" s="90">
        <v>8</v>
      </c>
      <c r="C416" s="90" t="s">
        <v>729</v>
      </c>
      <c r="D416" s="90" t="s">
        <v>722</v>
      </c>
      <c r="E416" s="91" t="s">
        <v>11</v>
      </c>
      <c r="F416" s="92" t="s">
        <v>34</v>
      </c>
      <c r="G416" s="93">
        <v>14421.3609788679</v>
      </c>
      <c r="H416" s="93">
        <v>28590.216230364898</v>
      </c>
      <c r="I416" s="93">
        <v>2397.5457928860201</v>
      </c>
      <c r="J416" s="93">
        <v>400489.772767352</v>
      </c>
      <c r="K416" s="93">
        <v>64571.142702696001</v>
      </c>
      <c r="L416" s="93">
        <v>85433.907135839603</v>
      </c>
      <c r="M416" s="93">
        <v>713628.83042004134</v>
      </c>
      <c r="N416" s="95">
        <v>2.2956825094149209E-2</v>
      </c>
      <c r="O416" s="95">
        <v>4.5511695766172873E-2</v>
      </c>
      <c r="P416" s="95">
        <v>0.1912184039579963</v>
      </c>
      <c r="Q416" s="95">
        <v>0.63752468847343158</v>
      </c>
      <c r="R416" s="96">
        <v>0.10278838670825004</v>
      </c>
    </row>
    <row r="417" spans="1:18" ht="15.75" hidden="1" customHeight="1" x14ac:dyDescent="0.3">
      <c r="A417" s="89">
        <v>2020</v>
      </c>
      <c r="B417" s="90">
        <v>8</v>
      </c>
      <c r="C417" s="90" t="s">
        <v>729</v>
      </c>
      <c r="D417" s="90" t="s">
        <v>722</v>
      </c>
      <c r="E417" s="91" t="s">
        <v>11</v>
      </c>
      <c r="F417" s="92" t="s">
        <v>35</v>
      </c>
      <c r="G417" s="93">
        <v>8387.94281775731</v>
      </c>
      <c r="H417" s="93">
        <v>39424.133456341398</v>
      </c>
      <c r="I417" s="93">
        <v>2397.5457928860201</v>
      </c>
      <c r="J417" s="93">
        <v>149019.299421376</v>
      </c>
      <c r="K417" s="93">
        <v>69118.516312937194</v>
      </c>
      <c r="L417" s="93">
        <v>245575.96467594011</v>
      </c>
      <c r="M417" s="93">
        <v>605861.19629491551</v>
      </c>
      <c r="N417" s="95">
        <v>2.3281395077076304E-2</v>
      </c>
      <c r="O417" s="95">
        <v>0.10942478346721392</v>
      </c>
      <c r="P417" s="95">
        <v>0.26183515540356406</v>
      </c>
      <c r="Q417" s="95">
        <v>0.41361478723883249</v>
      </c>
      <c r="R417" s="96">
        <v>0.19184387881331319</v>
      </c>
    </row>
    <row r="418" spans="1:18" ht="15.75" hidden="1" customHeight="1" x14ac:dyDescent="0.3">
      <c r="A418" s="89">
        <v>2020</v>
      </c>
      <c r="B418" s="90">
        <v>8</v>
      </c>
      <c r="C418" s="90" t="s">
        <v>729</v>
      </c>
      <c r="D418" s="90" t="s">
        <v>722</v>
      </c>
      <c r="E418" s="91" t="s">
        <v>11</v>
      </c>
      <c r="F418" s="92" t="s">
        <v>36</v>
      </c>
      <c r="G418" s="93">
        <v>4129.1316603017804</v>
      </c>
      <c r="H418" s="93">
        <v>46280.6688281483</v>
      </c>
      <c r="I418" s="93">
        <v>2397.5457928860201</v>
      </c>
      <c r="J418" s="93">
        <v>55068.638014332202</v>
      </c>
      <c r="K418" s="93">
        <v>2063.7869396629899</v>
      </c>
      <c r="L418" s="93">
        <v>33326.706483287664</v>
      </c>
      <c r="M418" s="93">
        <v>258886.87145457999</v>
      </c>
      <c r="N418" s="95">
        <v>1.8306120944836631E-2</v>
      </c>
      <c r="O418" s="95">
        <v>0.20518103821230391</v>
      </c>
      <c r="P418" s="95">
        <v>0.52322155174814433</v>
      </c>
      <c r="Q418" s="95">
        <v>0.24414168176078851</v>
      </c>
      <c r="R418" s="96">
        <v>9.1496073339264218E-3</v>
      </c>
    </row>
    <row r="419" spans="1:18" ht="15.75" hidden="1" customHeight="1" x14ac:dyDescent="0.3">
      <c r="A419" s="89">
        <v>2020</v>
      </c>
      <c r="B419" s="90">
        <v>8</v>
      </c>
      <c r="C419" s="90" t="s">
        <v>729</v>
      </c>
      <c r="D419" s="90" t="s">
        <v>722</v>
      </c>
      <c r="E419" s="91" t="s">
        <v>11</v>
      </c>
      <c r="F419" s="92" t="s">
        <v>37</v>
      </c>
      <c r="G419" s="93">
        <v>11326.5606308241</v>
      </c>
      <c r="H419" s="93">
        <v>74851.085239259803</v>
      </c>
      <c r="I419" s="93">
        <v>2397.5457928860201</v>
      </c>
      <c r="J419" s="93">
        <v>124810.575901922</v>
      </c>
      <c r="K419" s="93">
        <v>11510.0620748437</v>
      </c>
      <c r="L419" s="93">
        <v>170691.50615188581</v>
      </c>
      <c r="M419" s="93">
        <v>524073.85777631844</v>
      </c>
      <c r="N419" s="95">
        <v>3.2051857085556253E-2</v>
      </c>
      <c r="O419" s="95">
        <v>0.21181330899854892</v>
      </c>
      <c r="P419" s="95">
        <v>0.37037522438778681</v>
      </c>
      <c r="Q419" s="95">
        <v>0.35318848077214698</v>
      </c>
      <c r="R419" s="96">
        <v>3.2571128755961062E-2</v>
      </c>
    </row>
    <row r="420" spans="1:18" ht="15.75" hidden="1" customHeight="1" x14ac:dyDescent="0.3">
      <c r="A420" s="89">
        <v>2020</v>
      </c>
      <c r="B420" s="90">
        <v>8</v>
      </c>
      <c r="C420" s="90" t="s">
        <v>729</v>
      </c>
      <c r="D420" s="90" t="s">
        <v>722</v>
      </c>
      <c r="E420" s="91" t="s">
        <v>11</v>
      </c>
      <c r="F420" s="92" t="s">
        <v>720</v>
      </c>
      <c r="G420" s="93">
        <v>30716.234984762399</v>
      </c>
      <c r="H420" s="93">
        <v>103081.437451463</v>
      </c>
      <c r="I420" s="93">
        <v>2397.5457928860201</v>
      </c>
      <c r="J420" s="93">
        <v>320736.87616973399</v>
      </c>
      <c r="K420" s="93">
        <v>76726.399498982995</v>
      </c>
      <c r="L420" s="93">
        <v>203465.09400583661</v>
      </c>
      <c r="M420" s="93">
        <v>927958.42268838896</v>
      </c>
      <c r="N420" s="95">
        <v>4.2396850003599107E-2</v>
      </c>
      <c r="O420" s="95">
        <v>0.14228072691698959</v>
      </c>
      <c r="P420" s="95">
        <v>0.26671381630109897</v>
      </c>
      <c r="Q420" s="95">
        <v>0.44270507880724697</v>
      </c>
      <c r="R420" s="96">
        <v>0.10590352797106545</v>
      </c>
    </row>
    <row r="421" spans="1:18" ht="15.75" hidden="1" customHeight="1" x14ac:dyDescent="0.3">
      <c r="A421" s="89">
        <v>2020</v>
      </c>
      <c r="B421" s="90">
        <v>8</v>
      </c>
      <c r="C421" s="90" t="s">
        <v>729</v>
      </c>
      <c r="D421" s="90" t="s">
        <v>722</v>
      </c>
      <c r="E421" s="91" t="s">
        <v>11</v>
      </c>
      <c r="F421" s="92" t="s">
        <v>39</v>
      </c>
      <c r="G421" s="93">
        <v>3069.3183756387698</v>
      </c>
      <c r="H421" s="93">
        <v>24283.5020617384</v>
      </c>
      <c r="I421" s="93">
        <v>2397.5457928860201</v>
      </c>
      <c r="J421" s="93">
        <v>134108.904875012</v>
      </c>
      <c r="K421" s="93">
        <v>18525.494392982699</v>
      </c>
      <c r="L421" s="93">
        <v>42387.517438119627</v>
      </c>
      <c r="M421" s="93">
        <v>331195.16650097445</v>
      </c>
      <c r="N421" s="95">
        <v>1.0627552232769212E-2</v>
      </c>
      <c r="O421" s="95">
        <v>8.4081921446801586E-2</v>
      </c>
      <c r="P421" s="95">
        <v>0.37679206111954394</v>
      </c>
      <c r="Q421" s="95">
        <v>0.46435371538869846</v>
      </c>
      <c r="R421" s="96">
        <v>6.4144749812186902E-2</v>
      </c>
    </row>
    <row r="422" spans="1:18" ht="15.75" hidden="1" customHeight="1" x14ac:dyDescent="0.3">
      <c r="A422" s="89">
        <v>2020</v>
      </c>
      <c r="B422" s="90">
        <v>8</v>
      </c>
      <c r="C422" s="90" t="s">
        <v>729</v>
      </c>
      <c r="D422" s="90" t="s">
        <v>722</v>
      </c>
      <c r="E422" s="91" t="s">
        <v>11</v>
      </c>
      <c r="F422" s="92" t="s">
        <v>40</v>
      </c>
      <c r="G422" s="93">
        <v>6771.3132814338496</v>
      </c>
      <c r="H422" s="93">
        <v>77999.316957884497</v>
      </c>
      <c r="I422" s="93">
        <v>2397.5457928860201</v>
      </c>
      <c r="J422" s="93">
        <v>59737.645279478696</v>
      </c>
      <c r="K422" s="93">
        <v>5274.95699069086</v>
      </c>
      <c r="L422" s="93">
        <v>27936.10078542761</v>
      </c>
      <c r="M422" s="93">
        <v>326305.02470134851</v>
      </c>
      <c r="N422" s="95">
        <v>2.2694432089522758E-2</v>
      </c>
      <c r="O422" s="95">
        <v>0.26141903766045144</v>
      </c>
      <c r="P422" s="95">
        <v>0.4979931872808035</v>
      </c>
      <c r="Q422" s="95">
        <v>0.20021403199588075</v>
      </c>
      <c r="R422" s="96">
        <v>1.7679310973341581E-2</v>
      </c>
    </row>
    <row r="423" spans="1:18" ht="15.75" hidden="1" customHeight="1" x14ac:dyDescent="0.3">
      <c r="A423" s="89">
        <v>2020</v>
      </c>
      <c r="B423" s="90">
        <v>8</v>
      </c>
      <c r="C423" s="90" t="s">
        <v>729</v>
      </c>
      <c r="D423" s="90" t="s">
        <v>722</v>
      </c>
      <c r="E423" s="91" t="s">
        <v>11</v>
      </c>
      <c r="F423" s="92" t="s">
        <v>41</v>
      </c>
      <c r="G423" s="93">
        <v>1007.06047106924</v>
      </c>
      <c r="H423" s="93">
        <v>4129.6350369852898</v>
      </c>
      <c r="I423" s="93">
        <v>2397.5457928860201</v>
      </c>
      <c r="J423" s="93">
        <v>982.30445195465597</v>
      </c>
      <c r="K423" s="93">
        <v>79.841741248468097</v>
      </c>
      <c r="L423" s="93">
        <v>8645.8316889920297</v>
      </c>
      <c r="M423" s="93">
        <v>18714.332738962912</v>
      </c>
      <c r="N423" s="95">
        <v>0.10002089348465154</v>
      </c>
      <c r="O423" s="95">
        <v>0.41015390637489496</v>
      </c>
      <c r="P423" s="95">
        <v>0.38433321201515097</v>
      </c>
      <c r="Q423" s="95">
        <v>9.7562134331554404E-2</v>
      </c>
      <c r="R423" s="96">
        <v>7.9298537937480748E-3</v>
      </c>
    </row>
    <row r="424" spans="1:18" ht="15.75" hidden="1" customHeight="1" x14ac:dyDescent="0.3">
      <c r="A424" s="89">
        <v>2020</v>
      </c>
      <c r="B424" s="90">
        <v>8</v>
      </c>
      <c r="C424" s="90" t="s">
        <v>729</v>
      </c>
      <c r="D424" s="90" t="s">
        <v>722</v>
      </c>
      <c r="E424" s="91" t="s">
        <v>11</v>
      </c>
      <c r="F424" s="92" t="s">
        <v>42</v>
      </c>
      <c r="G424" s="93">
        <v>4301.2469991099797</v>
      </c>
      <c r="H424" s="93">
        <v>76135.652219394105</v>
      </c>
      <c r="I424" s="93">
        <v>2397.5457928860201</v>
      </c>
      <c r="J424" s="93">
        <v>105896.991352179</v>
      </c>
      <c r="K424" s="93">
        <v>12322.827239292201</v>
      </c>
      <c r="L424" s="93">
        <v>180073.19673216529</v>
      </c>
      <c r="M424" s="93">
        <v>620824.33974999352</v>
      </c>
      <c r="N424" s="95">
        <v>9.7589015190279287E-3</v>
      </c>
      <c r="O424" s="95">
        <v>0.17274068014456503</v>
      </c>
      <c r="P424" s="95">
        <v>0.54927690839376986</v>
      </c>
      <c r="Q424" s="95">
        <v>0.24026481389725063</v>
      </c>
      <c r="R424" s="96">
        <v>2.7958696045386651E-2</v>
      </c>
    </row>
    <row r="425" spans="1:18" ht="15.75" hidden="1" customHeight="1" x14ac:dyDescent="0.3">
      <c r="A425" s="89">
        <v>2020</v>
      </c>
      <c r="B425" s="90">
        <v>8</v>
      </c>
      <c r="C425" s="90" t="s">
        <v>729</v>
      </c>
      <c r="D425" s="90" t="s">
        <v>722</v>
      </c>
      <c r="E425" s="91" t="s">
        <v>11</v>
      </c>
      <c r="F425" s="92" t="s">
        <v>43</v>
      </c>
      <c r="G425" s="93">
        <v>1592.14704681372</v>
      </c>
      <c r="H425" s="93">
        <v>15611.0724729626</v>
      </c>
      <c r="I425" s="93">
        <v>2397.5457928860201</v>
      </c>
      <c r="J425" s="93">
        <v>12985.8215962637</v>
      </c>
      <c r="K425" s="93">
        <v>2968.2025911412302</v>
      </c>
      <c r="L425" s="93">
        <v>129984.65138494069</v>
      </c>
      <c r="M425" s="93">
        <v>185575.48510012284</v>
      </c>
      <c r="N425" s="95">
        <v>2.864045995372248E-2</v>
      </c>
      <c r="O425" s="95">
        <v>0.28082098126006577</v>
      </c>
      <c r="P425" s="95">
        <v>0.4035483641590748</v>
      </c>
      <c r="Q425" s="95">
        <v>0.23359645337927723</v>
      </c>
      <c r="R425" s="96">
        <v>5.3393741247859686E-2</v>
      </c>
    </row>
    <row r="426" spans="1:18" ht="15.75" hidden="1" customHeight="1" x14ac:dyDescent="0.3">
      <c r="A426" s="89">
        <v>2020</v>
      </c>
      <c r="B426" s="90">
        <v>8</v>
      </c>
      <c r="C426" s="90" t="s">
        <v>729</v>
      </c>
      <c r="D426" s="90" t="s">
        <v>722</v>
      </c>
      <c r="E426" s="91" t="s">
        <v>11</v>
      </c>
      <c r="F426" s="92" t="s">
        <v>58</v>
      </c>
      <c r="G426" s="93">
        <v>13190.246798386999</v>
      </c>
      <c r="H426" s="93">
        <v>111253.41622809401</v>
      </c>
      <c r="I426" s="93">
        <v>2397.5457928860201</v>
      </c>
      <c r="J426" s="93">
        <v>57671.784086582098</v>
      </c>
      <c r="K426" s="93">
        <v>2903.3088553998</v>
      </c>
      <c r="L426" s="93">
        <v>20942.891461119732</v>
      </c>
      <c r="M426" s="93">
        <v>371477.12559239363</v>
      </c>
      <c r="N426" s="95">
        <v>3.7628983174999381E-2</v>
      </c>
      <c r="O426" s="95">
        <v>0.31738245624942296</v>
      </c>
      <c r="P426" s="95">
        <v>0.47218063757169582</v>
      </c>
      <c r="Q426" s="95">
        <v>0.16452539715417414</v>
      </c>
      <c r="R426" s="96">
        <v>8.2825258497077944E-3</v>
      </c>
    </row>
    <row r="427" spans="1:18" ht="15.75" hidden="1" customHeight="1" x14ac:dyDescent="0.3">
      <c r="A427" s="89">
        <v>2020</v>
      </c>
      <c r="B427" s="90">
        <v>8</v>
      </c>
      <c r="C427" s="90" t="s">
        <v>729</v>
      </c>
      <c r="D427" s="90" t="s">
        <v>722</v>
      </c>
      <c r="E427" s="91" t="s">
        <v>11</v>
      </c>
      <c r="F427" s="92" t="s">
        <v>44</v>
      </c>
      <c r="G427" s="93">
        <v>5264.0342385508602</v>
      </c>
      <c r="H427" s="93">
        <v>31782.959574216999</v>
      </c>
      <c r="I427" s="93">
        <v>2397.5457928860201</v>
      </c>
      <c r="J427" s="93">
        <v>42175.521859528701</v>
      </c>
      <c r="K427" s="93">
        <v>1363.33926323223</v>
      </c>
      <c r="L427" s="93">
        <v>44755.124757066602</v>
      </c>
      <c r="M427" s="93">
        <v>215729.28855108179</v>
      </c>
      <c r="N427" s="95">
        <v>3.0788477754409835E-2</v>
      </c>
      <c r="O427" s="95">
        <v>0.18589334709370595</v>
      </c>
      <c r="P427" s="95">
        <v>0.52866647716074611</v>
      </c>
      <c r="Q427" s="95">
        <v>0.24667774898633557</v>
      </c>
      <c r="R427" s="96">
        <v>7.973949004802517E-3</v>
      </c>
    </row>
    <row r="428" spans="1:18" ht="15.75" hidden="1" customHeight="1" x14ac:dyDescent="0.3">
      <c r="A428" s="89">
        <v>2020</v>
      </c>
      <c r="B428" s="90">
        <v>8</v>
      </c>
      <c r="C428" s="90" t="s">
        <v>729</v>
      </c>
      <c r="D428" s="90" t="s">
        <v>722</v>
      </c>
      <c r="E428" s="91" t="s">
        <v>11</v>
      </c>
      <c r="F428" s="92" t="s">
        <v>51</v>
      </c>
      <c r="G428" s="93">
        <v>3569.2991713771498</v>
      </c>
      <c r="H428" s="93">
        <v>36535.109224535998</v>
      </c>
      <c r="I428" s="93">
        <v>2397.5457928860201</v>
      </c>
      <c r="J428" s="93">
        <v>57035.763987274302</v>
      </c>
      <c r="K428" s="93">
        <v>7945.0854083808299</v>
      </c>
      <c r="L428" s="93">
        <v>5782.4889350199501</v>
      </c>
      <c r="M428" s="93">
        <v>211202.40923547221</v>
      </c>
      <c r="N428" s="95">
        <v>1.737562338723822E-2</v>
      </c>
      <c r="O428" s="95">
        <v>0.17785572680146522</v>
      </c>
      <c r="P428" s="95">
        <v>0.48843686806095549</v>
      </c>
      <c r="Q428" s="95">
        <v>0.27765449379910373</v>
      </c>
      <c r="R428" s="96">
        <v>3.8677287951237399E-2</v>
      </c>
    </row>
    <row r="429" spans="1:18" ht="15.75" hidden="1" customHeight="1" x14ac:dyDescent="0.3">
      <c r="A429" s="89">
        <v>2020</v>
      </c>
      <c r="B429" s="90">
        <v>8</v>
      </c>
      <c r="C429" s="90" t="s">
        <v>729</v>
      </c>
      <c r="D429" s="90" t="s">
        <v>722</v>
      </c>
      <c r="E429" s="91" t="s">
        <v>11</v>
      </c>
      <c r="F429" s="92" t="s">
        <v>45</v>
      </c>
      <c r="G429" s="93">
        <v>2027.7202947196699</v>
      </c>
      <c r="H429" s="93">
        <v>16838.159279766998</v>
      </c>
      <c r="I429" s="93">
        <v>2397.5457928860201</v>
      </c>
      <c r="J429" s="93">
        <v>28741.602508530999</v>
      </c>
      <c r="K429" s="93">
        <v>4344.8363089491504</v>
      </c>
      <c r="L429" s="93">
        <v>48993.677165906171</v>
      </c>
      <c r="M429" s="93">
        <v>134096.09203645919</v>
      </c>
      <c r="N429" s="95">
        <v>2.3826824395100664E-2</v>
      </c>
      <c r="O429" s="95">
        <v>0.19785759670132827</v>
      </c>
      <c r="P429" s="95">
        <v>0.38953179564892393</v>
      </c>
      <c r="Q429" s="95">
        <v>0.33772957620825539</v>
      </c>
      <c r="R429" s="96">
        <v>5.1054207046391853E-2</v>
      </c>
    </row>
    <row r="430" spans="1:18" ht="15.75" hidden="1" customHeight="1" x14ac:dyDescent="0.3">
      <c r="A430" s="89">
        <v>2020</v>
      </c>
      <c r="B430" s="90">
        <v>8</v>
      </c>
      <c r="C430" s="90" t="s">
        <v>729</v>
      </c>
      <c r="D430" s="90" t="s">
        <v>722</v>
      </c>
      <c r="E430" s="91" t="s">
        <v>11</v>
      </c>
      <c r="F430" s="92" t="s">
        <v>721</v>
      </c>
      <c r="G430" s="93">
        <v>1095.24116210171</v>
      </c>
      <c r="H430" s="93">
        <v>20530.658164866902</v>
      </c>
      <c r="I430" s="93">
        <v>2397.5457928860201</v>
      </c>
      <c r="J430" s="93">
        <v>107665.362799412</v>
      </c>
      <c r="K430" s="93">
        <v>6290.4932851179501</v>
      </c>
      <c r="L430" s="93">
        <v>2822.908273120408</v>
      </c>
      <c r="M430" s="93">
        <v>309330.850903032</v>
      </c>
      <c r="N430" s="95">
        <v>3.5732880287025464E-3</v>
      </c>
      <c r="O430" s="95">
        <v>6.6982467040524088E-2</v>
      </c>
      <c r="P430" s="95">
        <v>0.55765663281618527</v>
      </c>
      <c r="Q430" s="95">
        <v>0.35126451169786138</v>
      </c>
      <c r="R430" s="96">
        <v>2.0523100416726597E-2</v>
      </c>
    </row>
    <row r="431" spans="1:18" ht="15.75" hidden="1" customHeight="1" x14ac:dyDescent="0.3">
      <c r="A431" s="89">
        <v>2020</v>
      </c>
      <c r="B431" s="90">
        <v>8</v>
      </c>
      <c r="C431" s="90" t="s">
        <v>729</v>
      </c>
      <c r="D431" s="90" t="s">
        <v>722</v>
      </c>
      <c r="E431" s="91" t="s">
        <v>11</v>
      </c>
      <c r="F431" s="92" t="s">
        <v>46</v>
      </c>
      <c r="G431" s="93">
        <v>3882.48263301316</v>
      </c>
      <c r="H431" s="93">
        <v>36370.7644523907</v>
      </c>
      <c r="I431" s="93">
        <v>2397.5457928860201</v>
      </c>
      <c r="J431" s="93">
        <v>27036.671478545901</v>
      </c>
      <c r="K431" s="93">
        <v>16833.914138394699</v>
      </c>
      <c r="L431" s="93">
        <v>9870.8966956035802</v>
      </c>
      <c r="M431" s="93">
        <v>149075.00300838865</v>
      </c>
      <c r="N431" s="95">
        <v>2.7890575471167529E-2</v>
      </c>
      <c r="O431" s="95">
        <v>0.26127651989422862</v>
      </c>
      <c r="P431" s="95">
        <v>0.39567994845409099</v>
      </c>
      <c r="Q431" s="95">
        <v>0.19422323230749941</v>
      </c>
      <c r="R431" s="96">
        <v>0.1209297238730134</v>
      </c>
    </row>
    <row r="432" spans="1:18" ht="15.75" hidden="1" customHeight="1" x14ac:dyDescent="0.3">
      <c r="A432" s="89">
        <v>2020</v>
      </c>
      <c r="B432" s="90">
        <v>8</v>
      </c>
      <c r="C432" s="90" t="s">
        <v>729</v>
      </c>
      <c r="D432" s="90" t="s">
        <v>722</v>
      </c>
      <c r="E432" s="91" t="s">
        <v>11</v>
      </c>
      <c r="F432" s="92" t="s">
        <v>47</v>
      </c>
      <c r="G432" s="93">
        <v>13274.778387267101</v>
      </c>
      <c r="H432" s="93">
        <v>172109.55416955199</v>
      </c>
      <c r="I432" s="93">
        <v>2397.5457928860201</v>
      </c>
      <c r="J432" s="93">
        <v>275236.81701918202</v>
      </c>
      <c r="K432" s="93">
        <v>39873.704168891702</v>
      </c>
      <c r="L432" s="93">
        <v>400146.30029322498</v>
      </c>
      <c r="M432" s="93">
        <v>1461770.358140938</v>
      </c>
      <c r="N432" s="95">
        <v>1.2504217749341295E-2</v>
      </c>
      <c r="O432" s="95">
        <v>0.16211911636448675</v>
      </c>
      <c r="P432" s="95">
        <v>0.52855735507767898</v>
      </c>
      <c r="Q432" s="95">
        <v>0.25926015427455962</v>
      </c>
      <c r="R432" s="96">
        <v>3.755915653393329E-2</v>
      </c>
    </row>
    <row r="433" spans="1:18" ht="15.75" hidden="1" customHeight="1" x14ac:dyDescent="0.3">
      <c r="A433" s="89">
        <v>2020</v>
      </c>
      <c r="B433" s="90">
        <v>8</v>
      </c>
      <c r="C433" s="90" t="s">
        <v>729</v>
      </c>
      <c r="D433" s="90" t="s">
        <v>722</v>
      </c>
      <c r="E433" s="91" t="s">
        <v>11</v>
      </c>
      <c r="F433" s="92" t="s">
        <v>48</v>
      </c>
      <c r="G433" s="93">
        <v>1075.44343000459</v>
      </c>
      <c r="H433" s="93">
        <v>3753.01163645221</v>
      </c>
      <c r="I433" s="93">
        <v>2397.5457928860201</v>
      </c>
      <c r="J433" s="93">
        <v>59938.816020763501</v>
      </c>
      <c r="K433" s="93">
        <v>17505.146610447198</v>
      </c>
      <c r="L433" s="93">
        <v>8521.8455857521603</v>
      </c>
      <c r="M433" s="93">
        <v>110314.39779994526</v>
      </c>
      <c r="N433" s="95">
        <v>1.0565050257720518E-2</v>
      </c>
      <c r="O433" s="95">
        <v>3.6869216409419404E-2</v>
      </c>
      <c r="P433" s="95">
        <v>0.19176387753252419</v>
      </c>
      <c r="Q433" s="95">
        <v>0.58883302085440914</v>
      </c>
      <c r="R433" s="96">
        <v>0.17196883494592669</v>
      </c>
    </row>
    <row r="434" spans="1:18" ht="15.75" hidden="1" customHeight="1" x14ac:dyDescent="0.3">
      <c r="A434" s="89">
        <v>2020</v>
      </c>
      <c r="B434" s="90">
        <v>9</v>
      </c>
      <c r="C434" s="90" t="s">
        <v>730</v>
      </c>
      <c r="D434" s="90" t="s">
        <v>719</v>
      </c>
      <c r="E434" s="98" t="s">
        <v>11</v>
      </c>
      <c r="F434" s="99" t="s">
        <v>12</v>
      </c>
      <c r="G434" s="93">
        <v>19002.188811384902</v>
      </c>
      <c r="H434" s="93">
        <v>115092.997690371</v>
      </c>
      <c r="I434" s="93">
        <v>2397.5457928860201</v>
      </c>
      <c r="J434" s="93">
        <v>7841.5012070909797</v>
      </c>
      <c r="K434" s="93">
        <v>191.413325390625</v>
      </c>
      <c r="L434" s="93">
        <v>203343.38988971029</v>
      </c>
      <c r="M434" s="93">
        <v>433311.47680228192</v>
      </c>
      <c r="N434" s="95">
        <v>8.2629677302177504E-2</v>
      </c>
      <c r="O434" s="95">
        <v>0.50047377979939722</v>
      </c>
      <c r="P434" s="95">
        <v>0.38196598083510941</v>
      </c>
      <c r="Q434" s="95">
        <v>3.4098214723472187E-2</v>
      </c>
      <c r="R434" s="96">
        <v>8.3234733984370536E-4</v>
      </c>
    </row>
    <row r="435" spans="1:18" ht="15.75" hidden="1" customHeight="1" x14ac:dyDescent="0.3">
      <c r="A435" s="89">
        <v>2020</v>
      </c>
      <c r="B435" s="90">
        <v>9</v>
      </c>
      <c r="C435" s="90" t="s">
        <v>730</v>
      </c>
      <c r="D435" s="90" t="s">
        <v>719</v>
      </c>
      <c r="E435" s="98" t="s">
        <v>11</v>
      </c>
      <c r="F435" s="99" t="s">
        <v>26</v>
      </c>
      <c r="G435" s="93">
        <v>85911.0282834018</v>
      </c>
      <c r="H435" s="93">
        <v>348984.687159008</v>
      </c>
      <c r="I435" s="93">
        <v>2397.5457928860201</v>
      </c>
      <c r="J435" s="93">
        <v>34368.329588495901</v>
      </c>
      <c r="K435" s="93">
        <v>533.30852971047796</v>
      </c>
      <c r="L435" s="93">
        <v>310358.48813350109</v>
      </c>
      <c r="M435" s="93">
        <v>1302393.3163907784</v>
      </c>
      <c r="N435" s="95">
        <v>8.6600818677226299E-2</v>
      </c>
      <c r="O435" s="95">
        <v>0.35178672887127838</v>
      </c>
      <c r="P435" s="95">
        <v>0.52643058471453419</v>
      </c>
      <c r="Q435" s="95">
        <v>3.4644277206346948E-2</v>
      </c>
      <c r="R435" s="96">
        <v>5.3759053061408057E-4</v>
      </c>
    </row>
    <row r="436" spans="1:18" ht="15.75" hidden="1" customHeight="1" x14ac:dyDescent="0.3">
      <c r="A436" s="89">
        <v>2020</v>
      </c>
      <c r="B436" s="90">
        <v>9</v>
      </c>
      <c r="C436" s="90" t="s">
        <v>730</v>
      </c>
      <c r="D436" s="90" t="s">
        <v>719</v>
      </c>
      <c r="E436" s="98" t="s">
        <v>11</v>
      </c>
      <c r="F436" s="99" t="s">
        <v>27</v>
      </c>
      <c r="G436" s="93">
        <v>3312.99192177542</v>
      </c>
      <c r="H436" s="93">
        <v>56978.273617838197</v>
      </c>
      <c r="I436" s="93">
        <v>2397.5457928860201</v>
      </c>
      <c r="J436" s="93">
        <v>17880.7934136076</v>
      </c>
      <c r="K436" s="93">
        <v>534.67335841758495</v>
      </c>
      <c r="L436" s="93">
        <v>38272.942985995156</v>
      </c>
      <c r="M436" s="93">
        <v>226689.61699930194</v>
      </c>
      <c r="N436" s="95">
        <v>1.7583326630324886E-2</v>
      </c>
      <c r="O436" s="95">
        <v>0.30240568631316644</v>
      </c>
      <c r="P436" s="95">
        <v>0.58227299826935597</v>
      </c>
      <c r="Q436" s="95">
        <v>9.4900270940695947E-2</v>
      </c>
      <c r="R436" s="96">
        <v>2.8377178464567528E-3</v>
      </c>
    </row>
    <row r="437" spans="1:18" ht="15.75" hidden="1" customHeight="1" x14ac:dyDescent="0.3">
      <c r="A437" s="89">
        <v>2020</v>
      </c>
      <c r="B437" s="90">
        <v>9</v>
      </c>
      <c r="C437" s="90" t="s">
        <v>730</v>
      </c>
      <c r="D437" s="90" t="s">
        <v>719</v>
      </c>
      <c r="E437" s="98" t="s">
        <v>11</v>
      </c>
      <c r="F437" s="99" t="s">
        <v>28</v>
      </c>
      <c r="G437" s="93">
        <v>7910.4867202236701</v>
      </c>
      <c r="H437" s="93">
        <v>44234.558844248597</v>
      </c>
      <c r="I437" s="93">
        <v>2397.5457928860201</v>
      </c>
      <c r="J437" s="93">
        <v>70484.691822172696</v>
      </c>
      <c r="K437" s="93">
        <v>843.22064157934904</v>
      </c>
      <c r="L437" s="93">
        <v>25883.194842074052</v>
      </c>
      <c r="M437" s="93">
        <v>373104.58101494436</v>
      </c>
      <c r="N437" s="95">
        <v>2.2782256609865888E-2</v>
      </c>
      <c r="O437" s="95">
        <v>0.12739583621795011</v>
      </c>
      <c r="P437" s="95">
        <v>0.64439702464999926</v>
      </c>
      <c r="Q437" s="95">
        <v>0.20299640122708526</v>
      </c>
      <c r="R437" s="96">
        <v>2.4284812950995387E-3</v>
      </c>
    </row>
    <row r="438" spans="1:18" ht="15.75" customHeight="1" x14ac:dyDescent="0.3">
      <c r="A438" s="89">
        <v>2020</v>
      </c>
      <c r="B438" s="90">
        <v>9</v>
      </c>
      <c r="C438" s="90" t="s">
        <v>730</v>
      </c>
      <c r="D438" s="90" t="s">
        <v>719</v>
      </c>
      <c r="E438" s="98" t="s">
        <v>11</v>
      </c>
      <c r="F438" s="99" t="s">
        <v>29</v>
      </c>
      <c r="G438" s="93">
        <v>19645.338411312801</v>
      </c>
      <c r="H438" s="93">
        <v>91383.956662821001</v>
      </c>
      <c r="I438" s="93">
        <v>2397.5457928860201</v>
      </c>
      <c r="J438" s="93">
        <v>19632.054283791502</v>
      </c>
      <c r="K438" s="93">
        <v>861.20148211856599</v>
      </c>
      <c r="L438" s="93">
        <v>121090.85821582249</v>
      </c>
      <c r="M438" s="93">
        <v>354392.05486976134</v>
      </c>
      <c r="N438" s="95">
        <v>8.4205905040655199E-2</v>
      </c>
      <c r="O438" s="95">
        <v>0.39169947678568046</v>
      </c>
      <c r="P438" s="95">
        <v>0.43625428104796926</v>
      </c>
      <c r="Q438" s="95">
        <v>8.4148965223321104E-2</v>
      </c>
      <c r="R438" s="96">
        <v>3.6913719023739353E-3</v>
      </c>
    </row>
    <row r="439" spans="1:18" ht="15.75" hidden="1" customHeight="1" x14ac:dyDescent="0.3">
      <c r="A439" s="89">
        <v>2020</v>
      </c>
      <c r="B439" s="90">
        <v>9</v>
      </c>
      <c r="C439" s="90" t="s">
        <v>730</v>
      </c>
      <c r="D439" s="90" t="s">
        <v>719</v>
      </c>
      <c r="E439" s="98" t="s">
        <v>11</v>
      </c>
      <c r="F439" s="99" t="s">
        <v>30</v>
      </c>
      <c r="G439" s="93">
        <v>1891.8309395680101</v>
      </c>
      <c r="H439" s="93">
        <v>8751.1404861749397</v>
      </c>
      <c r="I439" s="93">
        <v>2397.5457928860201</v>
      </c>
      <c r="J439" s="93">
        <v>638.60168965839398</v>
      </c>
      <c r="K439" s="93">
        <v>21.266664292279401</v>
      </c>
      <c r="L439" s="93">
        <v>216436.2444583622</v>
      </c>
      <c r="M439" s="93">
        <v>230086.50016211678</v>
      </c>
      <c r="N439" s="95">
        <v>0.1385930769815287</v>
      </c>
      <c r="O439" s="95">
        <v>0.64109718353245848</v>
      </c>
      <c r="P439" s="95">
        <v>0.17196864110137436</v>
      </c>
      <c r="Q439" s="95">
        <v>4.6783130185813503E-2</v>
      </c>
      <c r="R439" s="96">
        <v>1.557968198825014E-3</v>
      </c>
    </row>
    <row r="440" spans="1:18" ht="15.75" hidden="1" customHeight="1" x14ac:dyDescent="0.3">
      <c r="A440" s="89">
        <v>2020</v>
      </c>
      <c r="B440" s="90">
        <v>9</v>
      </c>
      <c r="C440" s="90" t="s">
        <v>730</v>
      </c>
      <c r="D440" s="90" t="s">
        <v>719</v>
      </c>
      <c r="E440" s="98" t="s">
        <v>11</v>
      </c>
      <c r="F440" s="99" t="s">
        <v>31</v>
      </c>
      <c r="G440" s="93">
        <v>923.19845258425096</v>
      </c>
      <c r="H440" s="93">
        <v>37765.767617292702</v>
      </c>
      <c r="I440" s="93">
        <v>2397.5457928860201</v>
      </c>
      <c r="J440" s="93">
        <v>51055.406657572697</v>
      </c>
      <c r="K440" s="93">
        <v>10558.6846276899</v>
      </c>
      <c r="L440" s="93">
        <v>56576.416854945499</v>
      </c>
      <c r="M440" s="93">
        <v>251948.68865992033</v>
      </c>
      <c r="N440" s="95">
        <v>4.7253299767420903E-3</v>
      </c>
      <c r="O440" s="95">
        <v>0.19330157380260887</v>
      </c>
      <c r="P440" s="95">
        <v>0.4866054613150817</v>
      </c>
      <c r="Q440" s="95">
        <v>0.26132370876322408</v>
      </c>
      <c r="R440" s="96">
        <v>5.40439261423434E-2</v>
      </c>
    </row>
    <row r="441" spans="1:18" ht="15.75" hidden="1" customHeight="1" x14ac:dyDescent="0.3">
      <c r="A441" s="89">
        <v>2020</v>
      </c>
      <c r="B441" s="90">
        <v>9</v>
      </c>
      <c r="C441" s="90" t="s">
        <v>730</v>
      </c>
      <c r="D441" s="90" t="s">
        <v>719</v>
      </c>
      <c r="E441" s="98" t="s">
        <v>11</v>
      </c>
      <c r="F441" s="99" t="s">
        <v>32</v>
      </c>
      <c r="G441" s="93">
        <v>41159.3475960387</v>
      </c>
      <c r="H441" s="93">
        <v>208909.719237721</v>
      </c>
      <c r="I441" s="93">
        <v>2397.5457928860201</v>
      </c>
      <c r="J441" s="93">
        <v>39285.821842727601</v>
      </c>
      <c r="K441" s="93">
        <v>2196.4706102558198</v>
      </c>
      <c r="L441" s="93">
        <v>127397.1235901758</v>
      </c>
      <c r="M441" s="93">
        <v>609521.81280336797</v>
      </c>
      <c r="N441" s="95">
        <v>8.537075266402365E-2</v>
      </c>
      <c r="O441" s="95">
        <v>0.43331056034208321</v>
      </c>
      <c r="P441" s="95">
        <v>0.39527809753418125</v>
      </c>
      <c r="Q441" s="95">
        <v>8.1484775041992683E-2</v>
      </c>
      <c r="R441" s="96">
        <v>4.5558144177191388E-3</v>
      </c>
    </row>
    <row r="442" spans="1:18" ht="15.75" hidden="1" customHeight="1" x14ac:dyDescent="0.3">
      <c r="A442" s="89">
        <v>2020</v>
      </c>
      <c r="B442" s="90">
        <v>9</v>
      </c>
      <c r="C442" s="90" t="s">
        <v>730</v>
      </c>
      <c r="D442" s="90" t="s">
        <v>719</v>
      </c>
      <c r="E442" s="98" t="s">
        <v>11</v>
      </c>
      <c r="F442" s="99" t="s">
        <v>33</v>
      </c>
      <c r="G442" s="93">
        <v>52053.720662519503</v>
      </c>
      <c r="H442" s="93">
        <v>483023.77892215899</v>
      </c>
      <c r="I442" s="93">
        <v>2397.5457928860201</v>
      </c>
      <c r="J442" s="93">
        <v>73216.563739485704</v>
      </c>
      <c r="K442" s="93">
        <v>314.192666314338</v>
      </c>
      <c r="L442" s="93">
        <v>51456.651505779795</v>
      </c>
      <c r="M442" s="93">
        <v>1352056.7882567651</v>
      </c>
      <c r="N442" s="95">
        <v>4.002284729306143E-2</v>
      </c>
      <c r="O442" s="95">
        <v>0.37138530534741854</v>
      </c>
      <c r="P442" s="95">
        <v>0.53205582654263295</v>
      </c>
      <c r="Q442" s="95">
        <v>5.6294445672124237E-2</v>
      </c>
      <c r="R442" s="96">
        <v>2.4157514476295472E-4</v>
      </c>
    </row>
    <row r="443" spans="1:18" ht="15.75" hidden="1" customHeight="1" x14ac:dyDescent="0.3">
      <c r="A443" s="89">
        <v>2020</v>
      </c>
      <c r="B443" s="90">
        <v>9</v>
      </c>
      <c r="C443" s="90" t="s">
        <v>730</v>
      </c>
      <c r="D443" s="90" t="s">
        <v>719</v>
      </c>
      <c r="E443" s="98" t="s">
        <v>11</v>
      </c>
      <c r="F443" s="99" t="s">
        <v>34</v>
      </c>
      <c r="G443" s="93">
        <v>25686.392574621801</v>
      </c>
      <c r="H443" s="93">
        <v>67752.916007419306</v>
      </c>
      <c r="I443" s="93">
        <v>2397.5457928860201</v>
      </c>
      <c r="J443" s="93">
        <v>117034.49864464899</v>
      </c>
      <c r="K443" s="93">
        <v>2271.3740044209499</v>
      </c>
      <c r="L443" s="93">
        <v>130556.6485994004</v>
      </c>
      <c r="M443" s="93">
        <v>713628.83042003249</v>
      </c>
      <c r="N443" s="95">
        <v>4.4053538096117908E-2</v>
      </c>
      <c r="O443" s="95">
        <v>0.11619987733913506</v>
      </c>
      <c r="P443" s="95">
        <v>0.63513062728045411</v>
      </c>
      <c r="Q443" s="95">
        <v>0.20072042929438161</v>
      </c>
      <c r="R443" s="96">
        <v>3.8955279899113462E-3</v>
      </c>
    </row>
    <row r="444" spans="1:18" ht="15.75" hidden="1" customHeight="1" x14ac:dyDescent="0.3">
      <c r="A444" s="89">
        <v>2020</v>
      </c>
      <c r="B444" s="90">
        <v>9</v>
      </c>
      <c r="C444" s="90" t="s">
        <v>730</v>
      </c>
      <c r="D444" s="90" t="s">
        <v>719</v>
      </c>
      <c r="E444" s="98" t="s">
        <v>11</v>
      </c>
      <c r="F444" s="99" t="s">
        <v>35</v>
      </c>
      <c r="G444" s="93">
        <v>12050.9229504213</v>
      </c>
      <c r="H444" s="93">
        <v>50802.5303642625</v>
      </c>
      <c r="I444" s="93">
        <v>2397.5457928860201</v>
      </c>
      <c r="J444" s="93">
        <v>87896.393954180006</v>
      </c>
      <c r="K444" s="93">
        <v>30815.011762286798</v>
      </c>
      <c r="L444" s="93">
        <v>309259.49963954394</v>
      </c>
      <c r="M444" s="93">
        <v>605861.19629491551</v>
      </c>
      <c r="N444" s="95">
        <v>4.0629986565530497E-2</v>
      </c>
      <c r="O444" s="95">
        <v>0.17128199513737491</v>
      </c>
      <c r="P444" s="95">
        <v>0.38784956027370604</v>
      </c>
      <c r="Q444" s="95">
        <v>0.2963448791606505</v>
      </c>
      <c r="R444" s="96">
        <v>0.1038935788627382</v>
      </c>
    </row>
    <row r="445" spans="1:18" ht="15.75" hidden="1" customHeight="1" x14ac:dyDescent="0.3">
      <c r="A445" s="89">
        <v>2020</v>
      </c>
      <c r="B445" s="90">
        <v>9</v>
      </c>
      <c r="C445" s="90" t="s">
        <v>730</v>
      </c>
      <c r="D445" s="90" t="s">
        <v>719</v>
      </c>
      <c r="E445" s="98" t="s">
        <v>11</v>
      </c>
      <c r="F445" s="99" t="s">
        <v>36</v>
      </c>
      <c r="G445" s="93">
        <v>8794.8857340256909</v>
      </c>
      <c r="H445" s="93">
        <v>99427.729490501399</v>
      </c>
      <c r="I445" s="93">
        <v>2397.5457928860201</v>
      </c>
      <c r="J445" s="93">
        <v>14858.2660006158</v>
      </c>
      <c r="K445" s="93">
        <v>66.244019730392097</v>
      </c>
      <c r="L445" s="93">
        <v>40383.58518860153</v>
      </c>
      <c r="M445" s="93">
        <v>258886.87145458412</v>
      </c>
      <c r="N445" s="95">
        <v>4.0250587917106811E-2</v>
      </c>
      <c r="O445" s="95">
        <v>0.45503997303486171</v>
      </c>
      <c r="P445" s="95">
        <v>0.4364060726529892</v>
      </c>
      <c r="Q445" s="95">
        <v>6.8000194663108776E-2</v>
      </c>
      <c r="R445" s="96">
        <v>3.0317173193337554E-4</v>
      </c>
    </row>
    <row r="446" spans="1:18" ht="15.75" hidden="1" customHeight="1" x14ac:dyDescent="0.3">
      <c r="A446" s="89">
        <v>2020</v>
      </c>
      <c r="B446" s="90">
        <v>9</v>
      </c>
      <c r="C446" s="90" t="s">
        <v>730</v>
      </c>
      <c r="D446" s="90" t="s">
        <v>719</v>
      </c>
      <c r="E446" s="98" t="s">
        <v>11</v>
      </c>
      <c r="F446" s="99" t="s">
        <v>37</v>
      </c>
      <c r="G446" s="93">
        <v>26586.399455148701</v>
      </c>
      <c r="H446" s="93">
        <v>124660.15225019801</v>
      </c>
      <c r="I446" s="93">
        <v>2397.5457928860201</v>
      </c>
      <c r="J446" s="93">
        <v>37924.368798872398</v>
      </c>
      <c r="K446" s="93">
        <v>620.88504163909295</v>
      </c>
      <c r="L446" s="93">
        <v>199899.52922983692</v>
      </c>
      <c r="M446" s="93">
        <v>524073.85777631216</v>
      </c>
      <c r="N446" s="95">
        <v>8.2012661441626597E-2</v>
      </c>
      <c r="O446" s="95">
        <v>0.38454665059119919</v>
      </c>
      <c r="P446" s="95">
        <v>0.41453783093546609</v>
      </c>
      <c r="Q446" s="95">
        <v>0.11698757569396917</v>
      </c>
      <c r="R446" s="96">
        <v>1.9152813377388699E-3</v>
      </c>
    </row>
    <row r="447" spans="1:18" ht="15.75" hidden="1" customHeight="1" x14ac:dyDescent="0.3">
      <c r="A447" s="89">
        <v>2020</v>
      </c>
      <c r="B447" s="90">
        <v>9</v>
      </c>
      <c r="C447" s="90" t="s">
        <v>730</v>
      </c>
      <c r="D447" s="90" t="s">
        <v>719</v>
      </c>
      <c r="E447" s="98" t="s">
        <v>11</v>
      </c>
      <c r="F447" s="99" t="s">
        <v>720</v>
      </c>
      <c r="G447" s="93">
        <v>36358.103718955303</v>
      </c>
      <c r="H447" s="93">
        <v>113342.610819893</v>
      </c>
      <c r="I447" s="93">
        <v>2397.5457928860201</v>
      </c>
      <c r="J447" s="93">
        <v>172845.30924970499</v>
      </c>
      <c r="K447" s="93">
        <v>7952.5363397625497</v>
      </c>
      <c r="L447" s="93">
        <v>325819.67557156598</v>
      </c>
      <c r="M447" s="93">
        <v>927958.4226883708</v>
      </c>
      <c r="N447" s="95">
        <v>6.0381604560489181E-2</v>
      </c>
      <c r="O447" s="95">
        <v>0.18823337870649676</v>
      </c>
      <c r="P447" s="95">
        <v>0.45112557245181795</v>
      </c>
      <c r="Q447" s="95">
        <v>0.28705229496911266</v>
      </c>
      <c r="R447" s="96">
        <v>1.3207149312083534E-2</v>
      </c>
    </row>
    <row r="448" spans="1:18" ht="15.75" hidden="1" customHeight="1" x14ac:dyDescent="0.3">
      <c r="A448" s="89">
        <v>2020</v>
      </c>
      <c r="B448" s="90">
        <v>9</v>
      </c>
      <c r="C448" s="90" t="s">
        <v>730</v>
      </c>
      <c r="D448" s="90" t="s">
        <v>719</v>
      </c>
      <c r="E448" s="98" t="s">
        <v>11</v>
      </c>
      <c r="F448" s="99" t="s">
        <v>39</v>
      </c>
      <c r="G448" s="93">
        <v>10423.597356865799</v>
      </c>
      <c r="H448" s="93">
        <v>84195.331175169194</v>
      </c>
      <c r="I448" s="93">
        <v>2397.5457928860201</v>
      </c>
      <c r="J448" s="93">
        <v>30231.9707571662</v>
      </c>
      <c r="K448" s="93">
        <v>608.44045048866406</v>
      </c>
      <c r="L448" s="93">
        <v>62461.032957029376</v>
      </c>
      <c r="M448" s="93">
        <v>331195.16650097322</v>
      </c>
      <c r="N448" s="95">
        <v>3.8787768488521071E-2</v>
      </c>
      <c r="O448" s="95">
        <v>0.31330345001150151</v>
      </c>
      <c r="P448" s="95">
        <v>0.53314698774886171</v>
      </c>
      <c r="Q448" s="95">
        <v>0.11249769561640972</v>
      </c>
      <c r="R448" s="96">
        <v>2.2640981347059538E-3</v>
      </c>
    </row>
    <row r="449" spans="1:18" ht="15.75" hidden="1" customHeight="1" x14ac:dyDescent="0.3">
      <c r="A449" s="89">
        <v>2020</v>
      </c>
      <c r="B449" s="90">
        <v>9</v>
      </c>
      <c r="C449" s="90" t="s">
        <v>730</v>
      </c>
      <c r="D449" s="90" t="s">
        <v>719</v>
      </c>
      <c r="E449" s="98" t="s">
        <v>11</v>
      </c>
      <c r="F449" s="99" t="s">
        <v>40</v>
      </c>
      <c r="G449" s="93">
        <v>14997.6424974126</v>
      </c>
      <c r="H449" s="93">
        <v>128915.63642752499</v>
      </c>
      <c r="I449" s="93">
        <v>2397.5457928860201</v>
      </c>
      <c r="J449" s="93">
        <v>21986.730296628499</v>
      </c>
      <c r="K449" s="93">
        <v>1185.15259335937</v>
      </c>
      <c r="L449" s="93">
        <v>30020.491418330799</v>
      </c>
      <c r="M449" s="93">
        <v>326305.02470134024</v>
      </c>
      <c r="N449" s="95">
        <v>5.0619053013769476E-2</v>
      </c>
      <c r="O449" s="95">
        <v>0.43510754678640434</v>
      </c>
      <c r="P449" s="95">
        <v>0.43606519056691173</v>
      </c>
      <c r="Q449" s="95">
        <v>7.4208160827709799E-2</v>
      </c>
      <c r="R449" s="96">
        <v>4.0000488052048212E-3</v>
      </c>
    </row>
    <row r="450" spans="1:18" ht="15.75" hidden="1" customHeight="1" x14ac:dyDescent="0.3">
      <c r="A450" s="89">
        <v>2020</v>
      </c>
      <c r="B450" s="90">
        <v>9</v>
      </c>
      <c r="C450" s="90" t="s">
        <v>730</v>
      </c>
      <c r="D450" s="90" t="s">
        <v>719</v>
      </c>
      <c r="E450" s="98" t="s">
        <v>11</v>
      </c>
      <c r="F450" s="99" t="s">
        <v>41</v>
      </c>
      <c r="G450" s="93">
        <v>3317.2273931832001</v>
      </c>
      <c r="H450" s="93">
        <v>4337.4954213511</v>
      </c>
      <c r="I450" s="93">
        <v>2397.5457928860201</v>
      </c>
      <c r="J450" s="93">
        <v>995.28752507965601</v>
      </c>
      <c r="K450" s="93">
        <v>88.117301562500003</v>
      </c>
      <c r="L450" s="93">
        <v>7079.2440281909303</v>
      </c>
      <c r="M450" s="93">
        <v>18714.332738962967</v>
      </c>
      <c r="N450" s="95">
        <v>0.28510546637362844</v>
      </c>
      <c r="O450" s="95">
        <v>0.37279435758279572</v>
      </c>
      <c r="P450" s="95">
        <v>0.24898487167644076</v>
      </c>
      <c r="Q450" s="95">
        <v>8.5541893991594203E-2</v>
      </c>
      <c r="R450" s="96">
        <v>7.5734103755409239E-3</v>
      </c>
    </row>
    <row r="451" spans="1:18" ht="15.75" hidden="1" customHeight="1" x14ac:dyDescent="0.3">
      <c r="A451" s="89">
        <v>2020</v>
      </c>
      <c r="B451" s="90">
        <v>9</v>
      </c>
      <c r="C451" s="90" t="s">
        <v>730</v>
      </c>
      <c r="D451" s="90" t="s">
        <v>719</v>
      </c>
      <c r="E451" s="98" t="s">
        <v>11</v>
      </c>
      <c r="F451" s="99" t="s">
        <v>42</v>
      </c>
      <c r="G451" s="93">
        <v>13286.8717663357</v>
      </c>
      <c r="H451" s="93">
        <v>154987.83597844499</v>
      </c>
      <c r="I451" s="93">
        <v>2397.5457928860201</v>
      </c>
      <c r="J451" s="93">
        <v>21768.259421475599</v>
      </c>
      <c r="K451" s="93">
        <v>994.71111132812405</v>
      </c>
      <c r="L451" s="93">
        <v>296147.7965781258</v>
      </c>
      <c r="M451" s="93">
        <v>620824.33975001716</v>
      </c>
      <c r="N451" s="95">
        <v>4.0923411456001979E-2</v>
      </c>
      <c r="O451" s="95">
        <v>0.47736074329333611</v>
      </c>
      <c r="P451" s="95">
        <v>0.41160615912913501</v>
      </c>
      <c r="Q451" s="95">
        <v>6.7045987396604056E-2</v>
      </c>
      <c r="R451" s="96">
        <v>3.063698724922979E-3</v>
      </c>
    </row>
    <row r="452" spans="1:18" ht="15.75" hidden="1" customHeight="1" x14ac:dyDescent="0.3">
      <c r="A452" s="89">
        <v>2020</v>
      </c>
      <c r="B452" s="90">
        <v>9</v>
      </c>
      <c r="C452" s="90" t="s">
        <v>730</v>
      </c>
      <c r="D452" s="90" t="s">
        <v>719</v>
      </c>
      <c r="E452" s="98" t="s">
        <v>11</v>
      </c>
      <c r="F452" s="99" t="s">
        <v>43</v>
      </c>
      <c r="G452" s="93">
        <v>2512.7864267616301</v>
      </c>
      <c r="H452" s="93">
        <v>28463.056267812499</v>
      </c>
      <c r="I452" s="93">
        <v>2397.5457928860201</v>
      </c>
      <c r="J452" s="93">
        <v>11458.363833969001</v>
      </c>
      <c r="K452" s="93">
        <v>2503.27411858302</v>
      </c>
      <c r="L452" s="93">
        <v>118086.52788797278</v>
      </c>
      <c r="M452" s="93">
        <v>185575.48510012333</v>
      </c>
      <c r="N452" s="95">
        <v>3.7232556710910837E-2</v>
      </c>
      <c r="O452" s="95">
        <v>0.42174390364840425</v>
      </c>
      <c r="P452" s="95">
        <v>0.33415061510187755</v>
      </c>
      <c r="Q452" s="95">
        <v>0.16978131397037002</v>
      </c>
      <c r="R452" s="96">
        <v>3.7091610568437357E-2</v>
      </c>
    </row>
    <row r="453" spans="1:18" ht="15.75" hidden="1" customHeight="1" x14ac:dyDescent="0.3">
      <c r="A453" s="89">
        <v>2020</v>
      </c>
      <c r="B453" s="90">
        <v>9</v>
      </c>
      <c r="C453" s="90" t="s">
        <v>730</v>
      </c>
      <c r="D453" s="90" t="s">
        <v>719</v>
      </c>
      <c r="E453" s="98" t="s">
        <v>11</v>
      </c>
      <c r="F453" s="99" t="s">
        <v>58</v>
      </c>
      <c r="G453" s="93">
        <v>30881.0115468275</v>
      </c>
      <c r="H453" s="93">
        <v>175682.05071034201</v>
      </c>
      <c r="I453" s="93">
        <v>2397.5457928860201</v>
      </c>
      <c r="J453" s="93">
        <v>1761.4258349663</v>
      </c>
      <c r="K453" s="93">
        <v>28.288881590073501</v>
      </c>
      <c r="L453" s="93">
        <v>99034.579537673941</v>
      </c>
      <c r="M453" s="93">
        <v>371477.12559242046</v>
      </c>
      <c r="N453" s="95">
        <v>0.11334871147703214</v>
      </c>
      <c r="O453" s="95">
        <v>0.64484073157589428</v>
      </c>
      <c r="P453" s="95">
        <v>0.23524141147962241</v>
      </c>
      <c r="Q453" s="95">
        <v>6.4653111655047701E-3</v>
      </c>
      <c r="R453" s="96">
        <v>1.038343019463228E-4</v>
      </c>
    </row>
    <row r="454" spans="1:18" ht="15.75" hidden="1" customHeight="1" x14ac:dyDescent="0.3">
      <c r="A454" s="89">
        <v>2020</v>
      </c>
      <c r="B454" s="90">
        <v>9</v>
      </c>
      <c r="C454" s="90" t="s">
        <v>730</v>
      </c>
      <c r="D454" s="90" t="s">
        <v>719</v>
      </c>
      <c r="E454" s="98" t="s">
        <v>11</v>
      </c>
      <c r="F454" s="99" t="s">
        <v>44</v>
      </c>
      <c r="G454" s="93">
        <v>10346.1205853354</v>
      </c>
      <c r="H454" s="93">
        <v>83242.662420389301</v>
      </c>
      <c r="I454" s="93">
        <v>2397.5457928860201</v>
      </c>
      <c r="J454" s="93">
        <v>7467.6359517784704</v>
      </c>
      <c r="K454" s="93">
        <v>153.21491824448501</v>
      </c>
      <c r="L454" s="93">
        <v>45114.231642348401</v>
      </c>
      <c r="M454" s="93">
        <v>215729.28855108077</v>
      </c>
      <c r="N454" s="95">
        <v>6.0640137938528384E-2</v>
      </c>
      <c r="O454" s="95">
        <v>0.48789751577973889</v>
      </c>
      <c r="P454" s="95">
        <v>0.40679541589410811</v>
      </c>
      <c r="Q454" s="95">
        <v>4.3768915165401587E-2</v>
      </c>
      <c r="R454" s="96">
        <v>8.980152222229995E-4</v>
      </c>
    </row>
    <row r="455" spans="1:18" ht="15.75" hidden="1" customHeight="1" x14ac:dyDescent="0.3">
      <c r="A455" s="89">
        <v>2020</v>
      </c>
      <c r="B455" s="90">
        <v>9</v>
      </c>
      <c r="C455" s="90" t="s">
        <v>730</v>
      </c>
      <c r="D455" s="90" t="s">
        <v>719</v>
      </c>
      <c r="E455" s="98" t="s">
        <v>11</v>
      </c>
      <c r="F455" s="99" t="s">
        <v>51</v>
      </c>
      <c r="G455" s="93">
        <v>5095.6297440793796</v>
      </c>
      <c r="H455" s="93">
        <v>52771.0591460551</v>
      </c>
      <c r="I455" s="93">
        <v>2397.5457928860201</v>
      </c>
      <c r="J455" s="93">
        <v>23340.788363043001</v>
      </c>
      <c r="K455" s="93">
        <v>2353.4929428707001</v>
      </c>
      <c r="L455" s="93">
        <v>3566.7432894240101</v>
      </c>
      <c r="M455" s="93">
        <v>211202.40923546822</v>
      </c>
      <c r="N455" s="95">
        <v>2.4541206448623908E-2</v>
      </c>
      <c r="O455" s="95">
        <v>0.25415218963281616</v>
      </c>
      <c r="P455" s="95">
        <v>0.59755964942091311</v>
      </c>
      <c r="Q455" s="95">
        <v>0.11241223060930337</v>
      </c>
      <c r="R455" s="96">
        <v>1.1334723888343317E-2</v>
      </c>
    </row>
    <row r="456" spans="1:18" ht="15.75" hidden="1" customHeight="1" x14ac:dyDescent="0.3">
      <c r="A456" s="89">
        <v>2020</v>
      </c>
      <c r="B456" s="90">
        <v>9</v>
      </c>
      <c r="C456" s="90" t="s">
        <v>730</v>
      </c>
      <c r="D456" s="90" t="s">
        <v>719</v>
      </c>
      <c r="E456" s="98" t="s">
        <v>11</v>
      </c>
      <c r="F456" s="99" t="s">
        <v>45</v>
      </c>
      <c r="G456" s="93">
        <v>5464.4895554273999</v>
      </c>
      <c r="H456" s="93">
        <v>20923.7500973483</v>
      </c>
      <c r="I456" s="93">
        <v>2397.5457928860201</v>
      </c>
      <c r="J456" s="93">
        <v>10284.6361611627</v>
      </c>
      <c r="K456" s="93">
        <v>643.50646727175103</v>
      </c>
      <c r="L456" s="93">
        <v>71255.834618989902</v>
      </c>
      <c r="M456" s="93">
        <v>134096.09203645945</v>
      </c>
      <c r="N456" s="95">
        <v>8.6958420923149746E-2</v>
      </c>
      <c r="O456" s="95">
        <v>0.33296728812462684</v>
      </c>
      <c r="P456" s="95">
        <v>0.40617076035662103</v>
      </c>
      <c r="Q456" s="95">
        <v>0.16366317682052617</v>
      </c>
      <c r="R456" s="96">
        <v>1.0240353775076304E-2</v>
      </c>
    </row>
    <row r="457" spans="1:18" ht="15.75" hidden="1" customHeight="1" x14ac:dyDescent="0.3">
      <c r="A457" s="89">
        <v>2020</v>
      </c>
      <c r="B457" s="90">
        <v>9</v>
      </c>
      <c r="C457" s="90" t="s">
        <v>730</v>
      </c>
      <c r="D457" s="90" t="s">
        <v>719</v>
      </c>
      <c r="E457" s="98" t="s">
        <v>11</v>
      </c>
      <c r="F457" s="99" t="s">
        <v>721</v>
      </c>
      <c r="G457" s="93">
        <v>2450.47263752757</v>
      </c>
      <c r="H457" s="93">
        <v>65377.376391145801</v>
      </c>
      <c r="I457" s="93">
        <v>2397.5457928860201</v>
      </c>
      <c r="J457" s="93">
        <v>15749.541353500301</v>
      </c>
      <c r="K457" s="93">
        <v>313.15256562653099</v>
      </c>
      <c r="L457" s="93">
        <v>82450.841350867006</v>
      </c>
      <c r="M457" s="93">
        <v>309330.85090303922</v>
      </c>
      <c r="N457" s="95">
        <v>1.080074283478938E-2</v>
      </c>
      <c r="O457" s="95">
        <v>0.28815838169343844</v>
      </c>
      <c r="P457" s="95">
        <v>0.6302426859317054</v>
      </c>
      <c r="Q457" s="95">
        <v>6.941793322641153E-2</v>
      </c>
      <c r="R457" s="96">
        <v>1.38025631365517E-3</v>
      </c>
    </row>
    <row r="458" spans="1:18" ht="15.75" hidden="1" customHeight="1" x14ac:dyDescent="0.3">
      <c r="A458" s="89">
        <v>2020</v>
      </c>
      <c r="B458" s="90">
        <v>9</v>
      </c>
      <c r="C458" s="90" t="s">
        <v>730</v>
      </c>
      <c r="D458" s="90" t="s">
        <v>719</v>
      </c>
      <c r="E458" s="98" t="s">
        <v>11</v>
      </c>
      <c r="F458" s="99" t="s">
        <v>46</v>
      </c>
      <c r="G458" s="93">
        <v>7143.7026210493104</v>
      </c>
      <c r="H458" s="93">
        <v>53115.615285816297</v>
      </c>
      <c r="I458" s="93">
        <v>2397.5457928860201</v>
      </c>
      <c r="J458" s="93">
        <v>18096.5981787452</v>
      </c>
      <c r="K458" s="93">
        <v>5804.1770924969196</v>
      </c>
      <c r="L458" s="93">
        <v>7319.4384757551597</v>
      </c>
      <c r="M458" s="93">
        <v>149075.00300838877</v>
      </c>
      <c r="N458" s="95">
        <v>5.0394512868697693E-2</v>
      </c>
      <c r="O458" s="95">
        <v>0.37469862619458955</v>
      </c>
      <c r="P458" s="95">
        <v>0.40630130848420293</v>
      </c>
      <c r="Q458" s="95">
        <v>0.12766058417819059</v>
      </c>
      <c r="R458" s="96">
        <v>4.0944968274319399E-2</v>
      </c>
    </row>
    <row r="459" spans="1:18" ht="15.75" hidden="1" customHeight="1" x14ac:dyDescent="0.3">
      <c r="A459" s="89">
        <v>2020</v>
      </c>
      <c r="B459" s="90">
        <v>9</v>
      </c>
      <c r="C459" s="90" t="s">
        <v>730</v>
      </c>
      <c r="D459" s="90" t="s">
        <v>719</v>
      </c>
      <c r="E459" s="98" t="s">
        <v>11</v>
      </c>
      <c r="F459" s="99" t="s">
        <v>47</v>
      </c>
      <c r="G459" s="93">
        <v>5275.84340445618</v>
      </c>
      <c r="H459" s="93">
        <v>102835.001787984</v>
      </c>
      <c r="I459" s="93">
        <v>2397.5457928860201</v>
      </c>
      <c r="J459" s="93">
        <v>358937.18481471302</v>
      </c>
      <c r="K459" s="93">
        <v>50563.167610633303</v>
      </c>
      <c r="L459" s="93">
        <v>367678.92489051598</v>
      </c>
      <c r="M459" s="93">
        <v>1461770.3581409212</v>
      </c>
      <c r="N459" s="95">
        <v>4.8221229452298387E-3</v>
      </c>
      <c r="O459" s="95">
        <v>9.3991232051305246E-2</v>
      </c>
      <c r="P459" s="95">
        <v>0.52690316194138376</v>
      </c>
      <c r="Q459" s="95">
        <v>0.32806872799319586</v>
      </c>
      <c r="R459" s="96">
        <v>4.6214755068885435E-2</v>
      </c>
    </row>
    <row r="460" spans="1:18" ht="15.75" hidden="1" customHeight="1" x14ac:dyDescent="0.3">
      <c r="A460" s="89">
        <v>2020</v>
      </c>
      <c r="B460" s="90">
        <v>9</v>
      </c>
      <c r="C460" s="90" t="s">
        <v>730</v>
      </c>
      <c r="D460" s="90" t="s">
        <v>719</v>
      </c>
      <c r="E460" s="98" t="s">
        <v>11</v>
      </c>
      <c r="F460" s="99" t="s">
        <v>48</v>
      </c>
      <c r="G460" s="93">
        <v>2837.2114091773901</v>
      </c>
      <c r="H460" s="93">
        <v>17496.873739604602</v>
      </c>
      <c r="I460" s="93">
        <v>2397.5457928860201</v>
      </c>
      <c r="J460" s="93">
        <v>19292.474301945502</v>
      </c>
      <c r="K460" s="93">
        <v>496.76861960018402</v>
      </c>
      <c r="L460" s="93">
        <v>18423.718838359389</v>
      </c>
      <c r="M460" s="93">
        <v>110314.39779994197</v>
      </c>
      <c r="N460" s="95">
        <v>3.0875943471519719E-2</v>
      </c>
      <c r="O460" s="95">
        <v>0.190409668720803</v>
      </c>
      <c r="P460" s="95">
        <v>0.56335801929266038</v>
      </c>
      <c r="Q460" s="95">
        <v>0.20995028570864352</v>
      </c>
      <c r="R460" s="96">
        <v>5.4060828063733401E-3</v>
      </c>
    </row>
    <row r="461" spans="1:18" ht="15.75" hidden="1" customHeight="1" x14ac:dyDescent="0.3">
      <c r="A461" s="89">
        <v>2020</v>
      </c>
      <c r="B461" s="90">
        <v>9</v>
      </c>
      <c r="C461" s="90" t="s">
        <v>730</v>
      </c>
      <c r="D461" s="90" t="s">
        <v>722</v>
      </c>
      <c r="E461" s="98" t="s">
        <v>11</v>
      </c>
      <c r="F461" s="99" t="s">
        <v>12</v>
      </c>
      <c r="G461" s="93">
        <v>7910.7243063648903</v>
      </c>
      <c r="H461" s="93">
        <v>90311.373275246995</v>
      </c>
      <c r="I461" s="93">
        <v>2397.5457928860201</v>
      </c>
      <c r="J461" s="93">
        <v>1073.01986644607</v>
      </c>
      <c r="K461" s="93">
        <v>9.2954835937499993</v>
      </c>
      <c r="L461" s="93">
        <v>308920.37645634229</v>
      </c>
      <c r="M461" s="93">
        <v>433311.47680231702</v>
      </c>
      <c r="N461" s="95">
        <v>6.3595581069404689E-2</v>
      </c>
      <c r="O461" s="95">
        <v>0.72602760988575377</v>
      </c>
      <c r="P461" s="95">
        <v>0.20167590241221628</v>
      </c>
      <c r="Q461" s="95">
        <v>8.62617874961818E-3</v>
      </c>
      <c r="R461" s="96">
        <v>7.4727883006871389E-5</v>
      </c>
    </row>
    <row r="462" spans="1:18" ht="15.75" hidden="1" customHeight="1" x14ac:dyDescent="0.3">
      <c r="A462" s="89">
        <v>2020</v>
      </c>
      <c r="B462" s="90">
        <v>9</v>
      </c>
      <c r="C462" s="90" t="s">
        <v>730</v>
      </c>
      <c r="D462" s="90" t="s">
        <v>722</v>
      </c>
      <c r="E462" s="98" t="s">
        <v>11</v>
      </c>
      <c r="F462" s="99" t="s">
        <v>26</v>
      </c>
      <c r="G462" s="93">
        <v>59665.521057484897</v>
      </c>
      <c r="H462" s="93">
        <v>91401.864392238305</v>
      </c>
      <c r="I462" s="93">
        <v>2397.5457928860201</v>
      </c>
      <c r="J462" s="93">
        <v>2321.6420177221198</v>
      </c>
      <c r="K462" s="93">
        <v>9.5763882812500007</v>
      </c>
      <c r="L462" s="93">
        <v>1133643.013396766</v>
      </c>
      <c r="M462" s="93">
        <v>1302393.3163907647</v>
      </c>
      <c r="N462" s="95">
        <v>0.3535728232713562</v>
      </c>
      <c r="O462" s="95">
        <v>0.54163970535501127</v>
      </c>
      <c r="P462" s="95">
        <v>9.0972868586897057E-2</v>
      </c>
      <c r="Q462" s="95">
        <v>1.3757853921036725E-2</v>
      </c>
      <c r="R462" s="96">
        <v>5.6748865698869706E-5</v>
      </c>
    </row>
    <row r="463" spans="1:18" ht="15.75" hidden="1" customHeight="1" x14ac:dyDescent="0.3">
      <c r="A463" s="89">
        <v>2020</v>
      </c>
      <c r="B463" s="90">
        <v>9</v>
      </c>
      <c r="C463" s="90" t="s">
        <v>730</v>
      </c>
      <c r="D463" s="90" t="s">
        <v>722</v>
      </c>
      <c r="E463" s="98" t="s">
        <v>11</v>
      </c>
      <c r="F463" s="99" t="s">
        <v>27</v>
      </c>
      <c r="G463" s="93">
        <v>4807.0335147043397</v>
      </c>
      <c r="H463" s="93">
        <v>80232.163499469199</v>
      </c>
      <c r="I463" s="93">
        <v>2397.5457928860201</v>
      </c>
      <c r="J463" s="93">
        <v>2847.6698096308201</v>
      </c>
      <c r="K463" s="93">
        <v>89.079149999999899</v>
      </c>
      <c r="L463" s="93">
        <v>99039.033671922807</v>
      </c>
      <c r="M463" s="93">
        <v>226689.6169993041</v>
      </c>
      <c r="N463" s="95">
        <v>3.7657748123061045E-2</v>
      </c>
      <c r="O463" s="95">
        <v>0.62852954846042808</v>
      </c>
      <c r="P463" s="95">
        <v>0.31080654956213288</v>
      </c>
      <c r="Q463" s="95">
        <v>2.2308318030380594E-2</v>
      </c>
      <c r="R463" s="96">
        <v>6.978358239973061E-4</v>
      </c>
    </row>
    <row r="464" spans="1:18" ht="15.75" hidden="1" customHeight="1" x14ac:dyDescent="0.3">
      <c r="A464" s="89">
        <v>2020</v>
      </c>
      <c r="B464" s="90">
        <v>9</v>
      </c>
      <c r="C464" s="90" t="s">
        <v>730</v>
      </c>
      <c r="D464" s="90" t="s">
        <v>722</v>
      </c>
      <c r="E464" s="98" t="s">
        <v>11</v>
      </c>
      <c r="F464" s="99" t="s">
        <v>28</v>
      </c>
      <c r="G464" s="93">
        <v>2936.18218893842</v>
      </c>
      <c r="H464" s="93">
        <v>15409.9384853432</v>
      </c>
      <c r="I464" s="93">
        <v>2397.5457928860201</v>
      </c>
      <c r="J464" s="93">
        <v>980.24697715379796</v>
      </c>
      <c r="K464" s="93">
        <v>9.3968570312500006</v>
      </c>
      <c r="L464" s="93">
        <v>340892.45915254077</v>
      </c>
      <c r="M464" s="93">
        <v>373104.58101498714</v>
      </c>
      <c r="N464" s="95">
        <v>9.1151467806952782E-2</v>
      </c>
      <c r="O464" s="95">
        <v>0.47838942591697009</v>
      </c>
      <c r="P464" s="95">
        <v>0.39973639144185819</v>
      </c>
      <c r="Q464" s="95">
        <v>3.0430996794923726E-2</v>
      </c>
      <c r="R464" s="96">
        <v>2.9171803929517204E-4</v>
      </c>
    </row>
    <row r="465" spans="1:18" ht="15.75" customHeight="1" x14ac:dyDescent="0.3">
      <c r="A465" s="89">
        <v>2020</v>
      </c>
      <c r="B465" s="90">
        <v>9</v>
      </c>
      <c r="C465" s="90" t="s">
        <v>730</v>
      </c>
      <c r="D465" s="90" t="s">
        <v>722</v>
      </c>
      <c r="E465" s="98" t="s">
        <v>11</v>
      </c>
      <c r="F465" s="99" t="s">
        <v>29</v>
      </c>
      <c r="G465" s="93">
        <v>9799.3122346659802</v>
      </c>
      <c r="H465" s="93">
        <v>25186.3054977559</v>
      </c>
      <c r="I465" s="93">
        <v>2397.5457928860201</v>
      </c>
      <c r="J465" s="93">
        <v>4167.4271522640802</v>
      </c>
      <c r="K465" s="93">
        <v>37.926563281249997</v>
      </c>
      <c r="L465" s="93">
        <v>301445.26732196828</v>
      </c>
      <c r="M465" s="93">
        <v>354392.05486975471</v>
      </c>
      <c r="N465" s="95">
        <v>0.18507850407018073</v>
      </c>
      <c r="O465" s="95">
        <v>0.47569090900981181</v>
      </c>
      <c r="P465" s="95">
        <v>0.2598045459774887</v>
      </c>
      <c r="Q465" s="95">
        <v>7.8709726222819937E-2</v>
      </c>
      <c r="R465" s="96">
        <v>7.1631471969890313E-4</v>
      </c>
    </row>
    <row r="466" spans="1:18" ht="15.75" hidden="1" customHeight="1" x14ac:dyDescent="0.3">
      <c r="A466" s="89">
        <v>2020</v>
      </c>
      <c r="B466" s="90">
        <v>9</v>
      </c>
      <c r="C466" s="90" t="s">
        <v>730</v>
      </c>
      <c r="D466" s="90" t="s">
        <v>722</v>
      </c>
      <c r="E466" s="98" t="s">
        <v>11</v>
      </c>
      <c r="F466" s="99" t="s">
        <v>30</v>
      </c>
      <c r="G466" s="93">
        <v>1261.6936133363899</v>
      </c>
      <c r="H466" s="93">
        <v>8810.3852134528297</v>
      </c>
      <c r="I466" s="93">
        <v>2397.5457928860201</v>
      </c>
      <c r="J466" s="93">
        <v>559.15822792892095</v>
      </c>
      <c r="K466" s="93">
        <v>25.7996650735294</v>
      </c>
      <c r="L466" s="93">
        <v>216300.83700750896</v>
      </c>
      <c r="M466" s="93">
        <v>230086.5001621168</v>
      </c>
      <c r="N466" s="95">
        <v>9.1522155966408433E-2</v>
      </c>
      <c r="O466" s="95">
        <v>0.63909767086597957</v>
      </c>
      <c r="P466" s="95">
        <v>0.22694783701939197</v>
      </c>
      <c r="Q466" s="95">
        <v>4.0560850911406647E-2</v>
      </c>
      <c r="R466" s="96">
        <v>1.8714852368132812E-3</v>
      </c>
    </row>
    <row r="467" spans="1:18" ht="15.75" hidden="1" customHeight="1" x14ac:dyDescent="0.3">
      <c r="A467" s="89">
        <v>2020</v>
      </c>
      <c r="B467" s="90">
        <v>9</v>
      </c>
      <c r="C467" s="90" t="s">
        <v>730</v>
      </c>
      <c r="D467" s="90" t="s">
        <v>722</v>
      </c>
      <c r="E467" s="98" t="s">
        <v>11</v>
      </c>
      <c r="F467" s="99" t="s">
        <v>31</v>
      </c>
      <c r="G467" s="93">
        <v>2002.88173552543</v>
      </c>
      <c r="H467" s="93">
        <v>38430.666858331198</v>
      </c>
      <c r="I467" s="93">
        <v>2397.5457928860201</v>
      </c>
      <c r="J467" s="93">
        <v>56277.852007373403</v>
      </c>
      <c r="K467" s="93">
        <v>16554.870770095</v>
      </c>
      <c r="L467" s="93">
        <v>62916.226590121696</v>
      </c>
      <c r="M467" s="93">
        <v>251948.68865991931</v>
      </c>
      <c r="N467" s="95">
        <v>1.059543801945453E-2</v>
      </c>
      <c r="O467" s="95">
        <v>0.20330194315588615</v>
      </c>
      <c r="P467" s="95">
        <v>0.40081047386716562</v>
      </c>
      <c r="Q467" s="95">
        <v>0.29771527805945619</v>
      </c>
      <c r="R467" s="96">
        <v>8.7576866898037564E-2</v>
      </c>
    </row>
    <row r="468" spans="1:18" ht="15.75" hidden="1" customHeight="1" x14ac:dyDescent="0.3">
      <c r="A468" s="89">
        <v>2020</v>
      </c>
      <c r="B468" s="90">
        <v>9</v>
      </c>
      <c r="C468" s="90" t="s">
        <v>730</v>
      </c>
      <c r="D468" s="90" t="s">
        <v>722</v>
      </c>
      <c r="E468" s="98" t="s">
        <v>11</v>
      </c>
      <c r="F468" s="99" t="s">
        <v>32</v>
      </c>
      <c r="G468" s="93">
        <v>57067.435450181401</v>
      </c>
      <c r="H468" s="93">
        <v>276002.55641135498</v>
      </c>
      <c r="I468" s="93">
        <v>2397.5457928860201</v>
      </c>
      <c r="J468" s="93">
        <v>45146.332050368997</v>
      </c>
      <c r="K468" s="93">
        <v>1054.9918418872501</v>
      </c>
      <c r="L468" s="93">
        <v>61954.906678355503</v>
      </c>
      <c r="M468" s="93">
        <v>609521.81280336611</v>
      </c>
      <c r="N468" s="95">
        <v>0.10422002281699763</v>
      </c>
      <c r="O468" s="95">
        <v>0.50405266155428152</v>
      </c>
      <c r="P468" s="95">
        <v>0.30735164687399091</v>
      </c>
      <c r="Q468" s="95">
        <v>8.2448978463395314E-2</v>
      </c>
      <c r="R468" s="96">
        <v>1.9266902913347239E-3</v>
      </c>
    </row>
    <row r="469" spans="1:18" ht="15.75" hidden="1" customHeight="1" x14ac:dyDescent="0.3">
      <c r="A469" s="89">
        <v>2020</v>
      </c>
      <c r="B469" s="90">
        <v>9</v>
      </c>
      <c r="C469" s="90" t="s">
        <v>730</v>
      </c>
      <c r="D469" s="90" t="s">
        <v>722</v>
      </c>
      <c r="E469" s="98" t="s">
        <v>11</v>
      </c>
      <c r="F469" s="99" t="s">
        <v>33</v>
      </c>
      <c r="G469" s="93">
        <v>27262.929797358898</v>
      </c>
      <c r="H469" s="93">
        <v>100681.9986128</v>
      </c>
      <c r="I469" s="93">
        <v>2397.5457928860201</v>
      </c>
      <c r="J469" s="93">
        <v>1433.28698451286</v>
      </c>
      <c r="K469" s="93">
        <v>22.511902261029402</v>
      </c>
      <c r="L469" s="93">
        <v>1208308.5733137971</v>
      </c>
      <c r="M469" s="93">
        <v>1352056.7882571483</v>
      </c>
      <c r="N469" s="95">
        <v>0.18965751893408031</v>
      </c>
      <c r="O469" s="95">
        <v>0.70040520957061647</v>
      </c>
      <c r="P469" s="95">
        <v>9.9809849131501191E-2</v>
      </c>
      <c r="Q469" s="95">
        <v>9.9708158816281204E-3</v>
      </c>
      <c r="R469" s="96">
        <v>1.5660648217371572E-4</v>
      </c>
    </row>
    <row r="470" spans="1:18" ht="15.75" hidden="1" customHeight="1" x14ac:dyDescent="0.3">
      <c r="A470" s="89">
        <v>2020</v>
      </c>
      <c r="B470" s="90">
        <v>9</v>
      </c>
      <c r="C470" s="90" t="s">
        <v>730</v>
      </c>
      <c r="D470" s="90" t="s">
        <v>722</v>
      </c>
      <c r="E470" s="98" t="s">
        <v>11</v>
      </c>
      <c r="F470" s="99" t="s">
        <v>34</v>
      </c>
      <c r="G470" s="93">
        <v>10346.7281728539</v>
      </c>
      <c r="H470" s="93">
        <v>9107.3663775964997</v>
      </c>
      <c r="I470" s="93">
        <v>2397.5457928860201</v>
      </c>
      <c r="J470" s="93">
        <v>2900.1895735125599</v>
      </c>
      <c r="K470" s="93">
        <v>104.20323359375</v>
      </c>
      <c r="L470" s="93">
        <v>677488.24528962129</v>
      </c>
      <c r="M470" s="93">
        <v>713628.83041999047</v>
      </c>
      <c r="N470" s="95">
        <v>0.2862911083351406</v>
      </c>
      <c r="O470" s="95">
        <v>0.25199831006453494</v>
      </c>
      <c r="P470" s="95">
        <v>0.37857986314990044</v>
      </c>
      <c r="Q470" s="95">
        <v>8.0247443782405975E-2</v>
      </c>
      <c r="R470" s="96">
        <v>2.8832746680182344E-3</v>
      </c>
    </row>
    <row r="471" spans="1:18" ht="15.75" hidden="1" customHeight="1" x14ac:dyDescent="0.3">
      <c r="A471" s="89">
        <v>2020</v>
      </c>
      <c r="B471" s="90">
        <v>9</v>
      </c>
      <c r="C471" s="90" t="s">
        <v>730</v>
      </c>
      <c r="D471" s="90" t="s">
        <v>722</v>
      </c>
      <c r="E471" s="98" t="s">
        <v>11</v>
      </c>
      <c r="F471" s="99" t="s">
        <v>35</v>
      </c>
      <c r="G471" s="93">
        <v>9070.5694751716292</v>
      </c>
      <c r="H471" s="93">
        <v>15151.849259741201</v>
      </c>
      <c r="I471" s="93">
        <v>2397.5457928860201</v>
      </c>
      <c r="J471" s="93">
        <v>9082.2636243750803</v>
      </c>
      <c r="K471" s="93">
        <v>1717.36799345588</v>
      </c>
      <c r="L471" s="93">
        <v>548544.06667966803</v>
      </c>
      <c r="M471" s="93">
        <v>605861.19629493798</v>
      </c>
      <c r="N471" s="95">
        <v>0.15825233287249466</v>
      </c>
      <c r="O471" s="95">
        <v>0.26435115228981321</v>
      </c>
      <c r="P471" s="95">
        <v>0.38897759556658806</v>
      </c>
      <c r="Q471" s="95">
        <v>0.15845635825342261</v>
      </c>
      <c r="R471" s="96">
        <v>2.9962561017681386E-2</v>
      </c>
    </row>
    <row r="472" spans="1:18" ht="15.75" hidden="1" customHeight="1" x14ac:dyDescent="0.3">
      <c r="A472" s="89">
        <v>2020</v>
      </c>
      <c r="B472" s="90">
        <v>9</v>
      </c>
      <c r="C472" s="90" t="s">
        <v>730</v>
      </c>
      <c r="D472" s="90" t="s">
        <v>722</v>
      </c>
      <c r="E472" s="98" t="s">
        <v>11</v>
      </c>
      <c r="F472" s="99" t="s">
        <v>36</v>
      </c>
      <c r="G472" s="93">
        <v>15709.757111347901</v>
      </c>
      <c r="H472" s="93">
        <v>116621.750126775</v>
      </c>
      <c r="I472" s="93">
        <v>2397.5457928860201</v>
      </c>
      <c r="J472" s="93">
        <v>10290.840271867301</v>
      </c>
      <c r="K472" s="93">
        <v>37.766842578125001</v>
      </c>
      <c r="L472" s="93">
        <v>51774.790917030099</v>
      </c>
      <c r="M472" s="93">
        <v>258886.87145458092</v>
      </c>
      <c r="N472" s="95">
        <v>7.5851476507666174E-2</v>
      </c>
      <c r="O472" s="95">
        <v>0.5630852136876231</v>
      </c>
      <c r="P472" s="95">
        <v>0.31119365909366603</v>
      </c>
      <c r="Q472" s="95">
        <v>4.9687300929805014E-2</v>
      </c>
      <c r="R472" s="96">
        <v>1.823497812397168E-4</v>
      </c>
    </row>
    <row r="473" spans="1:18" ht="15.75" hidden="1" customHeight="1" x14ac:dyDescent="0.3">
      <c r="A473" s="89">
        <v>2020</v>
      </c>
      <c r="B473" s="90">
        <v>9</v>
      </c>
      <c r="C473" s="90" t="s">
        <v>730</v>
      </c>
      <c r="D473" s="90" t="s">
        <v>722</v>
      </c>
      <c r="E473" s="98" t="s">
        <v>11</v>
      </c>
      <c r="F473" s="99" t="s">
        <v>37</v>
      </c>
      <c r="G473" s="93">
        <v>23427.422570635801</v>
      </c>
      <c r="H473" s="93">
        <v>68891.913987945707</v>
      </c>
      <c r="I473" s="93">
        <v>2397.5457928860201</v>
      </c>
      <c r="J473" s="93">
        <v>2629.3819531096801</v>
      </c>
      <c r="K473" s="93">
        <v>57.184601562499999</v>
      </c>
      <c r="L473" s="93">
        <v>405154.85023274005</v>
      </c>
      <c r="M473" s="93">
        <v>524073.85777629114</v>
      </c>
      <c r="N473" s="95">
        <v>0.19700317934503528</v>
      </c>
      <c r="O473" s="95">
        <v>0.57931793588771563</v>
      </c>
      <c r="P473" s="95">
        <v>0.2010873192121102</v>
      </c>
      <c r="Q473" s="95">
        <v>2.2110695400369324E-2</v>
      </c>
      <c r="R473" s="96">
        <v>4.8087015476947685E-4</v>
      </c>
    </row>
    <row r="474" spans="1:18" ht="15.75" hidden="1" customHeight="1" x14ac:dyDescent="0.3">
      <c r="A474" s="89">
        <v>2020</v>
      </c>
      <c r="B474" s="90">
        <v>9</v>
      </c>
      <c r="C474" s="90" t="s">
        <v>730</v>
      </c>
      <c r="D474" s="90" t="s">
        <v>722</v>
      </c>
      <c r="E474" s="98" t="s">
        <v>11</v>
      </c>
      <c r="F474" s="99" t="s">
        <v>720</v>
      </c>
      <c r="G474" s="93">
        <v>17416.1838700351</v>
      </c>
      <c r="H474" s="93">
        <v>44631.078267900099</v>
      </c>
      <c r="I474" s="93">
        <v>2397.5457928860201</v>
      </c>
      <c r="J474" s="93">
        <v>5156.6750617187399</v>
      </c>
      <c r="K474" s="93">
        <v>75.422723046874907</v>
      </c>
      <c r="L474" s="93">
        <v>825054.19543675496</v>
      </c>
      <c r="M474" s="93">
        <v>927958.42268823634</v>
      </c>
      <c r="N474" s="95">
        <v>0.16924653471691445</v>
      </c>
      <c r="O474" s="95">
        <v>0.43371472154228335</v>
      </c>
      <c r="P474" s="95">
        <v>0.34619440114660355</v>
      </c>
      <c r="Q474" s="95">
        <v>5.0111401634809954E-2</v>
      </c>
      <c r="R474" s="96">
        <v>7.3294095938890725E-4</v>
      </c>
    </row>
    <row r="475" spans="1:18" ht="15.75" hidden="1" customHeight="1" x14ac:dyDescent="0.3">
      <c r="A475" s="89">
        <v>2020</v>
      </c>
      <c r="B475" s="90">
        <v>9</v>
      </c>
      <c r="C475" s="90" t="s">
        <v>730</v>
      </c>
      <c r="D475" s="90" t="s">
        <v>722</v>
      </c>
      <c r="E475" s="98" t="s">
        <v>11</v>
      </c>
      <c r="F475" s="99" t="s">
        <v>39</v>
      </c>
      <c r="G475" s="93">
        <v>13418.740117052699</v>
      </c>
      <c r="H475" s="93">
        <v>105707.833952877</v>
      </c>
      <c r="I475" s="93">
        <v>2397.5457928860201</v>
      </c>
      <c r="J475" s="93">
        <v>22225.1758095269</v>
      </c>
      <c r="K475" s="93">
        <v>249.66957129748701</v>
      </c>
      <c r="L475" s="93">
        <v>68172.963011015236</v>
      </c>
      <c r="M475" s="93">
        <v>331195.16650097526</v>
      </c>
      <c r="N475" s="95">
        <v>5.1017518441422806E-2</v>
      </c>
      <c r="O475" s="95">
        <v>0.40189699785901162</v>
      </c>
      <c r="P475" s="95">
        <v>0.46163701173555416</v>
      </c>
      <c r="Q475" s="95">
        <v>8.4499238142742072E-2</v>
      </c>
      <c r="R475" s="96">
        <v>9.4923382126945518E-4</v>
      </c>
    </row>
    <row r="476" spans="1:18" ht="15.75" hidden="1" customHeight="1" x14ac:dyDescent="0.3">
      <c r="A476" s="89">
        <v>2020</v>
      </c>
      <c r="B476" s="90">
        <v>9</v>
      </c>
      <c r="C476" s="90" t="s">
        <v>730</v>
      </c>
      <c r="D476" s="90" t="s">
        <v>722</v>
      </c>
      <c r="E476" s="98" t="s">
        <v>11</v>
      </c>
      <c r="F476" s="99" t="s">
        <v>40</v>
      </c>
      <c r="G476" s="93">
        <v>12347.267064083901</v>
      </c>
      <c r="H476" s="93">
        <v>134883.23041259</v>
      </c>
      <c r="I476" s="93">
        <v>2397.5457928860201</v>
      </c>
      <c r="J476" s="93">
        <v>2218.5677015073502</v>
      </c>
      <c r="K476" s="93">
        <v>51.021546484374902</v>
      </c>
      <c r="L476" s="93">
        <v>106035.31554468301</v>
      </c>
      <c r="M476" s="93">
        <v>326305.02470134234</v>
      </c>
      <c r="N476" s="95">
        <v>5.6055220263183478E-2</v>
      </c>
      <c r="O476" s="95">
        <v>0.61235487588835424</v>
      </c>
      <c r="P476" s="95">
        <v>0.32128622089232078</v>
      </c>
      <c r="Q476" s="95">
        <v>1.0072050805358215E-2</v>
      </c>
      <c r="R476" s="96">
        <v>2.3163215078332702E-4</v>
      </c>
    </row>
    <row r="477" spans="1:18" ht="15.75" hidden="1" customHeight="1" x14ac:dyDescent="0.3">
      <c r="A477" s="89">
        <v>2020</v>
      </c>
      <c r="B477" s="90">
        <v>9</v>
      </c>
      <c r="C477" s="90" t="s">
        <v>730</v>
      </c>
      <c r="D477" s="90" t="s">
        <v>722</v>
      </c>
      <c r="E477" s="98" t="s">
        <v>11</v>
      </c>
      <c r="F477" s="99" t="s">
        <v>41</v>
      </c>
      <c r="G477" s="93">
        <v>1806.61653387101</v>
      </c>
      <c r="H477" s="93">
        <v>3735.7700957398802</v>
      </c>
      <c r="I477" s="93">
        <v>2397.5457928860201</v>
      </c>
      <c r="J477" s="93">
        <v>708.91404328584497</v>
      </c>
      <c r="K477" s="93">
        <v>134.998449280024</v>
      </c>
      <c r="L477" s="93">
        <v>9437.8263744791802</v>
      </c>
      <c r="M477" s="93">
        <v>18714.332738962919</v>
      </c>
      <c r="N477" s="95">
        <v>0.19475182389653356</v>
      </c>
      <c r="O477" s="95">
        <v>0.40271304184544537</v>
      </c>
      <c r="P477" s="95">
        <v>0.31156203949500844</v>
      </c>
      <c r="Q477" s="95">
        <v>7.6420369418384787E-2</v>
      </c>
      <c r="R477" s="96">
        <v>1.4552725344627843E-2</v>
      </c>
    </row>
    <row r="478" spans="1:18" ht="15.75" hidden="1" customHeight="1" x14ac:dyDescent="0.3">
      <c r="A478" s="89">
        <v>2020</v>
      </c>
      <c r="B478" s="90">
        <v>9</v>
      </c>
      <c r="C478" s="90" t="s">
        <v>730</v>
      </c>
      <c r="D478" s="90" t="s">
        <v>722</v>
      </c>
      <c r="E478" s="98" t="s">
        <v>11</v>
      </c>
      <c r="F478" s="99" t="s">
        <v>42</v>
      </c>
      <c r="G478" s="93">
        <v>11161.7059267402</v>
      </c>
      <c r="H478" s="93">
        <v>252678.09626885</v>
      </c>
      <c r="I478" s="93">
        <v>2397.5457928860201</v>
      </c>
      <c r="J478" s="93">
        <v>6951.4975416988</v>
      </c>
      <c r="K478" s="93">
        <v>60.732189453125002</v>
      </c>
      <c r="L478" s="93">
        <v>217235.1889569897</v>
      </c>
      <c r="M478" s="93">
        <v>620824.33974999585</v>
      </c>
      <c r="N478" s="95">
        <v>2.7656109944503546E-2</v>
      </c>
      <c r="O478" s="95">
        <v>0.62607752406715256</v>
      </c>
      <c r="P478" s="95">
        <v>0.32889169246856825</v>
      </c>
      <c r="Q478" s="95">
        <v>1.7224193286761818E-2</v>
      </c>
      <c r="R478" s="96">
        <v>1.5048023301368049E-4</v>
      </c>
    </row>
    <row r="479" spans="1:18" ht="15.75" hidden="1" customHeight="1" x14ac:dyDescent="0.3">
      <c r="A479" s="89">
        <v>2020</v>
      </c>
      <c r="B479" s="90">
        <v>9</v>
      </c>
      <c r="C479" s="90" t="s">
        <v>730</v>
      </c>
      <c r="D479" s="90" t="s">
        <v>722</v>
      </c>
      <c r="E479" s="98" t="s">
        <v>11</v>
      </c>
      <c r="F479" s="99" t="s">
        <v>43</v>
      </c>
      <c r="G479" s="93">
        <v>2948.25117894914</v>
      </c>
      <c r="H479" s="93">
        <v>27090.822420854802</v>
      </c>
      <c r="I479" s="93">
        <v>2397.5457928860201</v>
      </c>
      <c r="J479" s="93">
        <v>12906.628934619999</v>
      </c>
      <c r="K479" s="93">
        <v>4620.9100128201699</v>
      </c>
      <c r="L479" s="93">
        <v>116842.86993156362</v>
      </c>
      <c r="M479" s="93">
        <v>185575.48510012354</v>
      </c>
      <c r="N479" s="95">
        <v>4.2894500256084343E-2</v>
      </c>
      <c r="O479" s="95">
        <v>0.39414799443346143</v>
      </c>
      <c r="P479" s="95">
        <v>0.3079469996799668</v>
      </c>
      <c r="Q479" s="95">
        <v>0.1877802685518043</v>
      </c>
      <c r="R479" s="96">
        <v>6.7230237078683044E-2</v>
      </c>
    </row>
    <row r="480" spans="1:18" ht="15.75" hidden="1" customHeight="1" x14ac:dyDescent="0.3">
      <c r="A480" s="89">
        <v>2020</v>
      </c>
      <c r="B480" s="90">
        <v>9</v>
      </c>
      <c r="C480" s="90" t="s">
        <v>730</v>
      </c>
      <c r="D480" s="90" t="s">
        <v>722</v>
      </c>
      <c r="E480" s="98" t="s">
        <v>11</v>
      </c>
      <c r="F480" s="99" t="s">
        <v>58</v>
      </c>
      <c r="G480" s="93">
        <v>37615.820462027703</v>
      </c>
      <c r="H480" s="93">
        <v>204855.71146596299</v>
      </c>
      <c r="I480" s="93">
        <v>2397.5457928860201</v>
      </c>
      <c r="J480" s="93">
        <v>542.069369171262</v>
      </c>
      <c r="K480" s="93">
        <v>9.3586121093749899</v>
      </c>
      <c r="L480" s="93">
        <v>92335.568849075047</v>
      </c>
      <c r="M480" s="93">
        <v>371477.1255924271</v>
      </c>
      <c r="N480" s="95">
        <v>0.13475535818055351</v>
      </c>
      <c r="O480" s="95">
        <v>0.73387751310103622</v>
      </c>
      <c r="P480" s="95">
        <v>0.12939168662475009</v>
      </c>
      <c r="Q480" s="95">
        <v>1.9419156914341161E-3</v>
      </c>
      <c r="R480" s="96">
        <v>3.3526402226019944E-5</v>
      </c>
    </row>
    <row r="481" spans="1:18" ht="15.75" hidden="1" customHeight="1" x14ac:dyDescent="0.3">
      <c r="A481" s="89">
        <v>2020</v>
      </c>
      <c r="B481" s="90">
        <v>9</v>
      </c>
      <c r="C481" s="90" t="s">
        <v>730</v>
      </c>
      <c r="D481" s="90" t="s">
        <v>722</v>
      </c>
      <c r="E481" s="98" t="s">
        <v>11</v>
      </c>
      <c r="F481" s="99" t="s">
        <v>44</v>
      </c>
      <c r="G481" s="93">
        <v>9657.3733716160696</v>
      </c>
      <c r="H481" s="93">
        <v>61016.117623709797</v>
      </c>
      <c r="I481" s="93">
        <v>2397.5457928860201</v>
      </c>
      <c r="J481" s="93">
        <v>11287.790603543101</v>
      </c>
      <c r="K481" s="93">
        <v>218.083246484374</v>
      </c>
      <c r="L481" s="93">
        <v>72471.757387705904</v>
      </c>
      <c r="M481" s="93">
        <v>215729.28855107835</v>
      </c>
      <c r="N481" s="95">
        <v>6.7412674874333098E-2</v>
      </c>
      <c r="O481" s="95">
        <v>0.425919092198555</v>
      </c>
      <c r="P481" s="95">
        <v>0.42635221912602206</v>
      </c>
      <c r="Q481" s="95">
        <v>7.8793697698659779E-2</v>
      </c>
      <c r="R481" s="96">
        <v>1.522316102430032E-3</v>
      </c>
    </row>
    <row r="482" spans="1:18" ht="15.75" hidden="1" customHeight="1" x14ac:dyDescent="0.3">
      <c r="A482" s="89">
        <v>2020</v>
      </c>
      <c r="B482" s="90">
        <v>9</v>
      </c>
      <c r="C482" s="90" t="s">
        <v>730</v>
      </c>
      <c r="D482" s="90" t="s">
        <v>722</v>
      </c>
      <c r="E482" s="98" t="s">
        <v>11</v>
      </c>
      <c r="F482" s="99" t="s">
        <v>51</v>
      </c>
      <c r="G482" s="93">
        <v>4065.91282513635</v>
      </c>
      <c r="H482" s="93">
        <v>83251.882437089997</v>
      </c>
      <c r="I482" s="93">
        <v>2397.5457928860201</v>
      </c>
      <c r="J482" s="93">
        <v>7516.5562738327199</v>
      </c>
      <c r="K482" s="93">
        <v>686.96585798866499</v>
      </c>
      <c r="L482" s="93">
        <v>2286.2835968137201</v>
      </c>
      <c r="M482" s="93">
        <v>211202.40923547142</v>
      </c>
      <c r="N482" s="95">
        <v>1.9461938673746858E-2</v>
      </c>
      <c r="O482" s="95">
        <v>0.39849428655920432</v>
      </c>
      <c r="P482" s="95">
        <v>0.54277671432954955</v>
      </c>
      <c r="Q482" s="95">
        <v>3.5978822845075108E-2</v>
      </c>
      <c r="R482" s="96">
        <v>3.2882375924242644E-3</v>
      </c>
    </row>
    <row r="483" spans="1:18" ht="15.75" hidden="1" customHeight="1" x14ac:dyDescent="0.3">
      <c r="A483" s="89">
        <v>2020</v>
      </c>
      <c r="B483" s="90">
        <v>9</v>
      </c>
      <c r="C483" s="90" t="s">
        <v>730</v>
      </c>
      <c r="D483" s="90" t="s">
        <v>722</v>
      </c>
      <c r="E483" s="98" t="s">
        <v>11</v>
      </c>
      <c r="F483" s="99" t="s">
        <v>45</v>
      </c>
      <c r="G483" s="93">
        <v>3230.8764869163601</v>
      </c>
      <c r="H483" s="93">
        <v>1116.742474784</v>
      </c>
      <c r="I483" s="93">
        <v>2397.5457928860201</v>
      </c>
      <c r="J483" s="93">
        <v>2039.7258216605401</v>
      </c>
      <c r="K483" s="93">
        <v>42.544744531249997</v>
      </c>
      <c r="L483" s="93">
        <v>124483.48564136529</v>
      </c>
      <c r="M483" s="93">
        <v>134096.09203645567</v>
      </c>
      <c r="N483" s="95">
        <v>0.33610826805168342</v>
      </c>
      <c r="O483" s="95">
        <v>0.1161747843284601</v>
      </c>
      <c r="P483" s="95">
        <v>0.33109822002321759</v>
      </c>
      <c r="Q483" s="95">
        <v>0.21219279535905353</v>
      </c>
      <c r="R483" s="96">
        <v>4.4259322375853945E-3</v>
      </c>
    </row>
    <row r="484" spans="1:18" ht="15.75" hidden="1" customHeight="1" x14ac:dyDescent="0.3">
      <c r="A484" s="89">
        <v>2020</v>
      </c>
      <c r="B484" s="90">
        <v>9</v>
      </c>
      <c r="C484" s="90" t="s">
        <v>730</v>
      </c>
      <c r="D484" s="90" t="s">
        <v>722</v>
      </c>
      <c r="E484" s="98" t="s">
        <v>11</v>
      </c>
      <c r="F484" s="99" t="s">
        <v>721</v>
      </c>
      <c r="G484" s="93">
        <v>2940.2572704427098</v>
      </c>
      <c r="H484" s="93">
        <v>68512.325879512704</v>
      </c>
      <c r="I484" s="93">
        <v>2397.5457928860201</v>
      </c>
      <c r="J484" s="93">
        <v>1062.33853203125</v>
      </c>
      <c r="K484" s="93">
        <v>4.674787109375</v>
      </c>
      <c r="L484" s="93">
        <v>203907.46282074001</v>
      </c>
      <c r="M484" s="93">
        <v>309330.85090303968</v>
      </c>
      <c r="N484" s="95">
        <v>2.7889990294633422E-2</v>
      </c>
      <c r="O484" s="95">
        <v>0.64987786036650608</v>
      </c>
      <c r="P484" s="95">
        <v>0.31211092919454436</v>
      </c>
      <c r="Q484" s="95">
        <v>1.0076877165073907E-2</v>
      </c>
      <c r="R484" s="96">
        <v>4.4342979242192335E-5</v>
      </c>
    </row>
    <row r="485" spans="1:18" ht="15.75" hidden="1" customHeight="1" x14ac:dyDescent="0.3">
      <c r="A485" s="89">
        <v>2020</v>
      </c>
      <c r="B485" s="90">
        <v>9</v>
      </c>
      <c r="C485" s="90" t="s">
        <v>730</v>
      </c>
      <c r="D485" s="90" t="s">
        <v>722</v>
      </c>
      <c r="E485" s="98" t="s">
        <v>11</v>
      </c>
      <c r="F485" s="99" t="s">
        <v>46</v>
      </c>
      <c r="G485" s="93">
        <v>5065.8092717018599</v>
      </c>
      <c r="H485" s="93">
        <v>71631.685315374503</v>
      </c>
      <c r="I485" s="93">
        <v>2397.5457928860201</v>
      </c>
      <c r="J485" s="93">
        <v>8681.7007656433798</v>
      </c>
      <c r="K485" s="93">
        <v>1073.1561001639</v>
      </c>
      <c r="L485" s="93">
        <v>4707.0067350704503</v>
      </c>
      <c r="M485" s="93">
        <v>149075.00300839072</v>
      </c>
      <c r="N485" s="95">
        <v>3.5089558645055745E-2</v>
      </c>
      <c r="O485" s="95">
        <v>0.4961742710604643</v>
      </c>
      <c r="P485" s="95">
        <v>0.4011667842974671</v>
      </c>
      <c r="Q485" s="95">
        <v>6.0135909548865787E-2</v>
      </c>
      <c r="R485" s="96">
        <v>7.433476448147E-3</v>
      </c>
    </row>
    <row r="486" spans="1:18" ht="15.75" hidden="1" customHeight="1" x14ac:dyDescent="0.3">
      <c r="A486" s="89">
        <v>2020</v>
      </c>
      <c r="B486" s="90">
        <v>9</v>
      </c>
      <c r="C486" s="90" t="s">
        <v>730</v>
      </c>
      <c r="D486" s="90" t="s">
        <v>722</v>
      </c>
      <c r="E486" s="98" t="s">
        <v>11</v>
      </c>
      <c r="F486" s="99" t="s">
        <v>47</v>
      </c>
      <c r="G486" s="93">
        <v>6743.4312008256602</v>
      </c>
      <c r="H486" s="93">
        <v>134415.82560030799</v>
      </c>
      <c r="I486" s="93">
        <v>2397.5457928860201</v>
      </c>
      <c r="J486" s="93">
        <v>232188.96875117801</v>
      </c>
      <c r="K486" s="93">
        <v>28641.033318276401</v>
      </c>
      <c r="L486" s="93">
        <v>551841.34064739605</v>
      </c>
      <c r="M486" s="93">
        <v>1461770.3581409212</v>
      </c>
      <c r="N486" s="95">
        <v>7.4109420308421424E-3</v>
      </c>
      <c r="O486" s="95">
        <v>0.14772122112400321</v>
      </c>
      <c r="P486" s="95">
        <v>0.55821910155376653</v>
      </c>
      <c r="Q486" s="95">
        <v>0.25517261708035399</v>
      </c>
      <c r="R486" s="96">
        <v>3.1476118211034201E-2</v>
      </c>
    </row>
    <row r="487" spans="1:18" ht="15.75" hidden="1" customHeight="1" x14ac:dyDescent="0.3">
      <c r="A487" s="89">
        <v>2020</v>
      </c>
      <c r="B487" s="90">
        <v>9</v>
      </c>
      <c r="C487" s="90" t="s">
        <v>730</v>
      </c>
      <c r="D487" s="90" t="s">
        <v>722</v>
      </c>
      <c r="E487" s="98" t="s">
        <v>11</v>
      </c>
      <c r="F487" s="99" t="s">
        <v>48</v>
      </c>
      <c r="G487" s="93">
        <v>3079.3877180713798</v>
      </c>
      <c r="H487" s="93">
        <v>18520.557161398701</v>
      </c>
      <c r="I487" s="93">
        <v>2397.5457928860201</v>
      </c>
      <c r="J487" s="93">
        <v>13234.4559129061</v>
      </c>
      <c r="K487" s="93">
        <v>887.44633554074801</v>
      </c>
      <c r="L487" s="93">
        <v>45482.237135675474</v>
      </c>
      <c r="M487" s="93">
        <v>110314.39779994081</v>
      </c>
      <c r="N487" s="95">
        <v>4.7497841912412145E-2</v>
      </c>
      <c r="O487" s="95">
        <v>0.28566928776765266</v>
      </c>
      <c r="P487" s="95">
        <v>0.44901038679085148</v>
      </c>
      <c r="Q487" s="95">
        <v>0.20413411765560308</v>
      </c>
      <c r="R487" s="96">
        <v>1.3688365873480711E-2</v>
      </c>
    </row>
    <row r="488" spans="1:18" ht="15.75" hidden="1" customHeight="1" x14ac:dyDescent="0.3">
      <c r="A488" s="89">
        <v>2020</v>
      </c>
      <c r="B488" s="90">
        <v>10</v>
      </c>
      <c r="C488" s="90" t="s">
        <v>731</v>
      </c>
      <c r="D488" s="90" t="s">
        <v>719</v>
      </c>
      <c r="E488" s="98" t="s">
        <v>11</v>
      </c>
      <c r="F488" s="99" t="s">
        <v>12</v>
      </c>
      <c r="G488" s="93">
        <v>21943.634240847099</v>
      </c>
      <c r="H488" s="93">
        <v>182207.670197003</v>
      </c>
      <c r="I488" s="93">
        <v>2397.5457928860201</v>
      </c>
      <c r="J488" s="93">
        <v>16444.684268624402</v>
      </c>
      <c r="K488" s="93">
        <v>170.35856623621299</v>
      </c>
      <c r="L488" s="93">
        <v>81373.479016216603</v>
      </c>
      <c r="M488" s="93">
        <v>433311.47680229635</v>
      </c>
      <c r="N488" s="95">
        <v>6.2350852647019971E-2</v>
      </c>
      <c r="O488" s="95">
        <v>0.51772662043657813</v>
      </c>
      <c r="P488" s="95">
        <v>0.37271238496134118</v>
      </c>
      <c r="Q488" s="95">
        <v>4.672608349218392E-2</v>
      </c>
      <c r="R488" s="96">
        <v>4.8405846287664255E-4</v>
      </c>
    </row>
    <row r="489" spans="1:18" ht="15.75" hidden="1" customHeight="1" x14ac:dyDescent="0.3">
      <c r="A489" s="89">
        <v>2020</v>
      </c>
      <c r="B489" s="90">
        <v>10</v>
      </c>
      <c r="C489" s="90" t="s">
        <v>731</v>
      </c>
      <c r="D489" s="90" t="s">
        <v>719</v>
      </c>
      <c r="E489" s="98" t="s">
        <v>11</v>
      </c>
      <c r="F489" s="99" t="s">
        <v>26</v>
      </c>
      <c r="G489" s="93">
        <v>69129.432045893802</v>
      </c>
      <c r="H489" s="93">
        <v>447418.12264684797</v>
      </c>
      <c r="I489" s="93">
        <v>2397.5457928860201</v>
      </c>
      <c r="J489" s="93">
        <v>44014.322893272401</v>
      </c>
      <c r="K489" s="93">
        <v>645.93858441635996</v>
      </c>
      <c r="L489" s="93">
        <v>297979.04923817399</v>
      </c>
      <c r="M489" s="93">
        <v>1302393.3163907316</v>
      </c>
      <c r="N489" s="95">
        <v>6.8825617383821897E-2</v>
      </c>
      <c r="O489" s="95">
        <v>0.44545177948860309</v>
      </c>
      <c r="P489" s="95">
        <v>0.44125861756084517</v>
      </c>
      <c r="Q489" s="95">
        <v>4.3820885796504915E-2</v>
      </c>
      <c r="R489" s="96">
        <v>6.4309977022483915E-4</v>
      </c>
    </row>
    <row r="490" spans="1:18" ht="15.75" hidden="1" customHeight="1" x14ac:dyDescent="0.3">
      <c r="A490" s="89">
        <v>2020</v>
      </c>
      <c r="B490" s="90">
        <v>10</v>
      </c>
      <c r="C490" s="90" t="s">
        <v>731</v>
      </c>
      <c r="D490" s="90" t="s">
        <v>719</v>
      </c>
      <c r="E490" s="98" t="s">
        <v>11</v>
      </c>
      <c r="F490" s="99" t="s">
        <v>27</v>
      </c>
      <c r="G490" s="93">
        <v>1600.8442566835099</v>
      </c>
      <c r="H490" s="93">
        <v>101380.825940892</v>
      </c>
      <c r="I490" s="93">
        <v>2397.5457928860201</v>
      </c>
      <c r="J490" s="93">
        <v>7893.0509413067102</v>
      </c>
      <c r="K490" s="93">
        <v>548.29575195312498</v>
      </c>
      <c r="L490" s="93">
        <v>4692.0476288434302</v>
      </c>
      <c r="M490" s="93">
        <v>226689.61699929976</v>
      </c>
      <c r="N490" s="95">
        <v>7.2110891178818106E-3</v>
      </c>
      <c r="O490" s="95">
        <v>0.45667538716026979</v>
      </c>
      <c r="P490" s="95">
        <v>0.49808902319601872</v>
      </c>
      <c r="Q490" s="95">
        <v>3.5554672799751497E-2</v>
      </c>
      <c r="R490" s="96">
        <v>2.4698277260782153E-3</v>
      </c>
    </row>
    <row r="491" spans="1:18" ht="15.75" hidden="1" customHeight="1" x14ac:dyDescent="0.3">
      <c r="A491" s="89">
        <v>2020</v>
      </c>
      <c r="B491" s="90">
        <v>10</v>
      </c>
      <c r="C491" s="90" t="s">
        <v>731</v>
      </c>
      <c r="D491" s="90" t="s">
        <v>719</v>
      </c>
      <c r="E491" s="98" t="s">
        <v>11</v>
      </c>
      <c r="F491" s="99" t="s">
        <v>28</v>
      </c>
      <c r="G491" s="93">
        <v>5674.4259529748997</v>
      </c>
      <c r="H491" s="93">
        <v>55624.899543372601</v>
      </c>
      <c r="I491" s="93">
        <v>2397.5457928860201</v>
      </c>
      <c r="J491" s="93">
        <v>33334.793200317399</v>
      </c>
      <c r="K491" s="93">
        <v>535.99927389246295</v>
      </c>
      <c r="L491" s="93">
        <v>4316.84361477941</v>
      </c>
      <c r="M491" s="93">
        <v>373104.58101493178</v>
      </c>
      <c r="N491" s="95">
        <v>1.5386699115805674E-2</v>
      </c>
      <c r="O491" s="95">
        <v>0.15083174927537496</v>
      </c>
      <c r="P491" s="95">
        <v>0.74193795422407649</v>
      </c>
      <c r="Q491" s="95">
        <v>9.0390188771779983E-2</v>
      </c>
      <c r="R491" s="96">
        <v>1.4534086129628493E-3</v>
      </c>
    </row>
    <row r="492" spans="1:18" ht="15.75" customHeight="1" x14ac:dyDescent="0.3">
      <c r="A492" s="89">
        <v>2020</v>
      </c>
      <c r="B492" s="90">
        <v>10</v>
      </c>
      <c r="C492" s="90" t="s">
        <v>731</v>
      </c>
      <c r="D492" s="90" t="s">
        <v>719</v>
      </c>
      <c r="E492" s="98" t="s">
        <v>11</v>
      </c>
      <c r="F492" s="99" t="s">
        <v>29</v>
      </c>
      <c r="G492" s="93">
        <v>14611.291303055899</v>
      </c>
      <c r="H492" s="93">
        <v>95037.252404266794</v>
      </c>
      <c r="I492" s="93">
        <v>2397.5457928860201</v>
      </c>
      <c r="J492" s="93">
        <v>30509.584729079099</v>
      </c>
      <c r="K492" s="93">
        <v>991.07840437193499</v>
      </c>
      <c r="L492" s="93">
        <v>80310.500393956201</v>
      </c>
      <c r="M492" s="93">
        <v>354392.0548697639</v>
      </c>
      <c r="N492" s="95">
        <v>5.3310013258647038E-2</v>
      </c>
      <c r="O492" s="95">
        <v>0.34674807863677459</v>
      </c>
      <c r="P492" s="95">
        <v>0.48501019300358472</v>
      </c>
      <c r="Q492" s="95">
        <v>0.11131571691290916</v>
      </c>
      <c r="R492" s="96">
        <v>3.6159981880846139E-3</v>
      </c>
    </row>
    <row r="493" spans="1:18" ht="15.75" hidden="1" customHeight="1" x14ac:dyDescent="0.3">
      <c r="A493" s="89">
        <v>2020</v>
      </c>
      <c r="B493" s="90">
        <v>10</v>
      </c>
      <c r="C493" s="90" t="s">
        <v>731</v>
      </c>
      <c r="D493" s="90" t="s">
        <v>719</v>
      </c>
      <c r="E493" s="98" t="s">
        <v>11</v>
      </c>
      <c r="F493" s="99" t="s">
        <v>30</v>
      </c>
      <c r="G493" s="93">
        <v>717.04576694699699</v>
      </c>
      <c r="H493" s="93">
        <v>5413.6961815762998</v>
      </c>
      <c r="I493" s="93">
        <v>2397.5457928860201</v>
      </c>
      <c r="J493" s="93">
        <v>1350.94583412836</v>
      </c>
      <c r="K493" s="93">
        <v>85.613108593749999</v>
      </c>
      <c r="L493" s="93">
        <v>216158.30751569846</v>
      </c>
      <c r="M493" s="93">
        <v>230086.50016211695</v>
      </c>
      <c r="N493" s="95">
        <v>5.1481608931606679E-2</v>
      </c>
      <c r="O493" s="95">
        <v>0.38868619346447508</v>
      </c>
      <c r="P493" s="95">
        <v>0.45669182762264082</v>
      </c>
      <c r="Q493" s="95">
        <v>9.6993620667340699E-2</v>
      </c>
      <c r="R493" s="96">
        <v>6.1467493139366215E-3</v>
      </c>
    </row>
    <row r="494" spans="1:18" ht="15.75" hidden="1" customHeight="1" x14ac:dyDescent="0.3">
      <c r="A494" s="89">
        <v>2020</v>
      </c>
      <c r="B494" s="90">
        <v>10</v>
      </c>
      <c r="C494" s="90" t="s">
        <v>731</v>
      </c>
      <c r="D494" s="90" t="s">
        <v>719</v>
      </c>
      <c r="E494" s="98" t="s">
        <v>11</v>
      </c>
      <c r="F494" s="99" t="s">
        <v>31</v>
      </c>
      <c r="G494" s="93">
        <v>2536.3762826685002</v>
      </c>
      <c r="H494" s="93">
        <v>39623.4965623342</v>
      </c>
      <c r="I494" s="93">
        <v>2397.5457928860201</v>
      </c>
      <c r="J494" s="93">
        <v>71259.289289761204</v>
      </c>
      <c r="K494" s="93">
        <v>19743.6756212439</v>
      </c>
      <c r="L494" s="93">
        <v>48391.134079458119</v>
      </c>
      <c r="M494" s="93">
        <v>251948.68865991861</v>
      </c>
      <c r="N494" s="95">
        <v>1.2460241467805328E-2</v>
      </c>
      <c r="O494" s="95">
        <v>0.19465500380960887</v>
      </c>
      <c r="P494" s="95">
        <v>0.34582217775969443</v>
      </c>
      <c r="Q494" s="95">
        <v>0.35006948986309644</v>
      </c>
      <c r="R494" s="96">
        <v>9.6993087099795108E-2</v>
      </c>
    </row>
    <row r="495" spans="1:18" ht="15.75" hidden="1" customHeight="1" x14ac:dyDescent="0.3">
      <c r="A495" s="89">
        <v>2020</v>
      </c>
      <c r="B495" s="90">
        <v>10</v>
      </c>
      <c r="C495" s="90" t="s">
        <v>731</v>
      </c>
      <c r="D495" s="90" t="s">
        <v>719</v>
      </c>
      <c r="E495" s="98" t="s">
        <v>11</v>
      </c>
      <c r="F495" s="99" t="s">
        <v>32</v>
      </c>
      <c r="G495" s="93">
        <v>12105.642801665101</v>
      </c>
      <c r="H495" s="93">
        <v>187806.224111577</v>
      </c>
      <c r="I495" s="93">
        <v>2397.5457928860201</v>
      </c>
      <c r="J495" s="93">
        <v>90443.898245413293</v>
      </c>
      <c r="K495" s="93">
        <v>3566.4195569148301</v>
      </c>
      <c r="L495" s="93">
        <v>43240.264190648501</v>
      </c>
      <c r="M495" s="93">
        <v>609521.81280337367</v>
      </c>
      <c r="N495" s="95">
        <v>2.1377427591136363E-2</v>
      </c>
      <c r="O495" s="95">
        <v>0.33164814317482905</v>
      </c>
      <c r="P495" s="95">
        <v>0.480961042372615</v>
      </c>
      <c r="Q495" s="95">
        <v>0.15971542506900052</v>
      </c>
      <c r="R495" s="96">
        <v>6.2979617924190422E-3</v>
      </c>
    </row>
    <row r="496" spans="1:18" ht="15.75" hidden="1" customHeight="1" x14ac:dyDescent="0.3">
      <c r="A496" s="89">
        <v>2020</v>
      </c>
      <c r="B496" s="90">
        <v>10</v>
      </c>
      <c r="C496" s="90" t="s">
        <v>731</v>
      </c>
      <c r="D496" s="90" t="s">
        <v>719</v>
      </c>
      <c r="E496" s="98" t="s">
        <v>11</v>
      </c>
      <c r="F496" s="99" t="s">
        <v>33</v>
      </c>
      <c r="G496" s="93">
        <v>41441.909510120902</v>
      </c>
      <c r="H496" s="93">
        <v>548591.338925572</v>
      </c>
      <c r="I496" s="93">
        <v>2397.5457928860201</v>
      </c>
      <c r="J496" s="93">
        <v>50385.636316665703</v>
      </c>
      <c r="K496" s="93">
        <v>797.19875680147004</v>
      </c>
      <c r="L496" s="93">
        <v>74067.537984105409</v>
      </c>
      <c r="M496" s="93">
        <v>1352056.7882565763</v>
      </c>
      <c r="N496" s="95">
        <v>3.2427432000140352E-2</v>
      </c>
      <c r="O496" s="95">
        <v>0.42926130936438683</v>
      </c>
      <c r="P496" s="95">
        <v>0.49826175504023146</v>
      </c>
      <c r="Q496" s="95">
        <v>3.9425712153622061E-2</v>
      </c>
      <c r="R496" s="96">
        <v>6.2379144161932895E-4</v>
      </c>
    </row>
    <row r="497" spans="1:18" ht="15.75" hidden="1" customHeight="1" x14ac:dyDescent="0.3">
      <c r="A497" s="89">
        <v>2020</v>
      </c>
      <c r="B497" s="90">
        <v>10</v>
      </c>
      <c r="C497" s="90" t="s">
        <v>731</v>
      </c>
      <c r="D497" s="90" t="s">
        <v>719</v>
      </c>
      <c r="E497" s="98" t="s">
        <v>11</v>
      </c>
      <c r="F497" s="99" t="s">
        <v>34</v>
      </c>
      <c r="G497" s="93">
        <v>23301.887420901101</v>
      </c>
      <c r="H497" s="93">
        <v>160388.43751584299</v>
      </c>
      <c r="I497" s="93">
        <v>2397.5457928860201</v>
      </c>
      <c r="J497" s="93">
        <v>93214.549073084403</v>
      </c>
      <c r="K497" s="93">
        <v>3484.8942646476698</v>
      </c>
      <c r="L497" s="93">
        <v>59001.966710772598</v>
      </c>
      <c r="M497" s="93">
        <v>713628.83042005473</v>
      </c>
      <c r="N497" s="95">
        <v>3.5595678565445189E-2</v>
      </c>
      <c r="O497" s="95">
        <v>0.24500741782431804</v>
      </c>
      <c r="P497" s="95">
        <v>0.57168001525981316</v>
      </c>
      <c r="Q497" s="95">
        <v>0.14239340644364498</v>
      </c>
      <c r="R497" s="96">
        <v>5.3234819067787308E-3</v>
      </c>
    </row>
    <row r="498" spans="1:18" ht="15.75" hidden="1" customHeight="1" x14ac:dyDescent="0.3">
      <c r="A498" s="89">
        <v>2020</v>
      </c>
      <c r="B498" s="90">
        <v>10</v>
      </c>
      <c r="C498" s="90" t="s">
        <v>731</v>
      </c>
      <c r="D498" s="90" t="s">
        <v>719</v>
      </c>
      <c r="E498" s="98" t="s">
        <v>11</v>
      </c>
      <c r="F498" s="99" t="s">
        <v>35</v>
      </c>
      <c r="G498" s="93">
        <v>10893.1564868842</v>
      </c>
      <c r="H498" s="93">
        <v>72320.270629480903</v>
      </c>
      <c r="I498" s="93">
        <v>2397.5457928860201</v>
      </c>
      <c r="J498" s="93">
        <v>105605.340789657</v>
      </c>
      <c r="K498" s="93">
        <v>18649.085848774601</v>
      </c>
      <c r="L498" s="93">
        <v>237923.77654217105</v>
      </c>
      <c r="M498" s="93">
        <v>605861.19629491481</v>
      </c>
      <c r="N498" s="95">
        <v>2.960600336384505E-2</v>
      </c>
      <c r="O498" s="95">
        <v>0.19655589985405827</v>
      </c>
      <c r="P498" s="95">
        <v>0.43613276982206256</v>
      </c>
      <c r="Q498" s="95">
        <v>0.28701984391971996</v>
      </c>
      <c r="R498" s="96">
        <v>5.068548304031404E-2</v>
      </c>
    </row>
    <row r="499" spans="1:18" ht="15.75" hidden="1" customHeight="1" x14ac:dyDescent="0.3">
      <c r="A499" s="89">
        <v>2020</v>
      </c>
      <c r="B499" s="90">
        <v>10</v>
      </c>
      <c r="C499" s="90" t="s">
        <v>731</v>
      </c>
      <c r="D499" s="90" t="s">
        <v>719</v>
      </c>
      <c r="E499" s="98" t="s">
        <v>11</v>
      </c>
      <c r="F499" s="99" t="s">
        <v>36</v>
      </c>
      <c r="G499" s="93">
        <v>7191.9356840609498</v>
      </c>
      <c r="H499" s="93">
        <v>101605.003469156</v>
      </c>
      <c r="I499" s="93">
        <v>2397.5457928860201</v>
      </c>
      <c r="J499" s="93">
        <v>22021.0942174677</v>
      </c>
      <c r="K499" s="93">
        <v>172.063798688725</v>
      </c>
      <c r="L499" s="93">
        <v>33390.190719177619</v>
      </c>
      <c r="M499" s="93">
        <v>258886.87145458261</v>
      </c>
      <c r="N499" s="95">
        <v>3.1893754092548611E-2</v>
      </c>
      <c r="O499" s="95">
        <v>0.4505831444515942</v>
      </c>
      <c r="P499" s="95">
        <v>0.41910410059172643</v>
      </c>
      <c r="Q499" s="95">
        <v>9.7655957265761179E-2</v>
      </c>
      <c r="R499" s="96">
        <v>7.6304359836951456E-4</v>
      </c>
    </row>
    <row r="500" spans="1:18" ht="15.75" hidden="1" customHeight="1" x14ac:dyDescent="0.3">
      <c r="A500" s="89">
        <v>2020</v>
      </c>
      <c r="B500" s="90">
        <v>10</v>
      </c>
      <c r="C500" s="90" t="s">
        <v>731</v>
      </c>
      <c r="D500" s="90" t="s">
        <v>719</v>
      </c>
      <c r="E500" s="98" t="s">
        <v>11</v>
      </c>
      <c r="F500" s="99" t="s">
        <v>37</v>
      </c>
      <c r="G500" s="93">
        <v>13238.384054764099</v>
      </c>
      <c r="H500" s="93">
        <v>181467.557630027</v>
      </c>
      <c r="I500" s="93">
        <v>2397.5457928860201</v>
      </c>
      <c r="J500" s="93">
        <v>32996.955252725602</v>
      </c>
      <c r="K500" s="93">
        <v>750.15957759037894</v>
      </c>
      <c r="L500" s="93">
        <v>149549.2157650654</v>
      </c>
      <c r="M500" s="93">
        <v>524073.85777629743</v>
      </c>
      <c r="N500" s="95">
        <v>3.5347164297849003E-2</v>
      </c>
      <c r="O500" s="95">
        <v>0.48452768462851842</v>
      </c>
      <c r="P500" s="95">
        <v>0.39001862390604536</v>
      </c>
      <c r="Q500" s="95">
        <v>8.8103562626824491E-2</v>
      </c>
      <c r="R500" s="96">
        <v>2.0029645407627986E-3</v>
      </c>
    </row>
    <row r="501" spans="1:18" ht="15.75" hidden="1" customHeight="1" x14ac:dyDescent="0.3">
      <c r="A501" s="89">
        <v>2020</v>
      </c>
      <c r="B501" s="90">
        <v>10</v>
      </c>
      <c r="C501" s="90" t="s">
        <v>731</v>
      </c>
      <c r="D501" s="90" t="s">
        <v>719</v>
      </c>
      <c r="E501" s="98" t="s">
        <v>11</v>
      </c>
      <c r="F501" s="99" t="s">
        <v>720</v>
      </c>
      <c r="G501" s="93">
        <v>32480.053908809699</v>
      </c>
      <c r="H501" s="93">
        <v>168313.92655893401</v>
      </c>
      <c r="I501" s="93">
        <v>2397.5457928860201</v>
      </c>
      <c r="J501" s="93">
        <v>146735.375065095</v>
      </c>
      <c r="K501" s="93">
        <v>1052.22557619944</v>
      </c>
      <c r="L501" s="93">
        <v>201446.6958925034</v>
      </c>
      <c r="M501" s="93">
        <v>927958.42268835858</v>
      </c>
      <c r="N501" s="95">
        <v>4.47068542885838E-2</v>
      </c>
      <c r="O501" s="95">
        <v>0.23167406712242797</v>
      </c>
      <c r="P501" s="95">
        <v>0.52019827312851175</v>
      </c>
      <c r="Q501" s="95">
        <v>0.20197247980049002</v>
      </c>
      <c r="R501" s="96">
        <v>1.448325659986364E-3</v>
      </c>
    </row>
    <row r="502" spans="1:18" ht="15.75" hidden="1" customHeight="1" x14ac:dyDescent="0.3">
      <c r="A502" s="89">
        <v>2020</v>
      </c>
      <c r="B502" s="90">
        <v>10</v>
      </c>
      <c r="C502" s="90" t="s">
        <v>731</v>
      </c>
      <c r="D502" s="90" t="s">
        <v>719</v>
      </c>
      <c r="E502" s="98" t="s">
        <v>11</v>
      </c>
      <c r="F502" s="99" t="s">
        <v>39</v>
      </c>
      <c r="G502" s="93">
        <v>4009.6947408854198</v>
      </c>
      <c r="H502" s="93">
        <v>77912.595055606507</v>
      </c>
      <c r="I502" s="93">
        <v>2397.5457928860201</v>
      </c>
      <c r="J502" s="93">
        <v>33827.928249555996</v>
      </c>
      <c r="K502" s="93">
        <v>598.69315681066098</v>
      </c>
      <c r="L502" s="93">
        <v>27060.828704332591</v>
      </c>
      <c r="M502" s="93">
        <v>331195.16650097014</v>
      </c>
      <c r="N502" s="95">
        <v>1.318395933170342E-2</v>
      </c>
      <c r="O502" s="95">
        <v>0.25617822578029165</v>
      </c>
      <c r="P502" s="95">
        <v>0.61744237087541098</v>
      </c>
      <c r="Q502" s="95">
        <v>0.11122692851661944</v>
      </c>
      <c r="R502" s="96">
        <v>1.9685154959746213E-3</v>
      </c>
    </row>
    <row r="503" spans="1:18" ht="15.75" hidden="1" customHeight="1" x14ac:dyDescent="0.3">
      <c r="A503" s="89">
        <v>2020</v>
      </c>
      <c r="B503" s="90">
        <v>10</v>
      </c>
      <c r="C503" s="90" t="s">
        <v>731</v>
      </c>
      <c r="D503" s="90" t="s">
        <v>719</v>
      </c>
      <c r="E503" s="98" t="s">
        <v>11</v>
      </c>
      <c r="F503" s="99" t="s">
        <v>40</v>
      </c>
      <c r="G503" s="93">
        <v>12957.114266164101</v>
      </c>
      <c r="H503" s="93">
        <v>150290.58897986199</v>
      </c>
      <c r="I503" s="93">
        <v>2397.5457928860201</v>
      </c>
      <c r="J503" s="93">
        <v>9529.6260450627906</v>
      </c>
      <c r="K503" s="93">
        <v>180.8795734375</v>
      </c>
      <c r="L503" s="93">
        <v>13385.816316835189</v>
      </c>
      <c r="M503" s="93">
        <v>326305.02470134856</v>
      </c>
      <c r="N503" s="95">
        <v>4.1407219240573022E-2</v>
      </c>
      <c r="O503" s="95">
        <v>0.48028559753732264</v>
      </c>
      <c r="P503" s="95">
        <v>0.44727519362762702</v>
      </c>
      <c r="Q503" s="95">
        <v>3.0453950379910329E-2</v>
      </c>
      <c r="R503" s="96">
        <v>5.7803921456696318E-4</v>
      </c>
    </row>
    <row r="504" spans="1:18" ht="15.75" hidden="1" customHeight="1" x14ac:dyDescent="0.3">
      <c r="A504" s="89">
        <v>2020</v>
      </c>
      <c r="B504" s="90">
        <v>10</v>
      </c>
      <c r="C504" s="90" t="s">
        <v>731</v>
      </c>
      <c r="D504" s="90" t="s">
        <v>719</v>
      </c>
      <c r="E504" s="98" t="s">
        <v>11</v>
      </c>
      <c r="F504" s="99" t="s">
        <v>41</v>
      </c>
      <c r="G504" s="93">
        <v>802.60479438112702</v>
      </c>
      <c r="H504" s="93">
        <v>2909.8365117754201</v>
      </c>
      <c r="I504" s="93">
        <v>2397.5457928860201</v>
      </c>
      <c r="J504" s="93">
        <v>4673.6078974065504</v>
      </c>
      <c r="K504" s="93">
        <v>1593.66197133272</v>
      </c>
      <c r="L504" s="93">
        <v>3865.8733569148299</v>
      </c>
      <c r="M504" s="93">
        <v>18714.332738962905</v>
      </c>
      <c r="N504" s="95">
        <v>5.4053068653808191E-2</v>
      </c>
      <c r="O504" s="95">
        <v>0.19596891750893963</v>
      </c>
      <c r="P504" s="95">
        <v>0.32789584979022274</v>
      </c>
      <c r="Q504" s="95">
        <v>0.31475372475726238</v>
      </c>
      <c r="R504" s="96">
        <v>0.10732843928976712</v>
      </c>
    </row>
    <row r="505" spans="1:18" ht="15.75" hidden="1" customHeight="1" x14ac:dyDescent="0.3">
      <c r="A505" s="89">
        <v>2020</v>
      </c>
      <c r="B505" s="90">
        <v>10</v>
      </c>
      <c r="C505" s="90" t="s">
        <v>731</v>
      </c>
      <c r="D505" s="90" t="s">
        <v>719</v>
      </c>
      <c r="E505" s="98" t="s">
        <v>11</v>
      </c>
      <c r="F505" s="99" t="s">
        <v>42</v>
      </c>
      <c r="G505" s="93">
        <v>3778.6832578890799</v>
      </c>
      <c r="H505" s="93">
        <v>219908.36395814401</v>
      </c>
      <c r="I505" s="93">
        <v>2397.5457928860201</v>
      </c>
      <c r="J505" s="93">
        <v>45172.974807049301</v>
      </c>
      <c r="K505" s="93">
        <v>8225.8930544561899</v>
      </c>
      <c r="L505" s="93">
        <v>117364.9683313056</v>
      </c>
      <c r="M505" s="93">
        <v>620824.33975003217</v>
      </c>
      <c r="N505" s="95">
        <v>7.5054383181723571E-3</v>
      </c>
      <c r="O505" s="95">
        <v>0.43679465800477962</v>
      </c>
      <c r="P505" s="95">
        <v>0.44963599684971089</v>
      </c>
      <c r="Q505" s="95">
        <v>8.9725164276421784E-2</v>
      </c>
      <c r="R505" s="96">
        <v>1.6338742550915244E-2</v>
      </c>
    </row>
    <row r="506" spans="1:18" ht="15.75" hidden="1" customHeight="1" x14ac:dyDescent="0.3">
      <c r="A506" s="89">
        <v>2020</v>
      </c>
      <c r="B506" s="90">
        <v>10</v>
      </c>
      <c r="C506" s="90" t="s">
        <v>731</v>
      </c>
      <c r="D506" s="90" t="s">
        <v>719</v>
      </c>
      <c r="E506" s="98" t="s">
        <v>11</v>
      </c>
      <c r="F506" s="99" t="s">
        <v>43</v>
      </c>
      <c r="G506" s="93">
        <v>2266.1193994806899</v>
      </c>
      <c r="H506" s="93">
        <v>22722.615679728799</v>
      </c>
      <c r="I506" s="93">
        <v>2397.5457928860201</v>
      </c>
      <c r="J506" s="93">
        <v>15996.8871878952</v>
      </c>
      <c r="K506" s="93">
        <v>6973.2767075720103</v>
      </c>
      <c r="L506" s="93">
        <v>117633.93352299862</v>
      </c>
      <c r="M506" s="93">
        <v>185575.4851001231</v>
      </c>
      <c r="N506" s="95">
        <v>3.3353954198533174E-2</v>
      </c>
      <c r="O506" s="95">
        <v>0.33444357910983247</v>
      </c>
      <c r="P506" s="95">
        <v>0.29411534088626606</v>
      </c>
      <c r="Q506" s="95">
        <v>0.23545071928091282</v>
      </c>
      <c r="R506" s="96">
        <v>0.10263640652445549</v>
      </c>
    </row>
    <row r="507" spans="1:18" ht="15.75" hidden="1" customHeight="1" x14ac:dyDescent="0.3">
      <c r="A507" s="89">
        <v>2020</v>
      </c>
      <c r="B507" s="90">
        <v>10</v>
      </c>
      <c r="C507" s="90" t="s">
        <v>731</v>
      </c>
      <c r="D507" s="90" t="s">
        <v>719</v>
      </c>
      <c r="E507" s="98" t="s">
        <v>11</v>
      </c>
      <c r="F507" s="99" t="s">
        <v>58</v>
      </c>
      <c r="G507" s="93">
        <v>10815.9827211642</v>
      </c>
      <c r="H507" s="93">
        <v>229935.94194930801</v>
      </c>
      <c r="I507" s="93">
        <v>2397.5457928860201</v>
      </c>
      <c r="J507" s="93">
        <v>2643.8492537224101</v>
      </c>
      <c r="K507" s="93">
        <v>60.570530078124897</v>
      </c>
      <c r="L507" s="93">
        <v>8790.0845535539102</v>
      </c>
      <c r="M507" s="93">
        <v>371477.12559243868</v>
      </c>
      <c r="N507" s="95">
        <v>2.982180639865924E-2</v>
      </c>
      <c r="O507" s="95">
        <v>0.63397892930135291</v>
      </c>
      <c r="P507" s="95">
        <v>0.32874264336295633</v>
      </c>
      <c r="Q507" s="95">
        <v>7.2896159899988131E-3</v>
      </c>
      <c r="R507" s="96">
        <v>1.6700494703264279E-4</v>
      </c>
    </row>
    <row r="508" spans="1:18" ht="15.75" hidden="1" customHeight="1" x14ac:dyDescent="0.3">
      <c r="A508" s="89">
        <v>2020</v>
      </c>
      <c r="B508" s="90">
        <v>10</v>
      </c>
      <c r="C508" s="90" t="s">
        <v>731</v>
      </c>
      <c r="D508" s="90" t="s">
        <v>719</v>
      </c>
      <c r="E508" s="98" t="s">
        <v>11</v>
      </c>
      <c r="F508" s="99" t="s">
        <v>44</v>
      </c>
      <c r="G508" s="93">
        <v>5066.8658931157897</v>
      </c>
      <c r="H508" s="93">
        <v>54176.190970657197</v>
      </c>
      <c r="I508" s="93">
        <v>2397.5457928860201</v>
      </c>
      <c r="J508" s="93">
        <v>19569.776283140502</v>
      </c>
      <c r="K508" s="93">
        <v>390.79562527267097</v>
      </c>
      <c r="L508" s="93">
        <v>41091.218367905974</v>
      </c>
      <c r="M508" s="93">
        <v>215729.28855107771</v>
      </c>
      <c r="N508" s="95">
        <v>2.9013524300865966E-2</v>
      </c>
      <c r="O508" s="95">
        <v>0.31021982156487238</v>
      </c>
      <c r="P508" s="95">
        <v>0.54646985798049508</v>
      </c>
      <c r="Q508" s="95">
        <v>0.11205905025527624</v>
      </c>
      <c r="R508" s="96">
        <v>2.2377458984903986E-3</v>
      </c>
    </row>
    <row r="509" spans="1:18" ht="15.75" hidden="1" customHeight="1" x14ac:dyDescent="0.3">
      <c r="A509" s="89">
        <v>2020</v>
      </c>
      <c r="B509" s="90">
        <v>10</v>
      </c>
      <c r="C509" s="90" t="s">
        <v>731</v>
      </c>
      <c r="D509" s="90" t="s">
        <v>719</v>
      </c>
      <c r="E509" s="98" t="s">
        <v>11</v>
      </c>
      <c r="F509" s="99" t="s">
        <v>51</v>
      </c>
      <c r="G509" s="93">
        <v>3805.0088053507998</v>
      </c>
      <c r="H509" s="93">
        <v>62914.476482018603</v>
      </c>
      <c r="I509" s="93">
        <v>2397.5457928860201</v>
      </c>
      <c r="J509" s="93">
        <v>16108.303041916301</v>
      </c>
      <c r="K509" s="93">
        <v>1340.4752883762201</v>
      </c>
      <c r="L509" s="93">
        <v>7497.8023940686398</v>
      </c>
      <c r="M509" s="93">
        <v>211202.40923547157</v>
      </c>
      <c r="N509" s="95">
        <v>1.8679051320195438E-2</v>
      </c>
      <c r="O509" s="95">
        <v>0.30885151522862492</v>
      </c>
      <c r="P509" s="95">
        <v>0.58681217414394415</v>
      </c>
      <c r="Q509" s="95">
        <v>7.9076773430350772E-2</v>
      </c>
      <c r="R509" s="96">
        <v>6.5804858768847875E-3</v>
      </c>
    </row>
    <row r="510" spans="1:18" ht="15.75" hidden="1" customHeight="1" x14ac:dyDescent="0.3">
      <c r="A510" s="89">
        <v>2020</v>
      </c>
      <c r="B510" s="90">
        <v>10</v>
      </c>
      <c r="C510" s="90" t="s">
        <v>731</v>
      </c>
      <c r="D510" s="90" t="s">
        <v>719</v>
      </c>
      <c r="E510" s="98" t="s">
        <v>11</v>
      </c>
      <c r="F510" s="99" t="s">
        <v>45</v>
      </c>
      <c r="G510" s="93">
        <v>4916.3255499923598</v>
      </c>
      <c r="H510" s="93">
        <v>26741.423334735198</v>
      </c>
      <c r="I510" s="93">
        <v>2397.5457928860201</v>
      </c>
      <c r="J510" s="93">
        <v>15884.3617715824</v>
      </c>
      <c r="K510" s="93">
        <v>1387.7893134650701</v>
      </c>
      <c r="L510" s="93">
        <v>49179.257836326004</v>
      </c>
      <c r="M510" s="93">
        <v>134096.09203646003</v>
      </c>
      <c r="N510" s="95">
        <v>5.7895770565415165E-2</v>
      </c>
      <c r="O510" s="95">
        <v>0.31491309805203488</v>
      </c>
      <c r="P510" s="95">
        <v>0.42379034227234769</v>
      </c>
      <c r="Q510" s="95">
        <v>0.18705786574833624</v>
      </c>
      <c r="R510" s="96">
        <v>1.6342923361865973E-2</v>
      </c>
    </row>
    <row r="511" spans="1:18" ht="15.75" hidden="1" customHeight="1" x14ac:dyDescent="0.3">
      <c r="A511" s="89">
        <v>2020</v>
      </c>
      <c r="B511" s="90">
        <v>10</v>
      </c>
      <c r="C511" s="90" t="s">
        <v>731</v>
      </c>
      <c r="D511" s="90" t="s">
        <v>719</v>
      </c>
      <c r="E511" s="98" t="s">
        <v>11</v>
      </c>
      <c r="F511" s="99" t="s">
        <v>721</v>
      </c>
      <c r="G511" s="93">
        <v>2132.54349221354</v>
      </c>
      <c r="H511" s="93">
        <v>116621.91864367299</v>
      </c>
      <c r="I511" s="93">
        <v>2397.5457928860201</v>
      </c>
      <c r="J511" s="93">
        <v>21267.362297403801</v>
      </c>
      <c r="K511" s="93">
        <v>379.156622656249</v>
      </c>
      <c r="L511" s="93">
        <v>1405.352745088838</v>
      </c>
      <c r="M511" s="93">
        <v>309330.8509030175</v>
      </c>
      <c r="N511" s="95">
        <v>6.9255177144174089E-3</v>
      </c>
      <c r="O511" s="95">
        <v>0.37873420467395014</v>
      </c>
      <c r="P511" s="95">
        <v>0.54404236772903469</v>
      </c>
      <c r="Q511" s="95">
        <v>6.9066584042664136E-2</v>
      </c>
      <c r="R511" s="96">
        <v>1.2313258399334875E-3</v>
      </c>
    </row>
    <row r="512" spans="1:18" ht="15.75" hidden="1" customHeight="1" x14ac:dyDescent="0.3">
      <c r="A512" s="89">
        <v>2020</v>
      </c>
      <c r="B512" s="90">
        <v>10</v>
      </c>
      <c r="C512" s="90" t="s">
        <v>731</v>
      </c>
      <c r="D512" s="90" t="s">
        <v>719</v>
      </c>
      <c r="E512" s="98" t="s">
        <v>11</v>
      </c>
      <c r="F512" s="99" t="s">
        <v>46</v>
      </c>
      <c r="G512" s="93">
        <v>4620.51753128981</v>
      </c>
      <c r="H512" s="93">
        <v>40841.565853458</v>
      </c>
      <c r="I512" s="93">
        <v>2397.5457928860201</v>
      </c>
      <c r="J512" s="93">
        <v>15309.237038216899</v>
      </c>
      <c r="K512" s="93">
        <v>2266.6741240946699</v>
      </c>
      <c r="L512" s="93">
        <v>13837.528899934299</v>
      </c>
      <c r="M512" s="93">
        <v>149075.00300839034</v>
      </c>
      <c r="N512" s="95">
        <v>3.4165955566312231E-2</v>
      </c>
      <c r="O512" s="95">
        <v>0.30199888102542044</v>
      </c>
      <c r="P512" s="95">
        <v>0.53387184312164149</v>
      </c>
      <c r="Q512" s="95">
        <v>0.11320262478386271</v>
      </c>
      <c r="R512" s="96">
        <v>1.6760695502763316E-2</v>
      </c>
    </row>
    <row r="513" spans="1:18" ht="15.75" hidden="1" customHeight="1" x14ac:dyDescent="0.3">
      <c r="A513" s="89">
        <v>2020</v>
      </c>
      <c r="B513" s="90">
        <v>10</v>
      </c>
      <c r="C513" s="90" t="s">
        <v>731</v>
      </c>
      <c r="D513" s="90" t="s">
        <v>719</v>
      </c>
      <c r="E513" s="98" t="s">
        <v>11</v>
      </c>
      <c r="F513" s="99" t="s">
        <v>47</v>
      </c>
      <c r="G513" s="93">
        <v>9731.8840805744003</v>
      </c>
      <c r="H513" s="93">
        <v>106982.964256805</v>
      </c>
      <c r="I513" s="93">
        <v>2397.5457928860201</v>
      </c>
      <c r="J513" s="93">
        <v>290135.28199240001</v>
      </c>
      <c r="K513" s="93">
        <v>29626.0355456941</v>
      </c>
      <c r="L513" s="93">
        <v>361135.236361221</v>
      </c>
      <c r="M513" s="93">
        <v>1461770.3581409985</v>
      </c>
      <c r="N513" s="95">
        <v>8.842062085786884E-3</v>
      </c>
      <c r="O513" s="95">
        <v>9.7201117917996863E-2</v>
      </c>
      <c r="P513" s="95">
        <v>0.60343245709834203</v>
      </c>
      <c r="Q513" s="95">
        <v>0.26360714486671832</v>
      </c>
      <c r="R513" s="96">
        <v>2.69172180311559E-2</v>
      </c>
    </row>
    <row r="514" spans="1:18" ht="15.75" hidden="1" customHeight="1" x14ac:dyDescent="0.3">
      <c r="A514" s="89">
        <v>2020</v>
      </c>
      <c r="B514" s="90">
        <v>10</v>
      </c>
      <c r="C514" s="90" t="s">
        <v>731</v>
      </c>
      <c r="D514" s="90" t="s">
        <v>719</v>
      </c>
      <c r="E514" s="98" t="s">
        <v>11</v>
      </c>
      <c r="F514" s="99" t="s">
        <v>48</v>
      </c>
      <c r="G514" s="93">
        <v>1614.16378679381</v>
      </c>
      <c r="H514" s="93">
        <v>13919.788097459999</v>
      </c>
      <c r="I514" s="93">
        <v>2397.5457928860201</v>
      </c>
      <c r="J514" s="93">
        <v>29266.6687095128</v>
      </c>
      <c r="K514" s="93">
        <v>1647.70959235447</v>
      </c>
      <c r="L514" s="93">
        <v>8350.8892023238604</v>
      </c>
      <c r="M514" s="93">
        <v>110314.39779994244</v>
      </c>
      <c r="N514" s="95">
        <v>1.5830798772959346E-2</v>
      </c>
      <c r="O514" s="95">
        <v>0.13651735104950188</v>
      </c>
      <c r="P514" s="95">
        <v>0.54446124084037351</v>
      </c>
      <c r="Q514" s="95">
        <v>0.28703081241553452</v>
      </c>
      <c r="R514" s="96">
        <v>1.6159796921630776E-2</v>
      </c>
    </row>
    <row r="515" spans="1:18" ht="15.75" hidden="1" customHeight="1" x14ac:dyDescent="0.3">
      <c r="A515" s="89">
        <v>2020</v>
      </c>
      <c r="B515" s="90">
        <v>10</v>
      </c>
      <c r="C515" s="90" t="s">
        <v>731</v>
      </c>
      <c r="D515" s="90" t="s">
        <v>722</v>
      </c>
      <c r="E515" s="98" t="s">
        <v>11</v>
      </c>
      <c r="F515" s="99" t="s">
        <v>12</v>
      </c>
      <c r="G515" s="93">
        <v>31947.621572494099</v>
      </c>
      <c r="H515" s="93">
        <v>190511.64679447099</v>
      </c>
      <c r="I515" s="93">
        <v>2397.5457928860201</v>
      </c>
      <c r="J515" s="93">
        <v>13409.678140951501</v>
      </c>
      <c r="K515" s="93">
        <v>46.618552734375001</v>
      </c>
      <c r="L515" s="93">
        <v>74399.851937241401</v>
      </c>
      <c r="M515" s="93">
        <v>433311.47680229932</v>
      </c>
      <c r="N515" s="95">
        <v>8.9012501571955574E-2</v>
      </c>
      <c r="O515" s="95">
        <v>0.5308037789695409</v>
      </c>
      <c r="P515" s="95">
        <v>0.34269176945898738</v>
      </c>
      <c r="Q515" s="95">
        <v>3.736206133193154E-2</v>
      </c>
      <c r="R515" s="96">
        <v>1.2988866758468034E-4</v>
      </c>
    </row>
    <row r="516" spans="1:18" ht="15.75" hidden="1" customHeight="1" x14ac:dyDescent="0.3">
      <c r="A516" s="89">
        <v>2020</v>
      </c>
      <c r="B516" s="90">
        <v>10</v>
      </c>
      <c r="C516" s="90" t="s">
        <v>731</v>
      </c>
      <c r="D516" s="90" t="s">
        <v>722</v>
      </c>
      <c r="E516" s="98" t="s">
        <v>11</v>
      </c>
      <c r="F516" s="99" t="s">
        <v>26</v>
      </c>
      <c r="G516" s="93">
        <v>135000.40848432999</v>
      </c>
      <c r="H516" s="93">
        <v>455515.82572915399</v>
      </c>
      <c r="I516" s="93">
        <v>2397.5457928860201</v>
      </c>
      <c r="J516" s="93">
        <v>9720.71302807135</v>
      </c>
      <c r="K516" s="93">
        <v>62.101238671875002</v>
      </c>
      <c r="L516" s="93">
        <v>493264.98054695502</v>
      </c>
      <c r="M516" s="93">
        <v>1302393.3163907751</v>
      </c>
      <c r="N516" s="95">
        <v>0.16684671949294835</v>
      </c>
      <c r="O516" s="95">
        <v>0.56297104618652072</v>
      </c>
      <c r="P516" s="95">
        <v>0.25809167484637652</v>
      </c>
      <c r="Q516" s="95">
        <v>1.2013808684544281E-2</v>
      </c>
      <c r="R516" s="96">
        <v>7.675078961004515E-5</v>
      </c>
    </row>
    <row r="517" spans="1:18" ht="15.75" hidden="1" customHeight="1" x14ac:dyDescent="0.3">
      <c r="A517" s="89">
        <v>2020</v>
      </c>
      <c r="B517" s="90">
        <v>10</v>
      </c>
      <c r="C517" s="90" t="s">
        <v>731</v>
      </c>
      <c r="D517" s="90" t="s">
        <v>722</v>
      </c>
      <c r="E517" s="98" t="s">
        <v>11</v>
      </c>
      <c r="F517" s="99" t="s">
        <v>27</v>
      </c>
      <c r="G517" s="93">
        <v>3246.3342212974799</v>
      </c>
      <c r="H517" s="93">
        <v>71473.502093033399</v>
      </c>
      <c r="I517" s="93">
        <v>2397.5457928860201</v>
      </c>
      <c r="J517" s="93">
        <v>20489.758278937999</v>
      </c>
      <c r="K517" s="93">
        <v>736.73341765625003</v>
      </c>
      <c r="L517" s="93">
        <v>45213.27196692599</v>
      </c>
      <c r="M517" s="93">
        <v>226689.61699930442</v>
      </c>
      <c r="N517" s="95">
        <v>1.7888470371817768E-2</v>
      </c>
      <c r="O517" s="95">
        <v>0.39384472990284947</v>
      </c>
      <c r="P517" s="95">
        <v>0.4713011880760179</v>
      </c>
      <c r="Q517" s="95">
        <v>0.11290594526400828</v>
      </c>
      <c r="R517" s="96">
        <v>4.0596663853066052E-3</v>
      </c>
    </row>
    <row r="518" spans="1:18" ht="15.75" hidden="1" customHeight="1" x14ac:dyDescent="0.3">
      <c r="A518" s="89">
        <v>2020</v>
      </c>
      <c r="B518" s="90">
        <v>10</v>
      </c>
      <c r="C518" s="90" t="s">
        <v>731</v>
      </c>
      <c r="D518" s="90" t="s">
        <v>722</v>
      </c>
      <c r="E518" s="98" t="s">
        <v>11</v>
      </c>
      <c r="F518" s="99" t="s">
        <v>28</v>
      </c>
      <c r="G518" s="93">
        <v>6773.6139953186203</v>
      </c>
      <c r="H518" s="93">
        <v>63407.220724847197</v>
      </c>
      <c r="I518" s="93">
        <v>2397.5457928860201</v>
      </c>
      <c r="J518" s="93">
        <v>52001.247725855501</v>
      </c>
      <c r="K518" s="93">
        <v>819.90792912224197</v>
      </c>
      <c r="L518" s="93">
        <v>5878.2168513235301</v>
      </c>
      <c r="M518" s="93">
        <v>373104.58101493504</v>
      </c>
      <c r="N518" s="95">
        <v>1.8445336872111806E-2</v>
      </c>
      <c r="O518" s="95">
        <v>0.17266521936479806</v>
      </c>
      <c r="P518" s="95">
        <v>0.66505130791660139</v>
      </c>
      <c r="Q518" s="95">
        <v>0.14160543141909937</v>
      </c>
      <c r="R518" s="96">
        <v>2.2327044273894939E-3</v>
      </c>
    </row>
    <row r="519" spans="1:18" ht="15.75" customHeight="1" x14ac:dyDescent="0.3">
      <c r="A519" s="89">
        <v>2020</v>
      </c>
      <c r="B519" s="90">
        <v>10</v>
      </c>
      <c r="C519" s="90" t="s">
        <v>731</v>
      </c>
      <c r="D519" s="90" t="s">
        <v>722</v>
      </c>
      <c r="E519" s="98" t="s">
        <v>11</v>
      </c>
      <c r="F519" s="99" t="s">
        <v>29</v>
      </c>
      <c r="G519" s="93">
        <v>21183.369969410302</v>
      </c>
      <c r="H519" s="93">
        <v>56651.128730659198</v>
      </c>
      <c r="I519" s="93">
        <v>2397.5457928860201</v>
      </c>
      <c r="J519" s="93">
        <v>3029.4212521078398</v>
      </c>
      <c r="K519" s="93">
        <v>14.260246875</v>
      </c>
      <c r="L519" s="93">
        <v>259766.34843662358</v>
      </c>
      <c r="M519" s="93">
        <v>354392.05486975523</v>
      </c>
      <c r="N519" s="95">
        <v>0.22386485414911833</v>
      </c>
      <c r="O519" s="95">
        <v>0.59868645494015293</v>
      </c>
      <c r="P519" s="95">
        <v>0.14528320846718487</v>
      </c>
      <c r="Q519" s="95">
        <v>3.2014780827539883E-2</v>
      </c>
      <c r="R519" s="96">
        <v>1.5070161600407359E-4</v>
      </c>
    </row>
    <row r="520" spans="1:18" ht="15.75" hidden="1" customHeight="1" x14ac:dyDescent="0.3">
      <c r="A520" s="89">
        <v>2020</v>
      </c>
      <c r="B520" s="90">
        <v>10</v>
      </c>
      <c r="C520" s="90" t="s">
        <v>731</v>
      </c>
      <c r="D520" s="90" t="s">
        <v>722</v>
      </c>
      <c r="E520" s="98" t="s">
        <v>11</v>
      </c>
      <c r="F520" s="99" t="s">
        <v>30</v>
      </c>
      <c r="G520" s="93">
        <v>307.62478365502398</v>
      </c>
      <c r="H520" s="93">
        <v>2228.4234052879901</v>
      </c>
      <c r="I520" s="93">
        <v>2397.5457928860201</v>
      </c>
      <c r="J520" s="93">
        <v>2237.1324779871302</v>
      </c>
      <c r="K520" s="93">
        <v>171.3676578125</v>
      </c>
      <c r="L520" s="93">
        <v>218600.09076403969</v>
      </c>
      <c r="M520" s="93">
        <v>230086.50016211718</v>
      </c>
      <c r="N520" s="95">
        <v>2.678163149108298E-2</v>
      </c>
      <c r="O520" s="95">
        <v>0.19400522200270562</v>
      </c>
      <c r="P520" s="95">
        <v>0.56953055098573979</v>
      </c>
      <c r="Q520" s="95">
        <v>0.19476342871442159</v>
      </c>
      <c r="R520" s="96">
        <v>1.4919166806050118E-2</v>
      </c>
    </row>
    <row r="521" spans="1:18" ht="15.75" hidden="1" customHeight="1" x14ac:dyDescent="0.3">
      <c r="A521" s="89">
        <v>2020</v>
      </c>
      <c r="B521" s="90">
        <v>10</v>
      </c>
      <c r="C521" s="90" t="s">
        <v>731</v>
      </c>
      <c r="D521" s="90" t="s">
        <v>722</v>
      </c>
      <c r="E521" s="98" t="s">
        <v>11</v>
      </c>
      <c r="F521" s="99" t="s">
        <v>31</v>
      </c>
      <c r="G521" s="93">
        <v>2801.3443367432501</v>
      </c>
      <c r="H521" s="93">
        <v>52477.542597543797</v>
      </c>
      <c r="I521" s="93">
        <v>2397.5457928860201</v>
      </c>
      <c r="J521" s="93">
        <v>51213.403411153296</v>
      </c>
      <c r="K521" s="93">
        <v>11293.428065406</v>
      </c>
      <c r="L521" s="93">
        <v>53657.934926604001</v>
      </c>
      <c r="M521" s="93">
        <v>251948.68865991716</v>
      </c>
      <c r="N521" s="95">
        <v>1.4127458209730029E-2</v>
      </c>
      <c r="O521" s="95">
        <v>0.26464946856837473</v>
      </c>
      <c r="P521" s="95">
        <v>0.4059949029733394</v>
      </c>
      <c r="Q521" s="95">
        <v>0.25827428887597881</v>
      </c>
      <c r="R521" s="96">
        <v>5.6953881372577016E-2</v>
      </c>
    </row>
    <row r="522" spans="1:18" ht="15.75" hidden="1" customHeight="1" x14ac:dyDescent="0.3">
      <c r="A522" s="89">
        <v>2020</v>
      </c>
      <c r="B522" s="90">
        <v>10</v>
      </c>
      <c r="C522" s="90" t="s">
        <v>731</v>
      </c>
      <c r="D522" s="90" t="s">
        <v>722</v>
      </c>
      <c r="E522" s="98" t="s">
        <v>11</v>
      </c>
      <c r="F522" s="99" t="s">
        <v>32</v>
      </c>
      <c r="G522" s="93">
        <v>8659.6910948024106</v>
      </c>
      <c r="H522" s="93">
        <v>215558.389745272</v>
      </c>
      <c r="I522" s="93">
        <v>2397.5457928860201</v>
      </c>
      <c r="J522" s="93">
        <v>42354.386952265399</v>
      </c>
      <c r="K522" s="93">
        <v>1708.64229547794</v>
      </c>
      <c r="L522" s="93">
        <v>137441.6531154268</v>
      </c>
      <c r="M522" s="93">
        <v>609521.81280337053</v>
      </c>
      <c r="N522" s="95">
        <v>1.8343687861245163E-2</v>
      </c>
      <c r="O522" s="95">
        <v>0.4566139570189971</v>
      </c>
      <c r="P522" s="95">
        <v>0.43170433117723489</v>
      </c>
      <c r="Q522" s="95">
        <v>8.9718633759704416E-2</v>
      </c>
      <c r="R522" s="96">
        <v>3.6193901828185143E-3</v>
      </c>
    </row>
    <row r="523" spans="1:18" ht="15.75" hidden="1" customHeight="1" x14ac:dyDescent="0.3">
      <c r="A523" s="89">
        <v>2020</v>
      </c>
      <c r="B523" s="90">
        <v>10</v>
      </c>
      <c r="C523" s="90" t="s">
        <v>731</v>
      </c>
      <c r="D523" s="90" t="s">
        <v>722</v>
      </c>
      <c r="E523" s="98" t="s">
        <v>11</v>
      </c>
      <c r="F523" s="99" t="s">
        <v>33</v>
      </c>
      <c r="G523" s="93">
        <v>186235.78697670699</v>
      </c>
      <c r="H523" s="93">
        <v>718585.77258822799</v>
      </c>
      <c r="I523" s="93">
        <v>2397.5457928860201</v>
      </c>
      <c r="J523" s="93">
        <v>5835.24197124081</v>
      </c>
      <c r="K523" s="93">
        <v>82.124996775428897</v>
      </c>
      <c r="L523" s="93">
        <v>189907.99966760731</v>
      </c>
      <c r="M523" s="93">
        <v>1352056.7882570007</v>
      </c>
      <c r="N523" s="95">
        <v>0.1602512421862595</v>
      </c>
      <c r="O523" s="95">
        <v>0.61832510573834643</v>
      </c>
      <c r="P523" s="95">
        <v>0.21633190562595794</v>
      </c>
      <c r="Q523" s="95">
        <v>5.0210799413417436E-3</v>
      </c>
      <c r="R523" s="96">
        <v>7.0666508094124111E-5</v>
      </c>
    </row>
    <row r="524" spans="1:18" ht="15.75" hidden="1" customHeight="1" x14ac:dyDescent="0.3">
      <c r="A524" s="89">
        <v>2020</v>
      </c>
      <c r="B524" s="90">
        <v>10</v>
      </c>
      <c r="C524" s="90" t="s">
        <v>731</v>
      </c>
      <c r="D524" s="90" t="s">
        <v>722</v>
      </c>
      <c r="E524" s="98" t="s">
        <v>11</v>
      </c>
      <c r="F524" s="99" t="s">
        <v>34</v>
      </c>
      <c r="G524" s="93">
        <v>23957.8124253313</v>
      </c>
      <c r="H524" s="93">
        <v>128840.589599623</v>
      </c>
      <c r="I524" s="93">
        <v>2397.5457928860201</v>
      </c>
      <c r="J524" s="93">
        <v>56756.742472569298</v>
      </c>
      <c r="K524" s="93">
        <v>3313.0260319577201</v>
      </c>
      <c r="L524" s="93">
        <v>381617.18115905789</v>
      </c>
      <c r="M524" s="93">
        <v>713628.83042003016</v>
      </c>
      <c r="N524" s="95">
        <v>7.2159553674273805E-2</v>
      </c>
      <c r="O524" s="95">
        <v>0.3880604487415138</v>
      </c>
      <c r="P524" s="95">
        <v>0.35885330830015616</v>
      </c>
      <c r="Q524" s="95">
        <v>0.17094804534390479</v>
      </c>
      <c r="R524" s="96">
        <v>9.9786439401515423E-3</v>
      </c>
    </row>
    <row r="525" spans="1:18" ht="15.75" hidden="1" customHeight="1" x14ac:dyDescent="0.3">
      <c r="A525" s="89">
        <v>2020</v>
      </c>
      <c r="B525" s="90">
        <v>10</v>
      </c>
      <c r="C525" s="90" t="s">
        <v>731</v>
      </c>
      <c r="D525" s="90" t="s">
        <v>722</v>
      </c>
      <c r="E525" s="98" t="s">
        <v>11</v>
      </c>
      <c r="F525" s="99" t="s">
        <v>35</v>
      </c>
      <c r="G525" s="93">
        <v>15334.590672956499</v>
      </c>
      <c r="H525" s="93">
        <v>103718.139830751</v>
      </c>
      <c r="I525" s="93">
        <v>2397.5457928860201</v>
      </c>
      <c r="J525" s="93">
        <v>106509.49848738901</v>
      </c>
      <c r="K525" s="93">
        <v>13971.400082477099</v>
      </c>
      <c r="L525" s="93">
        <v>234967.97012427251</v>
      </c>
      <c r="M525" s="93">
        <v>605861.19629491004</v>
      </c>
      <c r="N525" s="95">
        <v>4.1345027600750747E-2</v>
      </c>
      <c r="O525" s="95">
        <v>0.27964420084348801</v>
      </c>
      <c r="P525" s="95">
        <v>0.35417092529112171</v>
      </c>
      <c r="Q525" s="95">
        <v>0.28717024462017804</v>
      </c>
      <c r="R525" s="96">
        <v>3.7669601644461551E-2</v>
      </c>
    </row>
    <row r="526" spans="1:18" ht="15.75" hidden="1" customHeight="1" x14ac:dyDescent="0.3">
      <c r="A526" s="89">
        <v>2020</v>
      </c>
      <c r="B526" s="90">
        <v>10</v>
      </c>
      <c r="C526" s="90" t="s">
        <v>731</v>
      </c>
      <c r="D526" s="90" t="s">
        <v>722</v>
      </c>
      <c r="E526" s="98" t="s">
        <v>11</v>
      </c>
      <c r="F526" s="99" t="s">
        <v>36</v>
      </c>
      <c r="G526" s="93">
        <v>24869.932757861501</v>
      </c>
      <c r="H526" s="93">
        <v>147647.2114118</v>
      </c>
      <c r="I526" s="93">
        <v>2397.5457928860201</v>
      </c>
      <c r="J526" s="93">
        <v>961.55115154564999</v>
      </c>
      <c r="K526" s="93">
        <v>33.052105078125003</v>
      </c>
      <c r="L526" s="93">
        <v>37965.067436653087</v>
      </c>
      <c r="M526" s="93">
        <v>258886.87145458267</v>
      </c>
      <c r="N526" s="95">
        <v>0.11257346402912365</v>
      </c>
      <c r="O526" s="95">
        <v>0.66832340097954857</v>
      </c>
      <c r="P526" s="95">
        <v>0.21460107481195742</v>
      </c>
      <c r="Q526" s="95">
        <v>4.3524502066242966E-3</v>
      </c>
      <c r="R526" s="96">
        <v>1.4960997274602445E-4</v>
      </c>
    </row>
    <row r="527" spans="1:18" ht="15.75" hidden="1" customHeight="1" x14ac:dyDescent="0.3">
      <c r="A527" s="89">
        <v>2020</v>
      </c>
      <c r="B527" s="90">
        <v>10</v>
      </c>
      <c r="C527" s="90" t="s">
        <v>731</v>
      </c>
      <c r="D527" s="90" t="s">
        <v>722</v>
      </c>
      <c r="E527" s="98" t="s">
        <v>11</v>
      </c>
      <c r="F527" s="99" t="s">
        <v>37</v>
      </c>
      <c r="G527" s="93">
        <v>47328.501535797397</v>
      </c>
      <c r="H527" s="93">
        <v>140910.74564368601</v>
      </c>
      <c r="I527" s="93">
        <v>2397.5457928860201</v>
      </c>
      <c r="J527" s="93">
        <v>2445.5455694010402</v>
      </c>
      <c r="K527" s="93">
        <v>57.171778906249997</v>
      </c>
      <c r="L527" s="93">
        <v>290816.60197052604</v>
      </c>
      <c r="M527" s="93">
        <v>524073.85777629743</v>
      </c>
      <c r="N527" s="95">
        <v>0.20290259084247689</v>
      </c>
      <c r="O527" s="95">
        <v>0.60410016038694869</v>
      </c>
      <c r="P527" s="95">
        <v>0.18226781898429914</v>
      </c>
      <c r="Q527" s="95">
        <v>1.0484327962073757E-2</v>
      </c>
      <c r="R527" s="96">
        <v>2.4510182420158362E-4</v>
      </c>
    </row>
    <row r="528" spans="1:18" ht="15.75" hidden="1" customHeight="1" x14ac:dyDescent="0.3">
      <c r="A528" s="89">
        <v>2020</v>
      </c>
      <c r="B528" s="90">
        <v>10</v>
      </c>
      <c r="C528" s="90" t="s">
        <v>731</v>
      </c>
      <c r="D528" s="90" t="s">
        <v>722</v>
      </c>
      <c r="E528" s="98" t="s">
        <v>11</v>
      </c>
      <c r="F528" s="99" t="s">
        <v>720</v>
      </c>
      <c r="G528" s="93">
        <v>40384.466918636601</v>
      </c>
      <c r="H528" s="93">
        <v>160852.871789823</v>
      </c>
      <c r="I528" s="93">
        <v>2397.5457928860201</v>
      </c>
      <c r="J528" s="93">
        <v>255188.082996004</v>
      </c>
      <c r="K528" s="93">
        <v>6824.1581541819596</v>
      </c>
      <c r="L528" s="93">
        <v>189868.77349925588</v>
      </c>
      <c r="M528" s="93">
        <v>927958.42268837243</v>
      </c>
      <c r="N528" s="95">
        <v>5.4714853355556425E-2</v>
      </c>
      <c r="O528" s="95">
        <v>0.2179313474542556</v>
      </c>
      <c r="P528" s="95">
        <v>0.37236678448534949</v>
      </c>
      <c r="Q528" s="95">
        <v>0.34574131106751044</v>
      </c>
      <c r="R528" s="96">
        <v>9.2457036373279969E-3</v>
      </c>
    </row>
    <row r="529" spans="1:18" ht="15.75" hidden="1" customHeight="1" x14ac:dyDescent="0.3">
      <c r="A529" s="89">
        <v>2020</v>
      </c>
      <c r="B529" s="90">
        <v>10</v>
      </c>
      <c r="C529" s="90" t="s">
        <v>731</v>
      </c>
      <c r="D529" s="90" t="s">
        <v>722</v>
      </c>
      <c r="E529" s="98" t="s">
        <v>11</v>
      </c>
      <c r="F529" s="99" t="s">
        <v>39</v>
      </c>
      <c r="G529" s="93">
        <v>4344.7805247778697</v>
      </c>
      <c r="H529" s="93">
        <v>71949.726737454999</v>
      </c>
      <c r="I529" s="93">
        <v>2397.5457928860201</v>
      </c>
      <c r="J529" s="93">
        <v>23957.677527124699</v>
      </c>
      <c r="K529" s="93">
        <v>541.38079291360202</v>
      </c>
      <c r="L529" s="93">
        <v>118064.01290738906</v>
      </c>
      <c r="M529" s="93">
        <v>331195.16650097026</v>
      </c>
      <c r="N529" s="95">
        <v>2.0385478385121079E-2</v>
      </c>
      <c r="O529" s="95">
        <v>0.33758427862055118</v>
      </c>
      <c r="P529" s="95">
        <v>0.52708196862447443</v>
      </c>
      <c r="Q529" s="95">
        <v>0.11240814457753785</v>
      </c>
      <c r="R529" s="96">
        <v>2.5401297923153864E-3</v>
      </c>
    </row>
    <row r="530" spans="1:18" ht="15.75" hidden="1" customHeight="1" x14ac:dyDescent="0.3">
      <c r="A530" s="89">
        <v>2020</v>
      </c>
      <c r="B530" s="90">
        <v>10</v>
      </c>
      <c r="C530" s="90" t="s">
        <v>731</v>
      </c>
      <c r="D530" s="90" t="s">
        <v>722</v>
      </c>
      <c r="E530" s="98" t="s">
        <v>11</v>
      </c>
      <c r="F530" s="99" t="s">
        <v>40</v>
      </c>
      <c r="G530" s="93">
        <v>17039.997103354901</v>
      </c>
      <c r="H530" s="93">
        <v>170797.54476062901</v>
      </c>
      <c r="I530" s="93">
        <v>2397.5457928860201</v>
      </c>
      <c r="J530" s="93">
        <v>5299.4362123606097</v>
      </c>
      <c r="K530" s="93">
        <v>88.071758406862699</v>
      </c>
      <c r="L530" s="93">
        <v>8956.1923945879298</v>
      </c>
      <c r="M530" s="93">
        <v>326305.02470134431</v>
      </c>
      <c r="N530" s="95">
        <v>5.3694847337215544E-2</v>
      </c>
      <c r="O530" s="95">
        <v>0.53820127056756373</v>
      </c>
      <c r="P530" s="95">
        <v>0.39112727017071297</v>
      </c>
      <c r="Q530" s="95">
        <v>1.6699088425313813E-2</v>
      </c>
      <c r="R530" s="96">
        <v>2.7752349919387944E-4</v>
      </c>
    </row>
    <row r="531" spans="1:18" ht="15.75" hidden="1" customHeight="1" x14ac:dyDescent="0.3">
      <c r="A531" s="89">
        <v>2020</v>
      </c>
      <c r="B531" s="90">
        <v>10</v>
      </c>
      <c r="C531" s="90" t="s">
        <v>731</v>
      </c>
      <c r="D531" s="90" t="s">
        <v>722</v>
      </c>
      <c r="E531" s="98" t="s">
        <v>11</v>
      </c>
      <c r="F531" s="99" t="s">
        <v>41</v>
      </c>
      <c r="G531" s="93">
        <v>2176.6416650873198</v>
      </c>
      <c r="H531" s="93">
        <v>3269.2085748330301</v>
      </c>
      <c r="I531" s="93">
        <v>2397.5457928860201</v>
      </c>
      <c r="J531" s="93">
        <v>2203.7842878676502</v>
      </c>
      <c r="K531" s="93">
        <v>417.32053131433798</v>
      </c>
      <c r="L531" s="93">
        <v>7161.5621981327204</v>
      </c>
      <c r="M531" s="93">
        <v>18714.332738962989</v>
      </c>
      <c r="N531" s="95">
        <v>0.18840862954860438</v>
      </c>
      <c r="O531" s="95">
        <v>0.28298048189210206</v>
      </c>
      <c r="P531" s="95">
        <v>0.30172982917026009</v>
      </c>
      <c r="Q531" s="95">
        <v>0.19075807660845914</v>
      </c>
      <c r="R531" s="96">
        <v>3.6122982780574311E-2</v>
      </c>
    </row>
    <row r="532" spans="1:18" ht="15.75" hidden="1" customHeight="1" x14ac:dyDescent="0.3">
      <c r="A532" s="89">
        <v>2020</v>
      </c>
      <c r="B532" s="90">
        <v>10</v>
      </c>
      <c r="C532" s="90" t="s">
        <v>731</v>
      </c>
      <c r="D532" s="90" t="s">
        <v>722</v>
      </c>
      <c r="E532" s="98" t="s">
        <v>11</v>
      </c>
      <c r="F532" s="99" t="s">
        <v>42</v>
      </c>
      <c r="G532" s="93">
        <v>5575.6031121017204</v>
      </c>
      <c r="H532" s="93">
        <v>208512.515225879</v>
      </c>
      <c r="I532" s="93">
        <v>2397.5457928860201</v>
      </c>
      <c r="J532" s="93">
        <v>32072.101258618299</v>
      </c>
      <c r="K532" s="93">
        <v>4371.51883673253</v>
      </c>
      <c r="L532" s="93">
        <v>180791.07069839851</v>
      </c>
      <c r="M532" s="93">
        <v>620824.33974998305</v>
      </c>
      <c r="N532" s="95">
        <v>1.267086719174431E-2</v>
      </c>
      <c r="O532" s="95">
        <v>0.47385625108594986</v>
      </c>
      <c r="P532" s="95">
        <v>0.43065273456866265</v>
      </c>
      <c r="Q532" s="95">
        <v>7.2885628233847297E-2</v>
      </c>
      <c r="R532" s="96">
        <v>9.9345189197957255E-3</v>
      </c>
    </row>
    <row r="533" spans="1:18" ht="15.75" hidden="1" customHeight="1" x14ac:dyDescent="0.3">
      <c r="A533" s="89">
        <v>2020</v>
      </c>
      <c r="B533" s="90">
        <v>10</v>
      </c>
      <c r="C533" s="90" t="s">
        <v>731</v>
      </c>
      <c r="D533" s="90" t="s">
        <v>722</v>
      </c>
      <c r="E533" s="98" t="s">
        <v>11</v>
      </c>
      <c r="F533" s="99" t="s">
        <v>43</v>
      </c>
      <c r="G533" s="93">
        <v>1621.66607304381</v>
      </c>
      <c r="H533" s="93">
        <v>21536.669018431301</v>
      </c>
      <c r="I533" s="93">
        <v>2397.5457928860201</v>
      </c>
      <c r="J533" s="93">
        <v>15579.7098698728</v>
      </c>
      <c r="K533" s="93">
        <v>5603.1140316314504</v>
      </c>
      <c r="L533" s="93">
        <v>120685.69474031066</v>
      </c>
      <c r="M533" s="93">
        <v>185575.48510012351</v>
      </c>
      <c r="N533" s="95">
        <v>2.4991082018476208E-2</v>
      </c>
      <c r="O533" s="95">
        <v>0.33189611029733357</v>
      </c>
      <c r="P533" s="95">
        <v>0.3166697141860324</v>
      </c>
      <c r="Q533" s="95">
        <v>0.24009493301617335</v>
      </c>
      <c r="R533" s="96">
        <v>8.6348160481984487E-2</v>
      </c>
    </row>
    <row r="534" spans="1:18" ht="15.75" hidden="1" customHeight="1" x14ac:dyDescent="0.3">
      <c r="A534" s="89">
        <v>2020</v>
      </c>
      <c r="B534" s="90">
        <v>10</v>
      </c>
      <c r="C534" s="90" t="s">
        <v>731</v>
      </c>
      <c r="D534" s="90" t="s">
        <v>722</v>
      </c>
      <c r="E534" s="98" t="s">
        <v>11</v>
      </c>
      <c r="F534" s="99" t="s">
        <v>58</v>
      </c>
      <c r="G534" s="93">
        <v>10709.5558373973</v>
      </c>
      <c r="H534" s="93">
        <v>236131.52494537699</v>
      </c>
      <c r="I534" s="93">
        <v>2397.5457928860201</v>
      </c>
      <c r="J534" s="93">
        <v>2436.3239689782399</v>
      </c>
      <c r="K534" s="93">
        <v>18.608289843750001</v>
      </c>
      <c r="L534" s="93">
        <v>10280.56594265776</v>
      </c>
      <c r="M534" s="93">
        <v>371477.12559244107</v>
      </c>
      <c r="N534" s="95">
        <v>2.9650215516397224E-2</v>
      </c>
      <c r="O534" s="95">
        <v>0.6537479902198694</v>
      </c>
      <c r="P534" s="95">
        <v>0.30980512858894871</v>
      </c>
      <c r="Q534" s="95">
        <v>6.7451472166304774E-3</v>
      </c>
      <c r="R534" s="96">
        <v>5.1518458154176839E-5</v>
      </c>
    </row>
    <row r="535" spans="1:18" ht="15.75" hidden="1" customHeight="1" x14ac:dyDescent="0.3">
      <c r="A535" s="89">
        <v>2020</v>
      </c>
      <c r="B535" s="90">
        <v>10</v>
      </c>
      <c r="C535" s="90" t="s">
        <v>731</v>
      </c>
      <c r="D535" s="90" t="s">
        <v>722</v>
      </c>
      <c r="E535" s="98" t="s">
        <v>11</v>
      </c>
      <c r="F535" s="99" t="s">
        <v>44</v>
      </c>
      <c r="G535" s="93">
        <v>15762.4699821093</v>
      </c>
      <c r="H535" s="93">
        <v>119197.174819359</v>
      </c>
      <c r="I535" s="93">
        <v>2397.5457928860201</v>
      </c>
      <c r="J535" s="93">
        <v>1815.51498848652</v>
      </c>
      <c r="K535" s="93">
        <v>60.990970733762197</v>
      </c>
      <c r="L535" s="93">
        <v>46856.486177183004</v>
      </c>
      <c r="M535" s="93">
        <v>215729.28855107975</v>
      </c>
      <c r="N535" s="95">
        <v>9.3339304852714147E-2</v>
      </c>
      <c r="O535" s="95">
        <v>0.7058399762647849</v>
      </c>
      <c r="P535" s="95">
        <v>0.18970876993132799</v>
      </c>
      <c r="Q535" s="95">
        <v>1.0750783802751357E-2</v>
      </c>
      <c r="R535" s="96">
        <v>3.6116514842173176E-4</v>
      </c>
    </row>
    <row r="536" spans="1:18" ht="15.75" hidden="1" customHeight="1" x14ac:dyDescent="0.3">
      <c r="A536" s="89">
        <v>2020</v>
      </c>
      <c r="B536" s="90">
        <v>10</v>
      </c>
      <c r="C536" s="90" t="s">
        <v>731</v>
      </c>
      <c r="D536" s="90" t="s">
        <v>722</v>
      </c>
      <c r="E536" s="98" t="s">
        <v>11</v>
      </c>
      <c r="F536" s="99" t="s">
        <v>51</v>
      </c>
      <c r="G536" s="93">
        <v>4508.9648178155803</v>
      </c>
      <c r="H536" s="93">
        <v>70827.941406165803</v>
      </c>
      <c r="I536" s="93">
        <v>2397.5457928860201</v>
      </c>
      <c r="J536" s="93">
        <v>18404.4188384421</v>
      </c>
      <c r="K536" s="93">
        <v>2821.8297347533698</v>
      </c>
      <c r="L536" s="93">
        <v>15730.4163272349</v>
      </c>
      <c r="M536" s="93">
        <v>211202.40923547337</v>
      </c>
      <c r="N536" s="95">
        <v>2.3067063218270095E-2</v>
      </c>
      <c r="O536" s="95">
        <v>0.36234316923046345</v>
      </c>
      <c r="P536" s="95">
        <v>0.5060000496208833</v>
      </c>
      <c r="Q536" s="95">
        <v>9.4153738162795486E-2</v>
      </c>
      <c r="R536" s="96">
        <v>1.4435979767587665E-2</v>
      </c>
    </row>
    <row r="537" spans="1:18" ht="15.75" hidden="1" customHeight="1" x14ac:dyDescent="0.3">
      <c r="A537" s="89">
        <v>2020</v>
      </c>
      <c r="B537" s="90">
        <v>10</v>
      </c>
      <c r="C537" s="90" t="s">
        <v>731</v>
      </c>
      <c r="D537" s="90" t="s">
        <v>722</v>
      </c>
      <c r="E537" s="98" t="s">
        <v>11</v>
      </c>
      <c r="F537" s="99" t="s">
        <v>45</v>
      </c>
      <c r="G537" s="93">
        <v>6610.3542746691301</v>
      </c>
      <c r="H537" s="93">
        <v>9820.1482223851399</v>
      </c>
      <c r="I537" s="93">
        <v>2397.5457928860201</v>
      </c>
      <c r="J537" s="93">
        <v>2196.9418616605399</v>
      </c>
      <c r="K537" s="93">
        <v>43.492862048100399</v>
      </c>
      <c r="L537" s="93">
        <v>107642.85212621209</v>
      </c>
      <c r="M537" s="93">
        <v>134096.09203645727</v>
      </c>
      <c r="N537" s="95">
        <v>0.24988826688518331</v>
      </c>
      <c r="O537" s="95">
        <v>0.37122667226035538</v>
      </c>
      <c r="P537" s="95">
        <v>0.29419090878422915</v>
      </c>
      <c r="Q537" s="95">
        <v>8.3050010853667783E-2</v>
      </c>
      <c r="R537" s="96">
        <v>1.6441412165643981E-3</v>
      </c>
    </row>
    <row r="538" spans="1:18" ht="15.75" hidden="1" customHeight="1" x14ac:dyDescent="0.3">
      <c r="A538" s="89">
        <v>2020</v>
      </c>
      <c r="B538" s="90">
        <v>10</v>
      </c>
      <c r="C538" s="90" t="s">
        <v>731</v>
      </c>
      <c r="D538" s="90" t="s">
        <v>722</v>
      </c>
      <c r="E538" s="98" t="s">
        <v>11</v>
      </c>
      <c r="F538" s="99" t="s">
        <v>721</v>
      </c>
      <c r="G538" s="93">
        <v>3412.1582772855299</v>
      </c>
      <c r="H538" s="93">
        <v>114503.57488553099</v>
      </c>
      <c r="I538" s="93">
        <v>2397.5457928860201</v>
      </c>
      <c r="J538" s="93">
        <v>21420.170928140698</v>
      </c>
      <c r="K538" s="93">
        <v>299.56260312499899</v>
      </c>
      <c r="L538" s="93">
        <v>88.393260323223032</v>
      </c>
      <c r="M538" s="93">
        <v>309330.85090303241</v>
      </c>
      <c r="N538" s="95">
        <v>1.1033925623589015E-2</v>
      </c>
      <c r="O538" s="95">
        <v>0.37027119677669063</v>
      </c>
      <c r="P538" s="95">
        <v>0.54845958812223183</v>
      </c>
      <c r="Q538" s="95">
        <v>6.9266591306453185E-2</v>
      </c>
      <c r="R538" s="96">
        <v>9.686981710354467E-4</v>
      </c>
    </row>
    <row r="539" spans="1:18" ht="15.75" hidden="1" customHeight="1" x14ac:dyDescent="0.3">
      <c r="A539" s="89">
        <v>2020</v>
      </c>
      <c r="B539" s="90">
        <v>10</v>
      </c>
      <c r="C539" s="90" t="s">
        <v>731</v>
      </c>
      <c r="D539" s="90" t="s">
        <v>722</v>
      </c>
      <c r="E539" s="98" t="s">
        <v>11</v>
      </c>
      <c r="F539" s="99" t="s">
        <v>46</v>
      </c>
      <c r="G539" s="93">
        <v>6305.2734775321396</v>
      </c>
      <c r="H539" s="93">
        <v>22411.234831273199</v>
      </c>
      <c r="I539" s="93">
        <v>2397.5457928860201</v>
      </c>
      <c r="J539" s="93">
        <v>44911.744272590797</v>
      </c>
      <c r="K539" s="93">
        <v>17096.6962363448</v>
      </c>
      <c r="L539" s="93">
        <v>19833.293567292301</v>
      </c>
      <c r="M539" s="93">
        <v>149075.00300838912</v>
      </c>
      <c r="N539" s="95">
        <v>4.8786676567488682E-2</v>
      </c>
      <c r="O539" s="95">
        <v>0.17340558963658198</v>
      </c>
      <c r="P539" s="95">
        <v>0.29802113257338403</v>
      </c>
      <c r="Q539" s="95">
        <v>0.34750193623104131</v>
      </c>
      <c r="R539" s="96">
        <v>0.13228466499150404</v>
      </c>
    </row>
    <row r="540" spans="1:18" ht="15.75" hidden="1" customHeight="1" x14ac:dyDescent="0.3">
      <c r="A540" s="89">
        <v>2020</v>
      </c>
      <c r="B540" s="90">
        <v>10</v>
      </c>
      <c r="C540" s="90" t="s">
        <v>731</v>
      </c>
      <c r="D540" s="90" t="s">
        <v>722</v>
      </c>
      <c r="E540" s="98" t="s">
        <v>11</v>
      </c>
      <c r="F540" s="99" t="s">
        <v>47</v>
      </c>
      <c r="G540" s="93">
        <v>15916.7567303385</v>
      </c>
      <c r="H540" s="93">
        <v>127777.83375418199</v>
      </c>
      <c r="I540" s="93">
        <v>2397.5457928860201</v>
      </c>
      <c r="J540" s="93">
        <v>288594.21366948599</v>
      </c>
      <c r="K540" s="93">
        <v>31275.940280948202</v>
      </c>
      <c r="L540" s="93">
        <v>332015.72344184102</v>
      </c>
      <c r="M540" s="93">
        <v>1461770.3581410437</v>
      </c>
      <c r="N540" s="95">
        <v>1.4088684605906785E-2</v>
      </c>
      <c r="O540" s="95">
        <v>0.11310228772657602</v>
      </c>
      <c r="P540" s="95">
        <v>0.58967661632264179</v>
      </c>
      <c r="Q540" s="95">
        <v>0.25544857689061329</v>
      </c>
      <c r="R540" s="96">
        <v>2.7683834454262209E-2</v>
      </c>
    </row>
    <row r="541" spans="1:18" ht="15.75" hidden="1" customHeight="1" x14ac:dyDescent="0.3">
      <c r="A541" s="89">
        <v>2020</v>
      </c>
      <c r="B541" s="90">
        <v>10</v>
      </c>
      <c r="C541" s="90" t="s">
        <v>731</v>
      </c>
      <c r="D541" s="90" t="s">
        <v>722</v>
      </c>
      <c r="E541" s="98" t="s">
        <v>11</v>
      </c>
      <c r="F541" s="99" t="s">
        <v>48</v>
      </c>
      <c r="G541" s="93">
        <v>3041.1926288097402</v>
      </c>
      <c r="H541" s="93">
        <v>18853.727612159801</v>
      </c>
      <c r="I541" s="93">
        <v>2397.5457928860201</v>
      </c>
      <c r="J541" s="93">
        <v>5767.7119477558299</v>
      </c>
      <c r="K541" s="93">
        <v>168.89949224724199</v>
      </c>
      <c r="L541" s="93">
        <v>56088.534562798734</v>
      </c>
      <c r="M541" s="93">
        <v>110314.39779994145</v>
      </c>
      <c r="N541" s="95">
        <v>5.608380295413417E-2</v>
      </c>
      <c r="O541" s="95">
        <v>0.34768884230958064</v>
      </c>
      <c r="P541" s="95">
        <v>0.48674801986537958</v>
      </c>
      <c r="Q541" s="95">
        <v>0.10636459437320972</v>
      </c>
      <c r="R541" s="96">
        <v>3.1147404976957947E-3</v>
      </c>
    </row>
    <row r="542" spans="1:18" ht="15.75" hidden="1" customHeight="1" x14ac:dyDescent="0.3">
      <c r="A542" s="89">
        <v>2020</v>
      </c>
      <c r="B542" s="90">
        <v>11</v>
      </c>
      <c r="C542" s="90" t="s">
        <v>732</v>
      </c>
      <c r="D542" s="90" t="s">
        <v>719</v>
      </c>
      <c r="E542" s="98" t="s">
        <v>11</v>
      </c>
      <c r="F542" s="99" t="s">
        <v>12</v>
      </c>
      <c r="G542" s="93">
        <v>18593.713279431598</v>
      </c>
      <c r="H542" s="93">
        <v>71220.727747664307</v>
      </c>
      <c r="I542" s="93">
        <v>2397.5457928860201</v>
      </c>
      <c r="J542" s="93">
        <v>4526.8113693550804</v>
      </c>
      <c r="K542" s="93">
        <v>77.870274180453407</v>
      </c>
      <c r="L542" s="93">
        <v>299208.93432826246</v>
      </c>
      <c r="M542" s="93">
        <v>433311.47680232662</v>
      </c>
      <c r="N542" s="95">
        <v>0.13865295121475929</v>
      </c>
      <c r="O542" s="95">
        <v>0.53109155452021817</v>
      </c>
      <c r="P542" s="95">
        <v>0.29591847455917997</v>
      </c>
      <c r="Q542" s="95">
        <v>3.3756342615432366E-2</v>
      </c>
      <c r="R542" s="96">
        <v>5.8067709041022676E-4</v>
      </c>
    </row>
    <row r="543" spans="1:18" ht="15.75" hidden="1" customHeight="1" x14ac:dyDescent="0.3">
      <c r="A543" s="89">
        <v>2020</v>
      </c>
      <c r="B543" s="90">
        <v>11</v>
      </c>
      <c r="C543" s="90" t="s">
        <v>732</v>
      </c>
      <c r="D543" s="90" t="s">
        <v>719</v>
      </c>
      <c r="E543" s="98" t="s">
        <v>11</v>
      </c>
      <c r="F543" s="99" t="s">
        <v>26</v>
      </c>
      <c r="G543" s="93">
        <v>236647.902872985</v>
      </c>
      <c r="H543" s="93">
        <v>480785.057530811</v>
      </c>
      <c r="I543" s="93">
        <v>2397.5457928860201</v>
      </c>
      <c r="J543" s="93">
        <v>11880.303268330201</v>
      </c>
      <c r="K543" s="93">
        <v>250.48451627604101</v>
      </c>
      <c r="L543" s="93">
        <v>384072.20278086897</v>
      </c>
      <c r="M543" s="93">
        <v>1302393.3163907453</v>
      </c>
      <c r="N543" s="95">
        <v>0.25769624520853435</v>
      </c>
      <c r="O543" s="95">
        <v>0.52354786403730613</v>
      </c>
      <c r="P543" s="95">
        <v>0.20554614570439075</v>
      </c>
      <c r="Q543" s="95">
        <v>1.2936981511433727E-2</v>
      </c>
      <c r="R543" s="96">
        <v>2.7276353833508016E-4</v>
      </c>
    </row>
    <row r="544" spans="1:18" ht="15.75" hidden="1" customHeight="1" x14ac:dyDescent="0.3">
      <c r="A544" s="89">
        <v>2020</v>
      </c>
      <c r="B544" s="90">
        <v>11</v>
      </c>
      <c r="C544" s="90" t="s">
        <v>732</v>
      </c>
      <c r="D544" s="90" t="s">
        <v>719</v>
      </c>
      <c r="E544" s="98" t="s">
        <v>11</v>
      </c>
      <c r="F544" s="99" t="s">
        <v>27</v>
      </c>
      <c r="G544" s="93">
        <v>2545.0468980606602</v>
      </c>
      <c r="H544" s="93">
        <v>78344.691091907196</v>
      </c>
      <c r="I544" s="93">
        <v>2397.5457928860201</v>
      </c>
      <c r="J544" s="93">
        <v>2066.8524437086398</v>
      </c>
      <c r="K544" s="93">
        <v>61.015152343749897</v>
      </c>
      <c r="L544" s="93">
        <v>111168.2634488745</v>
      </c>
      <c r="M544" s="93">
        <v>226689.61699929976</v>
      </c>
      <c r="N544" s="95">
        <v>2.2030965010721961E-2</v>
      </c>
      <c r="O544" s="95">
        <v>0.67818363171887186</v>
      </c>
      <c r="P544" s="95">
        <v>0.28136571261881083</v>
      </c>
      <c r="Q544" s="95">
        <v>1.7891518582375813E-2</v>
      </c>
      <c r="R544" s="96">
        <v>5.2817206921936454E-4</v>
      </c>
    </row>
    <row r="545" spans="1:18" ht="15.75" hidden="1" customHeight="1" x14ac:dyDescent="0.3">
      <c r="A545" s="89">
        <v>2020</v>
      </c>
      <c r="B545" s="90">
        <v>11</v>
      </c>
      <c r="C545" s="90" t="s">
        <v>732</v>
      </c>
      <c r="D545" s="90" t="s">
        <v>719</v>
      </c>
      <c r="E545" s="98" t="s">
        <v>11</v>
      </c>
      <c r="F545" s="99" t="s">
        <v>28</v>
      </c>
      <c r="G545" s="93">
        <v>12522.3977189875</v>
      </c>
      <c r="H545" s="93">
        <v>100000.310520725</v>
      </c>
      <c r="I545" s="93">
        <v>2397.5457928860201</v>
      </c>
      <c r="J545" s="93">
        <v>17235.4444301365</v>
      </c>
      <c r="K545" s="93">
        <v>231.36622014705799</v>
      </c>
      <c r="L545" s="93">
        <v>86701.120863207281</v>
      </c>
      <c r="M545" s="93">
        <v>373104.5810149443</v>
      </c>
      <c r="N545" s="95">
        <v>4.3722927482625781E-2</v>
      </c>
      <c r="O545" s="95">
        <v>0.34915887701826182</v>
      </c>
      <c r="P545" s="95">
        <v>0.54613146495811415</v>
      </c>
      <c r="Q545" s="95">
        <v>6.01788973534228E-2</v>
      </c>
      <c r="R545" s="96">
        <v>8.0783318757559621E-4</v>
      </c>
    </row>
    <row r="546" spans="1:18" ht="15.75" customHeight="1" x14ac:dyDescent="0.3">
      <c r="A546" s="89">
        <v>2020</v>
      </c>
      <c r="B546" s="90">
        <v>11</v>
      </c>
      <c r="C546" s="90" t="s">
        <v>732</v>
      </c>
      <c r="D546" s="90" t="s">
        <v>719</v>
      </c>
      <c r="E546" s="98" t="s">
        <v>11</v>
      </c>
      <c r="F546" s="99" t="s">
        <v>29</v>
      </c>
      <c r="G546" s="93">
        <v>19667.425315330998</v>
      </c>
      <c r="H546" s="93">
        <v>81785.968196832793</v>
      </c>
      <c r="I546" s="93">
        <v>2397.5457928860201</v>
      </c>
      <c r="J546" s="93">
        <v>11705.5670595435</v>
      </c>
      <c r="K546" s="93">
        <v>282.61298849264699</v>
      </c>
      <c r="L546" s="93">
        <v>168527.27758566171</v>
      </c>
      <c r="M546" s="93">
        <v>354392.05486976332</v>
      </c>
      <c r="N546" s="95">
        <v>0.10581577425650995</v>
      </c>
      <c r="O546" s="95">
        <v>0.4400294095089341</v>
      </c>
      <c r="P546" s="95">
        <v>0.38965534396654389</v>
      </c>
      <c r="Q546" s="95">
        <v>6.2978942167461235E-2</v>
      </c>
      <c r="R546" s="96">
        <v>1.5205301005507994E-3</v>
      </c>
    </row>
    <row r="547" spans="1:18" ht="15.75" hidden="1" customHeight="1" x14ac:dyDescent="0.3">
      <c r="A547" s="89">
        <v>2020</v>
      </c>
      <c r="B547" s="90">
        <v>11</v>
      </c>
      <c r="C547" s="90" t="s">
        <v>732</v>
      </c>
      <c r="D547" s="90" t="s">
        <v>719</v>
      </c>
      <c r="E547" s="98" t="s">
        <v>11</v>
      </c>
      <c r="F547" s="99" t="s">
        <v>30</v>
      </c>
      <c r="G547" s="93">
        <v>329.766265258884</v>
      </c>
      <c r="H547" s="93">
        <v>3285.4298841498098</v>
      </c>
      <c r="I547" s="93">
        <v>2397.5457928860201</v>
      </c>
      <c r="J547" s="93">
        <v>2687.3518856249898</v>
      </c>
      <c r="K547" s="93">
        <v>440.93268444086999</v>
      </c>
      <c r="L547" s="93">
        <v>217196.66655280179</v>
      </c>
      <c r="M547" s="93">
        <v>230086.50016211701</v>
      </c>
      <c r="N547" s="95">
        <v>2.5583438487566557E-2</v>
      </c>
      <c r="O547" s="95">
        <v>0.25488536033354969</v>
      </c>
      <c r="P547" s="95">
        <v>0.47683725609916522</v>
      </c>
      <c r="Q547" s="95">
        <v>0.20848615793480024</v>
      </c>
      <c r="R547" s="96">
        <v>3.4207787144918365E-2</v>
      </c>
    </row>
    <row r="548" spans="1:18" ht="15.75" hidden="1" customHeight="1" x14ac:dyDescent="0.3">
      <c r="A548" s="89">
        <v>2020</v>
      </c>
      <c r="B548" s="90">
        <v>11</v>
      </c>
      <c r="C548" s="90" t="s">
        <v>732</v>
      </c>
      <c r="D548" s="90" t="s">
        <v>719</v>
      </c>
      <c r="E548" s="98" t="s">
        <v>11</v>
      </c>
      <c r="F548" s="99" t="s">
        <v>31</v>
      </c>
      <c r="G548" s="93">
        <v>3240.5978410232701</v>
      </c>
      <c r="H548" s="93">
        <v>65631.295968502702</v>
      </c>
      <c r="I548" s="93">
        <v>2397.5457928860201</v>
      </c>
      <c r="J548" s="93">
        <v>39952.194182863997</v>
      </c>
      <c r="K548" s="93">
        <v>6845.5793527788101</v>
      </c>
      <c r="L548" s="93">
        <v>44601.351130530296</v>
      </c>
      <c r="M548" s="93">
        <v>251948.68865992015</v>
      </c>
      <c r="N548" s="95">
        <v>1.5628837484175272E-2</v>
      </c>
      <c r="O548" s="95">
        <v>0.31652827931393129</v>
      </c>
      <c r="P548" s="95">
        <v>0.4421453936982746</v>
      </c>
      <c r="Q548" s="95">
        <v>0.19268245572336365</v>
      </c>
      <c r="R548" s="96">
        <v>3.3015033780255332E-2</v>
      </c>
    </row>
    <row r="549" spans="1:18" ht="15.75" hidden="1" customHeight="1" x14ac:dyDescent="0.3">
      <c r="A549" s="89">
        <v>2020</v>
      </c>
      <c r="B549" s="90">
        <v>11</v>
      </c>
      <c r="C549" s="90" t="s">
        <v>732</v>
      </c>
      <c r="D549" s="90" t="s">
        <v>719</v>
      </c>
      <c r="E549" s="98" t="s">
        <v>11</v>
      </c>
      <c r="F549" s="99" t="s">
        <v>32</v>
      </c>
      <c r="G549" s="93">
        <v>8528.6157575674006</v>
      </c>
      <c r="H549" s="93">
        <v>120156.133866709</v>
      </c>
      <c r="I549" s="93">
        <v>2397.5457928860201</v>
      </c>
      <c r="J549" s="93">
        <v>94377.399302887396</v>
      </c>
      <c r="K549" s="93">
        <v>7041.7942613005398</v>
      </c>
      <c r="L549" s="93">
        <v>140703.89487247201</v>
      </c>
      <c r="M549" s="93">
        <v>609521.81280337134</v>
      </c>
      <c r="N549" s="95">
        <v>1.8191744452106164E-2</v>
      </c>
      <c r="O549" s="95">
        <v>0.25629595045558651</v>
      </c>
      <c r="P549" s="95">
        <v>0.50918270316114467</v>
      </c>
      <c r="Q549" s="95">
        <v>0.20130928382476629</v>
      </c>
      <c r="R549" s="96">
        <v>1.5020318106396383E-2</v>
      </c>
    </row>
    <row r="550" spans="1:18" ht="15.75" hidden="1" customHeight="1" x14ac:dyDescent="0.3">
      <c r="A550" s="89">
        <v>2020</v>
      </c>
      <c r="B550" s="90">
        <v>11</v>
      </c>
      <c r="C550" s="90" t="s">
        <v>732</v>
      </c>
      <c r="D550" s="90" t="s">
        <v>719</v>
      </c>
      <c r="E550" s="98" t="s">
        <v>11</v>
      </c>
      <c r="F550" s="99" t="s">
        <v>33</v>
      </c>
      <c r="G550" s="93">
        <v>267038.61743147997</v>
      </c>
      <c r="H550" s="93">
        <v>782733.43508703203</v>
      </c>
      <c r="I550" s="93">
        <v>2397.5457928860201</v>
      </c>
      <c r="J550" s="93">
        <v>9687.6588329978204</v>
      </c>
      <c r="K550" s="93">
        <v>763.29989107230404</v>
      </c>
      <c r="L550" s="93">
        <v>75698.427443099412</v>
      </c>
      <c r="M550" s="93">
        <v>1352056.7882570077</v>
      </c>
      <c r="N550" s="95">
        <v>0.20921915476872402</v>
      </c>
      <c r="O550" s="95">
        <v>0.61325522605414562</v>
      </c>
      <c r="P550" s="95">
        <v>0.16933751225909688</v>
      </c>
      <c r="Q550" s="95">
        <v>7.5900774660340635E-3</v>
      </c>
      <c r="R550" s="96">
        <v>5.9802945199932949E-4</v>
      </c>
    </row>
    <row r="551" spans="1:18" ht="15.75" hidden="1" customHeight="1" x14ac:dyDescent="0.3">
      <c r="A551" s="89">
        <v>2020</v>
      </c>
      <c r="B551" s="90">
        <v>11</v>
      </c>
      <c r="C551" s="90" t="s">
        <v>732</v>
      </c>
      <c r="D551" s="90" t="s">
        <v>719</v>
      </c>
      <c r="E551" s="98" t="s">
        <v>11</v>
      </c>
      <c r="F551" s="99" t="s">
        <v>34</v>
      </c>
      <c r="G551" s="93">
        <v>21483.3363166899</v>
      </c>
      <c r="H551" s="93">
        <v>118542.4891414</v>
      </c>
      <c r="I551" s="93">
        <v>2397.5457928860201</v>
      </c>
      <c r="J551" s="93">
        <v>72378.574099900899</v>
      </c>
      <c r="K551" s="93">
        <v>1011.73261049019</v>
      </c>
      <c r="L551" s="93">
        <v>172456.49493065127</v>
      </c>
      <c r="M551" s="93">
        <v>713628.83042003226</v>
      </c>
      <c r="N551" s="95">
        <v>3.9697772609279008E-2</v>
      </c>
      <c r="O551" s="95">
        <v>0.21904757757841092</v>
      </c>
      <c r="P551" s="95">
        <v>0.60564109032755853</v>
      </c>
      <c r="Q551" s="95">
        <v>0.1337440392891649</v>
      </c>
      <c r="R551" s="96">
        <v>1.8695201955866469E-3</v>
      </c>
    </row>
    <row r="552" spans="1:18" ht="15.75" hidden="1" customHeight="1" x14ac:dyDescent="0.3">
      <c r="A552" s="89">
        <v>2020</v>
      </c>
      <c r="B552" s="90">
        <v>11</v>
      </c>
      <c r="C552" s="90" t="s">
        <v>732</v>
      </c>
      <c r="D552" s="90" t="s">
        <v>719</v>
      </c>
      <c r="E552" s="98" t="s">
        <v>11</v>
      </c>
      <c r="F552" s="99" t="s">
        <v>35</v>
      </c>
      <c r="G552" s="93">
        <v>28459.698882089499</v>
      </c>
      <c r="H552" s="93">
        <v>112180.02372226299</v>
      </c>
      <c r="I552" s="93">
        <v>2397.5457928860201</v>
      </c>
      <c r="J552" s="93">
        <v>30514.8039934853</v>
      </c>
      <c r="K552" s="93">
        <v>8770.1791364691107</v>
      </c>
      <c r="L552" s="93">
        <v>344224.880323385</v>
      </c>
      <c r="M552" s="93">
        <v>605861.19629491505</v>
      </c>
      <c r="N552" s="95">
        <v>0.10877579733688934</v>
      </c>
      <c r="O552" s="95">
        <v>0.42876319866264229</v>
      </c>
      <c r="P552" s="95">
        <v>0.3123098944953599</v>
      </c>
      <c r="Q552" s="95">
        <v>0.11663061330066185</v>
      </c>
      <c r="R552" s="96">
        <v>3.3520496204446776E-2</v>
      </c>
    </row>
    <row r="553" spans="1:18" ht="15.75" hidden="1" customHeight="1" x14ac:dyDescent="0.3">
      <c r="A553" s="89">
        <v>2020</v>
      </c>
      <c r="B553" s="90">
        <v>11</v>
      </c>
      <c r="C553" s="90" t="s">
        <v>732</v>
      </c>
      <c r="D553" s="90" t="s">
        <v>719</v>
      </c>
      <c r="E553" s="98" t="s">
        <v>11</v>
      </c>
      <c r="F553" s="99" t="s">
        <v>36</v>
      </c>
      <c r="G553" s="93">
        <v>21713.6521994424</v>
      </c>
      <c r="H553" s="93">
        <v>88124.5011759685</v>
      </c>
      <c r="I553" s="93">
        <v>2397.5457928860201</v>
      </c>
      <c r="J553" s="93">
        <v>2440.3211537898201</v>
      </c>
      <c r="K553" s="93"/>
      <c r="L553" s="93">
        <v>102399.311467589</v>
      </c>
      <c r="M553" s="93">
        <v>258886.87145458721</v>
      </c>
      <c r="N553" s="95">
        <v>0.13875641106070336</v>
      </c>
      <c r="O553" s="95">
        <v>0.56314061758832679</v>
      </c>
      <c r="P553" s="95">
        <v>0.28250862535955329</v>
      </c>
      <c r="Q553" s="95">
        <v>1.5594345991416663E-2</v>
      </c>
      <c r="R553" s="96">
        <v>0</v>
      </c>
    </row>
    <row r="554" spans="1:18" ht="15.75" hidden="1" customHeight="1" x14ac:dyDescent="0.3">
      <c r="A554" s="89">
        <v>2020</v>
      </c>
      <c r="B554" s="90">
        <v>11</v>
      </c>
      <c r="C554" s="90" t="s">
        <v>732</v>
      </c>
      <c r="D554" s="90" t="s">
        <v>719</v>
      </c>
      <c r="E554" s="98" t="s">
        <v>11</v>
      </c>
      <c r="F554" s="99" t="s">
        <v>37</v>
      </c>
      <c r="G554" s="93">
        <v>57502.320536986001</v>
      </c>
      <c r="H554" s="93">
        <v>149472.168427867</v>
      </c>
      <c r="I554" s="93">
        <v>2397.5457928860201</v>
      </c>
      <c r="J554" s="93">
        <v>6417.4577098483196</v>
      </c>
      <c r="K554" s="93">
        <v>412.46338912683802</v>
      </c>
      <c r="L554" s="93">
        <v>233577.12193308928</v>
      </c>
      <c r="M554" s="93">
        <v>524073.8577763057</v>
      </c>
      <c r="N554" s="95">
        <v>0.19794480777925333</v>
      </c>
      <c r="O554" s="95">
        <v>0.51453992415439187</v>
      </c>
      <c r="P554" s="95">
        <v>0.26400408788338264</v>
      </c>
      <c r="Q554" s="95">
        <v>2.2091324679503033E-2</v>
      </c>
      <c r="R554" s="96">
        <v>1.4198555034692303E-3</v>
      </c>
    </row>
    <row r="555" spans="1:18" ht="15.75" hidden="1" customHeight="1" x14ac:dyDescent="0.3">
      <c r="A555" s="89">
        <v>2020</v>
      </c>
      <c r="B555" s="90">
        <v>11</v>
      </c>
      <c r="C555" s="90" t="s">
        <v>732</v>
      </c>
      <c r="D555" s="90" t="s">
        <v>719</v>
      </c>
      <c r="E555" s="98" t="s">
        <v>11</v>
      </c>
      <c r="F555" s="99" t="s">
        <v>720</v>
      </c>
      <c r="G555" s="93">
        <v>47595.503988073702</v>
      </c>
      <c r="H555" s="93">
        <v>132013.04592407701</v>
      </c>
      <c r="I555" s="93">
        <v>2397.5457928860201</v>
      </c>
      <c r="J555" s="93">
        <v>47277.813237443697</v>
      </c>
      <c r="K555" s="93">
        <v>2742.9281343749999</v>
      </c>
      <c r="L555" s="93">
        <v>532452.71423404897</v>
      </c>
      <c r="M555" s="93">
        <v>927958.42268834135</v>
      </c>
      <c r="N555" s="95">
        <v>0.12034087744039274</v>
      </c>
      <c r="O555" s="95">
        <v>0.33378290907609853</v>
      </c>
      <c r="P555" s="95">
        <v>0.41940334519721079</v>
      </c>
      <c r="Q555" s="95">
        <v>0.11953762544215585</v>
      </c>
      <c r="R555" s="96">
        <v>6.9352428441421428E-3</v>
      </c>
    </row>
    <row r="556" spans="1:18" ht="15.75" hidden="1" customHeight="1" x14ac:dyDescent="0.3">
      <c r="A556" s="89">
        <v>2020</v>
      </c>
      <c r="B556" s="90">
        <v>11</v>
      </c>
      <c r="C556" s="90" t="s">
        <v>732</v>
      </c>
      <c r="D556" s="90" t="s">
        <v>719</v>
      </c>
      <c r="E556" s="98" t="s">
        <v>11</v>
      </c>
      <c r="F556" s="99" t="s">
        <v>39</v>
      </c>
      <c r="G556" s="93">
        <v>5480.0442707475204</v>
      </c>
      <c r="H556" s="93">
        <v>107604.81098676</v>
      </c>
      <c r="I556" s="93">
        <v>2397.5457928860201</v>
      </c>
      <c r="J556" s="93">
        <v>31677.6794229519</v>
      </c>
      <c r="K556" s="93">
        <v>1630.73273910539</v>
      </c>
      <c r="L556" s="93">
        <v>94702.573183537519</v>
      </c>
      <c r="M556" s="93">
        <v>331195.16650097282</v>
      </c>
      <c r="N556" s="95">
        <v>2.3172160251935921E-2</v>
      </c>
      <c r="O556" s="95">
        <v>0.45500287969833386</v>
      </c>
      <c r="P556" s="95">
        <v>0.38098159707240176</v>
      </c>
      <c r="Q556" s="95">
        <v>0.13394787117257462</v>
      </c>
      <c r="R556" s="96">
        <v>6.8954918047539771E-3</v>
      </c>
    </row>
    <row r="557" spans="1:18" ht="15.75" hidden="1" customHeight="1" x14ac:dyDescent="0.3">
      <c r="A557" s="89">
        <v>2020</v>
      </c>
      <c r="B557" s="90">
        <v>11</v>
      </c>
      <c r="C557" s="90" t="s">
        <v>732</v>
      </c>
      <c r="D557" s="90" t="s">
        <v>719</v>
      </c>
      <c r="E557" s="98" t="s">
        <v>11</v>
      </c>
      <c r="F557" s="99" t="s">
        <v>40</v>
      </c>
      <c r="G557" s="93">
        <v>7014.4964664552999</v>
      </c>
      <c r="H557" s="93">
        <v>102842.495012884</v>
      </c>
      <c r="I557" s="93">
        <v>2397.5457928860201</v>
      </c>
      <c r="J557" s="93">
        <v>3183.0786228339298</v>
      </c>
      <c r="K557" s="93">
        <v>18.2859788817401</v>
      </c>
      <c r="L557" s="93">
        <v>147955.43897570067</v>
      </c>
      <c r="M557" s="93">
        <v>326305.02470135747</v>
      </c>
      <c r="N557" s="95">
        <v>3.9330040705814875E-2</v>
      </c>
      <c r="O557" s="95">
        <v>0.57663433640423323</v>
      </c>
      <c r="P557" s="95">
        <v>0.36608568155036214</v>
      </c>
      <c r="Q557" s="95">
        <v>1.7847412484210907E-2</v>
      </c>
      <c r="R557" s="96">
        <v>1.0252885537882996E-4</v>
      </c>
    </row>
    <row r="558" spans="1:18" ht="15.75" hidden="1" customHeight="1" x14ac:dyDescent="0.3">
      <c r="A558" s="89">
        <v>2020</v>
      </c>
      <c r="B558" s="90">
        <v>11</v>
      </c>
      <c r="C558" s="90" t="s">
        <v>732</v>
      </c>
      <c r="D558" s="90" t="s">
        <v>719</v>
      </c>
      <c r="E558" s="98" t="s">
        <v>11</v>
      </c>
      <c r="F558" s="99" t="s">
        <v>41</v>
      </c>
      <c r="G558" s="93">
        <v>2289.15137024969</v>
      </c>
      <c r="H558" s="93">
        <v>4802.5567018749998</v>
      </c>
      <c r="I558" s="93">
        <v>2397.5457928860201</v>
      </c>
      <c r="J558" s="93">
        <v>2417.5715032245698</v>
      </c>
      <c r="K558" s="93">
        <v>312.57686897058801</v>
      </c>
      <c r="L558" s="93">
        <v>4451.0913762652999</v>
      </c>
      <c r="M558" s="93">
        <v>18714.332738962898</v>
      </c>
      <c r="N558" s="95">
        <v>0.16049306830328675</v>
      </c>
      <c r="O558" s="95">
        <v>0.3367086470565549</v>
      </c>
      <c r="P558" s="95">
        <v>0.31138678827894101</v>
      </c>
      <c r="Q558" s="95">
        <v>0.1694966411735275</v>
      </c>
      <c r="R558" s="96">
        <v>2.1914855187690003E-2</v>
      </c>
    </row>
    <row r="559" spans="1:18" ht="15.75" hidden="1" customHeight="1" x14ac:dyDescent="0.3">
      <c r="A559" s="89">
        <v>2020</v>
      </c>
      <c r="B559" s="90">
        <v>11</v>
      </c>
      <c r="C559" s="90" t="s">
        <v>732</v>
      </c>
      <c r="D559" s="90" t="s">
        <v>719</v>
      </c>
      <c r="E559" s="98" t="s">
        <v>11</v>
      </c>
      <c r="F559" s="99" t="s">
        <v>42</v>
      </c>
      <c r="G559" s="93">
        <v>8073.6493185509498</v>
      </c>
      <c r="H559" s="93">
        <v>120061.7577297</v>
      </c>
      <c r="I559" s="93">
        <v>2397.5457928860201</v>
      </c>
      <c r="J559" s="93">
        <v>9816.8627885999103</v>
      </c>
      <c r="K559" s="93">
        <v>135.97950991727899</v>
      </c>
      <c r="L559" s="93">
        <v>368438.15991509194</v>
      </c>
      <c r="M559" s="93">
        <v>620824.33975001704</v>
      </c>
      <c r="N559" s="95">
        <v>3.198926868274473E-2</v>
      </c>
      <c r="O559" s="95">
        <v>0.47570654545437946</v>
      </c>
      <c r="P559" s="95">
        <v>0.45286921242246436</v>
      </c>
      <c r="Q559" s="95">
        <v>3.8896197862421371E-2</v>
      </c>
      <c r="R559" s="96">
        <v>5.3877557799011542E-4</v>
      </c>
    </row>
    <row r="560" spans="1:18" ht="15.75" hidden="1" customHeight="1" x14ac:dyDescent="0.3">
      <c r="A560" s="89">
        <v>2020</v>
      </c>
      <c r="B560" s="90">
        <v>11</v>
      </c>
      <c r="C560" s="90" t="s">
        <v>732</v>
      </c>
      <c r="D560" s="90" t="s">
        <v>719</v>
      </c>
      <c r="E560" s="98" t="s">
        <v>11</v>
      </c>
      <c r="F560" s="99" t="s">
        <v>43</v>
      </c>
      <c r="G560" s="93">
        <v>3480.73853231464</v>
      </c>
      <c r="H560" s="93">
        <v>29029.562163249</v>
      </c>
      <c r="I560" s="93">
        <v>2397.5457928860201</v>
      </c>
      <c r="J560" s="93">
        <v>10887.582452169099</v>
      </c>
      <c r="K560" s="93">
        <v>2895.6339675352301</v>
      </c>
      <c r="L560" s="93">
        <v>116550.95692610042</v>
      </c>
      <c r="M560" s="93">
        <v>185575.48510012298</v>
      </c>
      <c r="N560" s="95">
        <v>5.0427559947082957E-2</v>
      </c>
      <c r="O560" s="95">
        <v>0.42056878809892817</v>
      </c>
      <c r="P560" s="95">
        <v>0.32931787670385598</v>
      </c>
      <c r="Q560" s="95">
        <v>0.15773497827786162</v>
      </c>
      <c r="R560" s="96">
        <v>4.1950796972271137E-2</v>
      </c>
    </row>
    <row r="561" spans="1:18" ht="15.75" hidden="1" customHeight="1" x14ac:dyDescent="0.3">
      <c r="A561" s="89">
        <v>2020</v>
      </c>
      <c r="B561" s="90">
        <v>11</v>
      </c>
      <c r="C561" s="90" t="s">
        <v>732</v>
      </c>
      <c r="D561" s="90" t="s">
        <v>719</v>
      </c>
      <c r="E561" s="98" t="s">
        <v>11</v>
      </c>
      <c r="F561" s="99" t="s">
        <v>58</v>
      </c>
      <c r="G561" s="93">
        <v>15997.992800551499</v>
      </c>
      <c r="H561" s="93">
        <v>129075.85413606001</v>
      </c>
      <c r="I561" s="93">
        <v>2397.5457928860201</v>
      </c>
      <c r="J561" s="93">
        <v>3638.2091077359</v>
      </c>
      <c r="K561" s="93">
        <v>37.330185546875001</v>
      </c>
      <c r="L561" s="93">
        <v>134467.50619086574</v>
      </c>
      <c r="M561" s="93">
        <v>371477.12559239601</v>
      </c>
      <c r="N561" s="95">
        <v>6.7499339651056395E-2</v>
      </c>
      <c r="O561" s="95">
        <v>0.54460175271361411</v>
      </c>
      <c r="P561" s="95">
        <v>0.37239093246299748</v>
      </c>
      <c r="Q561" s="95">
        <v>1.5350470233751235E-2</v>
      </c>
      <c r="R561" s="96">
        <v>1.5750493858070796E-4</v>
      </c>
    </row>
    <row r="562" spans="1:18" ht="15.75" hidden="1" customHeight="1" x14ac:dyDescent="0.3">
      <c r="A562" s="89">
        <v>2020</v>
      </c>
      <c r="B562" s="90">
        <v>11</v>
      </c>
      <c r="C562" s="90" t="s">
        <v>732</v>
      </c>
      <c r="D562" s="90" t="s">
        <v>719</v>
      </c>
      <c r="E562" s="98" t="s">
        <v>11</v>
      </c>
      <c r="F562" s="99" t="s">
        <v>44</v>
      </c>
      <c r="G562" s="93">
        <v>12845.2597635478</v>
      </c>
      <c r="H562" s="93">
        <v>94963.831406132696</v>
      </c>
      <c r="I562" s="93">
        <v>2397.5457928860201</v>
      </c>
      <c r="J562" s="93">
        <v>4136.63823126836</v>
      </c>
      <c r="K562" s="93">
        <v>160.40192141697301</v>
      </c>
      <c r="L562" s="93">
        <v>56763.707890719903</v>
      </c>
      <c r="M562" s="93">
        <v>215729.28855107765</v>
      </c>
      <c r="N562" s="95">
        <v>8.0805289485858509E-2</v>
      </c>
      <c r="O562" s="95">
        <v>0.5973861197602911</v>
      </c>
      <c r="P562" s="95">
        <v>0.29477732942775037</v>
      </c>
      <c r="Q562" s="95">
        <v>2.6022225780476388E-2</v>
      </c>
      <c r="R562" s="96">
        <v>1.0090355456234524E-3</v>
      </c>
    </row>
    <row r="563" spans="1:18" ht="15.75" hidden="1" customHeight="1" x14ac:dyDescent="0.3">
      <c r="A563" s="89">
        <v>2020</v>
      </c>
      <c r="B563" s="90">
        <v>11</v>
      </c>
      <c r="C563" s="90" t="s">
        <v>732</v>
      </c>
      <c r="D563" s="90" t="s">
        <v>719</v>
      </c>
      <c r="E563" s="98" t="s">
        <v>11</v>
      </c>
      <c r="F563" s="99" t="s">
        <v>51</v>
      </c>
      <c r="G563" s="93">
        <v>5020.2187519531499</v>
      </c>
      <c r="H563" s="93">
        <v>31347.1004752265</v>
      </c>
      <c r="I563" s="93">
        <v>2397.5457928860201</v>
      </c>
      <c r="J563" s="93">
        <v>52603.106921309904</v>
      </c>
      <c r="K563" s="93">
        <v>3739.7618369944798</v>
      </c>
      <c r="L563" s="93">
        <v>23964.228237921001</v>
      </c>
      <c r="M563" s="93">
        <v>211202.40923547241</v>
      </c>
      <c r="N563" s="95">
        <v>2.6811939344886078E-2</v>
      </c>
      <c r="O563" s="95">
        <v>0.16741831344557037</v>
      </c>
      <c r="P563" s="95">
        <v>0.50485425840204878</v>
      </c>
      <c r="Q563" s="95">
        <v>0.2809422022851088</v>
      </c>
      <c r="R563" s="96">
        <v>1.9973286522386082E-2</v>
      </c>
    </row>
    <row r="564" spans="1:18" ht="15.75" hidden="1" customHeight="1" x14ac:dyDescent="0.3">
      <c r="A564" s="89">
        <v>2020</v>
      </c>
      <c r="B564" s="90">
        <v>11</v>
      </c>
      <c r="C564" s="90" t="s">
        <v>732</v>
      </c>
      <c r="D564" s="90" t="s">
        <v>719</v>
      </c>
      <c r="E564" s="98" t="s">
        <v>11</v>
      </c>
      <c r="F564" s="99" t="s">
        <v>45</v>
      </c>
      <c r="G564" s="93">
        <v>5277.5377567876903</v>
      </c>
      <c r="H564" s="93">
        <v>12011.7663055545</v>
      </c>
      <c r="I564" s="93">
        <v>2397.5457928860201</v>
      </c>
      <c r="J564" s="93">
        <v>4203.2817181709497</v>
      </c>
      <c r="K564" s="93">
        <v>30.113426942401901</v>
      </c>
      <c r="L564" s="93">
        <v>96835.316942484089</v>
      </c>
      <c r="M564" s="93">
        <v>134096.09203645933</v>
      </c>
      <c r="N564" s="95">
        <v>0.14163789517199349</v>
      </c>
      <c r="O564" s="95">
        <v>0.32237027477983687</v>
      </c>
      <c r="P564" s="95">
        <v>0.42237650308740943</v>
      </c>
      <c r="Q564" s="95">
        <v>0.11280714659235809</v>
      </c>
      <c r="R564" s="96">
        <v>8.0818036840223963E-4</v>
      </c>
    </row>
    <row r="565" spans="1:18" ht="15.75" hidden="1" customHeight="1" x14ac:dyDescent="0.3">
      <c r="A565" s="89">
        <v>2020</v>
      </c>
      <c r="B565" s="90">
        <v>11</v>
      </c>
      <c r="C565" s="90" t="s">
        <v>732</v>
      </c>
      <c r="D565" s="90" t="s">
        <v>719</v>
      </c>
      <c r="E565" s="98" t="s">
        <v>11</v>
      </c>
      <c r="F565" s="99" t="s">
        <v>721</v>
      </c>
      <c r="G565" s="93">
        <v>9092.5373163036093</v>
      </c>
      <c r="H565" s="93">
        <v>111115.870608527</v>
      </c>
      <c r="I565" s="93">
        <v>2397.5457928860201</v>
      </c>
      <c r="J565" s="93">
        <v>11624.158198052901</v>
      </c>
      <c r="K565" s="93">
        <v>271.52109804687399</v>
      </c>
      <c r="L565" s="93">
        <v>90063.617875306998</v>
      </c>
      <c r="M565" s="93">
        <v>309330.85090304381</v>
      </c>
      <c r="N565" s="95">
        <v>4.1467834435405242E-2</v>
      </c>
      <c r="O565" s="95">
        <v>0.50676003465812469</v>
      </c>
      <c r="P565" s="95">
        <v>0.39752016114409788</v>
      </c>
      <c r="Q565" s="95">
        <v>5.3013658436518292E-2</v>
      </c>
      <c r="R565" s="96">
        <v>1.2383113258538142E-3</v>
      </c>
    </row>
    <row r="566" spans="1:18" ht="15.75" hidden="1" customHeight="1" x14ac:dyDescent="0.3">
      <c r="A566" s="89">
        <v>2020</v>
      </c>
      <c r="B566" s="90">
        <v>11</v>
      </c>
      <c r="C566" s="90" t="s">
        <v>732</v>
      </c>
      <c r="D566" s="90" t="s">
        <v>719</v>
      </c>
      <c r="E566" s="98" t="s">
        <v>11</v>
      </c>
      <c r="F566" s="99" t="s">
        <v>46</v>
      </c>
      <c r="G566" s="93">
        <v>4842.1247560309303</v>
      </c>
      <c r="H566" s="93">
        <v>15488.053211564</v>
      </c>
      <c r="I566" s="93">
        <v>2397.5457928860201</v>
      </c>
      <c r="J566" s="93">
        <v>37560.3281404101</v>
      </c>
      <c r="K566" s="93">
        <v>6710.4883736228903</v>
      </c>
      <c r="L566" s="93">
        <v>38766.824724792597</v>
      </c>
      <c r="M566" s="93">
        <v>149075.00300838752</v>
      </c>
      <c r="N566" s="95">
        <v>4.3896335080270771E-2</v>
      </c>
      <c r="O566" s="95">
        <v>0.14040711624976032</v>
      </c>
      <c r="P566" s="95">
        <v>0.41435897603581939</v>
      </c>
      <c r="Q566" s="95">
        <v>0.34050356668791154</v>
      </c>
      <c r="R566" s="96">
        <v>6.0834005946237953E-2</v>
      </c>
    </row>
    <row r="567" spans="1:18" ht="15.75" hidden="1" customHeight="1" x14ac:dyDescent="0.3">
      <c r="A567" s="89">
        <v>2020</v>
      </c>
      <c r="B567" s="90">
        <v>11</v>
      </c>
      <c r="C567" s="90" t="s">
        <v>732</v>
      </c>
      <c r="D567" s="90" t="s">
        <v>719</v>
      </c>
      <c r="E567" s="98" t="s">
        <v>11</v>
      </c>
      <c r="F567" s="99" t="s">
        <v>47</v>
      </c>
      <c r="G567" s="93">
        <v>10468.753458809701</v>
      </c>
      <c r="H567" s="93">
        <v>108466.99159313799</v>
      </c>
      <c r="I567" s="93">
        <v>2397.5457928860201</v>
      </c>
      <c r="J567" s="93">
        <v>320843.05439785501</v>
      </c>
      <c r="K567" s="93">
        <v>36309.589228019402</v>
      </c>
      <c r="L567" s="93">
        <v>351567.24856513401</v>
      </c>
      <c r="M567" s="93">
        <v>1461770.358140992</v>
      </c>
      <c r="N567" s="95">
        <v>9.4295839819879285E-3</v>
      </c>
      <c r="O567" s="95">
        <v>9.770013311760288E-2</v>
      </c>
      <c r="P567" s="95">
        <v>0.5711700097293847</v>
      </c>
      <c r="Q567" s="95">
        <v>0.28899491600273924</v>
      </c>
      <c r="R567" s="96">
        <v>3.2705357168285286E-2</v>
      </c>
    </row>
    <row r="568" spans="1:18" ht="15.75" hidden="1" customHeight="1" x14ac:dyDescent="0.3">
      <c r="A568" s="89">
        <v>2020</v>
      </c>
      <c r="B568" s="90">
        <v>11</v>
      </c>
      <c r="C568" s="90" t="s">
        <v>732</v>
      </c>
      <c r="D568" s="90" t="s">
        <v>719</v>
      </c>
      <c r="E568" s="98" t="s">
        <v>11</v>
      </c>
      <c r="F568" s="99" t="s">
        <v>48</v>
      </c>
      <c r="G568" s="93">
        <v>1906.2573259068599</v>
      </c>
      <c r="H568" s="93">
        <v>10223.3390232321</v>
      </c>
      <c r="I568" s="93">
        <v>2397.5457928860201</v>
      </c>
      <c r="J568" s="93">
        <v>30485.046021371301</v>
      </c>
      <c r="K568" s="93">
        <v>1264.89110820159</v>
      </c>
      <c r="L568" s="93">
        <v>22995.667669891118</v>
      </c>
      <c r="M568" s="93">
        <v>110314.39779994116</v>
      </c>
      <c r="N568" s="95">
        <v>2.1831024375500357E-2</v>
      </c>
      <c r="O568" s="95">
        <v>0.11708071118310755</v>
      </c>
      <c r="P568" s="95">
        <v>0.49747856601488699</v>
      </c>
      <c r="Q568" s="95">
        <v>0.34912379023340967</v>
      </c>
      <c r="R568" s="96">
        <v>1.4485908193095537E-2</v>
      </c>
    </row>
    <row r="569" spans="1:18" ht="15.75" hidden="1" customHeight="1" x14ac:dyDescent="0.3">
      <c r="A569" s="89">
        <v>2020</v>
      </c>
      <c r="B569" s="90">
        <v>12</v>
      </c>
      <c r="C569" s="90" t="s">
        <v>733</v>
      </c>
      <c r="D569" s="90" t="s">
        <v>719</v>
      </c>
      <c r="E569" s="98" t="s">
        <v>11</v>
      </c>
      <c r="F569" s="99" t="s">
        <v>12</v>
      </c>
      <c r="G569" s="93">
        <v>47293.737721220197</v>
      </c>
      <c r="H569" s="93">
        <v>148019.351122452</v>
      </c>
      <c r="I569" s="93">
        <v>2397.5457928860201</v>
      </c>
      <c r="J569" s="93">
        <v>18479.531705897702</v>
      </c>
      <c r="K569" s="93">
        <v>164.65235874080801</v>
      </c>
      <c r="L569" s="93">
        <v>105961.46872678809</v>
      </c>
      <c r="M569" s="93">
        <v>433311.47680229077</v>
      </c>
      <c r="N569" s="95">
        <v>0.14447452743093253</v>
      </c>
      <c r="O569" s="95">
        <v>0.45217457605289446</v>
      </c>
      <c r="P569" s="95">
        <v>0.34639600540665993</v>
      </c>
      <c r="Q569" s="95">
        <v>5.6451905452940848E-2</v>
      </c>
      <c r="R569" s="96">
        <v>5.0298565657231091E-4</v>
      </c>
    </row>
    <row r="570" spans="1:18" ht="15.75" hidden="1" customHeight="1" x14ac:dyDescent="0.3">
      <c r="A570" s="89">
        <v>2020</v>
      </c>
      <c r="B570" s="90">
        <v>12</v>
      </c>
      <c r="C570" s="90" t="s">
        <v>733</v>
      </c>
      <c r="D570" s="90" t="s">
        <v>719</v>
      </c>
      <c r="E570" s="98" t="s">
        <v>11</v>
      </c>
      <c r="F570" s="99" t="s">
        <v>26</v>
      </c>
      <c r="G570" s="93">
        <v>228068.541261687</v>
      </c>
      <c r="H570" s="93">
        <v>396509.507153549</v>
      </c>
      <c r="I570" s="93">
        <v>2397.5457928860201</v>
      </c>
      <c r="J570" s="93">
        <v>53640.117097183902</v>
      </c>
      <c r="K570" s="93">
        <v>554.97274531250002</v>
      </c>
      <c r="L570" s="93">
        <v>278950.15841588139</v>
      </c>
      <c r="M570" s="93">
        <v>1302393.3163908329</v>
      </c>
      <c r="N570" s="95">
        <v>0.22284436559521065</v>
      </c>
      <c r="O570" s="95">
        <v>0.38742699490815641</v>
      </c>
      <c r="P570" s="95">
        <v>0.33677495133115615</v>
      </c>
      <c r="Q570" s="95">
        <v>5.2411427717509576E-2</v>
      </c>
      <c r="R570" s="96">
        <v>5.4226044796723614E-4</v>
      </c>
    </row>
    <row r="571" spans="1:18" ht="15.75" hidden="1" customHeight="1" x14ac:dyDescent="0.3">
      <c r="A571" s="89">
        <v>2020</v>
      </c>
      <c r="B571" s="90">
        <v>12</v>
      </c>
      <c r="C571" s="90" t="s">
        <v>733</v>
      </c>
      <c r="D571" s="90" t="s">
        <v>719</v>
      </c>
      <c r="E571" s="98" t="s">
        <v>11</v>
      </c>
      <c r="F571" s="99" t="s">
        <v>27</v>
      </c>
      <c r="G571" s="93">
        <v>29339.461139667099</v>
      </c>
      <c r="H571" s="93">
        <v>144555.83779980999</v>
      </c>
      <c r="I571" s="93">
        <v>2397.5457928860201</v>
      </c>
      <c r="J571" s="93">
        <v>2422.7846002129199</v>
      </c>
      <c r="K571" s="93">
        <v>56.2920022533701</v>
      </c>
      <c r="L571" s="93">
        <v>24633.71967269609</v>
      </c>
      <c r="M571" s="93">
        <v>226689.61699930037</v>
      </c>
      <c r="N571" s="95">
        <v>0.14520467617058774</v>
      </c>
      <c r="O571" s="95">
        <v>0.71542498740409999</v>
      </c>
      <c r="P571" s="95">
        <v>0.12710107512056004</v>
      </c>
      <c r="Q571" s="95">
        <v>1.1990665119250231E-2</v>
      </c>
      <c r="R571" s="96">
        <v>2.7859618550197222E-4</v>
      </c>
    </row>
    <row r="572" spans="1:18" ht="15.75" hidden="1" customHeight="1" x14ac:dyDescent="0.3">
      <c r="A572" s="89">
        <v>2020</v>
      </c>
      <c r="B572" s="90">
        <v>12</v>
      </c>
      <c r="C572" s="90" t="s">
        <v>733</v>
      </c>
      <c r="D572" s="90" t="s">
        <v>719</v>
      </c>
      <c r="E572" s="98" t="s">
        <v>11</v>
      </c>
      <c r="F572" s="99" t="s">
        <v>28</v>
      </c>
      <c r="G572" s="93">
        <v>17775.531395963601</v>
      </c>
      <c r="H572" s="93">
        <v>161060.779262642</v>
      </c>
      <c r="I572" s="93">
        <v>2397.5457928860201</v>
      </c>
      <c r="J572" s="93">
        <v>13075.1351108012</v>
      </c>
      <c r="K572" s="93">
        <v>143.605713662683</v>
      </c>
      <c r="L572" s="93">
        <v>4294.8901795297097</v>
      </c>
      <c r="M572" s="93">
        <v>373104.58101493918</v>
      </c>
      <c r="N572" s="95">
        <v>4.8197029084835995E-2</v>
      </c>
      <c r="O572" s="95">
        <v>0.43670430377741726</v>
      </c>
      <c r="P572" s="95">
        <v>0.47925703620196131</v>
      </c>
      <c r="Q572" s="95">
        <v>3.5452254741962043E-2</v>
      </c>
      <c r="R572" s="96">
        <v>3.8937619382341731E-4</v>
      </c>
    </row>
    <row r="573" spans="1:18" ht="15.75" customHeight="1" x14ac:dyDescent="0.3">
      <c r="A573" s="89">
        <v>2020</v>
      </c>
      <c r="B573" s="90">
        <v>12</v>
      </c>
      <c r="C573" s="90" t="s">
        <v>733</v>
      </c>
      <c r="D573" s="90" t="s">
        <v>719</v>
      </c>
      <c r="E573" s="98" t="s">
        <v>11</v>
      </c>
      <c r="F573" s="99" t="s">
        <v>29</v>
      </c>
      <c r="G573" s="93">
        <v>30428.904304409101</v>
      </c>
      <c r="H573" s="93">
        <v>116461.689840876</v>
      </c>
      <c r="I573" s="93">
        <v>2397.5457928860201</v>
      </c>
      <c r="J573" s="93">
        <v>15541.494602806401</v>
      </c>
      <c r="K573" s="93">
        <v>747.67470358149501</v>
      </c>
      <c r="L573" s="93">
        <v>82261.603859449388</v>
      </c>
      <c r="M573" s="93">
        <v>354392.05486976437</v>
      </c>
      <c r="N573" s="95">
        <v>0.11181734418709249</v>
      </c>
      <c r="O573" s="95">
        <v>0.4279627267308706</v>
      </c>
      <c r="P573" s="95">
        <v>0.40036198504853204</v>
      </c>
      <c r="Q573" s="95">
        <v>5.7110457668764554E-2</v>
      </c>
      <c r="R573" s="96">
        <v>2.7474863647403971E-3</v>
      </c>
    </row>
    <row r="574" spans="1:18" ht="15.75" hidden="1" customHeight="1" x14ac:dyDescent="0.3">
      <c r="A574" s="89">
        <v>2020</v>
      </c>
      <c r="B574" s="90">
        <v>12</v>
      </c>
      <c r="C574" s="90" t="s">
        <v>733</v>
      </c>
      <c r="D574" s="90" t="s">
        <v>719</v>
      </c>
      <c r="E574" s="98" t="s">
        <v>11</v>
      </c>
      <c r="F574" s="99" t="s">
        <v>30</v>
      </c>
      <c r="G574" s="93">
        <v>721.70007572150701</v>
      </c>
      <c r="H574" s="93">
        <v>4292.6319240471803</v>
      </c>
      <c r="I574" s="93">
        <v>2397.5457928860201</v>
      </c>
      <c r="J574" s="93">
        <v>2474.8458268535501</v>
      </c>
      <c r="K574" s="93">
        <v>387.62237219822299</v>
      </c>
      <c r="L574" s="93">
        <v>216098.54153342964</v>
      </c>
      <c r="M574" s="93">
        <v>230086.50016211683</v>
      </c>
      <c r="N574" s="95">
        <v>5.159438163059827E-2</v>
      </c>
      <c r="O574" s="95">
        <v>0.30688051330403854</v>
      </c>
      <c r="P574" s="95">
        <v>0.4368870821031503</v>
      </c>
      <c r="Q574" s="95">
        <v>0.17692687636193138</v>
      </c>
      <c r="R574" s="96">
        <v>2.7711146600281476E-2</v>
      </c>
    </row>
    <row r="575" spans="1:18" ht="15.75" hidden="1" customHeight="1" x14ac:dyDescent="0.3">
      <c r="A575" s="89">
        <v>2020</v>
      </c>
      <c r="B575" s="90">
        <v>12</v>
      </c>
      <c r="C575" s="90" t="s">
        <v>733</v>
      </c>
      <c r="D575" s="90" t="s">
        <v>719</v>
      </c>
      <c r="E575" s="98" t="s">
        <v>11</v>
      </c>
      <c r="F575" s="99" t="s">
        <v>31</v>
      </c>
      <c r="G575" s="93">
        <v>11139.5159639783</v>
      </c>
      <c r="H575" s="93">
        <v>124155.549093858</v>
      </c>
      <c r="I575" s="93">
        <v>2397.5457928860201</v>
      </c>
      <c r="J575" s="93">
        <v>11512.304706069201</v>
      </c>
      <c r="K575" s="93">
        <v>3300.18927394914</v>
      </c>
      <c r="L575" s="93">
        <v>42510.891075168773</v>
      </c>
      <c r="M575" s="93">
        <v>251948.68865991361</v>
      </c>
      <c r="N575" s="95">
        <v>5.3187705812609662E-2</v>
      </c>
      <c r="O575" s="95">
        <v>0.59280392806661808</v>
      </c>
      <c r="P575" s="95">
        <v>0.28328333868619582</v>
      </c>
      <c r="Q575" s="95">
        <v>5.4967655498816902E-2</v>
      </c>
      <c r="R575" s="96">
        <v>1.5757371935759514E-2</v>
      </c>
    </row>
    <row r="576" spans="1:18" ht="15.75" hidden="1" customHeight="1" x14ac:dyDescent="0.3">
      <c r="A576" s="89">
        <v>2020</v>
      </c>
      <c r="B576" s="90">
        <v>12</v>
      </c>
      <c r="C576" s="90" t="s">
        <v>733</v>
      </c>
      <c r="D576" s="90" t="s">
        <v>719</v>
      </c>
      <c r="E576" s="98" t="s">
        <v>11</v>
      </c>
      <c r="F576" s="99" t="s">
        <v>32</v>
      </c>
      <c r="G576" s="93">
        <v>68299.035645877797</v>
      </c>
      <c r="H576" s="93">
        <v>260089.62472409601</v>
      </c>
      <c r="I576" s="93">
        <v>2397.5457928860201</v>
      </c>
      <c r="J576" s="93">
        <v>30223.937294840602</v>
      </c>
      <c r="K576" s="93">
        <v>374.001136222426</v>
      </c>
      <c r="L576" s="93">
        <v>56771.971043437108</v>
      </c>
      <c r="M576" s="93">
        <v>609521.81280337297</v>
      </c>
      <c r="N576" s="95">
        <v>0.12356228891611457</v>
      </c>
      <c r="O576" s="95">
        <v>0.47053767378020389</v>
      </c>
      <c r="P576" s="95">
        <v>0.3505441853080658</v>
      </c>
      <c r="Q576" s="95">
        <v>5.4679232830910744E-2</v>
      </c>
      <c r="R576" s="96">
        <v>6.7661916470499513E-4</v>
      </c>
    </row>
    <row r="577" spans="1:18" ht="15.75" hidden="1" customHeight="1" x14ac:dyDescent="0.3">
      <c r="A577" s="89">
        <v>2020</v>
      </c>
      <c r="B577" s="90">
        <v>12</v>
      </c>
      <c r="C577" s="90" t="s">
        <v>733</v>
      </c>
      <c r="D577" s="90" t="s">
        <v>719</v>
      </c>
      <c r="E577" s="98" t="s">
        <v>11</v>
      </c>
      <c r="F577" s="99" t="s">
        <v>33</v>
      </c>
      <c r="G577" s="93">
        <v>81219.491824711193</v>
      </c>
      <c r="H577" s="93">
        <v>549941.01113131503</v>
      </c>
      <c r="I577" s="93">
        <v>2397.5457928860201</v>
      </c>
      <c r="J577" s="93">
        <v>74600.995249988293</v>
      </c>
      <c r="K577" s="93">
        <v>446.56703293045302</v>
      </c>
      <c r="L577" s="93">
        <v>35473.931710309436</v>
      </c>
      <c r="M577" s="93">
        <v>1352056.7882566303</v>
      </c>
      <c r="N577" s="95">
        <v>6.168961673841579E-2</v>
      </c>
      <c r="O577" s="95">
        <v>0.41770330549034201</v>
      </c>
      <c r="P577" s="95">
        <v>0.46360530085324059</v>
      </c>
      <c r="Q577" s="95">
        <v>5.6662590492544233E-2</v>
      </c>
      <c r="R577" s="96">
        <v>3.391864254574103E-4</v>
      </c>
    </row>
    <row r="578" spans="1:18" ht="15.75" hidden="1" customHeight="1" x14ac:dyDescent="0.3">
      <c r="A578" s="89">
        <v>2020</v>
      </c>
      <c r="B578" s="90">
        <v>12</v>
      </c>
      <c r="C578" s="90" t="s">
        <v>733</v>
      </c>
      <c r="D578" s="90" t="s">
        <v>719</v>
      </c>
      <c r="E578" s="98" t="s">
        <v>11</v>
      </c>
      <c r="F578" s="99" t="s">
        <v>34</v>
      </c>
      <c r="G578" s="93">
        <v>79385.3296072659</v>
      </c>
      <c r="H578" s="93">
        <v>235996.68254667599</v>
      </c>
      <c r="I578" s="93">
        <v>2397.5457928860201</v>
      </c>
      <c r="J578" s="93">
        <v>59839.204009224501</v>
      </c>
      <c r="K578" s="93">
        <v>1610.4406865180699</v>
      </c>
      <c r="L578" s="93">
        <v>63296.870406019196</v>
      </c>
      <c r="M578" s="93">
        <v>713628.83042005775</v>
      </c>
      <c r="N578" s="95">
        <v>0.1220689347722542</v>
      </c>
      <c r="O578" s="95">
        <v>0.36288649037267301</v>
      </c>
      <c r="P578" s="95">
        <v>0.42055491653593341</v>
      </c>
      <c r="Q578" s="95">
        <v>9.2013321947044951E-2</v>
      </c>
      <c r="R578" s="96">
        <v>2.4763363720941927E-3</v>
      </c>
    </row>
    <row r="579" spans="1:18" ht="15.75" hidden="1" customHeight="1" x14ac:dyDescent="0.3">
      <c r="A579" s="89">
        <v>2020</v>
      </c>
      <c r="B579" s="90">
        <v>12</v>
      </c>
      <c r="C579" s="90" t="s">
        <v>733</v>
      </c>
      <c r="D579" s="90" t="s">
        <v>719</v>
      </c>
      <c r="E579" s="98" t="s">
        <v>11</v>
      </c>
      <c r="F579" s="99" t="s">
        <v>35</v>
      </c>
      <c r="G579" s="93">
        <v>28357.889002412601</v>
      </c>
      <c r="H579" s="93">
        <v>107920.365607434</v>
      </c>
      <c r="I579" s="93">
        <v>2397.5457928860201</v>
      </c>
      <c r="J579" s="93">
        <v>90381.743131964104</v>
      </c>
      <c r="K579" s="93">
        <v>18066.903233868099</v>
      </c>
      <c r="L579" s="93">
        <v>239826.13175802038</v>
      </c>
      <c r="M579" s="93">
        <v>605861.19629491016</v>
      </c>
      <c r="N579" s="95">
        <v>7.7473148749536355E-2</v>
      </c>
      <c r="O579" s="95">
        <v>0.29483614020415128</v>
      </c>
      <c r="P579" s="95">
        <v>0.3314113190622624</v>
      </c>
      <c r="Q579" s="95">
        <v>0.24692099716270555</v>
      </c>
      <c r="R579" s="96">
        <v>4.9358394821344444E-2</v>
      </c>
    </row>
    <row r="580" spans="1:18" ht="15.75" hidden="1" customHeight="1" x14ac:dyDescent="0.3">
      <c r="A580" s="89">
        <v>2020</v>
      </c>
      <c r="B580" s="90">
        <v>12</v>
      </c>
      <c r="C580" s="90" t="s">
        <v>733</v>
      </c>
      <c r="D580" s="90" t="s">
        <v>719</v>
      </c>
      <c r="E580" s="98" t="s">
        <v>11</v>
      </c>
      <c r="F580" s="99" t="s">
        <v>36</v>
      </c>
      <c r="G580" s="93">
        <v>29406.758609823901</v>
      </c>
      <c r="H580" s="93">
        <v>134308.75830690999</v>
      </c>
      <c r="I580" s="93">
        <v>2397.5457928860201</v>
      </c>
      <c r="J580" s="93">
        <v>1704.0507359175799</v>
      </c>
      <c r="K580" s="93"/>
      <c r="L580" s="93">
        <v>56266.402725456603</v>
      </c>
      <c r="M580" s="93">
        <v>258886.87145458188</v>
      </c>
      <c r="N580" s="95">
        <v>0.1451322208179103</v>
      </c>
      <c r="O580" s="95">
        <v>0.66285878790687081</v>
      </c>
      <c r="P580" s="95">
        <v>0.18359892912006884</v>
      </c>
      <c r="Q580" s="95">
        <v>8.4100621551500467E-3</v>
      </c>
      <c r="R580" s="96">
        <v>0</v>
      </c>
    </row>
    <row r="581" spans="1:18" ht="15.75" hidden="1" customHeight="1" x14ac:dyDescent="0.3">
      <c r="A581" s="89">
        <v>2020</v>
      </c>
      <c r="B581" s="90">
        <v>12</v>
      </c>
      <c r="C581" s="90" t="s">
        <v>733</v>
      </c>
      <c r="D581" s="90" t="s">
        <v>719</v>
      </c>
      <c r="E581" s="98" t="s">
        <v>11</v>
      </c>
      <c r="F581" s="99" t="s">
        <v>37</v>
      </c>
      <c r="G581" s="93">
        <v>118469.659512835</v>
      </c>
      <c r="H581" s="93">
        <v>164236.19919385901</v>
      </c>
      <c r="I581" s="93">
        <v>2397.5457928860201</v>
      </c>
      <c r="J581" s="93">
        <v>5527.8235349494398</v>
      </c>
      <c r="K581" s="93">
        <v>89.8156459650735</v>
      </c>
      <c r="L581" s="93">
        <v>185413.86475909449</v>
      </c>
      <c r="M581" s="93">
        <v>524073.85777631449</v>
      </c>
      <c r="N581" s="95">
        <v>0.34981888016164675</v>
      </c>
      <c r="O581" s="95">
        <v>0.48495896350387041</v>
      </c>
      <c r="P581" s="95">
        <v>0.14863431219362253</v>
      </c>
      <c r="Q581" s="95">
        <v>1.6322635235713728E-2</v>
      </c>
      <c r="R581" s="96">
        <v>2.6520890514666315E-4</v>
      </c>
    </row>
    <row r="582" spans="1:18" ht="15.75" hidden="1" customHeight="1" x14ac:dyDescent="0.3">
      <c r="A582" s="89">
        <v>2020</v>
      </c>
      <c r="B582" s="90">
        <v>12</v>
      </c>
      <c r="C582" s="90" t="s">
        <v>733</v>
      </c>
      <c r="D582" s="90" t="s">
        <v>719</v>
      </c>
      <c r="E582" s="98" t="s">
        <v>11</v>
      </c>
      <c r="F582" s="99" t="s">
        <v>720</v>
      </c>
      <c r="G582" s="93">
        <v>87495.396795341905</v>
      </c>
      <c r="H582" s="93">
        <v>210762.494931202</v>
      </c>
      <c r="I582" s="93">
        <v>2397.5457928860201</v>
      </c>
      <c r="J582" s="93">
        <v>151593.65987782</v>
      </c>
      <c r="K582" s="93">
        <v>8297.12722519608</v>
      </c>
      <c r="L582" s="93">
        <v>176153.43902926499</v>
      </c>
      <c r="M582" s="93">
        <v>927958.4226883779</v>
      </c>
      <c r="N582" s="95">
        <v>0.11638044266412377</v>
      </c>
      <c r="O582" s="95">
        <v>0.28034197632662533</v>
      </c>
      <c r="P582" s="95">
        <v>0.39060170019131457</v>
      </c>
      <c r="Q582" s="95">
        <v>0.20163960491455898</v>
      </c>
      <c r="R582" s="96">
        <v>1.1036275903377362E-2</v>
      </c>
    </row>
    <row r="583" spans="1:18" ht="15.75" hidden="1" customHeight="1" x14ac:dyDescent="0.3">
      <c r="A583" s="89">
        <v>2020</v>
      </c>
      <c r="B583" s="90">
        <v>12</v>
      </c>
      <c r="C583" s="90" t="s">
        <v>733</v>
      </c>
      <c r="D583" s="90" t="s">
        <v>719</v>
      </c>
      <c r="E583" s="98" t="s">
        <v>11</v>
      </c>
      <c r="F583" s="99" t="s">
        <v>39</v>
      </c>
      <c r="G583" s="93">
        <v>43168.660645903299</v>
      </c>
      <c r="H583" s="93">
        <v>164743.8353684</v>
      </c>
      <c r="I583" s="93">
        <v>2397.5457928860201</v>
      </c>
      <c r="J583" s="93">
        <v>7172.2139295266297</v>
      </c>
      <c r="K583" s="93">
        <v>23.422993359374999</v>
      </c>
      <c r="L583" s="93">
        <v>41048.194966069888</v>
      </c>
      <c r="M583" s="93">
        <v>331195.1665009681</v>
      </c>
      <c r="N583" s="95">
        <v>0.14878204799980507</v>
      </c>
      <c r="O583" s="95">
        <v>0.5677944336171884</v>
      </c>
      <c r="P583" s="95">
        <v>0.25862354585590913</v>
      </c>
      <c r="Q583" s="95">
        <v>2.4719244497314947E-2</v>
      </c>
      <c r="R583" s="96">
        <v>8.0728029782512262E-5</v>
      </c>
    </row>
    <row r="584" spans="1:18" ht="15.75" hidden="1" customHeight="1" x14ac:dyDescent="0.3">
      <c r="A584" s="89">
        <v>2020</v>
      </c>
      <c r="B584" s="90">
        <v>12</v>
      </c>
      <c r="C584" s="90" t="s">
        <v>733</v>
      </c>
      <c r="D584" s="90" t="s">
        <v>719</v>
      </c>
      <c r="E584" s="98" t="s">
        <v>11</v>
      </c>
      <c r="F584" s="99" t="s">
        <v>40</v>
      </c>
      <c r="G584" s="93">
        <v>28823.165273800099</v>
      </c>
      <c r="H584" s="93">
        <v>146927.54776292999</v>
      </c>
      <c r="I584" s="93">
        <v>2397.5457928860201</v>
      </c>
      <c r="J584" s="93">
        <v>11041.195930444101</v>
      </c>
      <c r="K584" s="93">
        <v>222.861988671875</v>
      </c>
      <c r="L584" s="93">
        <v>13095.09631039677</v>
      </c>
      <c r="M584" s="93">
        <v>326305.02470133989</v>
      </c>
      <c r="N584" s="95">
        <v>9.2025069006827692E-2</v>
      </c>
      <c r="O584" s="95">
        <v>0.46910245954763485</v>
      </c>
      <c r="P584" s="95">
        <v>0.40290918644693291</v>
      </c>
      <c r="Q584" s="95">
        <v>3.5251743095010307E-2</v>
      </c>
      <c r="R584" s="96">
        <v>7.1154190359413701E-4</v>
      </c>
    </row>
    <row r="585" spans="1:18" ht="15.75" hidden="1" customHeight="1" x14ac:dyDescent="0.3">
      <c r="A585" s="89">
        <v>2020</v>
      </c>
      <c r="B585" s="90">
        <v>12</v>
      </c>
      <c r="C585" s="90" t="s">
        <v>733</v>
      </c>
      <c r="D585" s="90" t="s">
        <v>719</v>
      </c>
      <c r="E585" s="98" t="s">
        <v>11</v>
      </c>
      <c r="F585" s="99" t="s">
        <v>41</v>
      </c>
      <c r="G585" s="93">
        <v>2357.0595768244498</v>
      </c>
      <c r="H585" s="93">
        <v>5479.2746656709996</v>
      </c>
      <c r="I585" s="93">
        <v>2397.5457928860201</v>
      </c>
      <c r="J585" s="93">
        <v>3567.04230884956</v>
      </c>
      <c r="K585" s="93">
        <v>491.21397889705798</v>
      </c>
      <c r="L585" s="93">
        <v>766.94100876072196</v>
      </c>
      <c r="M585" s="93">
        <v>18714.332738962978</v>
      </c>
      <c r="N585" s="95">
        <v>0.13133159471066425</v>
      </c>
      <c r="O585" s="95">
        <v>0.3052964323752046</v>
      </c>
      <c r="P585" s="95">
        <v>0.3372524147770401</v>
      </c>
      <c r="Q585" s="95">
        <v>0.19874989984460331</v>
      </c>
      <c r="R585" s="96">
        <v>2.7369658292487848E-2</v>
      </c>
    </row>
    <row r="586" spans="1:18" ht="15.75" hidden="1" customHeight="1" x14ac:dyDescent="0.3">
      <c r="A586" s="89">
        <v>2020</v>
      </c>
      <c r="B586" s="90">
        <v>12</v>
      </c>
      <c r="C586" s="90" t="s">
        <v>733</v>
      </c>
      <c r="D586" s="90" t="s">
        <v>719</v>
      </c>
      <c r="E586" s="98" t="s">
        <v>11</v>
      </c>
      <c r="F586" s="99" t="s">
        <v>42</v>
      </c>
      <c r="G586" s="93">
        <v>37461.528317848803</v>
      </c>
      <c r="H586" s="93">
        <v>319662.96626784198</v>
      </c>
      <c r="I586" s="93">
        <v>2397.5457928860201</v>
      </c>
      <c r="J586" s="93">
        <v>6222.8786891360196</v>
      </c>
      <c r="K586" s="93">
        <v>229.55065714001199</v>
      </c>
      <c r="L586" s="93">
        <v>138381.01384693698</v>
      </c>
      <c r="M586" s="93">
        <v>620824.33975000889</v>
      </c>
      <c r="N586" s="95">
        <v>7.7649593862088653E-2</v>
      </c>
      <c r="O586" s="95">
        <v>0.66259174726787651</v>
      </c>
      <c r="P586" s="95">
        <v>0.24638417735099225</v>
      </c>
      <c r="Q586" s="95">
        <v>1.2898672973633932E-2</v>
      </c>
      <c r="R586" s="96">
        <v>4.758085454085673E-4</v>
      </c>
    </row>
    <row r="587" spans="1:18" ht="15.75" hidden="1" customHeight="1" x14ac:dyDescent="0.3">
      <c r="A587" s="89">
        <v>2020</v>
      </c>
      <c r="B587" s="90">
        <v>12</v>
      </c>
      <c r="C587" s="90" t="s">
        <v>733</v>
      </c>
      <c r="D587" s="90" t="s">
        <v>719</v>
      </c>
      <c r="E587" s="98" t="s">
        <v>11</v>
      </c>
      <c r="F587" s="99" t="s">
        <v>43</v>
      </c>
      <c r="G587" s="93">
        <v>7769.2662584481895</v>
      </c>
      <c r="H587" s="93">
        <v>31443.205882215101</v>
      </c>
      <c r="I587" s="93">
        <v>2397.5457928860201</v>
      </c>
      <c r="J587" s="93">
        <v>9357.0621807643802</v>
      </c>
      <c r="K587" s="93">
        <v>1717.13860219362</v>
      </c>
      <c r="L587" s="93">
        <v>116451.56377118426</v>
      </c>
      <c r="M587" s="93">
        <v>185575.48510012403</v>
      </c>
      <c r="N587" s="95">
        <v>0.11239620248794345</v>
      </c>
      <c r="O587" s="95">
        <v>0.45488168607487434</v>
      </c>
      <c r="P587" s="95">
        <v>0.27251417516777937</v>
      </c>
      <c r="Q587" s="95">
        <v>0.13536648385783784</v>
      </c>
      <c r="R587" s="96">
        <v>2.484145241156499E-2</v>
      </c>
    </row>
    <row r="588" spans="1:18" ht="15.75" hidden="1" customHeight="1" x14ac:dyDescent="0.3">
      <c r="A588" s="89">
        <v>2020</v>
      </c>
      <c r="B588" s="90">
        <v>12</v>
      </c>
      <c r="C588" s="90" t="s">
        <v>733</v>
      </c>
      <c r="D588" s="90" t="s">
        <v>719</v>
      </c>
      <c r="E588" s="98" t="s">
        <v>11</v>
      </c>
      <c r="F588" s="99" t="s">
        <v>58</v>
      </c>
      <c r="G588" s="93">
        <v>33975.210211501399</v>
      </c>
      <c r="H588" s="93">
        <v>217898.54121048399</v>
      </c>
      <c r="I588" s="93">
        <v>2397.5457928860201</v>
      </c>
      <c r="J588" s="93">
        <v>2740.17389511795</v>
      </c>
      <c r="K588" s="93">
        <v>13.978553515625</v>
      </c>
      <c r="L588" s="93">
        <v>9032.9778464782285</v>
      </c>
      <c r="M588" s="93">
        <v>371477.12559243018</v>
      </c>
      <c r="N588" s="95">
        <v>9.3739160703225508E-2</v>
      </c>
      <c r="O588" s="95">
        <v>0.60119205280482457</v>
      </c>
      <c r="P588" s="95">
        <v>0.29746995377313878</v>
      </c>
      <c r="Q588" s="95">
        <v>7.560265249581628E-3</v>
      </c>
      <c r="R588" s="96">
        <v>3.8567469229556962E-5</v>
      </c>
    </row>
    <row r="589" spans="1:18" ht="15.75" hidden="1" customHeight="1" x14ac:dyDescent="0.3">
      <c r="A589" s="89">
        <v>2020</v>
      </c>
      <c r="B589" s="90">
        <v>12</v>
      </c>
      <c r="C589" s="90" t="s">
        <v>733</v>
      </c>
      <c r="D589" s="90" t="s">
        <v>719</v>
      </c>
      <c r="E589" s="98" t="s">
        <v>11</v>
      </c>
      <c r="F589" s="99" t="s">
        <v>44</v>
      </c>
      <c r="G589" s="93">
        <v>6106.1576010294002</v>
      </c>
      <c r="H589" s="93">
        <v>55467.3238335801</v>
      </c>
      <c r="I589" s="93">
        <v>2397.5457928860201</v>
      </c>
      <c r="J589" s="93">
        <v>5942.8692789016304</v>
      </c>
      <c r="K589" s="93">
        <v>212.64281367187399</v>
      </c>
      <c r="L589" s="93">
        <v>41457.559030876306</v>
      </c>
      <c r="M589" s="93">
        <v>215729.28855107829</v>
      </c>
      <c r="N589" s="95">
        <v>3.5038141974264157E-2</v>
      </c>
      <c r="O589" s="95">
        <v>0.31828067573719804</v>
      </c>
      <c r="P589" s="95">
        <v>0.61135983608097666</v>
      </c>
      <c r="Q589" s="95">
        <v>3.4101166581999853E-2</v>
      </c>
      <c r="R589" s="96">
        <v>1.2201796255612643E-3</v>
      </c>
    </row>
    <row r="590" spans="1:18" ht="15.75" hidden="1" customHeight="1" x14ac:dyDescent="0.3">
      <c r="A590" s="89">
        <v>2020</v>
      </c>
      <c r="B590" s="90">
        <v>12</v>
      </c>
      <c r="C590" s="90" t="s">
        <v>733</v>
      </c>
      <c r="D590" s="90" t="s">
        <v>719</v>
      </c>
      <c r="E590" s="98" t="s">
        <v>11</v>
      </c>
      <c r="F590" s="99" t="s">
        <v>51</v>
      </c>
      <c r="G590" s="93">
        <v>8615.8148941620602</v>
      </c>
      <c r="H590" s="93">
        <v>52030.259877517601</v>
      </c>
      <c r="I590" s="93">
        <v>2397.5457928860201</v>
      </c>
      <c r="J590" s="93">
        <v>33138.053074649899</v>
      </c>
      <c r="K590" s="93">
        <v>2074.9343223697902</v>
      </c>
      <c r="L590" s="93">
        <v>9942.8083630927595</v>
      </c>
      <c r="M590" s="93">
        <v>211202.40923546712</v>
      </c>
      <c r="N590" s="95">
        <v>4.2809460303092052E-2</v>
      </c>
      <c r="O590" s="95">
        <v>0.25852311965237268</v>
      </c>
      <c r="P590" s="95">
        <v>0.52370440091706794</v>
      </c>
      <c r="Q590" s="95">
        <v>0.16465327830826754</v>
      </c>
      <c r="R590" s="96">
        <v>1.0309740819199864E-2</v>
      </c>
    </row>
    <row r="591" spans="1:18" ht="15.75" hidden="1" customHeight="1" x14ac:dyDescent="0.3">
      <c r="A591" s="89">
        <v>2020</v>
      </c>
      <c r="B591" s="90">
        <v>12</v>
      </c>
      <c r="C591" s="90" t="s">
        <v>733</v>
      </c>
      <c r="D591" s="90" t="s">
        <v>719</v>
      </c>
      <c r="E591" s="98" t="s">
        <v>11</v>
      </c>
      <c r="F591" s="99" t="s">
        <v>45</v>
      </c>
      <c r="G591" s="93">
        <v>10290.1950204779</v>
      </c>
      <c r="H591" s="93">
        <v>35102.430212313302</v>
      </c>
      <c r="I591" s="93">
        <v>2397.5457928860201</v>
      </c>
      <c r="J591" s="93">
        <v>5925.22509866575</v>
      </c>
      <c r="K591" s="93">
        <v>165.429903515625</v>
      </c>
      <c r="L591" s="93">
        <v>50550.217780160412</v>
      </c>
      <c r="M591" s="93">
        <v>134096.09203645968</v>
      </c>
      <c r="N591" s="95">
        <v>0.12316820084867364</v>
      </c>
      <c r="O591" s="95">
        <v>0.42015755445478048</v>
      </c>
      <c r="P591" s="95">
        <v>0.38377232037773801</v>
      </c>
      <c r="Q591" s="95">
        <v>7.0921815725915327E-2</v>
      </c>
      <c r="R591" s="96">
        <v>1.980108592892626E-3</v>
      </c>
    </row>
    <row r="592" spans="1:18" ht="15.75" hidden="1" customHeight="1" x14ac:dyDescent="0.3">
      <c r="A592" s="89">
        <v>2020</v>
      </c>
      <c r="B592" s="90">
        <v>12</v>
      </c>
      <c r="C592" s="90" t="s">
        <v>733</v>
      </c>
      <c r="D592" s="90" t="s">
        <v>719</v>
      </c>
      <c r="E592" s="98" t="s">
        <v>11</v>
      </c>
      <c r="F592" s="99" t="s">
        <v>721</v>
      </c>
      <c r="G592" s="93">
        <v>23459.611309948599</v>
      </c>
      <c r="H592" s="93">
        <v>165636.10117906201</v>
      </c>
      <c r="I592" s="93">
        <v>2397.5457928860201</v>
      </c>
      <c r="J592" s="93">
        <v>13181.9675617186</v>
      </c>
      <c r="K592" s="93">
        <v>252.80899921874999</v>
      </c>
      <c r="L592" s="93">
        <v>575.71156875919098</v>
      </c>
      <c r="M592" s="93">
        <v>309330.85090303514</v>
      </c>
      <c r="N592" s="95">
        <v>7.5981281997543962E-2</v>
      </c>
      <c r="O592" s="95">
        <v>0.53646427242053096</v>
      </c>
      <c r="P592" s="95">
        <v>0.34404172352682078</v>
      </c>
      <c r="Q592" s="95">
        <v>4.2693921112182842E-2</v>
      </c>
      <c r="R592" s="96">
        <v>8.1880094292145376E-4</v>
      </c>
    </row>
    <row r="593" spans="1:18" ht="15.75" hidden="1" customHeight="1" x14ac:dyDescent="0.3">
      <c r="A593" s="89">
        <v>2020</v>
      </c>
      <c r="B593" s="90">
        <v>12</v>
      </c>
      <c r="C593" s="90" t="s">
        <v>733</v>
      </c>
      <c r="D593" s="90" t="s">
        <v>719</v>
      </c>
      <c r="E593" s="98" t="s">
        <v>11</v>
      </c>
      <c r="F593" s="99" t="s">
        <v>46</v>
      </c>
      <c r="G593" s="93">
        <v>8338.0658345863594</v>
      </c>
      <c r="H593" s="93">
        <v>20545.860381247599</v>
      </c>
      <c r="I593" s="93">
        <v>2397.5457928860201</v>
      </c>
      <c r="J593" s="93">
        <v>37686.6961078354</v>
      </c>
      <c r="K593" s="93">
        <v>3676.4162442953402</v>
      </c>
      <c r="L593" s="93">
        <v>18089.518584445799</v>
      </c>
      <c r="M593" s="93">
        <v>149075.00300839057</v>
      </c>
      <c r="N593" s="95">
        <v>6.3656411023373827E-2</v>
      </c>
      <c r="O593" s="95">
        <v>0.15685600943955982</v>
      </c>
      <c r="P593" s="95">
        <v>0.46370363955287869</v>
      </c>
      <c r="Q593" s="95">
        <v>0.28771658381519172</v>
      </c>
      <c r="R593" s="96">
        <v>2.8067356168996031E-2</v>
      </c>
    </row>
    <row r="594" spans="1:18" ht="15.75" hidden="1" customHeight="1" x14ac:dyDescent="0.3">
      <c r="A594" s="89">
        <v>2020</v>
      </c>
      <c r="B594" s="90">
        <v>12</v>
      </c>
      <c r="C594" s="90" t="s">
        <v>733</v>
      </c>
      <c r="D594" s="90" t="s">
        <v>719</v>
      </c>
      <c r="E594" s="98" t="s">
        <v>11</v>
      </c>
      <c r="F594" s="99" t="s">
        <v>47</v>
      </c>
      <c r="G594" s="93">
        <v>13190.631021563901</v>
      </c>
      <c r="H594" s="93">
        <v>205987.394143693</v>
      </c>
      <c r="I594" s="93">
        <v>2397.5457928860201</v>
      </c>
      <c r="J594" s="93">
        <v>246986.01678072801</v>
      </c>
      <c r="K594" s="93">
        <v>30117.710222635102</v>
      </c>
      <c r="L594" s="93">
        <v>271838.406708433</v>
      </c>
      <c r="M594" s="93">
        <v>1461770.3581410341</v>
      </c>
      <c r="N594" s="95">
        <v>1.1085197775959571E-2</v>
      </c>
      <c r="O594" s="95">
        <v>0.17310854952310298</v>
      </c>
      <c r="P594" s="95">
        <v>0.58293266134157584</v>
      </c>
      <c r="Q594" s="95">
        <v>0.20756314382799188</v>
      </c>
      <c r="R594" s="96">
        <v>2.5310447531369611E-2</v>
      </c>
    </row>
    <row r="595" spans="1:18" ht="15.75" hidden="1" customHeight="1" x14ac:dyDescent="0.3">
      <c r="A595" s="89">
        <v>2020</v>
      </c>
      <c r="B595" s="90">
        <v>12</v>
      </c>
      <c r="C595" s="90" t="s">
        <v>733</v>
      </c>
      <c r="D595" s="90" t="s">
        <v>719</v>
      </c>
      <c r="E595" s="98" t="s">
        <v>11</v>
      </c>
      <c r="F595" s="99" t="s">
        <v>48</v>
      </c>
      <c r="G595" s="93">
        <v>1711.8576748988901</v>
      </c>
      <c r="H595" s="93">
        <v>23099.3984923758</v>
      </c>
      <c r="I595" s="93">
        <v>2397.5457928860201</v>
      </c>
      <c r="J595" s="93">
        <v>11445.9404077421</v>
      </c>
      <c r="K595" s="93">
        <v>56.522318359374999</v>
      </c>
      <c r="L595" s="93">
        <v>8358.5415301133798</v>
      </c>
      <c r="M595" s="93">
        <v>110314.39779994494</v>
      </c>
      <c r="N595" s="95">
        <v>1.679018486557916E-2</v>
      </c>
      <c r="O595" s="95">
        <v>0.22656274330374923</v>
      </c>
      <c r="P595" s="95">
        <v>0.64382900382622466</v>
      </c>
      <c r="Q595" s="95">
        <v>0.11226368770274278</v>
      </c>
      <c r="R595" s="96">
        <v>5.5438030170415812E-4</v>
      </c>
    </row>
    <row r="596" spans="1:18" ht="15.75" hidden="1" customHeight="1" x14ac:dyDescent="0.3">
      <c r="A596" s="89">
        <v>2020</v>
      </c>
      <c r="B596" s="90">
        <v>12</v>
      </c>
      <c r="C596" s="90" t="s">
        <v>733</v>
      </c>
      <c r="D596" s="90" t="s">
        <v>722</v>
      </c>
      <c r="E596" s="98" t="s">
        <v>11</v>
      </c>
      <c r="F596" s="99" t="s">
        <v>12</v>
      </c>
      <c r="G596" s="93">
        <v>47418.145649871498</v>
      </c>
      <c r="H596" s="93">
        <v>135858.41847256201</v>
      </c>
      <c r="I596" s="93">
        <v>2397.5457928860201</v>
      </c>
      <c r="J596" s="93">
        <v>28506.119368540301</v>
      </c>
      <c r="K596" s="93">
        <v>897.52599361672696</v>
      </c>
      <c r="L596" s="93">
        <v>78700.818068390407</v>
      </c>
      <c r="M596" s="93">
        <v>433311.47680228797</v>
      </c>
      <c r="N596" s="95">
        <v>0.13371889558868116</v>
      </c>
      <c r="O596" s="95">
        <v>0.38311995177367519</v>
      </c>
      <c r="P596" s="95">
        <v>0.40024304333111621</v>
      </c>
      <c r="Q596" s="95">
        <v>8.0387091212426029E-2</v>
      </c>
      <c r="R596" s="96">
        <v>2.531018094101444E-3</v>
      </c>
    </row>
    <row r="597" spans="1:18" ht="15.75" hidden="1" customHeight="1" x14ac:dyDescent="0.3">
      <c r="A597" s="89">
        <v>2020</v>
      </c>
      <c r="B597" s="90">
        <v>12</v>
      </c>
      <c r="C597" s="90" t="s">
        <v>733</v>
      </c>
      <c r="D597" s="90" t="s">
        <v>722</v>
      </c>
      <c r="E597" s="98" t="s">
        <v>11</v>
      </c>
      <c r="F597" s="99" t="s">
        <v>26</v>
      </c>
      <c r="G597" s="93">
        <v>459151.40475267603</v>
      </c>
      <c r="H597" s="93">
        <v>352352.194559336</v>
      </c>
      <c r="I597" s="93">
        <v>2397.5457928860201</v>
      </c>
      <c r="J597" s="93">
        <v>25187.220632910699</v>
      </c>
      <c r="K597" s="93">
        <v>720.08279260569805</v>
      </c>
      <c r="L597" s="93">
        <v>289901.43775678053</v>
      </c>
      <c r="M597" s="93">
        <v>1302393.3163907561</v>
      </c>
      <c r="N597" s="95">
        <v>0.45348650635316667</v>
      </c>
      <c r="O597" s="95">
        <v>0.34800495884936805</v>
      </c>
      <c r="P597" s="95">
        <v>0.17292086938283507</v>
      </c>
      <c r="Q597" s="95">
        <v>2.4876466828447612E-2</v>
      </c>
      <c r="R597" s="96">
        <v>7.1119858618245188E-4</v>
      </c>
    </row>
    <row r="598" spans="1:18" ht="15.75" hidden="1" customHeight="1" x14ac:dyDescent="0.3">
      <c r="A598" s="89">
        <v>2020</v>
      </c>
      <c r="B598" s="90">
        <v>12</v>
      </c>
      <c r="C598" s="90" t="s">
        <v>733</v>
      </c>
      <c r="D598" s="90" t="s">
        <v>722</v>
      </c>
      <c r="E598" s="98" t="s">
        <v>11</v>
      </c>
      <c r="F598" s="99" t="s">
        <v>27</v>
      </c>
      <c r="G598" s="93">
        <v>45340.260750231901</v>
      </c>
      <c r="H598" s="93">
        <v>127852.49430198201</v>
      </c>
      <c r="I598" s="93">
        <v>2397.5457928860201</v>
      </c>
      <c r="J598" s="93">
        <v>5184.4207250245399</v>
      </c>
      <c r="K598" s="93">
        <v>747.00924796568597</v>
      </c>
      <c r="L598" s="93">
        <v>22063.362450422439</v>
      </c>
      <c r="M598" s="93">
        <v>226689.616999299</v>
      </c>
      <c r="N598" s="95">
        <v>0.22157596956553799</v>
      </c>
      <c r="O598" s="95">
        <v>0.62480982503368465</v>
      </c>
      <c r="P598" s="95">
        <v>0.12462755368266484</v>
      </c>
      <c r="Q598" s="95">
        <v>2.5336048575263306E-2</v>
      </c>
      <c r="R598" s="96">
        <v>3.6506031428496701E-3</v>
      </c>
    </row>
    <row r="599" spans="1:18" ht="15.75" hidden="1" customHeight="1" x14ac:dyDescent="0.3">
      <c r="A599" s="89">
        <v>2020</v>
      </c>
      <c r="B599" s="90">
        <v>12</v>
      </c>
      <c r="C599" s="90" t="s">
        <v>733</v>
      </c>
      <c r="D599" s="90" t="s">
        <v>722</v>
      </c>
      <c r="E599" s="98" t="s">
        <v>11</v>
      </c>
      <c r="F599" s="99" t="s">
        <v>28</v>
      </c>
      <c r="G599" s="93">
        <v>32281.346729139099</v>
      </c>
      <c r="H599" s="93">
        <v>224805.13012592299</v>
      </c>
      <c r="I599" s="93">
        <v>2397.5457928860201</v>
      </c>
      <c r="J599" s="93">
        <v>5156.7737030636899</v>
      </c>
      <c r="K599" s="93">
        <v>37.539570312499997</v>
      </c>
      <c r="L599" s="93">
        <v>4285.0679626746305</v>
      </c>
      <c r="M599" s="93">
        <v>373104.58101494488</v>
      </c>
      <c r="N599" s="95">
        <v>8.7526135648262435E-2</v>
      </c>
      <c r="O599" s="95">
        <v>0.60952612909627402</v>
      </c>
      <c r="P599" s="95">
        <v>0.28886411687424196</v>
      </c>
      <c r="Q599" s="95">
        <v>1.3981835343762997E-2</v>
      </c>
      <c r="R599" s="96">
        <v>1.0178303745870348E-4</v>
      </c>
    </row>
    <row r="600" spans="1:18" ht="15.75" customHeight="1" x14ac:dyDescent="0.3">
      <c r="A600" s="89">
        <v>2020</v>
      </c>
      <c r="B600" s="90">
        <v>12</v>
      </c>
      <c r="C600" s="90" t="s">
        <v>733</v>
      </c>
      <c r="D600" s="90" t="s">
        <v>722</v>
      </c>
      <c r="E600" s="98" t="s">
        <v>11</v>
      </c>
      <c r="F600" s="99" t="s">
        <v>29</v>
      </c>
      <c r="G600" s="93">
        <v>60577.554895009402</v>
      </c>
      <c r="H600" s="93">
        <v>115827.672348508</v>
      </c>
      <c r="I600" s="93">
        <v>2397.5457928860201</v>
      </c>
      <c r="J600" s="93">
        <v>12031.996582657801</v>
      </c>
      <c r="K600" s="93">
        <v>358.67265331954599</v>
      </c>
      <c r="L600" s="93">
        <v>94087.341802234703</v>
      </c>
      <c r="M600" s="93">
        <v>354392.05486975529</v>
      </c>
      <c r="N600" s="95">
        <v>0.23271785662711442</v>
      </c>
      <c r="O600" s="95">
        <v>0.4449695550401479</v>
      </c>
      <c r="P600" s="95">
        <v>0.27471195486759048</v>
      </c>
      <c r="Q600" s="95">
        <v>4.6222738116681032E-2</v>
      </c>
      <c r="R600" s="96">
        <v>1.3778953484661252E-3</v>
      </c>
    </row>
    <row r="601" spans="1:18" ht="15.75" hidden="1" customHeight="1" x14ac:dyDescent="0.3">
      <c r="A601" s="89">
        <v>2020</v>
      </c>
      <c r="B601" s="90">
        <v>12</v>
      </c>
      <c r="C601" s="90" t="s">
        <v>733</v>
      </c>
      <c r="D601" s="90" t="s">
        <v>722</v>
      </c>
      <c r="E601" s="98" t="s">
        <v>11</v>
      </c>
      <c r="F601" s="99" t="s">
        <v>30</v>
      </c>
      <c r="G601" s="93">
        <v>1000.28768520373</v>
      </c>
      <c r="H601" s="93">
        <v>5456.5978300674096</v>
      </c>
      <c r="I601" s="93">
        <v>2397.5457928860201</v>
      </c>
      <c r="J601" s="93">
        <v>1981.5542496338801</v>
      </c>
      <c r="K601" s="93">
        <v>143.99641547794101</v>
      </c>
      <c r="L601" s="93">
        <v>215858.23627794813</v>
      </c>
      <c r="M601" s="93">
        <v>230086.50016211637</v>
      </c>
      <c r="N601" s="95">
        <v>7.0302862903516242E-2</v>
      </c>
      <c r="O601" s="95">
        <v>0.38350412070575679</v>
      </c>
      <c r="P601" s="95">
        <v>0.3968036964838253</v>
      </c>
      <c r="Q601" s="95">
        <v>0.13926887115431941</v>
      </c>
      <c r="R601" s="96">
        <v>1.0120448752582226E-2</v>
      </c>
    </row>
    <row r="602" spans="1:18" ht="15.75" hidden="1" customHeight="1" x14ac:dyDescent="0.3">
      <c r="A602" s="89">
        <v>2020</v>
      </c>
      <c r="B602" s="90">
        <v>12</v>
      </c>
      <c r="C602" s="90" t="s">
        <v>733</v>
      </c>
      <c r="D602" s="90" t="s">
        <v>722</v>
      </c>
      <c r="E602" s="98" t="s">
        <v>11</v>
      </c>
      <c r="F602" s="99" t="s">
        <v>31</v>
      </c>
      <c r="G602" s="93">
        <v>16829.749425069102</v>
      </c>
      <c r="H602" s="93">
        <v>126762.847595653</v>
      </c>
      <c r="I602" s="93">
        <v>2397.5457928860201</v>
      </c>
      <c r="J602" s="93">
        <v>12688.856617646999</v>
      </c>
      <c r="K602" s="93">
        <v>3482.2762558486402</v>
      </c>
      <c r="L602" s="93">
        <v>45081.513528891293</v>
      </c>
      <c r="M602" s="93">
        <v>251948.68865991483</v>
      </c>
      <c r="N602" s="95">
        <v>8.1355340277690924E-2</v>
      </c>
      <c r="O602" s="95">
        <v>0.61277410258715603</v>
      </c>
      <c r="P602" s="95">
        <v>0.22769898224293858</v>
      </c>
      <c r="Q602" s="95">
        <v>6.1338182868356246E-2</v>
      </c>
      <c r="R602" s="96">
        <v>1.6833392023858158E-2</v>
      </c>
    </row>
    <row r="603" spans="1:18" ht="15.75" hidden="1" customHeight="1" x14ac:dyDescent="0.3">
      <c r="A603" s="89">
        <v>2020</v>
      </c>
      <c r="B603" s="90">
        <v>12</v>
      </c>
      <c r="C603" s="90" t="s">
        <v>733</v>
      </c>
      <c r="D603" s="90" t="s">
        <v>722</v>
      </c>
      <c r="E603" s="98" t="s">
        <v>11</v>
      </c>
      <c r="F603" s="99" t="s">
        <v>32</v>
      </c>
      <c r="G603" s="93">
        <v>176715.12006710001</v>
      </c>
      <c r="H603" s="93">
        <v>283984.64225719398</v>
      </c>
      <c r="I603" s="93">
        <v>2397.5457928860201</v>
      </c>
      <c r="J603" s="93">
        <v>11801.1046022104</v>
      </c>
      <c r="K603" s="93">
        <v>801.09310790747497</v>
      </c>
      <c r="L603" s="93">
        <v>46430.678118771903</v>
      </c>
      <c r="M603" s="93">
        <v>609521.81280334864</v>
      </c>
      <c r="N603" s="95">
        <v>0.31383040716151467</v>
      </c>
      <c r="O603" s="95">
        <v>0.50433158109703125</v>
      </c>
      <c r="P603" s="95">
        <v>0.15945762438696809</v>
      </c>
      <c r="Q603" s="95">
        <v>2.095771692236098E-2</v>
      </c>
      <c r="R603" s="96">
        <v>1.4226704321250205E-3</v>
      </c>
    </row>
    <row r="604" spans="1:18" ht="15.75" hidden="1" customHeight="1" x14ac:dyDescent="0.3">
      <c r="A604" s="89">
        <v>2020</v>
      </c>
      <c r="B604" s="90">
        <v>12</v>
      </c>
      <c r="C604" s="90" t="s">
        <v>733</v>
      </c>
      <c r="D604" s="90" t="s">
        <v>722</v>
      </c>
      <c r="E604" s="98" t="s">
        <v>11</v>
      </c>
      <c r="F604" s="99" t="s">
        <v>33</v>
      </c>
      <c r="G604" s="93">
        <v>439352.31902452902</v>
      </c>
      <c r="H604" s="93">
        <v>472248.53165024199</v>
      </c>
      <c r="I604" s="93">
        <v>2397.5457928860201</v>
      </c>
      <c r="J604" s="93">
        <v>66273.253115155007</v>
      </c>
      <c r="K604" s="93">
        <v>1582.8876314261599</v>
      </c>
      <c r="L604" s="93">
        <v>47142.120061061498</v>
      </c>
      <c r="M604" s="93">
        <v>1352056.7882567158</v>
      </c>
      <c r="N604" s="95">
        <v>0.33669045933251335</v>
      </c>
      <c r="O604" s="95">
        <v>0.36189993350541044</v>
      </c>
      <c r="P604" s="95">
        <v>0.24940916422092363</v>
      </c>
      <c r="Q604" s="95">
        <v>5.0787422910030647E-2</v>
      </c>
      <c r="R604" s="96">
        <v>1.2130200311219336E-3</v>
      </c>
    </row>
    <row r="605" spans="1:18" ht="15.75" hidden="1" customHeight="1" x14ac:dyDescent="0.3">
      <c r="A605" s="89">
        <v>2020</v>
      </c>
      <c r="B605" s="90">
        <v>12</v>
      </c>
      <c r="C605" s="90" t="s">
        <v>733</v>
      </c>
      <c r="D605" s="90" t="s">
        <v>722</v>
      </c>
      <c r="E605" s="98" t="s">
        <v>11</v>
      </c>
      <c r="F605" s="99" t="s">
        <v>34</v>
      </c>
      <c r="G605" s="93">
        <v>174857.82634974</v>
      </c>
      <c r="H605" s="93">
        <v>252155.03620822099</v>
      </c>
      <c r="I605" s="93">
        <v>2397.5457928860201</v>
      </c>
      <c r="J605" s="93">
        <v>32343.953311727699</v>
      </c>
      <c r="K605" s="93">
        <v>1501.28595318014</v>
      </c>
      <c r="L605" s="93">
        <v>77992.443742735704</v>
      </c>
      <c r="M605" s="93">
        <v>713628.83042006462</v>
      </c>
      <c r="N605" s="95">
        <v>0.27509096397671123</v>
      </c>
      <c r="O605" s="95">
        <v>0.3966969819432688</v>
      </c>
      <c r="P605" s="95">
        <v>0.27496582718947382</v>
      </c>
      <c r="Q605" s="95">
        <v>5.0884364063548501E-2</v>
      </c>
      <c r="R605" s="96">
        <v>2.3618628269974178E-3</v>
      </c>
    </row>
    <row r="606" spans="1:18" ht="15.75" hidden="1" customHeight="1" x14ac:dyDescent="0.3">
      <c r="A606" s="89">
        <v>2020</v>
      </c>
      <c r="B606" s="90">
        <v>12</v>
      </c>
      <c r="C606" s="90" t="s">
        <v>733</v>
      </c>
      <c r="D606" s="90" t="s">
        <v>722</v>
      </c>
      <c r="E606" s="98" t="s">
        <v>11</v>
      </c>
      <c r="F606" s="99" t="s">
        <v>35</v>
      </c>
      <c r="G606" s="93">
        <v>34914.443586436799</v>
      </c>
      <c r="H606" s="93">
        <v>135987.172592277</v>
      </c>
      <c r="I606" s="93">
        <v>2397.5457928860201</v>
      </c>
      <c r="J606" s="93">
        <v>46464.730689151802</v>
      </c>
      <c r="K606" s="93">
        <v>8397.9944094270395</v>
      </c>
      <c r="L606" s="93">
        <v>240572.81284404368</v>
      </c>
      <c r="M606" s="93">
        <v>605861.19629491528</v>
      </c>
      <c r="N606" s="95">
        <v>9.5580492477206055E-2</v>
      </c>
      <c r="O606" s="95">
        <v>0.37227346598763711</v>
      </c>
      <c r="P606" s="95">
        <v>0.38195586964879175</v>
      </c>
      <c r="Q606" s="95">
        <v>0.12720013226317375</v>
      </c>
      <c r="R606" s="96">
        <v>2.2990039623191311E-2</v>
      </c>
    </row>
    <row r="607" spans="1:18" ht="15.75" hidden="1" customHeight="1" x14ac:dyDescent="0.3">
      <c r="A607" s="89">
        <v>2020</v>
      </c>
      <c r="B607" s="90">
        <v>12</v>
      </c>
      <c r="C607" s="90" t="s">
        <v>733</v>
      </c>
      <c r="D607" s="90" t="s">
        <v>722</v>
      </c>
      <c r="E607" s="98" t="s">
        <v>11</v>
      </c>
      <c r="F607" s="99" t="s">
        <v>36</v>
      </c>
      <c r="G607" s="93">
        <v>73086.584743187894</v>
      </c>
      <c r="H607" s="93">
        <v>98686.186171862806</v>
      </c>
      <c r="I607" s="93">
        <v>2397.5457928860201</v>
      </c>
      <c r="J607" s="93">
        <v>5616.3493299096499</v>
      </c>
      <c r="K607" s="93">
        <v>18.918956640625002</v>
      </c>
      <c r="L607" s="93">
        <v>47805.260982490901</v>
      </c>
      <c r="M607" s="93">
        <v>258886.87145458377</v>
      </c>
      <c r="N607" s="95">
        <v>0.34624799659111316</v>
      </c>
      <c r="O607" s="95">
        <v>0.46752621391862142</v>
      </c>
      <c r="P607" s="95">
        <v>0.15952868274587986</v>
      </c>
      <c r="Q607" s="95">
        <v>2.6607478109288863E-2</v>
      </c>
      <c r="R607" s="96">
        <v>8.9628635096690627E-5</v>
      </c>
    </row>
    <row r="608" spans="1:18" ht="15.75" hidden="1" customHeight="1" x14ac:dyDescent="0.3">
      <c r="A608" s="89">
        <v>2020</v>
      </c>
      <c r="B608" s="90">
        <v>12</v>
      </c>
      <c r="C608" s="90" t="s">
        <v>733</v>
      </c>
      <c r="D608" s="90" t="s">
        <v>722</v>
      </c>
      <c r="E608" s="98" t="s">
        <v>11</v>
      </c>
      <c r="F608" s="99" t="s">
        <v>37</v>
      </c>
      <c r="G608" s="93">
        <v>154135.54138420901</v>
      </c>
      <c r="H608" s="93">
        <v>136149.83296948901</v>
      </c>
      <c r="I608" s="93">
        <v>2397.5457928860201</v>
      </c>
      <c r="J608" s="93">
        <v>8210.6687042615795</v>
      </c>
      <c r="K608" s="93">
        <v>71.544358984374995</v>
      </c>
      <c r="L608" s="93">
        <v>179776.22670591529</v>
      </c>
      <c r="M608" s="93">
        <v>524073.85777631326</v>
      </c>
      <c r="N608" s="95">
        <v>0.4476810976160715</v>
      </c>
      <c r="O608" s="95">
        <v>0.39544225891478957</v>
      </c>
      <c r="P608" s="95">
        <v>0.13282125558425248</v>
      </c>
      <c r="Q608" s="95">
        <v>2.384758988534184E-2</v>
      </c>
      <c r="R608" s="96">
        <v>2.0779799954460457E-4</v>
      </c>
    </row>
    <row r="609" spans="1:18" ht="15.75" hidden="1" customHeight="1" x14ac:dyDescent="0.3">
      <c r="A609" s="89">
        <v>2020</v>
      </c>
      <c r="B609" s="90">
        <v>12</v>
      </c>
      <c r="C609" s="90" t="s">
        <v>733</v>
      </c>
      <c r="D609" s="90" t="s">
        <v>722</v>
      </c>
      <c r="E609" s="98" t="s">
        <v>11</v>
      </c>
      <c r="F609" s="99" t="s">
        <v>720</v>
      </c>
      <c r="G609" s="93">
        <v>57500.274117011897</v>
      </c>
      <c r="H609" s="93">
        <v>151083.38115644699</v>
      </c>
      <c r="I609" s="93">
        <v>2397.5457928860201</v>
      </c>
      <c r="J609" s="93">
        <v>170016.46493643199</v>
      </c>
      <c r="K609" s="93">
        <v>5051.1897592708401</v>
      </c>
      <c r="L609" s="93">
        <v>194245.28805002139</v>
      </c>
      <c r="M609" s="93">
        <v>927958.42268837616</v>
      </c>
      <c r="N609" s="95">
        <v>7.8368876611911317E-2</v>
      </c>
      <c r="O609" s="95">
        <v>0.20591614627549987</v>
      </c>
      <c r="P609" s="95">
        <v>0.47710993321897877</v>
      </c>
      <c r="Q609" s="95">
        <v>0.23172062337446453</v>
      </c>
      <c r="R609" s="96">
        <v>6.8844205191454805E-3</v>
      </c>
    </row>
    <row r="610" spans="1:18" ht="15.75" hidden="1" customHeight="1" x14ac:dyDescent="0.3">
      <c r="A610" s="89">
        <v>2020</v>
      </c>
      <c r="B610" s="90">
        <v>12</v>
      </c>
      <c r="C610" s="90" t="s">
        <v>733</v>
      </c>
      <c r="D610" s="90" t="s">
        <v>722</v>
      </c>
      <c r="E610" s="98" t="s">
        <v>11</v>
      </c>
      <c r="F610" s="99" t="s">
        <v>39</v>
      </c>
      <c r="G610" s="93">
        <v>74099.896148949105</v>
      </c>
      <c r="H610" s="93">
        <v>186184.737701637</v>
      </c>
      <c r="I610" s="93">
        <v>2397.5457928860201</v>
      </c>
      <c r="J610" s="93">
        <v>4092.4349316176399</v>
      </c>
      <c r="K610" s="93">
        <v>358.509422302389</v>
      </c>
      <c r="L610" s="93">
        <v>30351.222606432591</v>
      </c>
      <c r="M610" s="93">
        <v>331195.16650097218</v>
      </c>
      <c r="N610" s="95">
        <v>0.24630675688430914</v>
      </c>
      <c r="O610" s="95">
        <v>0.61887480695607344</v>
      </c>
      <c r="P610" s="95">
        <v>0.12002357508878833</v>
      </c>
      <c r="Q610" s="95">
        <v>1.3603182030655192E-2</v>
      </c>
      <c r="R610" s="96">
        <v>1.1916790401739446E-3</v>
      </c>
    </row>
    <row r="611" spans="1:18" ht="15.75" hidden="1" customHeight="1" x14ac:dyDescent="0.3">
      <c r="A611" s="89">
        <v>2020</v>
      </c>
      <c r="B611" s="90">
        <v>12</v>
      </c>
      <c r="C611" s="90" t="s">
        <v>733</v>
      </c>
      <c r="D611" s="90" t="s">
        <v>722</v>
      </c>
      <c r="E611" s="98" t="s">
        <v>11</v>
      </c>
      <c r="F611" s="99" t="s">
        <v>40</v>
      </c>
      <c r="G611" s="93">
        <v>41448.822263044502</v>
      </c>
      <c r="H611" s="93">
        <v>165312.23803820601</v>
      </c>
      <c r="I611" s="93">
        <v>2397.5457928860201</v>
      </c>
      <c r="J611" s="93">
        <v>6559.4414811917904</v>
      </c>
      <c r="K611" s="93">
        <v>78.854155468749994</v>
      </c>
      <c r="L611" s="93">
        <v>9168.0168115165397</v>
      </c>
      <c r="M611" s="93">
        <v>326305.02470134961</v>
      </c>
      <c r="N611" s="95">
        <v>0.13069689513323207</v>
      </c>
      <c r="O611" s="95">
        <v>0.52126441861251371</v>
      </c>
      <c r="P611" s="95">
        <v>0.32710673737565926</v>
      </c>
      <c r="Q611" s="95">
        <v>2.0683305063754674E-2</v>
      </c>
      <c r="R611" s="96">
        <v>2.4864381484024822E-4</v>
      </c>
    </row>
    <row r="612" spans="1:18" ht="15.75" hidden="1" customHeight="1" x14ac:dyDescent="0.3">
      <c r="A612" s="89">
        <v>2020</v>
      </c>
      <c r="B612" s="90">
        <v>12</v>
      </c>
      <c r="C612" s="90" t="s">
        <v>733</v>
      </c>
      <c r="D612" s="90" t="s">
        <v>722</v>
      </c>
      <c r="E612" s="98" t="s">
        <v>11</v>
      </c>
      <c r="F612" s="99" t="s">
        <v>41</v>
      </c>
      <c r="G612" s="93">
        <v>2517.8422452129298</v>
      </c>
      <c r="H612" s="93">
        <v>7140.15581548109</v>
      </c>
      <c r="I612" s="93">
        <v>2397.5457928860201</v>
      </c>
      <c r="J612" s="93">
        <v>722.83639688572305</v>
      </c>
      <c r="K612" s="93">
        <v>42.4448123820465</v>
      </c>
      <c r="L612" s="93">
        <v>4483.8521001975996</v>
      </c>
      <c r="M612" s="93">
        <v>18714.332738962989</v>
      </c>
      <c r="N612" s="95">
        <v>0.17693304317171493</v>
      </c>
      <c r="O612" s="95">
        <v>0.50175085415109055</v>
      </c>
      <c r="P612" s="95">
        <v>0.2675384946895164</v>
      </c>
      <c r="Q612" s="95">
        <v>5.0794939063171028E-2</v>
      </c>
      <c r="R612" s="96">
        <v>2.9826689245071726E-3</v>
      </c>
    </row>
    <row r="613" spans="1:18" ht="15.75" hidden="1" customHeight="1" x14ac:dyDescent="0.3">
      <c r="A613" s="89">
        <v>2020</v>
      </c>
      <c r="B613" s="90">
        <v>12</v>
      </c>
      <c r="C613" s="90" t="s">
        <v>733</v>
      </c>
      <c r="D613" s="90" t="s">
        <v>722</v>
      </c>
      <c r="E613" s="98" t="s">
        <v>11</v>
      </c>
      <c r="F613" s="99" t="s">
        <v>42</v>
      </c>
      <c r="G613" s="93">
        <v>93417.752557779299</v>
      </c>
      <c r="H613" s="93">
        <v>264777.57452812302</v>
      </c>
      <c r="I613" s="93">
        <v>2397.5457928860201</v>
      </c>
      <c r="J613" s="93">
        <v>57530.539079529903</v>
      </c>
      <c r="K613" s="93">
        <v>15514.994254202</v>
      </c>
      <c r="L613" s="93">
        <v>53834.720779263502</v>
      </c>
      <c r="M613" s="93">
        <v>620824.33975000377</v>
      </c>
      <c r="N613" s="95">
        <v>0.16476095757689729</v>
      </c>
      <c r="O613" s="95">
        <v>0.46698839920345525</v>
      </c>
      <c r="P613" s="95">
        <v>0.2394201833845416</v>
      </c>
      <c r="Q613" s="95">
        <v>0.10146665327658987</v>
      </c>
      <c r="R613" s="96">
        <v>2.7363806558515946E-2</v>
      </c>
    </row>
    <row r="614" spans="1:18" ht="15.75" hidden="1" customHeight="1" x14ac:dyDescent="0.3">
      <c r="A614" s="89">
        <v>2020</v>
      </c>
      <c r="B614" s="90">
        <v>12</v>
      </c>
      <c r="C614" s="90" t="s">
        <v>733</v>
      </c>
      <c r="D614" s="90" t="s">
        <v>722</v>
      </c>
      <c r="E614" s="98" t="s">
        <v>11</v>
      </c>
      <c r="F614" s="99" t="s">
        <v>43</v>
      </c>
      <c r="G614" s="93">
        <v>11812.8261292601</v>
      </c>
      <c r="H614" s="93">
        <v>30626.744595963301</v>
      </c>
      <c r="I614" s="93">
        <v>2397.5457928860201</v>
      </c>
      <c r="J614" s="93">
        <v>9682.5349547962596</v>
      </c>
      <c r="K614" s="93">
        <v>761.91236626991395</v>
      </c>
      <c r="L614" s="93">
        <v>115739.42228866558</v>
      </c>
      <c r="M614" s="93">
        <v>185575.48510012374</v>
      </c>
      <c r="N614" s="95">
        <v>0.16915080337721936</v>
      </c>
      <c r="O614" s="95">
        <v>0.43855199395545391</v>
      </c>
      <c r="P614" s="95">
        <v>0.24274055670829198</v>
      </c>
      <c r="Q614" s="95">
        <v>0.13864663277105055</v>
      </c>
      <c r="R614" s="96">
        <v>1.0910013187984378E-2</v>
      </c>
    </row>
    <row r="615" spans="1:18" ht="15.75" hidden="1" customHeight="1" x14ac:dyDescent="0.3">
      <c r="A615" s="89">
        <v>2020</v>
      </c>
      <c r="B615" s="90">
        <v>12</v>
      </c>
      <c r="C615" s="90" t="s">
        <v>733</v>
      </c>
      <c r="D615" s="90" t="s">
        <v>722</v>
      </c>
      <c r="E615" s="98" t="s">
        <v>11</v>
      </c>
      <c r="F615" s="99" t="s">
        <v>58</v>
      </c>
      <c r="G615" s="93">
        <v>79297.120109704105</v>
      </c>
      <c r="H615" s="93">
        <v>193712.56827857799</v>
      </c>
      <c r="I615" s="93">
        <v>2397.5457928860201</v>
      </c>
      <c r="J615" s="93">
        <v>3088.2462899984598</v>
      </c>
      <c r="K615" s="93">
        <v>27.910846484375</v>
      </c>
      <c r="L615" s="93">
        <v>12083.983585049149</v>
      </c>
      <c r="M615" s="93">
        <v>371477.12559244485</v>
      </c>
      <c r="N615" s="95">
        <v>0.22064171749852787</v>
      </c>
      <c r="O615" s="95">
        <v>0.5389990671402175</v>
      </c>
      <c r="P615" s="95">
        <v>0.23168860712683634</v>
      </c>
      <c r="Q615" s="95">
        <v>8.5929471907811444E-3</v>
      </c>
      <c r="R615" s="96">
        <v>7.7661043637278538E-5</v>
      </c>
    </row>
    <row r="616" spans="1:18" ht="15.75" hidden="1" customHeight="1" x14ac:dyDescent="0.3">
      <c r="A616" s="89">
        <v>2020</v>
      </c>
      <c r="B616" s="90">
        <v>12</v>
      </c>
      <c r="C616" s="90" t="s">
        <v>733</v>
      </c>
      <c r="D616" s="90" t="s">
        <v>722</v>
      </c>
      <c r="E616" s="98" t="s">
        <v>11</v>
      </c>
      <c r="F616" s="99" t="s">
        <v>44</v>
      </c>
      <c r="G616" s="93">
        <v>6450.0992982842899</v>
      </c>
      <c r="H616" s="93">
        <v>42637.135082091903</v>
      </c>
      <c r="I616" s="93">
        <v>2397.5457928860201</v>
      </c>
      <c r="J616" s="93">
        <v>22833.366891691501</v>
      </c>
      <c r="K616" s="93">
        <v>210.42425426317399</v>
      </c>
      <c r="L616" s="93">
        <v>44158.393862797158</v>
      </c>
      <c r="M616" s="93">
        <v>215729.2885510785</v>
      </c>
      <c r="N616" s="95">
        <v>3.7594367681086913E-2</v>
      </c>
      <c r="O616" s="95">
        <v>0.24851030333295865</v>
      </c>
      <c r="P616" s="95">
        <v>0.57958472118839188</v>
      </c>
      <c r="Q616" s="95">
        <v>0.13308415120860861</v>
      </c>
      <c r="R616" s="96">
        <v>1.2264565889539912E-3</v>
      </c>
    </row>
    <row r="617" spans="1:18" ht="15.75" hidden="1" customHeight="1" x14ac:dyDescent="0.3">
      <c r="A617" s="89">
        <v>2020</v>
      </c>
      <c r="B617" s="90">
        <v>12</v>
      </c>
      <c r="C617" s="90" t="s">
        <v>733</v>
      </c>
      <c r="D617" s="90" t="s">
        <v>722</v>
      </c>
      <c r="E617" s="98" t="s">
        <v>11</v>
      </c>
      <c r="F617" s="99" t="s">
        <v>51</v>
      </c>
      <c r="G617" s="93">
        <v>7571.6563674050603</v>
      </c>
      <c r="H617" s="93">
        <v>40519.985142427402</v>
      </c>
      <c r="I617" s="93">
        <v>2397.5457928860201</v>
      </c>
      <c r="J617" s="93">
        <v>48730.299482525203</v>
      </c>
      <c r="K617" s="93">
        <v>9194.91082068168</v>
      </c>
      <c r="L617" s="93">
        <v>5078.0498671323503</v>
      </c>
      <c r="M617" s="93">
        <v>211202.40923547273</v>
      </c>
      <c r="N617" s="95">
        <v>3.6733437962442141E-2</v>
      </c>
      <c r="O617" s="95">
        <v>0.19658028418668821</v>
      </c>
      <c r="P617" s="95">
        <v>0.48566558490261091</v>
      </c>
      <c r="Q617" s="95">
        <v>0.23641213310186726</v>
      </c>
      <c r="R617" s="96">
        <v>4.4608559846391303E-2</v>
      </c>
    </row>
    <row r="618" spans="1:18" ht="15.75" hidden="1" customHeight="1" x14ac:dyDescent="0.3">
      <c r="A618" s="89">
        <v>2020</v>
      </c>
      <c r="B618" s="90">
        <v>12</v>
      </c>
      <c r="C618" s="90" t="s">
        <v>733</v>
      </c>
      <c r="D618" s="90" t="s">
        <v>722</v>
      </c>
      <c r="E618" s="98" t="s">
        <v>11</v>
      </c>
      <c r="F618" s="99" t="s">
        <v>45</v>
      </c>
      <c r="G618" s="93">
        <v>12655.350592217999</v>
      </c>
      <c r="H618" s="93">
        <v>29116.2359755912</v>
      </c>
      <c r="I618" s="93">
        <v>2397.5457928860201</v>
      </c>
      <c r="J618" s="93">
        <v>7434.6167549892898</v>
      </c>
      <c r="K618" s="93">
        <v>182.47135227175201</v>
      </c>
      <c r="L618" s="93">
        <v>54306.623607504138</v>
      </c>
      <c r="M618" s="93">
        <v>134096.09203645898</v>
      </c>
      <c r="N618" s="95">
        <v>0.15860928567892918</v>
      </c>
      <c r="O618" s="95">
        <v>0.36491327174984906</v>
      </c>
      <c r="P618" s="95">
        <v>0.38101261172022599</v>
      </c>
      <c r="Q618" s="95">
        <v>9.3177920612532092E-2</v>
      </c>
      <c r="R618" s="96">
        <v>2.2869102384636877E-3</v>
      </c>
    </row>
    <row r="619" spans="1:18" ht="15.75" hidden="1" customHeight="1" x14ac:dyDescent="0.3">
      <c r="A619" s="89">
        <v>2020</v>
      </c>
      <c r="B619" s="90">
        <v>12</v>
      </c>
      <c r="C619" s="90" t="s">
        <v>733</v>
      </c>
      <c r="D619" s="90" t="s">
        <v>722</v>
      </c>
      <c r="E619" s="98" t="s">
        <v>11</v>
      </c>
      <c r="F619" s="99" t="s">
        <v>721</v>
      </c>
      <c r="G619" s="93">
        <v>32338.932012962599</v>
      </c>
      <c r="H619" s="93">
        <v>165184.563927357</v>
      </c>
      <c r="I619" s="93">
        <v>2397.5457928860201</v>
      </c>
      <c r="J619" s="93">
        <v>8117.17658211241</v>
      </c>
      <c r="K619" s="93">
        <v>159.21310585937499</v>
      </c>
      <c r="L619" s="93">
        <v>1967.184021925548</v>
      </c>
      <c r="M619" s="93">
        <v>309330.85090303491</v>
      </c>
      <c r="N619" s="95">
        <v>0.10521390618843557</v>
      </c>
      <c r="O619" s="95">
        <v>0.53742384584203851</v>
      </c>
      <c r="P619" s="95">
        <v>0.33043522119386887</v>
      </c>
      <c r="Q619" s="95">
        <v>2.6409030919234175E-2</v>
      </c>
      <c r="R619" s="96">
        <v>5.1799585642293836E-4</v>
      </c>
    </row>
    <row r="620" spans="1:18" ht="15.75" hidden="1" customHeight="1" x14ac:dyDescent="0.3">
      <c r="A620" s="89">
        <v>2020</v>
      </c>
      <c r="B620" s="90">
        <v>12</v>
      </c>
      <c r="C620" s="90" t="s">
        <v>733</v>
      </c>
      <c r="D620" s="90" t="s">
        <v>722</v>
      </c>
      <c r="E620" s="98" t="s">
        <v>11</v>
      </c>
      <c r="F620" s="99" t="s">
        <v>46</v>
      </c>
      <c r="G620" s="93">
        <v>7490.1737131877999</v>
      </c>
      <c r="H620" s="93">
        <v>22545.911112805501</v>
      </c>
      <c r="I620" s="93">
        <v>2397.5457928860201</v>
      </c>
      <c r="J620" s="93">
        <v>29863.654216888899</v>
      </c>
      <c r="K620" s="93">
        <v>5013.9689329059402</v>
      </c>
      <c r="L620" s="93">
        <v>12370.5883735754</v>
      </c>
      <c r="M620" s="93">
        <v>149075.00300839072</v>
      </c>
      <c r="N620" s="95">
        <v>5.4791015587877238E-2</v>
      </c>
      <c r="O620" s="95">
        <v>0.16492452839239619</v>
      </c>
      <c r="P620" s="95">
        <v>0.525152803958855</v>
      </c>
      <c r="Q620" s="95">
        <v>0.21845420498427229</v>
      </c>
      <c r="R620" s="96">
        <v>3.6677447076599402E-2</v>
      </c>
    </row>
    <row r="621" spans="1:18" ht="15.75" hidden="1" customHeight="1" x14ac:dyDescent="0.3">
      <c r="A621" s="89">
        <v>2020</v>
      </c>
      <c r="B621" s="90">
        <v>12</v>
      </c>
      <c r="C621" s="90" t="s">
        <v>733</v>
      </c>
      <c r="D621" s="90" t="s">
        <v>722</v>
      </c>
      <c r="E621" s="98" t="s">
        <v>11</v>
      </c>
      <c r="F621" s="99" t="s">
        <v>47</v>
      </c>
      <c r="G621" s="93">
        <v>17205.135504882201</v>
      </c>
      <c r="H621" s="93">
        <v>158364.06915429499</v>
      </c>
      <c r="I621" s="93">
        <v>2397.5457928860201</v>
      </c>
      <c r="J621" s="93">
        <v>336630.975977764</v>
      </c>
      <c r="K621" s="93">
        <v>37606.885721190498</v>
      </c>
      <c r="L621" s="93">
        <v>245793.26544419001</v>
      </c>
      <c r="M621" s="93">
        <v>1461770.3581409808</v>
      </c>
      <c r="N621" s="95">
        <v>1.4149226665713494E-2</v>
      </c>
      <c r="O621" s="95">
        <v>0.13023606292045814</v>
      </c>
      <c r="P621" s="95">
        <v>0.54784751319716796</v>
      </c>
      <c r="Q621" s="95">
        <v>0.27683989936947306</v>
      </c>
      <c r="R621" s="96">
        <v>3.0927297847187275E-2</v>
      </c>
    </row>
    <row r="622" spans="1:18" ht="15.75" hidden="1" customHeight="1" x14ac:dyDescent="0.3">
      <c r="A622" s="89">
        <v>2020</v>
      </c>
      <c r="B622" s="90">
        <v>12</v>
      </c>
      <c r="C622" s="90" t="s">
        <v>733</v>
      </c>
      <c r="D622" s="90" t="s">
        <v>722</v>
      </c>
      <c r="E622" s="98" t="s">
        <v>11</v>
      </c>
      <c r="F622" s="99" t="s">
        <v>48</v>
      </c>
      <c r="G622" s="93">
        <v>9592.3289733623806</v>
      </c>
      <c r="H622" s="93">
        <v>58840.562236405902</v>
      </c>
      <c r="I622" s="93">
        <v>2397.5457928860201</v>
      </c>
      <c r="J622" s="93">
        <v>1439.6001173498701</v>
      </c>
      <c r="K622" s="93"/>
      <c r="L622" s="93">
        <v>9077.5466363633786</v>
      </c>
      <c r="M622" s="93">
        <v>110314.39779994432</v>
      </c>
      <c r="N622" s="95">
        <v>9.4751356478510615E-2</v>
      </c>
      <c r="O622" s="95">
        <v>0.58121683517526546</v>
      </c>
      <c r="P622" s="95">
        <v>0.30981168888573501</v>
      </c>
      <c r="Q622" s="95">
        <v>1.4220119460489043E-2</v>
      </c>
      <c r="R622" s="96">
        <v>0</v>
      </c>
    </row>
    <row r="623" spans="1:18" ht="15.75" hidden="1" customHeight="1" x14ac:dyDescent="0.3">
      <c r="A623" s="89">
        <v>2021</v>
      </c>
      <c r="B623" s="90">
        <v>1</v>
      </c>
      <c r="C623" s="90" t="s">
        <v>718</v>
      </c>
      <c r="D623" s="90" t="s">
        <v>719</v>
      </c>
      <c r="E623" s="98" t="s">
        <v>11</v>
      </c>
      <c r="F623" s="99" t="s">
        <v>12</v>
      </c>
      <c r="G623" s="93">
        <v>24302.23</v>
      </c>
      <c r="H623" s="93">
        <v>82746.47</v>
      </c>
      <c r="I623" s="93">
        <v>2397.5457928860201</v>
      </c>
      <c r="J623" s="93">
        <v>83950.62</v>
      </c>
      <c r="K623" s="93">
        <v>2975.23</v>
      </c>
      <c r="L623" s="93">
        <v>84223.66</v>
      </c>
      <c r="M623" s="93">
        <v>433311.49</v>
      </c>
      <c r="N623" s="95">
        <v>6.9616377059034118E-2</v>
      </c>
      <c r="O623" s="95">
        <v>0.23703624958796191</v>
      </c>
      <c r="P623" s="95">
        <v>0.44433883587405504</v>
      </c>
      <c r="Q623" s="95">
        <v>0.24048566803374385</v>
      </c>
      <c r="R623" s="96">
        <v>8.5228694452052379E-3</v>
      </c>
    </row>
    <row r="624" spans="1:18" ht="15.75" hidden="1" customHeight="1" x14ac:dyDescent="0.3">
      <c r="A624" s="89">
        <v>2021</v>
      </c>
      <c r="B624" s="90">
        <v>1</v>
      </c>
      <c r="C624" s="90" t="s">
        <v>718</v>
      </c>
      <c r="D624" s="90" t="s">
        <v>719</v>
      </c>
      <c r="E624" s="98" t="s">
        <v>11</v>
      </c>
      <c r="F624" s="99" t="s">
        <v>26</v>
      </c>
      <c r="G624" s="93">
        <v>343613.51</v>
      </c>
      <c r="H624" s="93">
        <v>310848.23</v>
      </c>
      <c r="I624" s="93">
        <v>2397.5457928860201</v>
      </c>
      <c r="J624" s="93">
        <v>82527.259999999995</v>
      </c>
      <c r="K624" s="93">
        <v>5584.84</v>
      </c>
      <c r="L624" s="93">
        <v>322504.65999999997</v>
      </c>
      <c r="M624" s="93">
        <v>1302393.32</v>
      </c>
      <c r="N624" s="95">
        <v>0.35066587054900705</v>
      </c>
      <c r="O624" s="95">
        <v>0.3172281124265689</v>
      </c>
      <c r="P624" s="95">
        <v>0.24218549482958604</v>
      </c>
      <c r="Q624" s="95">
        <v>8.4221058339423976E-2</v>
      </c>
      <c r="R624" s="96">
        <v>5.6994638554139403E-3</v>
      </c>
    </row>
    <row r="625" spans="1:18" ht="15.75" hidden="1" customHeight="1" x14ac:dyDescent="0.3">
      <c r="A625" s="89">
        <v>2021</v>
      </c>
      <c r="B625" s="90">
        <v>1</v>
      </c>
      <c r="C625" s="90" t="s">
        <v>718</v>
      </c>
      <c r="D625" s="90" t="s">
        <v>719</v>
      </c>
      <c r="E625" s="98" t="s">
        <v>11</v>
      </c>
      <c r="F625" s="99" t="s">
        <v>27</v>
      </c>
      <c r="G625" s="93">
        <v>7065.53</v>
      </c>
      <c r="H625" s="93">
        <v>33622.39</v>
      </c>
      <c r="I625" s="93">
        <v>2397.5457928860201</v>
      </c>
      <c r="J625" s="93">
        <v>95735.39</v>
      </c>
      <c r="K625" s="93">
        <v>21709.89</v>
      </c>
      <c r="L625" s="93">
        <v>10342.74</v>
      </c>
      <c r="M625" s="93">
        <v>226689.59999999998</v>
      </c>
      <c r="N625" s="95">
        <v>3.2658343180945633E-2</v>
      </c>
      <c r="O625" s="95">
        <v>0.15540965096512149</v>
      </c>
      <c r="P625" s="95">
        <v>0.26907559462614805</v>
      </c>
      <c r="Q625" s="95">
        <v>0.44250880276237892</v>
      </c>
      <c r="R625" s="96">
        <v>0.10034760846540597</v>
      </c>
    </row>
    <row r="626" spans="1:18" ht="15.75" hidden="1" customHeight="1" x14ac:dyDescent="0.3">
      <c r="A626" s="89">
        <v>2021</v>
      </c>
      <c r="B626" s="90">
        <v>1</v>
      </c>
      <c r="C626" s="90" t="s">
        <v>718</v>
      </c>
      <c r="D626" s="90" t="s">
        <v>719</v>
      </c>
      <c r="E626" s="98" t="s">
        <v>11</v>
      </c>
      <c r="F626" s="99" t="s">
        <v>28</v>
      </c>
      <c r="G626" s="93">
        <v>6691.29</v>
      </c>
      <c r="H626" s="93">
        <v>33245.94</v>
      </c>
      <c r="I626" s="93">
        <v>2397.5457928860201</v>
      </c>
      <c r="J626" s="93">
        <v>159937.21</v>
      </c>
      <c r="K626" s="93">
        <v>15663.81</v>
      </c>
      <c r="L626" s="93">
        <v>6105.17</v>
      </c>
      <c r="M626" s="93">
        <v>373104.56999999995</v>
      </c>
      <c r="N626" s="95">
        <v>1.8232427627947079E-2</v>
      </c>
      <c r="O626" s="95">
        <v>9.0588540471728304E-2</v>
      </c>
      <c r="P626" s="95">
        <v>0.41270135591502333</v>
      </c>
      <c r="Q626" s="95">
        <v>0.43579692500859674</v>
      </c>
      <c r="R626" s="96">
        <v>4.2680750976704596E-2</v>
      </c>
    </row>
    <row r="627" spans="1:18" ht="15.75" customHeight="1" x14ac:dyDescent="0.3">
      <c r="A627" s="89">
        <v>2021</v>
      </c>
      <c r="B627" s="90">
        <v>1</v>
      </c>
      <c r="C627" s="90" t="s">
        <v>718</v>
      </c>
      <c r="D627" s="90" t="s">
        <v>719</v>
      </c>
      <c r="E627" s="98" t="s">
        <v>11</v>
      </c>
      <c r="F627" s="99" t="s">
        <v>29</v>
      </c>
      <c r="G627" s="93">
        <v>43482.34</v>
      </c>
      <c r="H627" s="93">
        <v>63002.33</v>
      </c>
      <c r="I627" s="93">
        <v>2397.5457928860201</v>
      </c>
      <c r="J627" s="93">
        <v>52714.7</v>
      </c>
      <c r="K627" s="93">
        <v>6895.89</v>
      </c>
      <c r="L627" s="93">
        <v>90313.84</v>
      </c>
      <c r="M627" s="93">
        <v>354392.05000000005</v>
      </c>
      <c r="N627" s="95">
        <v>0.16465705368118025</v>
      </c>
      <c r="O627" s="95">
        <v>0.23857451169484978</v>
      </c>
      <c r="P627" s="95">
        <v>0.37103761798445994</v>
      </c>
      <c r="Q627" s="95">
        <v>0.19961775717882968</v>
      </c>
      <c r="R627" s="96">
        <v>2.6113059460680228E-2</v>
      </c>
    </row>
    <row r="628" spans="1:18" ht="15.75" hidden="1" customHeight="1" x14ac:dyDescent="0.3">
      <c r="A628" s="89">
        <v>2021</v>
      </c>
      <c r="B628" s="90">
        <v>1</v>
      </c>
      <c r="C628" s="90" t="s">
        <v>718</v>
      </c>
      <c r="D628" s="90" t="s">
        <v>719</v>
      </c>
      <c r="E628" s="98" t="s">
        <v>11</v>
      </c>
      <c r="F628" s="99" t="s">
        <v>30</v>
      </c>
      <c r="G628" s="93">
        <v>2282.0100000000002</v>
      </c>
      <c r="H628" s="93">
        <v>7175.82</v>
      </c>
      <c r="I628" s="93">
        <v>2397.5457928860201</v>
      </c>
      <c r="J628" s="93">
        <v>981.96</v>
      </c>
      <c r="K628" s="93">
        <v>54.1</v>
      </c>
      <c r="L628" s="93">
        <v>215952.66999999998</v>
      </c>
      <c r="M628" s="93">
        <v>230086.49999999997</v>
      </c>
      <c r="N628" s="95">
        <v>0.16145729784495783</v>
      </c>
      <c r="O628" s="95">
        <v>0.50770527167795276</v>
      </c>
      <c r="P628" s="95">
        <v>0.25753387439922515</v>
      </c>
      <c r="Q628" s="95">
        <v>6.9475860400188771E-2</v>
      </c>
      <c r="R628" s="96">
        <v>3.8276956776754781E-3</v>
      </c>
    </row>
    <row r="629" spans="1:18" ht="15.75" hidden="1" customHeight="1" x14ac:dyDescent="0.3">
      <c r="A629" s="89">
        <v>2021</v>
      </c>
      <c r="B629" s="90">
        <v>1</v>
      </c>
      <c r="C629" s="90" t="s">
        <v>718</v>
      </c>
      <c r="D629" s="90" t="s">
        <v>719</v>
      </c>
      <c r="E629" s="98" t="s">
        <v>11</v>
      </c>
      <c r="F629" s="99" t="s">
        <v>31</v>
      </c>
      <c r="G629" s="93">
        <v>6825.71</v>
      </c>
      <c r="H629" s="93">
        <v>69272.05</v>
      </c>
      <c r="I629" s="93">
        <v>2397.5457928860201</v>
      </c>
      <c r="J629" s="93">
        <v>37619.82</v>
      </c>
      <c r="K629" s="93">
        <v>14215.66</v>
      </c>
      <c r="L629" s="93">
        <v>61653.539999999994</v>
      </c>
      <c r="M629" s="93">
        <v>251948.69</v>
      </c>
      <c r="N629" s="95">
        <v>3.5869069705665113E-2</v>
      </c>
      <c r="O629" s="95">
        <v>0.36402425390242471</v>
      </c>
      <c r="P629" s="95">
        <v>0.32771150499631752</v>
      </c>
      <c r="Q629" s="95">
        <v>0.19769195378862781</v>
      </c>
      <c r="R629" s="96">
        <v>7.4703217606964745E-2</v>
      </c>
    </row>
    <row r="630" spans="1:18" ht="15.75" hidden="1" customHeight="1" x14ac:dyDescent="0.3">
      <c r="A630" s="89">
        <v>2021</v>
      </c>
      <c r="B630" s="90">
        <v>1</v>
      </c>
      <c r="C630" s="90" t="s">
        <v>718</v>
      </c>
      <c r="D630" s="90" t="s">
        <v>719</v>
      </c>
      <c r="E630" s="98" t="s">
        <v>11</v>
      </c>
      <c r="F630" s="99" t="s">
        <v>32</v>
      </c>
      <c r="G630" s="93">
        <v>72752.31</v>
      </c>
      <c r="H630" s="93">
        <v>146528.51</v>
      </c>
      <c r="I630" s="93">
        <v>2397.5457928860201</v>
      </c>
      <c r="J630" s="93">
        <v>112692.09</v>
      </c>
      <c r="K630" s="93">
        <v>3497.29</v>
      </c>
      <c r="L630" s="93">
        <v>81639.42</v>
      </c>
      <c r="M630" s="93">
        <v>609521.83000000007</v>
      </c>
      <c r="N630" s="95">
        <v>0.1378191593843788</v>
      </c>
      <c r="O630" s="95">
        <v>0.27757793634381567</v>
      </c>
      <c r="P630" s="95">
        <v>0.36449824118973767</v>
      </c>
      <c r="Q630" s="95">
        <v>0.21347953230720454</v>
      </c>
      <c r="R630" s="96">
        <v>6.625130774863288E-3</v>
      </c>
    </row>
    <row r="631" spans="1:18" ht="15.75" hidden="1" customHeight="1" x14ac:dyDescent="0.3">
      <c r="A631" s="89">
        <v>2021</v>
      </c>
      <c r="B631" s="90">
        <v>1</v>
      </c>
      <c r="C631" s="90" t="s">
        <v>718</v>
      </c>
      <c r="D631" s="90" t="s">
        <v>719</v>
      </c>
      <c r="E631" s="98" t="s">
        <v>11</v>
      </c>
      <c r="F631" s="99" t="s">
        <v>33</v>
      </c>
      <c r="G631" s="93">
        <v>130457.11</v>
      </c>
      <c r="H631" s="93">
        <v>369427.46</v>
      </c>
      <c r="I631" s="93">
        <v>2397.5457928860201</v>
      </c>
      <c r="J631" s="93">
        <v>208582.81</v>
      </c>
      <c r="K631" s="93">
        <v>13197.95</v>
      </c>
      <c r="L631" s="93">
        <v>189676.34</v>
      </c>
      <c r="M631" s="93">
        <v>1352056.78</v>
      </c>
      <c r="N631" s="95">
        <v>0.11223271272527607</v>
      </c>
      <c r="O631" s="95">
        <v>0.31781974927244994</v>
      </c>
      <c r="P631" s="95">
        <v>0.37914876647442552</v>
      </c>
      <c r="Q631" s="95">
        <v>0.17944452850565862</v>
      </c>
      <c r="R631" s="96">
        <v>1.1354243022189878E-2</v>
      </c>
    </row>
    <row r="632" spans="1:18" ht="15.75" hidden="1" customHeight="1" x14ac:dyDescent="0.3">
      <c r="A632" s="89">
        <v>2021</v>
      </c>
      <c r="B632" s="90">
        <v>1</v>
      </c>
      <c r="C632" s="90" t="s">
        <v>718</v>
      </c>
      <c r="D632" s="90" t="s">
        <v>719</v>
      </c>
      <c r="E632" s="98" t="s">
        <v>11</v>
      </c>
      <c r="F632" s="99" t="s">
        <v>34</v>
      </c>
      <c r="G632" s="93">
        <v>202843.2</v>
      </c>
      <c r="H632" s="93">
        <v>157770.32</v>
      </c>
      <c r="I632" s="93">
        <v>2397.5457928860201</v>
      </c>
      <c r="J632" s="93">
        <v>101893.25</v>
      </c>
      <c r="K632" s="93">
        <v>10908.48</v>
      </c>
      <c r="L632" s="93">
        <v>86938.450000000012</v>
      </c>
      <c r="M632" s="93">
        <v>713628.84000000008</v>
      </c>
      <c r="N632" s="95">
        <v>0.32367370433109721</v>
      </c>
      <c r="O632" s="95">
        <v>0.25175161853048361</v>
      </c>
      <c r="P632" s="95">
        <v>0.24457873049561205</v>
      </c>
      <c r="Q632" s="95">
        <v>0.16258945665338828</v>
      </c>
      <c r="R632" s="96">
        <v>1.7406489989418857E-2</v>
      </c>
    </row>
    <row r="633" spans="1:18" ht="15.75" hidden="1" customHeight="1" x14ac:dyDescent="0.3">
      <c r="A633" s="89">
        <v>2021</v>
      </c>
      <c r="B633" s="90">
        <v>1</v>
      </c>
      <c r="C633" s="90" t="s">
        <v>718</v>
      </c>
      <c r="D633" s="90" t="s">
        <v>719</v>
      </c>
      <c r="E633" s="98" t="s">
        <v>11</v>
      </c>
      <c r="F633" s="99" t="s">
        <v>35</v>
      </c>
      <c r="G633" s="93">
        <v>25377.3</v>
      </c>
      <c r="H633" s="93">
        <v>96375.11</v>
      </c>
      <c r="I633" s="93">
        <v>2397.5457928860201</v>
      </c>
      <c r="J633" s="93">
        <v>100205.08</v>
      </c>
      <c r="K633" s="93">
        <v>12961.03</v>
      </c>
      <c r="L633" s="93">
        <v>241433.5</v>
      </c>
      <c r="M633" s="93">
        <v>605861.19000000006</v>
      </c>
      <c r="N633" s="95">
        <v>6.9636036712797528E-2</v>
      </c>
      <c r="O633" s="95">
        <v>0.26445605711245485</v>
      </c>
      <c r="P633" s="95">
        <v>0.35537686502362092</v>
      </c>
      <c r="Q633" s="95">
        <v>0.27496560428764344</v>
      </c>
      <c r="R633" s="96">
        <v>3.5565436863483117E-2</v>
      </c>
    </row>
    <row r="634" spans="1:18" ht="15.75" hidden="1" customHeight="1" x14ac:dyDescent="0.3">
      <c r="A634" s="89">
        <v>2021</v>
      </c>
      <c r="B634" s="90">
        <v>1</v>
      </c>
      <c r="C634" s="90" t="s">
        <v>718</v>
      </c>
      <c r="D634" s="90" t="s">
        <v>719</v>
      </c>
      <c r="E634" s="98" t="s">
        <v>11</v>
      </c>
      <c r="F634" s="99" t="s">
        <v>36</v>
      </c>
      <c r="G634" s="93">
        <v>10784.89</v>
      </c>
      <c r="H634" s="93">
        <v>16312.2</v>
      </c>
      <c r="I634" s="93">
        <v>2397.5457928860201</v>
      </c>
      <c r="J634" s="93">
        <v>77225.69</v>
      </c>
      <c r="K634" s="93">
        <v>2096.52</v>
      </c>
      <c r="L634" s="93">
        <v>78731.14</v>
      </c>
      <c r="M634" s="93">
        <v>258886.87</v>
      </c>
      <c r="N634" s="95">
        <v>5.9864262990691447E-2</v>
      </c>
      <c r="O634" s="95">
        <v>9.0544996820251022E-2</v>
      </c>
      <c r="P634" s="95">
        <v>0.40929272690910246</v>
      </c>
      <c r="Q634" s="95">
        <v>0.4286607481205289</v>
      </c>
      <c r="R634" s="96">
        <v>1.1637265159426237E-2</v>
      </c>
    </row>
    <row r="635" spans="1:18" ht="15.75" hidden="1" customHeight="1" x14ac:dyDescent="0.3">
      <c r="A635" s="89">
        <v>2021</v>
      </c>
      <c r="B635" s="90">
        <v>1</v>
      </c>
      <c r="C635" s="90" t="s">
        <v>718</v>
      </c>
      <c r="D635" s="90" t="s">
        <v>719</v>
      </c>
      <c r="E635" s="98" t="s">
        <v>11</v>
      </c>
      <c r="F635" s="99" t="s">
        <v>37</v>
      </c>
      <c r="G635" s="93">
        <v>128743.67999999999</v>
      </c>
      <c r="H635" s="93">
        <v>90048.01</v>
      </c>
      <c r="I635" s="93">
        <v>2397.5457928860201</v>
      </c>
      <c r="J635" s="93">
        <v>28381.15</v>
      </c>
      <c r="K635" s="93">
        <v>3381.39</v>
      </c>
      <c r="L635" s="93">
        <v>226030.16999999998</v>
      </c>
      <c r="M635" s="93">
        <v>524073.86000000004</v>
      </c>
      <c r="N635" s="95">
        <v>0.43196244147963664</v>
      </c>
      <c r="O635" s="95">
        <v>0.30213023466458888</v>
      </c>
      <c r="P635" s="95">
        <v>0.15933724347594808</v>
      </c>
      <c r="Q635" s="95">
        <v>9.5224797411413056E-2</v>
      </c>
      <c r="R635" s="96">
        <v>1.1345282968413119E-2</v>
      </c>
    </row>
    <row r="636" spans="1:18" ht="15.75" hidden="1" customHeight="1" x14ac:dyDescent="0.3">
      <c r="A636" s="89">
        <v>2021</v>
      </c>
      <c r="B636" s="90">
        <v>1</v>
      </c>
      <c r="C636" s="90" t="s">
        <v>718</v>
      </c>
      <c r="D636" s="90" t="s">
        <v>719</v>
      </c>
      <c r="E636" s="98" t="s">
        <v>11</v>
      </c>
      <c r="F636" s="99" t="s">
        <v>720</v>
      </c>
      <c r="G636" s="93">
        <v>44902.15</v>
      </c>
      <c r="H636" s="93">
        <v>71515.14</v>
      </c>
      <c r="I636" s="93">
        <v>2397.5457928860201</v>
      </c>
      <c r="J636" s="93">
        <v>383415.53</v>
      </c>
      <c r="K636" s="93">
        <v>73537.77</v>
      </c>
      <c r="L636" s="93">
        <v>194676.09</v>
      </c>
      <c r="M636" s="93">
        <v>927958.42</v>
      </c>
      <c r="N636" s="95">
        <v>6.1234463402384177E-2</v>
      </c>
      <c r="O636" s="95">
        <v>9.7527428487196727E-2</v>
      </c>
      <c r="P636" s="95">
        <v>0.21807663086604034</v>
      </c>
      <c r="Q636" s="95">
        <v>0.52287572509758962</v>
      </c>
      <c r="R636" s="96">
        <v>0.10028575214678907</v>
      </c>
    </row>
    <row r="637" spans="1:18" ht="15.75" hidden="1" customHeight="1" x14ac:dyDescent="0.3">
      <c r="A637" s="89">
        <v>2021</v>
      </c>
      <c r="B637" s="90">
        <v>1</v>
      </c>
      <c r="C637" s="90" t="s">
        <v>718</v>
      </c>
      <c r="D637" s="90" t="s">
        <v>719</v>
      </c>
      <c r="E637" s="98" t="s">
        <v>11</v>
      </c>
      <c r="F637" s="99" t="s">
        <v>39</v>
      </c>
      <c r="G637" s="93">
        <v>12916.69</v>
      </c>
      <c r="H637" s="93">
        <v>48991.199999999997</v>
      </c>
      <c r="I637" s="93">
        <v>2397.5457928860201</v>
      </c>
      <c r="J637" s="93">
        <v>89095.06</v>
      </c>
      <c r="K637" s="93">
        <v>1773.38</v>
      </c>
      <c r="L637" s="93">
        <v>13569.85</v>
      </c>
      <c r="M637" s="93">
        <v>331195.15999999997</v>
      </c>
      <c r="N637" s="95">
        <v>4.0666438074472087E-2</v>
      </c>
      <c r="O637" s="95">
        <v>0.15424211628475074</v>
      </c>
      <c r="P637" s="95">
        <v>0.51900454658352013</v>
      </c>
      <c r="Q637" s="95">
        <v>0.2805036538177641</v>
      </c>
      <c r="R637" s="96">
        <v>5.5832452394930371E-3</v>
      </c>
    </row>
    <row r="638" spans="1:18" ht="15.75" hidden="1" customHeight="1" x14ac:dyDescent="0.3">
      <c r="A638" s="89">
        <v>2021</v>
      </c>
      <c r="B638" s="90">
        <v>1</v>
      </c>
      <c r="C638" s="90" t="s">
        <v>718</v>
      </c>
      <c r="D638" s="90" t="s">
        <v>719</v>
      </c>
      <c r="E638" s="98" t="s">
        <v>11</v>
      </c>
      <c r="F638" s="99" t="s">
        <v>40</v>
      </c>
      <c r="G638" s="93">
        <v>25429.81</v>
      </c>
      <c r="H638" s="93">
        <v>130177.47</v>
      </c>
      <c r="I638" s="93">
        <v>2397.5457928860201</v>
      </c>
      <c r="J638" s="93">
        <v>38770</v>
      </c>
      <c r="K638" s="93">
        <v>1575.2</v>
      </c>
      <c r="L638" s="93">
        <v>21454.329999999998</v>
      </c>
      <c r="M638" s="93">
        <v>326305.02</v>
      </c>
      <c r="N638" s="95">
        <v>8.3417262398192374E-2</v>
      </c>
      <c r="O638" s="95">
        <v>0.42702042104611931</v>
      </c>
      <c r="P638" s="95">
        <v>0.35721818441677139</v>
      </c>
      <c r="Q638" s="95">
        <v>0.12717701245813154</v>
      </c>
      <c r="R638" s="96">
        <v>5.1671196807853712E-3</v>
      </c>
    </row>
    <row r="639" spans="1:18" ht="15.75" hidden="1" customHeight="1" x14ac:dyDescent="0.3">
      <c r="A639" s="89">
        <v>2021</v>
      </c>
      <c r="B639" s="90">
        <v>1</v>
      </c>
      <c r="C639" s="90" t="s">
        <v>718</v>
      </c>
      <c r="D639" s="90" t="s">
        <v>719</v>
      </c>
      <c r="E639" s="98" t="s">
        <v>11</v>
      </c>
      <c r="F639" s="99" t="s">
        <v>41</v>
      </c>
      <c r="G639" s="93">
        <v>4341.96</v>
      </c>
      <c r="H639" s="93">
        <v>7086.23</v>
      </c>
      <c r="I639" s="93">
        <v>2397.5457928860201</v>
      </c>
      <c r="J639" s="93">
        <v>1302.1600000000001</v>
      </c>
      <c r="K639" s="93">
        <v>70.64</v>
      </c>
      <c r="L639" s="93">
        <v>1851.03</v>
      </c>
      <c r="M639" s="93">
        <v>18714.329999999998</v>
      </c>
      <c r="N639" s="95">
        <v>0.25747985269787055</v>
      </c>
      <c r="O639" s="95">
        <v>0.42021609056353143</v>
      </c>
      <c r="P639" s="95">
        <v>0.2408965030569343</v>
      </c>
      <c r="Q639" s="95">
        <v>7.7218575249209831E-2</v>
      </c>
      <c r="R639" s="96">
        <v>4.1889784324539089E-3</v>
      </c>
    </row>
    <row r="640" spans="1:18" ht="15.75" hidden="1" customHeight="1" x14ac:dyDescent="0.3">
      <c r="A640" s="89">
        <v>2021</v>
      </c>
      <c r="B640" s="90">
        <v>1</v>
      </c>
      <c r="C640" s="90" t="s">
        <v>718</v>
      </c>
      <c r="D640" s="90" t="s">
        <v>719</v>
      </c>
      <c r="E640" s="98" t="s">
        <v>11</v>
      </c>
      <c r="F640" s="99" t="s">
        <v>42</v>
      </c>
      <c r="G640" s="93">
        <v>17649.18</v>
      </c>
      <c r="H640" s="93">
        <v>95962.69</v>
      </c>
      <c r="I640" s="93">
        <v>2397.5457928860201</v>
      </c>
      <c r="J640" s="93">
        <v>144836.87</v>
      </c>
      <c r="K640" s="93">
        <v>12610.21</v>
      </c>
      <c r="L640" s="93">
        <v>79751.06</v>
      </c>
      <c r="M640" s="93">
        <v>620824.34000000008</v>
      </c>
      <c r="N640" s="95">
        <v>3.2618834920105463E-2</v>
      </c>
      <c r="O640" s="95">
        <v>0.1773561799244642</v>
      </c>
      <c r="P640" s="95">
        <v>0.49903467789058076</v>
      </c>
      <c r="Q640" s="95">
        <v>0.26768438833275965</v>
      </c>
      <c r="R640" s="96">
        <v>2.3305918932089935E-2</v>
      </c>
    </row>
    <row r="641" spans="1:18" ht="15.75" hidden="1" customHeight="1" x14ac:dyDescent="0.3">
      <c r="A641" s="89">
        <v>2021</v>
      </c>
      <c r="B641" s="90">
        <v>1</v>
      </c>
      <c r="C641" s="90" t="s">
        <v>718</v>
      </c>
      <c r="D641" s="90" t="s">
        <v>719</v>
      </c>
      <c r="E641" s="98" t="s">
        <v>11</v>
      </c>
      <c r="F641" s="99" t="s">
        <v>43</v>
      </c>
      <c r="G641" s="93">
        <v>12428.31</v>
      </c>
      <c r="H641" s="93">
        <v>26044.19</v>
      </c>
      <c r="I641" s="93">
        <v>2397.5457928860201</v>
      </c>
      <c r="J641" s="93">
        <v>10677.39</v>
      </c>
      <c r="K641" s="93">
        <v>561.49</v>
      </c>
      <c r="L641" s="93">
        <v>115917.73</v>
      </c>
      <c r="M641" s="93">
        <v>185575.47999999998</v>
      </c>
      <c r="N641" s="95">
        <v>0.17841963026368207</v>
      </c>
      <c r="O641" s="95">
        <v>0.37388790192046112</v>
      </c>
      <c r="P641" s="95">
        <v>0.28634818092746317</v>
      </c>
      <c r="Q641" s="95">
        <v>0.15328359012457335</v>
      </c>
      <c r="R641" s="96">
        <v>8.0606967638202492E-3</v>
      </c>
    </row>
    <row r="642" spans="1:18" ht="15.75" hidden="1" customHeight="1" x14ac:dyDescent="0.3">
      <c r="A642" s="89">
        <v>2021</v>
      </c>
      <c r="B642" s="90">
        <v>1</v>
      </c>
      <c r="C642" s="90" t="s">
        <v>718</v>
      </c>
      <c r="D642" s="90" t="s">
        <v>719</v>
      </c>
      <c r="E642" s="98" t="s">
        <v>11</v>
      </c>
      <c r="F642" s="99" t="s">
        <v>58</v>
      </c>
      <c r="G642" s="93">
        <v>21700.32</v>
      </c>
      <c r="H642" s="93">
        <v>113522.67</v>
      </c>
      <c r="I642" s="93">
        <v>2397.5457928860201</v>
      </c>
      <c r="J642" s="93">
        <v>54765.46</v>
      </c>
      <c r="K642" s="93">
        <v>3774.23</v>
      </c>
      <c r="L642" s="93">
        <v>17941.05</v>
      </c>
      <c r="M642" s="93">
        <v>371477.13</v>
      </c>
      <c r="N642" s="95">
        <v>6.1380779014124948E-2</v>
      </c>
      <c r="O642" s="95">
        <v>0.32110632102952547</v>
      </c>
      <c r="P642" s="95">
        <v>0.45192954563505933</v>
      </c>
      <c r="Q642" s="95">
        <v>0.15490769711538352</v>
      </c>
      <c r="R642" s="96">
        <v>1.0675657205906679E-2</v>
      </c>
    </row>
    <row r="643" spans="1:18" ht="15.75" hidden="1" customHeight="1" x14ac:dyDescent="0.3">
      <c r="A643" s="89">
        <v>2021</v>
      </c>
      <c r="B643" s="90">
        <v>1</v>
      </c>
      <c r="C643" s="90" t="s">
        <v>718</v>
      </c>
      <c r="D643" s="90" t="s">
        <v>719</v>
      </c>
      <c r="E643" s="98" t="s">
        <v>11</v>
      </c>
      <c r="F643" s="99" t="s">
        <v>44</v>
      </c>
      <c r="G643" s="93">
        <v>4530.91</v>
      </c>
      <c r="H643" s="93">
        <v>17415.349999999999</v>
      </c>
      <c r="I643" s="93">
        <v>2397.5457928860201</v>
      </c>
      <c r="J643" s="93">
        <v>48978.98</v>
      </c>
      <c r="K643" s="93">
        <v>3653.54</v>
      </c>
      <c r="L643" s="93">
        <v>91549.46</v>
      </c>
      <c r="M643" s="93">
        <v>215729.29</v>
      </c>
      <c r="N643" s="95">
        <v>3.6486682257497051E-2</v>
      </c>
      <c r="O643" s="95">
        <v>0.14024298471015784</v>
      </c>
      <c r="P643" s="95">
        <v>0.39942919876762595</v>
      </c>
      <c r="Q643" s="95">
        <v>0.39441977010276147</v>
      </c>
      <c r="R643" s="96">
        <v>2.9421364161957703E-2</v>
      </c>
    </row>
    <row r="644" spans="1:18" ht="15.75" hidden="1" customHeight="1" x14ac:dyDescent="0.3">
      <c r="A644" s="89">
        <v>2021</v>
      </c>
      <c r="B644" s="90">
        <v>1</v>
      </c>
      <c r="C644" s="90" t="s">
        <v>718</v>
      </c>
      <c r="D644" s="90" t="s">
        <v>719</v>
      </c>
      <c r="E644" s="98" t="s">
        <v>11</v>
      </c>
      <c r="F644" s="99" t="s">
        <v>51</v>
      </c>
      <c r="G644" s="93">
        <v>6535.23</v>
      </c>
      <c r="H644" s="93">
        <v>22069.42</v>
      </c>
      <c r="I644" s="93">
        <v>2397.5457928860201</v>
      </c>
      <c r="J644" s="93">
        <v>77365.83</v>
      </c>
      <c r="K644" s="93">
        <v>27724.37</v>
      </c>
      <c r="L644" s="93">
        <v>18801.86</v>
      </c>
      <c r="M644" s="93">
        <v>211202.41999999998</v>
      </c>
      <c r="N644" s="95">
        <v>3.3966793028045242E-2</v>
      </c>
      <c r="O644" s="95">
        <v>0.11470559129349726</v>
      </c>
      <c r="P644" s="95">
        <v>0.30512234475824812</v>
      </c>
      <c r="Q644" s="95">
        <v>0.40210813315720079</v>
      </c>
      <c r="R644" s="96">
        <v>0.14409713776300859</v>
      </c>
    </row>
    <row r="645" spans="1:18" ht="15.75" hidden="1" customHeight="1" x14ac:dyDescent="0.3">
      <c r="A645" s="89">
        <v>2021</v>
      </c>
      <c r="B645" s="90">
        <v>1</v>
      </c>
      <c r="C645" s="90" t="s">
        <v>718</v>
      </c>
      <c r="D645" s="90" t="s">
        <v>719</v>
      </c>
      <c r="E645" s="98" t="s">
        <v>11</v>
      </c>
      <c r="F645" s="99" t="s">
        <v>45</v>
      </c>
      <c r="G645" s="93">
        <v>1649.09</v>
      </c>
      <c r="H645" s="93">
        <v>3872.96</v>
      </c>
      <c r="I645" s="93">
        <v>2397.5457928860201</v>
      </c>
      <c r="J645" s="93">
        <v>45076.27</v>
      </c>
      <c r="K645" s="93">
        <v>15842.29</v>
      </c>
      <c r="L645" s="93">
        <v>52434.39</v>
      </c>
      <c r="M645" s="93">
        <v>134096.09999999998</v>
      </c>
      <c r="N645" s="95">
        <v>2.019416443765383E-2</v>
      </c>
      <c r="O645" s="95">
        <v>4.7426878521157595E-2</v>
      </c>
      <c r="P645" s="95">
        <v>0.18639212918759601</v>
      </c>
      <c r="Q645" s="95">
        <v>0.55198782881230379</v>
      </c>
      <c r="R645" s="96">
        <v>0.19399899904128878</v>
      </c>
    </row>
    <row r="646" spans="1:18" ht="15.75" hidden="1" customHeight="1" x14ac:dyDescent="0.3">
      <c r="A646" s="89">
        <v>2021</v>
      </c>
      <c r="B646" s="90">
        <v>1</v>
      </c>
      <c r="C646" s="90" t="s">
        <v>718</v>
      </c>
      <c r="D646" s="90" t="s">
        <v>719</v>
      </c>
      <c r="E646" s="98" t="s">
        <v>11</v>
      </c>
      <c r="F646" s="99" t="s">
        <v>721</v>
      </c>
      <c r="G646" s="93">
        <v>16319.51</v>
      </c>
      <c r="H646" s="93">
        <v>80979.48</v>
      </c>
      <c r="I646" s="93">
        <v>2397.5457928860201</v>
      </c>
      <c r="J646" s="93">
        <v>68033.13</v>
      </c>
      <c r="K646" s="93">
        <v>4231.5600000000004</v>
      </c>
      <c r="L646" s="93">
        <v>5524.29</v>
      </c>
      <c r="M646" s="93">
        <v>309330.86</v>
      </c>
      <c r="N646" s="95">
        <v>5.37167777510539E-2</v>
      </c>
      <c r="O646" s="95">
        <v>0.26654946928896234</v>
      </c>
      <c r="P646" s="95">
        <v>0.44186960802065606</v>
      </c>
      <c r="Q646" s="95">
        <v>0.22393567723041671</v>
      </c>
      <c r="R646" s="96">
        <v>1.392846770891097E-2</v>
      </c>
    </row>
    <row r="647" spans="1:18" ht="15.75" hidden="1" customHeight="1" x14ac:dyDescent="0.3">
      <c r="A647" s="89">
        <v>2021</v>
      </c>
      <c r="B647" s="90">
        <v>1</v>
      </c>
      <c r="C647" s="90" t="s">
        <v>718</v>
      </c>
      <c r="D647" s="90" t="s">
        <v>719</v>
      </c>
      <c r="E647" s="98" t="s">
        <v>11</v>
      </c>
      <c r="F647" s="99" t="s">
        <v>46</v>
      </c>
      <c r="G647" s="93">
        <v>7256.57</v>
      </c>
      <c r="H647" s="93">
        <v>23465.23</v>
      </c>
      <c r="I647" s="93">
        <v>2397.5457928860201</v>
      </c>
      <c r="J647" s="93">
        <v>35921.54</v>
      </c>
      <c r="K647" s="93">
        <v>5611.09</v>
      </c>
      <c r="L647" s="93">
        <v>14526.51</v>
      </c>
      <c r="M647" s="93">
        <v>149075.01</v>
      </c>
      <c r="N647" s="95">
        <v>5.3932745441234942E-2</v>
      </c>
      <c r="O647" s="95">
        <v>0.17439978892369665</v>
      </c>
      <c r="P647" s="95">
        <v>0.46298598646584688</v>
      </c>
      <c r="Q647" s="95">
        <v>0.26697837582730394</v>
      </c>
      <c r="R647" s="96">
        <v>4.1703103341917597E-2</v>
      </c>
    </row>
    <row r="648" spans="1:18" ht="15.75" hidden="1" customHeight="1" x14ac:dyDescent="0.3">
      <c r="A648" s="89">
        <v>2021</v>
      </c>
      <c r="B648" s="90">
        <v>1</v>
      </c>
      <c r="C648" s="90" t="s">
        <v>718</v>
      </c>
      <c r="D648" s="90" t="s">
        <v>719</v>
      </c>
      <c r="E648" s="98" t="s">
        <v>11</v>
      </c>
      <c r="F648" s="99" t="s">
        <v>47</v>
      </c>
      <c r="G648" s="93">
        <v>15626.09</v>
      </c>
      <c r="H648" s="93">
        <v>162290.12</v>
      </c>
      <c r="I648" s="93">
        <v>2397.5457928860201</v>
      </c>
      <c r="J648" s="93">
        <v>318334.88</v>
      </c>
      <c r="K648" s="93">
        <v>42889.63</v>
      </c>
      <c r="L648" s="93">
        <v>205862.47</v>
      </c>
      <c r="M648" s="93">
        <v>1461770.3599999999</v>
      </c>
      <c r="N648" s="95">
        <v>1.2442066909859131E-2</v>
      </c>
      <c r="O648" s="95">
        <v>0.12922135555657668</v>
      </c>
      <c r="P648" s="95">
        <v>0.57071635245479679</v>
      </c>
      <c r="Q648" s="95">
        <v>0.25346992604688551</v>
      </c>
      <c r="R648" s="96">
        <v>3.4150299031882027E-2</v>
      </c>
    </row>
    <row r="649" spans="1:18" ht="15.75" hidden="1" customHeight="1" x14ac:dyDescent="0.3">
      <c r="A649" s="89">
        <v>2021</v>
      </c>
      <c r="B649" s="90">
        <v>1</v>
      </c>
      <c r="C649" s="90" t="s">
        <v>718</v>
      </c>
      <c r="D649" s="90" t="s">
        <v>719</v>
      </c>
      <c r="E649" s="98" t="s">
        <v>11</v>
      </c>
      <c r="F649" s="99" t="s">
        <v>48</v>
      </c>
      <c r="G649" s="93">
        <v>1065.83</v>
      </c>
      <c r="H649" s="93">
        <v>3936.06</v>
      </c>
      <c r="I649" s="93">
        <v>2397.5457928860201</v>
      </c>
      <c r="J649" s="93">
        <v>67236.800000000003</v>
      </c>
      <c r="K649" s="93">
        <v>14757.45</v>
      </c>
      <c r="L649" s="93">
        <v>9611.2900000000009</v>
      </c>
      <c r="M649" s="93">
        <v>110314.41</v>
      </c>
      <c r="N649" s="95">
        <v>1.0583882604630323E-2</v>
      </c>
      <c r="O649" s="95">
        <v>3.9085780063219493E-2</v>
      </c>
      <c r="P649" s="95">
        <v>0.13611276393422567</v>
      </c>
      <c r="Q649" s="95">
        <v>0.66767345440737091</v>
      </c>
      <c r="R649" s="96">
        <v>0.14654411899055364</v>
      </c>
    </row>
    <row r="650" spans="1:18" ht="15.75" hidden="1" customHeight="1" x14ac:dyDescent="0.3">
      <c r="A650" s="89">
        <v>2021</v>
      </c>
      <c r="B650" s="90">
        <v>1</v>
      </c>
      <c r="C650" s="90" t="s">
        <v>718</v>
      </c>
      <c r="D650" s="90" t="s">
        <v>722</v>
      </c>
      <c r="E650" s="98" t="s">
        <v>11</v>
      </c>
      <c r="F650" s="99" t="s">
        <v>12</v>
      </c>
      <c r="G650" s="93">
        <v>7795.7814584129801</v>
      </c>
      <c r="H650" s="93">
        <v>36195.940962430999</v>
      </c>
      <c r="I650" s="93">
        <v>2397.5457928860201</v>
      </c>
      <c r="J650" s="93">
        <v>208569.61038336699</v>
      </c>
      <c r="K650" s="93">
        <v>20594.160049330501</v>
      </c>
      <c r="L650" s="93">
        <v>70770.4255819463</v>
      </c>
      <c r="M650" s="93">
        <v>433311.47680229309</v>
      </c>
      <c r="N650" s="95">
        <v>2.1503168902312325E-2</v>
      </c>
      <c r="O650" s="95">
        <v>9.9839565314306086E-2</v>
      </c>
      <c r="P650" s="95">
        <v>0.24655292984318666</v>
      </c>
      <c r="Q650" s="95">
        <v>0.57529929281470982</v>
      </c>
      <c r="R650" s="96">
        <v>5.6805043125485101E-2</v>
      </c>
    </row>
    <row r="651" spans="1:18" ht="15.75" hidden="1" customHeight="1" x14ac:dyDescent="0.3">
      <c r="A651" s="89">
        <v>2021</v>
      </c>
      <c r="B651" s="90">
        <v>1</v>
      </c>
      <c r="C651" s="90" t="s">
        <v>718</v>
      </c>
      <c r="D651" s="90" t="s">
        <v>722</v>
      </c>
      <c r="E651" s="98" t="s">
        <v>11</v>
      </c>
      <c r="F651" s="99" t="s">
        <v>26</v>
      </c>
      <c r="G651" s="93">
        <v>194608.10387027499</v>
      </c>
      <c r="H651" s="93">
        <v>358221.68516441301</v>
      </c>
      <c r="I651" s="93">
        <v>2397.5457928860201</v>
      </c>
      <c r="J651" s="93">
        <v>113964.349811612</v>
      </c>
      <c r="K651" s="93">
        <v>4163.7898765624996</v>
      </c>
      <c r="L651" s="93">
        <v>262909.75775113562</v>
      </c>
      <c r="M651" s="93">
        <v>1302393.3163908203</v>
      </c>
      <c r="N651" s="95">
        <v>0.18721614426008623</v>
      </c>
      <c r="O651" s="95">
        <v>0.34461505637780188</v>
      </c>
      <c r="P651" s="95">
        <v>0.35452761792508908</v>
      </c>
      <c r="Q651" s="95">
        <v>0.10963554821468358</v>
      </c>
      <c r="R651" s="96">
        <v>4.0056332223392006E-3</v>
      </c>
    </row>
    <row r="652" spans="1:18" ht="15.75" hidden="1" customHeight="1" x14ac:dyDescent="0.3">
      <c r="A652" s="89">
        <v>2021</v>
      </c>
      <c r="B652" s="90">
        <v>1</v>
      </c>
      <c r="C652" s="90" t="s">
        <v>718</v>
      </c>
      <c r="D652" s="90" t="s">
        <v>722</v>
      </c>
      <c r="E652" s="98" t="s">
        <v>11</v>
      </c>
      <c r="F652" s="99" t="s">
        <v>27</v>
      </c>
      <c r="G652" s="93">
        <v>449.083145266543</v>
      </c>
      <c r="H652" s="93">
        <v>5359.1065952175204</v>
      </c>
      <c r="I652" s="93">
        <v>2397.5457928860201</v>
      </c>
      <c r="J652" s="93">
        <v>141954.05369312401</v>
      </c>
      <c r="K652" s="93">
        <v>25087.264678420201</v>
      </c>
      <c r="L652" s="93">
        <v>17591.414735194299</v>
      </c>
      <c r="M652" s="93">
        <v>225249.63880291607</v>
      </c>
      <c r="N652" s="95">
        <v>2.162607078446782E-3</v>
      </c>
      <c r="O652" s="95">
        <v>2.580734097711344E-2</v>
      </c>
      <c r="P652" s="95">
        <v>0.16762502959835404</v>
      </c>
      <c r="Q652" s="95">
        <v>0.68359466296326299</v>
      </c>
      <c r="R652" s="96">
        <v>0.12081035938282275</v>
      </c>
    </row>
    <row r="653" spans="1:18" ht="15.75" hidden="1" customHeight="1" x14ac:dyDescent="0.3">
      <c r="A653" s="89">
        <v>2021</v>
      </c>
      <c r="B653" s="90">
        <v>1</v>
      </c>
      <c r="C653" s="90" t="s">
        <v>718</v>
      </c>
      <c r="D653" s="90" t="s">
        <v>722</v>
      </c>
      <c r="E653" s="98" t="s">
        <v>11</v>
      </c>
      <c r="F653" s="99" t="s">
        <v>28</v>
      </c>
      <c r="G653" s="93">
        <v>3591.3807159528001</v>
      </c>
      <c r="H653" s="93">
        <v>10266.492089981601</v>
      </c>
      <c r="I653" s="93">
        <v>2397.5457928860201</v>
      </c>
      <c r="J653" s="93">
        <v>244090.242965824</v>
      </c>
      <c r="K653" s="93">
        <v>31188.931315378399</v>
      </c>
      <c r="L653" s="93">
        <v>15661.395921286799</v>
      </c>
      <c r="M653" s="93">
        <v>369881.1767650526</v>
      </c>
      <c r="N653" s="95">
        <v>1.0138848562883716E-2</v>
      </c>
      <c r="O653" s="95">
        <v>2.898339574804773E-2</v>
      </c>
      <c r="P653" s="95">
        <v>0.1837354582558865</v>
      </c>
      <c r="Q653" s="95">
        <v>0.68909263730103154</v>
      </c>
      <c r="R653" s="96">
        <v>8.8049660132150459E-2</v>
      </c>
    </row>
    <row r="654" spans="1:18" ht="15.75" customHeight="1" x14ac:dyDescent="0.3">
      <c r="A654" s="89">
        <v>2021</v>
      </c>
      <c r="B654" s="90">
        <v>1</v>
      </c>
      <c r="C654" s="90" t="s">
        <v>718</v>
      </c>
      <c r="D654" s="90" t="s">
        <v>722</v>
      </c>
      <c r="E654" s="98" t="s">
        <v>11</v>
      </c>
      <c r="F654" s="99" t="s">
        <v>29</v>
      </c>
      <c r="G654" s="93">
        <v>24066.273365069199</v>
      </c>
      <c r="H654" s="93">
        <v>87192.538878163105</v>
      </c>
      <c r="I654" s="93">
        <v>2397.5457928860201</v>
      </c>
      <c r="J654" s="93">
        <v>48737.575668091398</v>
      </c>
      <c r="K654" s="93">
        <v>2577.2951854534299</v>
      </c>
      <c r="L654" s="93">
        <v>15024.709805119501</v>
      </c>
      <c r="M654" s="93">
        <v>304361.38153433561</v>
      </c>
      <c r="N654" s="95">
        <v>8.3177404444578315E-2</v>
      </c>
      <c r="O654" s="95">
        <v>0.30135322410760534</v>
      </c>
      <c r="P654" s="95">
        <v>0.43811587336939339</v>
      </c>
      <c r="Q654" s="95">
        <v>0.16844589860252429</v>
      </c>
      <c r="R654" s="96">
        <v>8.9075994758986664E-3</v>
      </c>
    </row>
    <row r="655" spans="1:18" ht="15.75" hidden="1" customHeight="1" x14ac:dyDescent="0.3">
      <c r="A655" s="89">
        <v>2021</v>
      </c>
      <c r="B655" s="90">
        <v>1</v>
      </c>
      <c r="C655" s="90" t="s">
        <v>718</v>
      </c>
      <c r="D655" s="90" t="s">
        <v>722</v>
      </c>
      <c r="E655" s="98" t="s">
        <v>11</v>
      </c>
      <c r="F655" s="99" t="s">
        <v>30</v>
      </c>
      <c r="G655" s="93">
        <v>738.22250328737698</v>
      </c>
      <c r="H655" s="93">
        <v>4778.9325575336998</v>
      </c>
      <c r="I655" s="93">
        <v>2397.5457928860201</v>
      </c>
      <c r="J655" s="93">
        <v>2540.4927663219901</v>
      </c>
      <c r="K655" s="93">
        <v>357.36569359221801</v>
      </c>
      <c r="L655" s="93"/>
      <c r="M655" s="93">
        <v>14598.591511158114</v>
      </c>
      <c r="N655" s="95">
        <v>5.0568063550729035E-2</v>
      </c>
      <c r="O655" s="95">
        <v>0.32735572838523685</v>
      </c>
      <c r="P655" s="95">
        <v>0.4235736019941751</v>
      </c>
      <c r="Q655" s="95">
        <v>0.17402314219013662</v>
      </c>
      <c r="R655" s="96">
        <v>2.4479463879722461E-2</v>
      </c>
    </row>
    <row r="656" spans="1:18" ht="15.75" hidden="1" customHeight="1" x14ac:dyDescent="0.3">
      <c r="A656" s="89">
        <v>2021</v>
      </c>
      <c r="B656" s="90">
        <v>1</v>
      </c>
      <c r="C656" s="90" t="s">
        <v>718</v>
      </c>
      <c r="D656" s="90" t="s">
        <v>722</v>
      </c>
      <c r="E656" s="98" t="s">
        <v>11</v>
      </c>
      <c r="F656" s="99" t="s">
        <v>31</v>
      </c>
      <c r="G656" s="93">
        <v>2952.7389702052601</v>
      </c>
      <c r="H656" s="93">
        <v>37096.413122005702</v>
      </c>
      <c r="I656" s="93">
        <v>2397.5457928860201</v>
      </c>
      <c r="J656" s="93">
        <v>68107.359269748602</v>
      </c>
      <c r="K656" s="93">
        <v>23072.011203146601</v>
      </c>
      <c r="L656" s="93">
        <v>1578.5054329166601</v>
      </c>
      <c r="M656" s="93">
        <v>210104.35490673562</v>
      </c>
      <c r="N656" s="95">
        <v>1.4160062062598072E-2</v>
      </c>
      <c r="O656" s="95">
        <v>0.17789839108970165</v>
      </c>
      <c r="P656" s="95">
        <v>0.37068462784714712</v>
      </c>
      <c r="Q656" s="95">
        <v>0.32661350830895275</v>
      </c>
      <c r="R656" s="96">
        <v>0.11064341069160043</v>
      </c>
    </row>
    <row r="657" spans="1:18" ht="15.75" hidden="1" customHeight="1" x14ac:dyDescent="0.3">
      <c r="A657" s="89">
        <v>2021</v>
      </c>
      <c r="B657" s="90">
        <v>1</v>
      </c>
      <c r="C657" s="90" t="s">
        <v>718</v>
      </c>
      <c r="D657" s="90" t="s">
        <v>722</v>
      </c>
      <c r="E657" s="98" t="s">
        <v>11</v>
      </c>
      <c r="F657" s="99" t="s">
        <v>32</v>
      </c>
      <c r="G657" s="93">
        <v>25254.078857281002</v>
      </c>
      <c r="H657" s="93">
        <v>148212.17228276099</v>
      </c>
      <c r="I657" s="93">
        <v>2397.5457928860201</v>
      </c>
      <c r="J657" s="93">
        <v>111486.499679074</v>
      </c>
      <c r="K657" s="93">
        <v>3438.90964357538</v>
      </c>
      <c r="L657" s="93">
        <v>10175.893004702701</v>
      </c>
      <c r="M657" s="93">
        <v>588965.50653921918</v>
      </c>
      <c r="N657" s="95">
        <v>4.3632570914776722E-2</v>
      </c>
      <c r="O657" s="95">
        <v>0.25607261916410023</v>
      </c>
      <c r="P657" s="95">
        <v>0.50173317952000007</v>
      </c>
      <c r="Q657" s="95">
        <v>0.19262007657368826</v>
      </c>
      <c r="R657" s="96">
        <v>5.9415538274345675E-3</v>
      </c>
    </row>
    <row r="658" spans="1:18" ht="15.75" hidden="1" customHeight="1" x14ac:dyDescent="0.3">
      <c r="A658" s="89">
        <v>2021</v>
      </c>
      <c r="B658" s="90">
        <v>1</v>
      </c>
      <c r="C658" s="90" t="s">
        <v>718</v>
      </c>
      <c r="D658" s="90" t="s">
        <v>722</v>
      </c>
      <c r="E658" s="98" t="s">
        <v>11</v>
      </c>
      <c r="F658" s="99" t="s">
        <v>33</v>
      </c>
      <c r="G658" s="93">
        <v>81216.666854250507</v>
      </c>
      <c r="H658" s="93">
        <v>323802.17210390198</v>
      </c>
      <c r="I658" s="93">
        <v>2397.5457928860201</v>
      </c>
      <c r="J658" s="93">
        <v>314942.94407505699</v>
      </c>
      <c r="K658" s="93">
        <v>18936.1902246461</v>
      </c>
      <c r="L658" s="93"/>
      <c r="M658" s="93">
        <v>1317359.5813834376</v>
      </c>
      <c r="N658" s="95">
        <v>6.1651099670873503E-2</v>
      </c>
      <c r="O658" s="95">
        <v>0.24579634647956791</v>
      </c>
      <c r="P658" s="95">
        <v>0.43910684394772842</v>
      </c>
      <c r="Q658" s="95">
        <v>0.23907135798436802</v>
      </c>
      <c r="R658" s="96">
        <v>1.437435191746211E-2</v>
      </c>
    </row>
    <row r="659" spans="1:18" ht="15.75" hidden="1" customHeight="1" x14ac:dyDescent="0.3">
      <c r="A659" s="89">
        <v>2021</v>
      </c>
      <c r="B659" s="90">
        <v>1</v>
      </c>
      <c r="C659" s="90" t="s">
        <v>718</v>
      </c>
      <c r="D659" s="90" t="s">
        <v>722</v>
      </c>
      <c r="E659" s="98" t="s">
        <v>11</v>
      </c>
      <c r="F659" s="99" t="s">
        <v>34</v>
      </c>
      <c r="G659" s="93">
        <v>47644.839080551399</v>
      </c>
      <c r="H659" s="93">
        <v>122784.94759291899</v>
      </c>
      <c r="I659" s="93">
        <v>2397.5457928860201</v>
      </c>
      <c r="J659" s="93">
        <v>229930.61487654899</v>
      </c>
      <c r="K659" s="93">
        <v>15962.438751456801</v>
      </c>
      <c r="L659" s="93">
        <v>19966.648961599101</v>
      </c>
      <c r="M659" s="93">
        <v>688322.69307132333</v>
      </c>
      <c r="N659" s="95">
        <v>7.1286613625251405E-2</v>
      </c>
      <c r="O659" s="95">
        <v>0.18371188332182023</v>
      </c>
      <c r="P659" s="95">
        <v>0.37709422399847653</v>
      </c>
      <c r="Q659" s="95">
        <v>0.34402414237582807</v>
      </c>
      <c r="R659" s="96">
        <v>2.3883136678623709E-2</v>
      </c>
    </row>
    <row r="660" spans="1:18" ht="15.75" hidden="1" customHeight="1" x14ac:dyDescent="0.3">
      <c r="A660" s="89">
        <v>2021</v>
      </c>
      <c r="B660" s="90">
        <v>1</v>
      </c>
      <c r="C660" s="90" t="s">
        <v>718</v>
      </c>
      <c r="D660" s="90" t="s">
        <v>722</v>
      </c>
      <c r="E660" s="98" t="s">
        <v>11</v>
      </c>
      <c r="F660" s="99" t="s">
        <v>35</v>
      </c>
      <c r="G660" s="93">
        <v>11672.123777069501</v>
      </c>
      <c r="H660" s="93">
        <v>38705.063447756896</v>
      </c>
      <c r="I660" s="93">
        <v>2397.5457928860201</v>
      </c>
      <c r="J660" s="93">
        <v>187374.03982342299</v>
      </c>
      <c r="K660" s="93">
        <v>16679.801834637001</v>
      </c>
      <c r="L660" s="93">
        <v>4912.67370452053</v>
      </c>
      <c r="M660" s="93">
        <v>370927.63250265591</v>
      </c>
      <c r="N660" s="95">
        <v>3.1889745204394533E-2</v>
      </c>
      <c r="O660" s="95">
        <v>0.10574721747671388</v>
      </c>
      <c r="P660" s="95">
        <v>0.30486166544026355</v>
      </c>
      <c r="Q660" s="95">
        <v>0.51193000537107425</v>
      </c>
      <c r="R660" s="96">
        <v>4.5571366507553716E-2</v>
      </c>
    </row>
    <row r="661" spans="1:18" ht="15.75" hidden="1" customHeight="1" x14ac:dyDescent="0.3">
      <c r="A661" s="89">
        <v>2021</v>
      </c>
      <c r="B661" s="90">
        <v>1</v>
      </c>
      <c r="C661" s="90" t="s">
        <v>718</v>
      </c>
      <c r="D661" s="90" t="s">
        <v>722</v>
      </c>
      <c r="E661" s="98" t="s">
        <v>11</v>
      </c>
      <c r="F661" s="99" t="s">
        <v>36</v>
      </c>
      <c r="G661" s="93">
        <v>5288.6900505591102</v>
      </c>
      <c r="H661" s="93">
        <v>45124.583815412501</v>
      </c>
      <c r="I661" s="93">
        <v>2397.5457928860201</v>
      </c>
      <c r="J661" s="93">
        <v>49949.507310164903</v>
      </c>
      <c r="K661" s="93">
        <v>288.36488658700898</v>
      </c>
      <c r="L661" s="93">
        <v>2241.6062447977902</v>
      </c>
      <c r="M661" s="93">
        <v>225907.34819168135</v>
      </c>
      <c r="N661" s="95">
        <v>2.3645507821287517E-2</v>
      </c>
      <c r="O661" s="95">
        <v>0.20175009110750966</v>
      </c>
      <c r="P661" s="95">
        <v>0.54999301553017299</v>
      </c>
      <c r="Q661" s="95">
        <v>0.22332211842270855</v>
      </c>
      <c r="R661" s="96">
        <v>1.2892671183210983E-3</v>
      </c>
    </row>
    <row r="662" spans="1:18" ht="15.75" hidden="1" customHeight="1" x14ac:dyDescent="0.3">
      <c r="A662" s="89">
        <v>2021</v>
      </c>
      <c r="B662" s="90">
        <v>1</v>
      </c>
      <c r="C662" s="90" t="s">
        <v>718</v>
      </c>
      <c r="D662" s="90" t="s">
        <v>722</v>
      </c>
      <c r="E662" s="98" t="s">
        <v>11</v>
      </c>
      <c r="F662" s="99" t="s">
        <v>37</v>
      </c>
      <c r="G662" s="93">
        <v>66431.549660930701</v>
      </c>
      <c r="H662" s="93">
        <v>165894.174949476</v>
      </c>
      <c r="I662" s="93">
        <v>2397.5457928860201</v>
      </c>
      <c r="J662" s="93">
        <v>25974.6537605761</v>
      </c>
      <c r="K662" s="93">
        <v>749.15931308210702</v>
      </c>
      <c r="L662" s="93">
        <v>9126.5612841267794</v>
      </c>
      <c r="M662" s="93">
        <v>383099.31332534167</v>
      </c>
      <c r="N662" s="95">
        <v>0.17763740619693436</v>
      </c>
      <c r="O662" s="95">
        <v>0.44359963137419456</v>
      </c>
      <c r="P662" s="95">
        <v>0.30730371057751427</v>
      </c>
      <c r="Q662" s="95">
        <v>6.9456006136279891E-2</v>
      </c>
      <c r="R662" s="96">
        <v>2.0032457150769727E-3</v>
      </c>
    </row>
    <row r="663" spans="1:18" ht="15.75" hidden="1" customHeight="1" x14ac:dyDescent="0.3">
      <c r="A663" s="89">
        <v>2021</v>
      </c>
      <c r="B663" s="90">
        <v>1</v>
      </c>
      <c r="C663" s="90" t="s">
        <v>718</v>
      </c>
      <c r="D663" s="90" t="s">
        <v>722</v>
      </c>
      <c r="E663" s="98" t="s">
        <v>11</v>
      </c>
      <c r="F663" s="99" t="s">
        <v>720</v>
      </c>
      <c r="G663" s="93">
        <v>22573.508077349899</v>
      </c>
      <c r="H663" s="93">
        <v>31805.032821971501</v>
      </c>
      <c r="I663" s="93">
        <v>2397.5457928860201</v>
      </c>
      <c r="J663" s="93">
        <v>513104.01175061503</v>
      </c>
      <c r="K663" s="93">
        <v>58732.1437658984</v>
      </c>
      <c r="L663" s="93">
        <v>17800.9333042525</v>
      </c>
      <c r="M663" s="93">
        <v>768521.3336722363</v>
      </c>
      <c r="N663" s="95">
        <v>3.006912835495738E-2</v>
      </c>
      <c r="O663" s="95">
        <v>4.2366016437519867E-2</v>
      </c>
      <c r="P663" s="95">
        <v>0.16584830236546055</v>
      </c>
      <c r="Q663" s="95">
        <v>0.68348217458737581</v>
      </c>
      <c r="R663" s="96">
        <v>7.8234378254686321E-2</v>
      </c>
    </row>
    <row r="664" spans="1:18" ht="15.75" hidden="1" customHeight="1" x14ac:dyDescent="0.3">
      <c r="A664" s="89">
        <v>2021</v>
      </c>
      <c r="B664" s="90">
        <v>1</v>
      </c>
      <c r="C664" s="90" t="s">
        <v>718</v>
      </c>
      <c r="D664" s="90" t="s">
        <v>722</v>
      </c>
      <c r="E664" s="98" t="s">
        <v>11</v>
      </c>
      <c r="F664" s="99" t="s">
        <v>39</v>
      </c>
      <c r="G664" s="93">
        <v>2053.2717147610201</v>
      </c>
      <c r="H664" s="93">
        <v>45527.414521284103</v>
      </c>
      <c r="I664" s="93">
        <v>2397.5457928860201</v>
      </c>
      <c r="J664" s="93">
        <v>103742.394151316</v>
      </c>
      <c r="K664" s="93">
        <v>1838.2252787469299</v>
      </c>
      <c r="L664" s="93">
        <v>33410.214366126398</v>
      </c>
      <c r="M664" s="93">
        <v>330129.94029294146</v>
      </c>
      <c r="N664" s="95">
        <v>6.9199029769508912E-3</v>
      </c>
      <c r="O664" s="95">
        <v>0.15343575281042585</v>
      </c>
      <c r="P664" s="95">
        <v>0.48381825580452043</v>
      </c>
      <c r="Q664" s="95">
        <v>0.34963093143629997</v>
      </c>
      <c r="R664" s="96">
        <v>6.195156971802819E-3</v>
      </c>
    </row>
    <row r="665" spans="1:18" ht="15.75" hidden="1" customHeight="1" x14ac:dyDescent="0.3">
      <c r="A665" s="89">
        <v>2021</v>
      </c>
      <c r="B665" s="90">
        <v>1</v>
      </c>
      <c r="C665" s="90" t="s">
        <v>718</v>
      </c>
      <c r="D665" s="90" t="s">
        <v>722</v>
      </c>
      <c r="E665" s="98" t="s">
        <v>11</v>
      </c>
      <c r="F665" s="99" t="s">
        <v>40</v>
      </c>
      <c r="G665" s="93">
        <v>2382.1322244194198</v>
      </c>
      <c r="H665" s="93">
        <v>32118.944294037199</v>
      </c>
      <c r="I665" s="93">
        <v>2397.5457928860201</v>
      </c>
      <c r="J665" s="93">
        <v>126019.39742488301</v>
      </c>
      <c r="K665" s="93">
        <v>14534.757300744501</v>
      </c>
      <c r="L665" s="93">
        <v>2601.5286023177</v>
      </c>
      <c r="M665" s="93">
        <v>321125.65172524081</v>
      </c>
      <c r="N665" s="95">
        <v>7.4786556228902011E-3</v>
      </c>
      <c r="O665" s="95">
        <v>0.10083677173060461</v>
      </c>
      <c r="P665" s="95">
        <v>0.45041766530025812</v>
      </c>
      <c r="Q665" s="95">
        <v>0.39563533270053231</v>
      </c>
      <c r="R665" s="96">
        <v>4.5631574645714747E-2</v>
      </c>
    </row>
    <row r="666" spans="1:18" ht="15.75" hidden="1" customHeight="1" x14ac:dyDescent="0.3">
      <c r="A666" s="89">
        <v>2021</v>
      </c>
      <c r="B666" s="90">
        <v>1</v>
      </c>
      <c r="C666" s="90" t="s">
        <v>718</v>
      </c>
      <c r="D666" s="90" t="s">
        <v>722</v>
      </c>
      <c r="E666" s="98" t="s">
        <v>11</v>
      </c>
      <c r="F666" s="99" t="s">
        <v>41</v>
      </c>
      <c r="G666" s="93">
        <v>790.59125792432599</v>
      </c>
      <c r="H666" s="93">
        <v>3865.2923958271899</v>
      </c>
      <c r="I666" s="93">
        <v>2397.5457928860201</v>
      </c>
      <c r="J666" s="93">
        <v>2207.7507919286099</v>
      </c>
      <c r="K666" s="93">
        <v>189.81769804840599</v>
      </c>
      <c r="L666" s="93">
        <v>6320.3683052022398</v>
      </c>
      <c r="M666" s="93">
        <v>18714.332738962963</v>
      </c>
      <c r="N666" s="95">
        <v>6.3788407829441812E-2</v>
      </c>
      <c r="O666" s="95">
        <v>0.31186892753203882</v>
      </c>
      <c r="P666" s="95">
        <v>0.43089620908422349</v>
      </c>
      <c r="Q666" s="95">
        <v>0.17813112210607723</v>
      </c>
      <c r="R666" s="96">
        <v>1.5315333448218492E-2</v>
      </c>
    </row>
    <row r="667" spans="1:18" ht="15.75" hidden="1" customHeight="1" x14ac:dyDescent="0.3">
      <c r="A667" s="89">
        <v>2021</v>
      </c>
      <c r="B667" s="90">
        <v>1</v>
      </c>
      <c r="C667" s="90" t="s">
        <v>718</v>
      </c>
      <c r="D667" s="90" t="s">
        <v>722</v>
      </c>
      <c r="E667" s="98" t="s">
        <v>11</v>
      </c>
      <c r="F667" s="99" t="s">
        <v>42</v>
      </c>
      <c r="G667" s="93">
        <v>4345.8696231663598</v>
      </c>
      <c r="H667" s="93">
        <v>77734.041968830599</v>
      </c>
      <c r="I667" s="93">
        <v>2397.5457928860201</v>
      </c>
      <c r="J667" s="93">
        <v>258079.624242074</v>
      </c>
      <c r="K667" s="93">
        <v>38220.763517177103</v>
      </c>
      <c r="L667" s="93">
        <v>81985.048841388299</v>
      </c>
      <c r="M667" s="93">
        <v>606764.56322033238</v>
      </c>
      <c r="N667" s="95">
        <v>8.2813248308854538E-3</v>
      </c>
      <c r="O667" s="95">
        <v>0.14812705114990204</v>
      </c>
      <c r="P667" s="95">
        <v>0.27897280861078144</v>
      </c>
      <c r="Q667" s="95">
        <v>0.49178677362720818</v>
      </c>
      <c r="R667" s="96">
        <v>7.2832041781222878E-2</v>
      </c>
    </row>
    <row r="668" spans="1:18" ht="15.75" hidden="1" customHeight="1" x14ac:dyDescent="0.3">
      <c r="A668" s="89">
        <v>2021</v>
      </c>
      <c r="B668" s="90">
        <v>1</v>
      </c>
      <c r="C668" s="90" t="s">
        <v>718</v>
      </c>
      <c r="D668" s="90" t="s">
        <v>722</v>
      </c>
      <c r="E668" s="98" t="s">
        <v>11</v>
      </c>
      <c r="F668" s="99" t="s">
        <v>43</v>
      </c>
      <c r="G668" s="93">
        <v>4176.6025726654398</v>
      </c>
      <c r="H668" s="93">
        <v>15350.223646706499</v>
      </c>
      <c r="I668" s="93">
        <v>2397.5457928860201</v>
      </c>
      <c r="J668" s="93">
        <v>21195.005046611499</v>
      </c>
      <c r="K668" s="93">
        <v>1670.8054364629199</v>
      </c>
      <c r="L668" s="93">
        <v>224.53736562500001</v>
      </c>
      <c r="M668" s="93">
        <v>69099.624607999256</v>
      </c>
      <c r="N668" s="95">
        <v>6.0640250922191996E-2</v>
      </c>
      <c r="O668" s="95">
        <v>0.22287047844583388</v>
      </c>
      <c r="P668" s="95">
        <v>0.38449970229054042</v>
      </c>
      <c r="Q668" s="95">
        <v>0.30773108093533746</v>
      </c>
      <c r="R668" s="96">
        <v>2.4258487406096301E-2</v>
      </c>
    </row>
    <row r="669" spans="1:18" ht="15.75" hidden="1" customHeight="1" x14ac:dyDescent="0.3">
      <c r="A669" s="89">
        <v>2021</v>
      </c>
      <c r="B669" s="90">
        <v>1</v>
      </c>
      <c r="C669" s="90" t="s">
        <v>718</v>
      </c>
      <c r="D669" s="90" t="s">
        <v>722</v>
      </c>
      <c r="E669" s="98" t="s">
        <v>11</v>
      </c>
      <c r="F669" s="99" t="s">
        <v>58</v>
      </c>
      <c r="G669" s="93">
        <v>430.25954143688699</v>
      </c>
      <c r="H669" s="93">
        <v>10702.968628414499</v>
      </c>
      <c r="I669" s="93">
        <v>2397.5457928860201</v>
      </c>
      <c r="J669" s="93">
        <v>203343.528471483</v>
      </c>
      <c r="K669" s="93">
        <v>16606.198009183601</v>
      </c>
      <c r="L669" s="93">
        <v>1865.3828162392699</v>
      </c>
      <c r="M669" s="93">
        <v>367347.2684281863</v>
      </c>
      <c r="N669" s="95">
        <v>1.177239032562391E-3</v>
      </c>
      <c r="O669" s="95">
        <v>2.9284539261074216E-2</v>
      </c>
      <c r="P669" s="95">
        <v>0.36773075835590935</v>
      </c>
      <c r="Q669" s="95">
        <v>0.55637101721474758</v>
      </c>
      <c r="R669" s="96">
        <v>4.5436446135706292E-2</v>
      </c>
    </row>
    <row r="670" spans="1:18" ht="15.75" hidden="1" customHeight="1" x14ac:dyDescent="0.3">
      <c r="A670" s="89">
        <v>2021</v>
      </c>
      <c r="B670" s="90">
        <v>1</v>
      </c>
      <c r="C670" s="90" t="s">
        <v>718</v>
      </c>
      <c r="D670" s="90" t="s">
        <v>722</v>
      </c>
      <c r="E670" s="98" t="s">
        <v>11</v>
      </c>
      <c r="F670" s="99" t="s">
        <v>44</v>
      </c>
      <c r="G670" s="93">
        <v>5600.8256809972199</v>
      </c>
      <c r="H670" s="93">
        <v>39500.236404183597</v>
      </c>
      <c r="I670" s="93">
        <v>2397.5457928860201</v>
      </c>
      <c r="J670" s="93">
        <v>42800.579385910001</v>
      </c>
      <c r="K670" s="93">
        <v>3991.30817677082</v>
      </c>
      <c r="L670" s="93">
        <v>3650.03200053614</v>
      </c>
      <c r="M670" s="93">
        <v>181216.69560750085</v>
      </c>
      <c r="N670" s="95">
        <v>3.1542101243701791E-2</v>
      </c>
      <c r="O670" s="95">
        <v>0.22245299653551792</v>
      </c>
      <c r="P670" s="95">
        <v>0.48248760335294549</v>
      </c>
      <c r="Q670" s="95">
        <v>0.24103949759762919</v>
      </c>
      <c r="R670" s="96">
        <v>2.24778012702057E-2</v>
      </c>
    </row>
    <row r="671" spans="1:18" ht="15.75" hidden="1" customHeight="1" x14ac:dyDescent="0.3">
      <c r="A671" s="89">
        <v>2021</v>
      </c>
      <c r="B671" s="90">
        <v>1</v>
      </c>
      <c r="C671" s="90" t="s">
        <v>718</v>
      </c>
      <c r="D671" s="90" t="s">
        <v>722</v>
      </c>
      <c r="E671" s="98" t="s">
        <v>11</v>
      </c>
      <c r="F671" s="99" t="s">
        <v>51</v>
      </c>
      <c r="G671" s="93">
        <v>9720.4816384895403</v>
      </c>
      <c r="H671" s="93">
        <v>32997.377013389902</v>
      </c>
      <c r="I671" s="93">
        <v>2397.5457928860201</v>
      </c>
      <c r="J671" s="93">
        <v>68618.233799199996</v>
      </c>
      <c r="K671" s="93">
        <v>11953.962608134199</v>
      </c>
      <c r="L671" s="93">
        <v>3044.5920310094898</v>
      </c>
      <c r="M671" s="93">
        <v>211202.40923547675</v>
      </c>
      <c r="N671" s="95">
        <v>4.6697653583393409E-2</v>
      </c>
      <c r="O671" s="95">
        <v>0.15852095999343399</v>
      </c>
      <c r="P671" s="95">
        <v>0.40770874370713883</v>
      </c>
      <c r="Q671" s="95">
        <v>0.3296452409077596</v>
      </c>
      <c r="R671" s="96">
        <v>5.7427401808274041E-2</v>
      </c>
    </row>
    <row r="672" spans="1:18" ht="15.75" hidden="1" customHeight="1" x14ac:dyDescent="0.3">
      <c r="A672" s="89">
        <v>2021</v>
      </c>
      <c r="B672" s="90">
        <v>1</v>
      </c>
      <c r="C672" s="90" t="s">
        <v>718</v>
      </c>
      <c r="D672" s="90" t="s">
        <v>722</v>
      </c>
      <c r="E672" s="98" t="s">
        <v>11</v>
      </c>
      <c r="F672" s="99" t="s">
        <v>45</v>
      </c>
      <c r="G672" s="93">
        <v>1971.5932976179499</v>
      </c>
      <c r="H672" s="93">
        <v>6329.5685243888001</v>
      </c>
      <c r="I672" s="93">
        <v>2397.5457928860201</v>
      </c>
      <c r="J672" s="93">
        <v>47581.677963374103</v>
      </c>
      <c r="K672" s="93">
        <v>6543.6679471461703</v>
      </c>
      <c r="L672" s="93">
        <v>1130.1102413281201</v>
      </c>
      <c r="M672" s="93">
        <v>84883.861538704936</v>
      </c>
      <c r="N672" s="95">
        <v>2.3540358098320793E-2</v>
      </c>
      <c r="O672" s="95">
        <v>7.5573552543515068E-2</v>
      </c>
      <c r="P672" s="95">
        <v>0.25464224866925778</v>
      </c>
      <c r="Q672" s="95">
        <v>0.56811399162803078</v>
      </c>
      <c r="R672" s="96">
        <v>7.8129849060875667E-2</v>
      </c>
    </row>
    <row r="673" spans="1:18" ht="15.75" hidden="1" customHeight="1" x14ac:dyDescent="0.3">
      <c r="A673" s="89">
        <v>2021</v>
      </c>
      <c r="B673" s="90">
        <v>1</v>
      </c>
      <c r="C673" s="90" t="s">
        <v>718</v>
      </c>
      <c r="D673" s="90" t="s">
        <v>722</v>
      </c>
      <c r="E673" s="98" t="s">
        <v>11</v>
      </c>
      <c r="F673" s="99" t="s">
        <v>721</v>
      </c>
      <c r="G673" s="93">
        <v>589.00744794730394</v>
      </c>
      <c r="H673" s="93">
        <v>5043.7267988740696</v>
      </c>
      <c r="I673" s="93">
        <v>2397.5457928860201</v>
      </c>
      <c r="J673" s="93">
        <v>212050.495606351</v>
      </c>
      <c r="K673" s="93">
        <v>27631.278397221398</v>
      </c>
      <c r="L673" s="93">
        <v>2258.5294979457699</v>
      </c>
      <c r="M673" s="93">
        <v>309326.5129446658</v>
      </c>
      <c r="N673" s="95">
        <v>1.9181662683810988E-3</v>
      </c>
      <c r="O673" s="95">
        <v>1.6425440198161254E-2</v>
      </c>
      <c r="P673" s="95">
        <v>0.2011068510079338</v>
      </c>
      <c r="Q673" s="95">
        <v>0.69056530487537571</v>
      </c>
      <c r="R673" s="96">
        <v>8.9984237650148111E-2</v>
      </c>
    </row>
    <row r="674" spans="1:18" ht="15.75" hidden="1" customHeight="1" x14ac:dyDescent="0.3">
      <c r="A674" s="89">
        <v>2021</v>
      </c>
      <c r="B674" s="90">
        <v>1</v>
      </c>
      <c r="C674" s="90" t="s">
        <v>718</v>
      </c>
      <c r="D674" s="90" t="s">
        <v>722</v>
      </c>
      <c r="E674" s="98" t="s">
        <v>11</v>
      </c>
      <c r="F674" s="99" t="s">
        <v>46</v>
      </c>
      <c r="G674" s="93">
        <v>11327.4944956036</v>
      </c>
      <c r="H674" s="93">
        <v>44059.126883983503</v>
      </c>
      <c r="I674" s="93">
        <v>2397.5457928860201</v>
      </c>
      <c r="J674" s="93">
        <v>22671.513349437799</v>
      </c>
      <c r="K674" s="93">
        <v>4125.5398919469899</v>
      </c>
      <c r="L674" s="93">
        <v>5908.9169733440103</v>
      </c>
      <c r="M674" s="93">
        <v>149075.00300839031</v>
      </c>
      <c r="N674" s="95">
        <v>7.9121353452595536E-2</v>
      </c>
      <c r="O674" s="95">
        <v>0.30774835091320485</v>
      </c>
      <c r="P674" s="95">
        <v>0.42595570712987313</v>
      </c>
      <c r="Q674" s="95">
        <v>0.15835812780331185</v>
      </c>
      <c r="R674" s="96">
        <v>2.8816460701014623E-2</v>
      </c>
    </row>
    <row r="675" spans="1:18" ht="15.75" hidden="1" customHeight="1" x14ac:dyDescent="0.3">
      <c r="A675" s="89">
        <v>2021</v>
      </c>
      <c r="B675" s="90">
        <v>1</v>
      </c>
      <c r="C675" s="90" t="s">
        <v>718</v>
      </c>
      <c r="D675" s="90" t="s">
        <v>722</v>
      </c>
      <c r="E675" s="98" t="s">
        <v>11</v>
      </c>
      <c r="F675" s="99" t="s">
        <v>47</v>
      </c>
      <c r="G675" s="93">
        <v>21531.783193451301</v>
      </c>
      <c r="H675" s="93">
        <v>148566.293665434</v>
      </c>
      <c r="I675" s="93">
        <v>2397.5457928860201</v>
      </c>
      <c r="J675" s="93">
        <v>362201.16348895797</v>
      </c>
      <c r="K675" s="93">
        <v>44956.444939476198</v>
      </c>
      <c r="L675" s="93">
        <v>167570.381549604</v>
      </c>
      <c r="M675" s="93">
        <v>1461770.3581409825</v>
      </c>
      <c r="N675" s="95">
        <v>1.6637137678027943E-2</v>
      </c>
      <c r="O675" s="95">
        <v>0.11479392393185096</v>
      </c>
      <c r="P675" s="95">
        <v>0.55396716448127548</v>
      </c>
      <c r="Q675" s="95">
        <v>0.27986491271844366</v>
      </c>
      <c r="R675" s="96">
        <v>3.4736861190401973E-2</v>
      </c>
    </row>
    <row r="676" spans="1:18" ht="15.75" hidden="1" customHeight="1" x14ac:dyDescent="0.3">
      <c r="A676" s="89">
        <v>2021</v>
      </c>
      <c r="B676" s="90">
        <v>1</v>
      </c>
      <c r="C676" s="90" t="s">
        <v>718</v>
      </c>
      <c r="D676" s="90" t="s">
        <v>722</v>
      </c>
      <c r="E676" s="98" t="s">
        <v>11</v>
      </c>
      <c r="F676" s="99" t="s">
        <v>48</v>
      </c>
      <c r="G676" s="93">
        <v>845.76441071691295</v>
      </c>
      <c r="H676" s="93">
        <v>2112.2957994500598</v>
      </c>
      <c r="I676" s="93">
        <v>2397.5457928860201</v>
      </c>
      <c r="J676" s="93">
        <v>68657.014085156494</v>
      </c>
      <c r="K676" s="93">
        <v>10419.953411496601</v>
      </c>
      <c r="L676" s="93">
        <v>772.95058374080895</v>
      </c>
      <c r="M676" s="93">
        <v>101796.59540720287</v>
      </c>
      <c r="N676" s="95">
        <v>8.3719451242813391E-3</v>
      </c>
      <c r="O676" s="95">
        <v>2.0908924867453341E-2</v>
      </c>
      <c r="P676" s="95">
        <v>0.18796210679019196</v>
      </c>
      <c r="Q676" s="95">
        <v>0.67961331433976702</v>
      </c>
      <c r="R676" s="96">
        <v>0.10314370887830644</v>
      </c>
    </row>
    <row r="677" spans="1:18" ht="15.75" hidden="1" customHeight="1" x14ac:dyDescent="0.3">
      <c r="A677" s="89">
        <v>2021</v>
      </c>
      <c r="B677" s="90">
        <v>2</v>
      </c>
      <c r="C677" s="90" t="s">
        <v>723</v>
      </c>
      <c r="D677" s="90" t="s">
        <v>719</v>
      </c>
      <c r="E677" s="98" t="s">
        <v>11</v>
      </c>
      <c r="F677" s="100" t="s">
        <v>12</v>
      </c>
      <c r="G677" s="93">
        <v>47418.15</v>
      </c>
      <c r="H677" s="93">
        <v>135858.42000000001</v>
      </c>
      <c r="I677" s="93">
        <v>2397.5457928860201</v>
      </c>
      <c r="J677" s="93">
        <v>28506.12</v>
      </c>
      <c r="K677" s="93">
        <v>897.53</v>
      </c>
      <c r="L677" s="93">
        <v>78700.820000000007</v>
      </c>
      <c r="M677" s="93">
        <v>433311.49000000005</v>
      </c>
      <c r="N677" s="95">
        <v>0.13371890360772279</v>
      </c>
      <c r="O677" s="95">
        <v>0.38311994390918919</v>
      </c>
      <c r="P677" s="95">
        <v>0.4002430327322074</v>
      </c>
      <c r="Q677" s="95">
        <v>8.038709043921323E-2</v>
      </c>
      <c r="R677" s="96">
        <v>2.5310293116673557E-3</v>
      </c>
    </row>
    <row r="678" spans="1:18" ht="15.75" hidden="1" customHeight="1" x14ac:dyDescent="0.3">
      <c r="A678" s="89">
        <v>2021</v>
      </c>
      <c r="B678" s="90">
        <v>2</v>
      </c>
      <c r="C678" s="90" t="s">
        <v>723</v>
      </c>
      <c r="D678" s="90" t="s">
        <v>719</v>
      </c>
      <c r="E678" s="98" t="s">
        <v>11</v>
      </c>
      <c r="F678" s="100" t="s">
        <v>26</v>
      </c>
      <c r="G678" s="93">
        <v>459151.4</v>
      </c>
      <c r="H678" s="93">
        <v>352352.19</v>
      </c>
      <c r="I678" s="93">
        <v>2397.5457928860201</v>
      </c>
      <c r="J678" s="93">
        <v>25187.22</v>
      </c>
      <c r="K678" s="93">
        <v>720.08</v>
      </c>
      <c r="L678" s="93">
        <v>289901.44</v>
      </c>
      <c r="M678" s="93">
        <v>1302393.31</v>
      </c>
      <c r="N678" s="95">
        <v>0.45348650552621228</v>
      </c>
      <c r="O678" s="95">
        <v>0.34800495731387948</v>
      </c>
      <c r="P678" s="95">
        <v>0.17292087491033387</v>
      </c>
      <c r="Q678" s="95">
        <v>2.4876466415478478E-2</v>
      </c>
      <c r="R678" s="96">
        <v>7.1119583409593205E-4</v>
      </c>
    </row>
    <row r="679" spans="1:18" ht="15.75" hidden="1" customHeight="1" x14ac:dyDescent="0.3">
      <c r="A679" s="89">
        <v>2021</v>
      </c>
      <c r="B679" s="90">
        <v>2</v>
      </c>
      <c r="C679" s="90" t="s">
        <v>723</v>
      </c>
      <c r="D679" s="90" t="s">
        <v>719</v>
      </c>
      <c r="E679" s="98" t="s">
        <v>11</v>
      </c>
      <c r="F679" s="100" t="s">
        <v>27</v>
      </c>
      <c r="G679" s="93">
        <v>45340.26</v>
      </c>
      <c r="H679" s="93">
        <v>127852.49</v>
      </c>
      <c r="I679" s="93">
        <v>2397.5457928860201</v>
      </c>
      <c r="J679" s="93">
        <v>5184.42</v>
      </c>
      <c r="K679" s="93">
        <v>747.01</v>
      </c>
      <c r="L679" s="93">
        <v>22063.359999999997</v>
      </c>
      <c r="M679" s="93">
        <v>226689.61000000002</v>
      </c>
      <c r="N679" s="95">
        <v>0.2215759708248575</v>
      </c>
      <c r="O679" s="95">
        <v>0.62480981789970735</v>
      </c>
      <c r="P679" s="95">
        <v>0.12462755878094817</v>
      </c>
      <c r="Q679" s="95">
        <v>2.5336045595323178E-2</v>
      </c>
      <c r="R679" s="96">
        <v>3.6506068991637186E-3</v>
      </c>
    </row>
    <row r="680" spans="1:18" ht="15.75" hidden="1" customHeight="1" x14ac:dyDescent="0.3">
      <c r="A680" s="89">
        <v>2021</v>
      </c>
      <c r="B680" s="90">
        <v>2</v>
      </c>
      <c r="C680" s="90" t="s">
        <v>723</v>
      </c>
      <c r="D680" s="90" t="s">
        <v>719</v>
      </c>
      <c r="E680" s="98" t="s">
        <v>11</v>
      </c>
      <c r="F680" s="100" t="s">
        <v>28</v>
      </c>
      <c r="G680" s="93">
        <v>32281.35</v>
      </c>
      <c r="H680" s="93">
        <v>224805.13</v>
      </c>
      <c r="I680" s="93">
        <v>2397.5457928860201</v>
      </c>
      <c r="J680" s="93">
        <v>5156.7700000000004</v>
      </c>
      <c r="K680" s="93">
        <v>37.54</v>
      </c>
      <c r="L680" s="93">
        <v>4285.07</v>
      </c>
      <c r="M680" s="93">
        <v>373104.58</v>
      </c>
      <c r="N680" s="95">
        <v>8.7526145241069261E-2</v>
      </c>
      <c r="O680" s="95">
        <v>0.60952613379915832</v>
      </c>
      <c r="P680" s="95">
        <v>0.28886411133727713</v>
      </c>
      <c r="Q680" s="95">
        <v>1.3981825419159632E-2</v>
      </c>
      <c r="R680" s="96">
        <v>1.017842033356641E-4</v>
      </c>
    </row>
    <row r="681" spans="1:18" ht="15.75" customHeight="1" x14ac:dyDescent="0.3">
      <c r="A681" s="89">
        <v>2021</v>
      </c>
      <c r="B681" s="90">
        <v>2</v>
      </c>
      <c r="C681" s="90" t="s">
        <v>723</v>
      </c>
      <c r="D681" s="90" t="s">
        <v>719</v>
      </c>
      <c r="E681" s="98" t="s">
        <v>11</v>
      </c>
      <c r="F681" s="100" t="s">
        <v>29</v>
      </c>
      <c r="G681" s="93">
        <v>60577.55</v>
      </c>
      <c r="H681" s="93">
        <v>115827.67</v>
      </c>
      <c r="I681" s="93">
        <v>2397.5457928860201</v>
      </c>
      <c r="J681" s="93">
        <v>12032</v>
      </c>
      <c r="K681" s="93">
        <v>358.67</v>
      </c>
      <c r="L681" s="93">
        <v>94087.34</v>
      </c>
      <c r="M681" s="93">
        <v>354392.05000000005</v>
      </c>
      <c r="N681" s="95">
        <v>0.23271784056462136</v>
      </c>
      <c r="O681" s="95">
        <v>0.44496955126167326</v>
      </c>
      <c r="P681" s="95">
        <v>0.27471197121250707</v>
      </c>
      <c r="Q681" s="95">
        <v>4.6222751789623782E-2</v>
      </c>
      <c r="R681" s="96">
        <v>1.3778851715744982E-3</v>
      </c>
    </row>
    <row r="682" spans="1:18" ht="15.75" hidden="1" customHeight="1" x14ac:dyDescent="0.3">
      <c r="A682" s="89">
        <v>2021</v>
      </c>
      <c r="B682" s="90">
        <v>2</v>
      </c>
      <c r="C682" s="90" t="s">
        <v>723</v>
      </c>
      <c r="D682" s="90" t="s">
        <v>719</v>
      </c>
      <c r="E682" s="98" t="s">
        <v>11</v>
      </c>
      <c r="F682" s="100" t="s">
        <v>30</v>
      </c>
      <c r="G682" s="93">
        <v>1000.29</v>
      </c>
      <c r="H682" s="93">
        <v>5456.6</v>
      </c>
      <c r="I682" s="93">
        <v>2397.5457928860201</v>
      </c>
      <c r="J682" s="93">
        <v>1981.55</v>
      </c>
      <c r="K682" s="93">
        <v>144</v>
      </c>
      <c r="L682" s="93">
        <v>215858.24000000002</v>
      </c>
      <c r="M682" s="93">
        <v>230086.51</v>
      </c>
      <c r="N682" s="95">
        <v>7.0302995374701208E-2</v>
      </c>
      <c r="O682" s="95">
        <v>0.3835041083701673</v>
      </c>
      <c r="P682" s="95">
        <v>0.39680368730703031</v>
      </c>
      <c r="Q682" s="95">
        <v>0.1392685126160805</v>
      </c>
      <c r="R682" s="96">
        <v>1.0120696332020689E-2</v>
      </c>
    </row>
    <row r="683" spans="1:18" ht="15.75" hidden="1" customHeight="1" x14ac:dyDescent="0.3">
      <c r="A683" s="89">
        <v>2021</v>
      </c>
      <c r="B683" s="90">
        <v>2</v>
      </c>
      <c r="C683" s="90" t="s">
        <v>723</v>
      </c>
      <c r="D683" s="90" t="s">
        <v>719</v>
      </c>
      <c r="E683" s="98" t="s">
        <v>11</v>
      </c>
      <c r="F683" s="100" t="s">
        <v>31</v>
      </c>
      <c r="G683" s="93">
        <v>16829.75</v>
      </c>
      <c r="H683" s="93">
        <v>126762.85</v>
      </c>
      <c r="I683" s="93">
        <v>2397.5457928860201</v>
      </c>
      <c r="J683" s="93">
        <v>12688.86</v>
      </c>
      <c r="K683" s="93">
        <v>3482.28</v>
      </c>
      <c r="L683" s="93">
        <v>45081.52</v>
      </c>
      <c r="M683" s="93">
        <v>251948.70999999996</v>
      </c>
      <c r="N683" s="95">
        <v>8.1355337209346748E-2</v>
      </c>
      <c r="O683" s="95">
        <v>0.61277407016550101</v>
      </c>
      <c r="P683" s="95">
        <v>0.22769898890201004</v>
      </c>
      <c r="Q683" s="95">
        <v>6.1338194809916459E-2</v>
      </c>
      <c r="R683" s="96">
        <v>1.6833408913225923E-2</v>
      </c>
    </row>
    <row r="684" spans="1:18" ht="15.75" hidden="1" customHeight="1" x14ac:dyDescent="0.3">
      <c r="A684" s="89">
        <v>2021</v>
      </c>
      <c r="B684" s="90">
        <v>2</v>
      </c>
      <c r="C684" s="90" t="s">
        <v>723</v>
      </c>
      <c r="D684" s="90" t="s">
        <v>719</v>
      </c>
      <c r="E684" s="98" t="s">
        <v>11</v>
      </c>
      <c r="F684" s="100" t="s">
        <v>32</v>
      </c>
      <c r="G684" s="93">
        <v>176715.12</v>
      </c>
      <c r="H684" s="93">
        <v>283984.64000000001</v>
      </c>
      <c r="I684" s="93">
        <v>2397.5457928860201</v>
      </c>
      <c r="J684" s="93">
        <v>11801.1</v>
      </c>
      <c r="K684" s="93">
        <v>801.09</v>
      </c>
      <c r="L684" s="93">
        <v>46430.67</v>
      </c>
      <c r="M684" s="93">
        <v>609521.79</v>
      </c>
      <c r="N684" s="95">
        <v>0.31383041522658001</v>
      </c>
      <c r="O684" s="95">
        <v>0.50433159024067009</v>
      </c>
      <c r="P684" s="95">
        <v>0.15945762028710381</v>
      </c>
      <c r="Q684" s="95">
        <v>2.0957709295788576E-2</v>
      </c>
      <c r="R684" s="96">
        <v>1.4226649498574938E-3</v>
      </c>
    </row>
    <row r="685" spans="1:18" ht="15.75" hidden="1" customHeight="1" x14ac:dyDescent="0.3">
      <c r="A685" s="89">
        <v>2021</v>
      </c>
      <c r="B685" s="90">
        <v>2</v>
      </c>
      <c r="C685" s="90" t="s">
        <v>723</v>
      </c>
      <c r="D685" s="90" t="s">
        <v>719</v>
      </c>
      <c r="E685" s="98" t="s">
        <v>11</v>
      </c>
      <c r="F685" s="100" t="s">
        <v>33</v>
      </c>
      <c r="G685" s="93">
        <v>439352.32000000001</v>
      </c>
      <c r="H685" s="93">
        <v>472248.53</v>
      </c>
      <c r="I685" s="93">
        <v>2397.5457928860201</v>
      </c>
      <c r="J685" s="93">
        <v>66273.25</v>
      </c>
      <c r="K685" s="93">
        <v>1582.89</v>
      </c>
      <c r="L685" s="93">
        <v>47142.12</v>
      </c>
      <c r="M685" s="93">
        <v>1352056.79</v>
      </c>
      <c r="N685" s="95">
        <v>0.33669045961449728</v>
      </c>
      <c r="O685" s="95">
        <v>0.36189993174036433</v>
      </c>
      <c r="P685" s="95">
        <v>0.24940916634801877</v>
      </c>
      <c r="Q685" s="95">
        <v>5.0787420452557255E-2</v>
      </c>
      <c r="R685" s="96">
        <v>1.2130218445624496E-3</v>
      </c>
    </row>
    <row r="686" spans="1:18" ht="15.75" hidden="1" customHeight="1" x14ac:dyDescent="0.3">
      <c r="A686" s="89">
        <v>2021</v>
      </c>
      <c r="B686" s="90">
        <v>2</v>
      </c>
      <c r="C686" s="90" t="s">
        <v>723</v>
      </c>
      <c r="D686" s="90" t="s">
        <v>719</v>
      </c>
      <c r="E686" s="98" t="s">
        <v>11</v>
      </c>
      <c r="F686" s="100" t="s">
        <v>34</v>
      </c>
      <c r="G686" s="93">
        <v>174857.83</v>
      </c>
      <c r="H686" s="93">
        <v>252155.04</v>
      </c>
      <c r="I686" s="93">
        <v>2397.5457928860201</v>
      </c>
      <c r="J686" s="93">
        <v>32343.95</v>
      </c>
      <c r="K686" s="93">
        <v>1501.29</v>
      </c>
      <c r="L686" s="93">
        <v>77992.44</v>
      </c>
      <c r="M686" s="93">
        <v>713628.83000000007</v>
      </c>
      <c r="N686" s="95">
        <v>0.27509096828141005</v>
      </c>
      <c r="O686" s="95">
        <v>0.39669698583493623</v>
      </c>
      <c r="P686" s="95">
        <v>0.27496581811497606</v>
      </c>
      <c r="Q686" s="95">
        <v>5.0884358587462243E-2</v>
      </c>
      <c r="R686" s="96">
        <v>2.3618691812153799E-3</v>
      </c>
    </row>
    <row r="687" spans="1:18" ht="15.75" hidden="1" customHeight="1" x14ac:dyDescent="0.3">
      <c r="A687" s="89">
        <v>2021</v>
      </c>
      <c r="B687" s="90">
        <v>2</v>
      </c>
      <c r="C687" s="90" t="s">
        <v>723</v>
      </c>
      <c r="D687" s="90" t="s">
        <v>719</v>
      </c>
      <c r="E687" s="98" t="s">
        <v>11</v>
      </c>
      <c r="F687" s="100" t="s">
        <v>35</v>
      </c>
      <c r="G687" s="93">
        <v>34914.44</v>
      </c>
      <c r="H687" s="93">
        <v>135987.17000000001</v>
      </c>
      <c r="I687" s="93">
        <v>2397.5457928860201</v>
      </c>
      <c r="J687" s="93">
        <v>46464.73</v>
      </c>
      <c r="K687" s="93">
        <v>8397.99</v>
      </c>
      <c r="L687" s="93">
        <v>240572.81</v>
      </c>
      <c r="M687" s="93">
        <v>605861.17999999993</v>
      </c>
      <c r="N687" s="95">
        <v>9.5580486178631976E-2</v>
      </c>
      <c r="O687" s="95">
        <v>0.37227347259919613</v>
      </c>
      <c r="P687" s="95">
        <v>0.38195587776309442</v>
      </c>
      <c r="Q687" s="95">
        <v>0.12720013506041816</v>
      </c>
      <c r="R687" s="96">
        <v>2.2990028398659393E-2</v>
      </c>
    </row>
    <row r="688" spans="1:18" ht="15.75" hidden="1" customHeight="1" x14ac:dyDescent="0.3">
      <c r="A688" s="89">
        <v>2021</v>
      </c>
      <c r="B688" s="90">
        <v>2</v>
      </c>
      <c r="C688" s="90" t="s">
        <v>723</v>
      </c>
      <c r="D688" s="90" t="s">
        <v>719</v>
      </c>
      <c r="E688" s="98" t="s">
        <v>11</v>
      </c>
      <c r="F688" s="100" t="s">
        <v>36</v>
      </c>
      <c r="G688" s="93">
        <v>73086.58</v>
      </c>
      <c r="H688" s="93">
        <v>98686.19</v>
      </c>
      <c r="I688" s="93">
        <v>2397.5457928860201</v>
      </c>
      <c r="J688" s="93">
        <v>5616.35</v>
      </c>
      <c r="K688" s="93">
        <v>18.920000000000002</v>
      </c>
      <c r="L688" s="93">
        <v>47805.26</v>
      </c>
      <c r="M688" s="93">
        <v>258886.87000000005</v>
      </c>
      <c r="N688" s="95">
        <v>0.34624797489463904</v>
      </c>
      <c r="O688" s="95">
        <v>0.46752623310007907</v>
      </c>
      <c r="P688" s="95">
        <v>0.1595286770837118</v>
      </c>
      <c r="Q688" s="95">
        <v>2.6607481343353404E-2</v>
      </c>
      <c r="R688" s="96">
        <v>8.9633578216501183E-5</v>
      </c>
    </row>
    <row r="689" spans="1:18" ht="15.75" hidden="1" customHeight="1" x14ac:dyDescent="0.3">
      <c r="A689" s="89">
        <v>2021</v>
      </c>
      <c r="B689" s="90">
        <v>2</v>
      </c>
      <c r="C689" s="90" t="s">
        <v>723</v>
      </c>
      <c r="D689" s="90" t="s">
        <v>719</v>
      </c>
      <c r="E689" s="98" t="s">
        <v>11</v>
      </c>
      <c r="F689" s="100" t="s">
        <v>37</v>
      </c>
      <c r="G689" s="93">
        <v>154135.54</v>
      </c>
      <c r="H689" s="93">
        <v>136149.82999999999</v>
      </c>
      <c r="I689" s="93">
        <v>2397.5457928860201</v>
      </c>
      <c r="J689" s="93">
        <v>8210.67</v>
      </c>
      <c r="K689" s="93">
        <v>71.540000000000006</v>
      </c>
      <c r="L689" s="93">
        <v>179776.22999999998</v>
      </c>
      <c r="M689" s="93">
        <v>524073.84999999992</v>
      </c>
      <c r="N689" s="95">
        <v>0.44768110799023253</v>
      </c>
      <c r="O689" s="95">
        <v>0.39544226300489677</v>
      </c>
      <c r="P689" s="95">
        <v>0.13282124924360503</v>
      </c>
      <c r="Q689" s="95">
        <v>2.3847594415552457E-2</v>
      </c>
      <c r="R689" s="96">
        <v>2.0778534571339768E-4</v>
      </c>
    </row>
    <row r="690" spans="1:18" ht="15.75" hidden="1" customHeight="1" x14ac:dyDescent="0.3">
      <c r="A690" s="89">
        <v>2021</v>
      </c>
      <c r="B690" s="90">
        <v>2</v>
      </c>
      <c r="C690" s="90" t="s">
        <v>723</v>
      </c>
      <c r="D690" s="90" t="s">
        <v>719</v>
      </c>
      <c r="E690" s="98" t="s">
        <v>11</v>
      </c>
      <c r="F690" s="100" t="s">
        <v>720</v>
      </c>
      <c r="G690" s="93">
        <v>57500.27</v>
      </c>
      <c r="H690" s="93">
        <v>151083.38</v>
      </c>
      <c r="I690" s="93">
        <v>2397.5457928860201</v>
      </c>
      <c r="J690" s="93">
        <v>170016.46</v>
      </c>
      <c r="K690" s="93">
        <v>5051.1899999999996</v>
      </c>
      <c r="L690" s="93">
        <v>194245.29</v>
      </c>
      <c r="M690" s="93">
        <v>927958.40999999992</v>
      </c>
      <c r="N690" s="95">
        <v>7.8368872564252373E-2</v>
      </c>
      <c r="O690" s="95">
        <v>0.20591614880758849</v>
      </c>
      <c r="P690" s="95">
        <v>0.47710993637404231</v>
      </c>
      <c r="Q690" s="95">
        <v>0.23172062126952292</v>
      </c>
      <c r="R690" s="96">
        <v>6.8844209845940882E-3</v>
      </c>
    </row>
    <row r="691" spans="1:18" ht="15.75" hidden="1" customHeight="1" x14ac:dyDescent="0.3">
      <c r="A691" s="89">
        <v>2021</v>
      </c>
      <c r="B691" s="90">
        <v>2</v>
      </c>
      <c r="C691" s="90" t="s">
        <v>723</v>
      </c>
      <c r="D691" s="90" t="s">
        <v>719</v>
      </c>
      <c r="E691" s="98" t="s">
        <v>11</v>
      </c>
      <c r="F691" s="100" t="s">
        <v>39</v>
      </c>
      <c r="G691" s="93">
        <v>74099.899999999994</v>
      </c>
      <c r="H691" s="93">
        <v>186184.74</v>
      </c>
      <c r="I691" s="93">
        <v>2397.5457928860201</v>
      </c>
      <c r="J691" s="93">
        <v>4092.43</v>
      </c>
      <c r="K691" s="93">
        <v>358.51</v>
      </c>
      <c r="L691" s="93">
        <v>30351.22</v>
      </c>
      <c r="M691" s="93">
        <v>331195.17000000004</v>
      </c>
      <c r="N691" s="95">
        <v>0.24630676468647614</v>
      </c>
      <c r="O691" s="95">
        <v>0.61887480203607215</v>
      </c>
      <c r="P691" s="95">
        <v>0.1200235869792296</v>
      </c>
      <c r="Q691" s="95">
        <v>1.3603165361975866E-2</v>
      </c>
      <c r="R691" s="96">
        <v>1.1916809362461833E-3</v>
      </c>
    </row>
    <row r="692" spans="1:18" ht="15.75" hidden="1" customHeight="1" x14ac:dyDescent="0.3">
      <c r="A692" s="89">
        <v>2021</v>
      </c>
      <c r="B692" s="90">
        <v>2</v>
      </c>
      <c r="C692" s="90" t="s">
        <v>723</v>
      </c>
      <c r="D692" s="90" t="s">
        <v>719</v>
      </c>
      <c r="E692" s="98" t="s">
        <v>11</v>
      </c>
      <c r="F692" s="100" t="s">
        <v>40</v>
      </c>
      <c r="G692" s="93">
        <v>41448.82</v>
      </c>
      <c r="H692" s="93">
        <v>165312.24</v>
      </c>
      <c r="I692" s="93">
        <v>2397.5457928860201</v>
      </c>
      <c r="J692" s="93">
        <v>6559.44</v>
      </c>
      <c r="K692" s="93">
        <v>78.849999999999994</v>
      </c>
      <c r="L692" s="93">
        <v>9168.02</v>
      </c>
      <c r="M692" s="93">
        <v>326305.01999999996</v>
      </c>
      <c r="N692" s="95">
        <v>0.13069689124889244</v>
      </c>
      <c r="O692" s="95">
        <v>0.52126443776664355</v>
      </c>
      <c r="P692" s="95">
        <v>0.32710673935869988</v>
      </c>
      <c r="Q692" s="95">
        <v>2.0683300907809562E-2</v>
      </c>
      <c r="R692" s="96">
        <v>2.4863071795470102E-4</v>
      </c>
    </row>
    <row r="693" spans="1:18" ht="15.75" hidden="1" customHeight="1" x14ac:dyDescent="0.3">
      <c r="A693" s="89">
        <v>2021</v>
      </c>
      <c r="B693" s="90">
        <v>2</v>
      </c>
      <c r="C693" s="90" t="s">
        <v>723</v>
      </c>
      <c r="D693" s="90" t="s">
        <v>719</v>
      </c>
      <c r="E693" s="98" t="s">
        <v>11</v>
      </c>
      <c r="F693" s="100" t="s">
        <v>41</v>
      </c>
      <c r="G693" s="93">
        <v>2517.84</v>
      </c>
      <c r="H693" s="93">
        <v>7140.16</v>
      </c>
      <c r="I693" s="93">
        <v>2397.5457928860201</v>
      </c>
      <c r="J693" s="93">
        <v>722.84</v>
      </c>
      <c r="K693" s="93">
        <v>42.44</v>
      </c>
      <c r="L693" s="93">
        <v>4483.8500000000004</v>
      </c>
      <c r="M693" s="93">
        <v>18714.330000000002</v>
      </c>
      <c r="N693" s="95">
        <v>0.17693289333880516</v>
      </c>
      <c r="O693" s="95">
        <v>0.50175117072649689</v>
      </c>
      <c r="P693" s="95">
        <v>0.26753841051039734</v>
      </c>
      <c r="Q693" s="95">
        <v>5.0795194540170112E-2</v>
      </c>
      <c r="R693" s="96">
        <v>2.9823308841304013E-3</v>
      </c>
    </row>
    <row r="694" spans="1:18" ht="15.75" hidden="1" customHeight="1" x14ac:dyDescent="0.3">
      <c r="A694" s="89">
        <v>2021</v>
      </c>
      <c r="B694" s="90">
        <v>2</v>
      </c>
      <c r="C694" s="90" t="s">
        <v>723</v>
      </c>
      <c r="D694" s="90" t="s">
        <v>719</v>
      </c>
      <c r="E694" s="98" t="s">
        <v>11</v>
      </c>
      <c r="F694" s="100" t="s">
        <v>42</v>
      </c>
      <c r="G694" s="93">
        <v>93417.75</v>
      </c>
      <c r="H694" s="93">
        <v>264777.57</v>
      </c>
      <c r="I694" s="93">
        <v>2397.5457928860201</v>
      </c>
      <c r="J694" s="93">
        <v>57530.54</v>
      </c>
      <c r="K694" s="93">
        <v>15514.99</v>
      </c>
      <c r="L694" s="93">
        <v>53834.720000000001</v>
      </c>
      <c r="M694" s="93">
        <v>620824.32999999996</v>
      </c>
      <c r="N694" s="95">
        <v>0.16476095567253871</v>
      </c>
      <c r="O694" s="95">
        <v>0.46698839860575225</v>
      </c>
      <c r="P694" s="95">
        <v>0.2394201897279917</v>
      </c>
      <c r="Q694" s="95">
        <v>0.10146665650539875</v>
      </c>
      <c r="R694" s="96">
        <v>2.7363799488318668E-2</v>
      </c>
    </row>
    <row r="695" spans="1:18" ht="15.75" hidden="1" customHeight="1" x14ac:dyDescent="0.3">
      <c r="A695" s="89">
        <v>2021</v>
      </c>
      <c r="B695" s="90">
        <v>2</v>
      </c>
      <c r="C695" s="90" t="s">
        <v>723</v>
      </c>
      <c r="D695" s="90" t="s">
        <v>719</v>
      </c>
      <c r="E695" s="98" t="s">
        <v>11</v>
      </c>
      <c r="F695" s="100" t="s">
        <v>43</v>
      </c>
      <c r="G695" s="93">
        <v>11812.83</v>
      </c>
      <c r="H695" s="93">
        <v>30626.74</v>
      </c>
      <c r="I695" s="93">
        <v>2397.5457928860201</v>
      </c>
      <c r="J695" s="93">
        <v>9682.5300000000007</v>
      </c>
      <c r="K695" s="93">
        <v>761.91</v>
      </c>
      <c r="L695" s="93">
        <v>115739.42</v>
      </c>
      <c r="M695" s="93">
        <v>185575.47</v>
      </c>
      <c r="N695" s="95">
        <v>0.16915088983411861</v>
      </c>
      <c r="O695" s="95">
        <v>0.43855200859727894</v>
      </c>
      <c r="P695" s="95">
        <v>0.24274053300551793</v>
      </c>
      <c r="Q695" s="95">
        <v>0.13864658725686804</v>
      </c>
      <c r="R695" s="96">
        <v>1.0909981306216487E-2</v>
      </c>
    </row>
    <row r="696" spans="1:18" ht="15.75" hidden="1" customHeight="1" x14ac:dyDescent="0.3">
      <c r="A696" s="89">
        <v>2021</v>
      </c>
      <c r="B696" s="90">
        <v>2</v>
      </c>
      <c r="C696" s="90" t="s">
        <v>723</v>
      </c>
      <c r="D696" s="90" t="s">
        <v>719</v>
      </c>
      <c r="E696" s="98" t="s">
        <v>11</v>
      </c>
      <c r="F696" s="100" t="s">
        <v>58</v>
      </c>
      <c r="G696" s="93">
        <v>79297.119999999995</v>
      </c>
      <c r="H696" s="93">
        <v>193712.57</v>
      </c>
      <c r="I696" s="93">
        <v>2397.5457928860201</v>
      </c>
      <c r="J696" s="93">
        <v>3088.25</v>
      </c>
      <c r="K696" s="93">
        <v>27.91</v>
      </c>
      <c r="L696" s="93">
        <v>12083.98</v>
      </c>
      <c r="M696" s="93">
        <v>371477.12999999995</v>
      </c>
      <c r="N696" s="95">
        <v>0.22064171228639168</v>
      </c>
      <c r="O696" s="95">
        <v>0.53899905994312924</v>
      </c>
      <c r="P696" s="95">
        <v>0.23168861176124256</v>
      </c>
      <c r="Q696" s="95">
        <v>8.5929573226423486E-3</v>
      </c>
      <c r="R696" s="96">
        <v>7.7658686594332706E-5</v>
      </c>
    </row>
    <row r="697" spans="1:18" ht="15.75" hidden="1" customHeight="1" x14ac:dyDescent="0.3">
      <c r="A697" s="89">
        <v>2021</v>
      </c>
      <c r="B697" s="90">
        <v>2</v>
      </c>
      <c r="C697" s="90" t="s">
        <v>723</v>
      </c>
      <c r="D697" s="90" t="s">
        <v>719</v>
      </c>
      <c r="E697" s="98" t="s">
        <v>11</v>
      </c>
      <c r="F697" s="100" t="s">
        <v>44</v>
      </c>
      <c r="G697" s="93">
        <v>6450.1</v>
      </c>
      <c r="H697" s="93">
        <v>42637.14</v>
      </c>
      <c r="I697" s="93">
        <v>2397.5457928860201</v>
      </c>
      <c r="J697" s="93">
        <v>22833.37</v>
      </c>
      <c r="K697" s="93">
        <v>210.42</v>
      </c>
      <c r="L697" s="93">
        <v>44158.400000000001</v>
      </c>
      <c r="M697" s="93">
        <v>215729.3</v>
      </c>
      <c r="N697" s="95">
        <v>3.7594370607136759E-2</v>
      </c>
      <c r="O697" s="95">
        <v>0.24851032430324724</v>
      </c>
      <c r="P697" s="95">
        <v>0.57958470812940888</v>
      </c>
      <c r="Q697" s="95">
        <v>0.13308416520517174</v>
      </c>
      <c r="R697" s="96">
        <v>1.2264317550353819E-3</v>
      </c>
    </row>
    <row r="698" spans="1:18" ht="15.75" hidden="1" customHeight="1" x14ac:dyDescent="0.3">
      <c r="A698" s="89">
        <v>2021</v>
      </c>
      <c r="B698" s="90">
        <v>2</v>
      </c>
      <c r="C698" s="90" t="s">
        <v>723</v>
      </c>
      <c r="D698" s="90" t="s">
        <v>719</v>
      </c>
      <c r="E698" s="98" t="s">
        <v>11</v>
      </c>
      <c r="F698" s="100" t="s">
        <v>51</v>
      </c>
      <c r="G698" s="93">
        <v>7571.66</v>
      </c>
      <c r="H698" s="93">
        <v>40519.99</v>
      </c>
      <c r="I698" s="93">
        <v>2397.5457928860201</v>
      </c>
      <c r="J698" s="93">
        <v>48730.3</v>
      </c>
      <c r="K698" s="93">
        <v>9194.91</v>
      </c>
      <c r="L698" s="93">
        <v>5078.05</v>
      </c>
      <c r="M698" s="93">
        <v>211202.41999999995</v>
      </c>
      <c r="N698" s="95">
        <v>3.6733453691089518E-2</v>
      </c>
      <c r="O698" s="95">
        <v>0.19658029761352336</v>
      </c>
      <c r="P698" s="95">
        <v>0.48566557171284508</v>
      </c>
      <c r="Q698" s="95">
        <v>0.23641212341849735</v>
      </c>
      <c r="R698" s="96">
        <v>4.4608553564044862E-2</v>
      </c>
    </row>
    <row r="699" spans="1:18" ht="15.75" hidden="1" customHeight="1" x14ac:dyDescent="0.3">
      <c r="A699" s="89">
        <v>2021</v>
      </c>
      <c r="B699" s="90">
        <v>2</v>
      </c>
      <c r="C699" s="90" t="s">
        <v>723</v>
      </c>
      <c r="D699" s="90" t="s">
        <v>719</v>
      </c>
      <c r="E699" s="98" t="s">
        <v>11</v>
      </c>
      <c r="F699" s="100" t="s">
        <v>45</v>
      </c>
      <c r="G699" s="93">
        <v>12655.35</v>
      </c>
      <c r="H699" s="93">
        <v>29116.240000000002</v>
      </c>
      <c r="I699" s="93">
        <v>2397.5457928860201</v>
      </c>
      <c r="J699" s="93">
        <v>7434.62</v>
      </c>
      <c r="K699" s="93">
        <v>182.47</v>
      </c>
      <c r="L699" s="93">
        <v>54306.62</v>
      </c>
      <c r="M699" s="93">
        <v>134096.09</v>
      </c>
      <c r="N699" s="95">
        <v>0.15860927513367365</v>
      </c>
      <c r="O699" s="95">
        <v>0.36491331500259372</v>
      </c>
      <c r="P699" s="95">
        <v>0.38101255717076454</v>
      </c>
      <c r="Q699" s="95">
        <v>9.31779594475311E-2</v>
      </c>
      <c r="R699" s="96">
        <v>2.286893245437023E-3</v>
      </c>
    </row>
    <row r="700" spans="1:18" ht="15.75" hidden="1" customHeight="1" x14ac:dyDescent="0.3">
      <c r="A700" s="89">
        <v>2021</v>
      </c>
      <c r="B700" s="90">
        <v>2</v>
      </c>
      <c r="C700" s="90" t="s">
        <v>723</v>
      </c>
      <c r="D700" s="90" t="s">
        <v>719</v>
      </c>
      <c r="E700" s="98" t="s">
        <v>11</v>
      </c>
      <c r="F700" s="100" t="s">
        <v>721</v>
      </c>
      <c r="G700" s="93">
        <v>32338.93</v>
      </c>
      <c r="H700" s="93">
        <v>165184.56</v>
      </c>
      <c r="I700" s="93">
        <v>2397.5457928860201</v>
      </c>
      <c r="J700" s="93">
        <v>8117.18</v>
      </c>
      <c r="K700" s="93">
        <v>159.21</v>
      </c>
      <c r="L700" s="93">
        <v>1967.1899999999998</v>
      </c>
      <c r="M700" s="93">
        <v>309330.85000000003</v>
      </c>
      <c r="N700" s="95">
        <v>0.10521390199479014</v>
      </c>
      <c r="O700" s="95">
        <v>0.53742384509606622</v>
      </c>
      <c r="P700" s="95">
        <v>0.33043522451548107</v>
      </c>
      <c r="Q700" s="95">
        <v>2.6409042630478826E-2</v>
      </c>
      <c r="R700" s="96">
        <v>5.1798576318358523E-4</v>
      </c>
    </row>
    <row r="701" spans="1:18" ht="15.75" hidden="1" customHeight="1" x14ac:dyDescent="0.3">
      <c r="A701" s="89">
        <v>2021</v>
      </c>
      <c r="B701" s="90">
        <v>2</v>
      </c>
      <c r="C701" s="90" t="s">
        <v>723</v>
      </c>
      <c r="D701" s="90" t="s">
        <v>719</v>
      </c>
      <c r="E701" s="98" t="s">
        <v>11</v>
      </c>
      <c r="F701" s="100" t="s">
        <v>46</v>
      </c>
      <c r="G701" s="93">
        <v>7490.17</v>
      </c>
      <c r="H701" s="93">
        <v>22545.91</v>
      </c>
      <c r="I701" s="93">
        <v>2397.5457928860201</v>
      </c>
      <c r="J701" s="93">
        <v>29863.65</v>
      </c>
      <c r="K701" s="93">
        <v>5013.97</v>
      </c>
      <c r="L701" s="93">
        <v>12370.59</v>
      </c>
      <c r="M701" s="93">
        <v>149075</v>
      </c>
      <c r="N701" s="95">
        <v>5.4790990283341993E-2</v>
      </c>
      <c r="O701" s="95">
        <v>0.16492452584375294</v>
      </c>
      <c r="P701" s="95">
        <v>0.52515284620298641</v>
      </c>
      <c r="Q701" s="95">
        <v>0.21845418154396043</v>
      </c>
      <c r="R701" s="96">
        <v>3.6677456125958192E-2</v>
      </c>
    </row>
    <row r="702" spans="1:18" ht="15.75" hidden="1" customHeight="1" x14ac:dyDescent="0.3">
      <c r="A702" s="89">
        <v>2021</v>
      </c>
      <c r="B702" s="90">
        <v>2</v>
      </c>
      <c r="C702" s="90" t="s">
        <v>723</v>
      </c>
      <c r="D702" s="90" t="s">
        <v>719</v>
      </c>
      <c r="E702" s="98" t="s">
        <v>11</v>
      </c>
      <c r="F702" s="100" t="s">
        <v>47</v>
      </c>
      <c r="G702" s="93">
        <v>17205.14</v>
      </c>
      <c r="H702" s="93">
        <v>158364.07</v>
      </c>
      <c r="I702" s="93">
        <v>2397.5457928860201</v>
      </c>
      <c r="J702" s="93">
        <v>336630.98</v>
      </c>
      <c r="K702" s="93">
        <v>37606.89</v>
      </c>
      <c r="L702" s="93">
        <v>245793.27</v>
      </c>
      <c r="M702" s="93">
        <v>1461770.38</v>
      </c>
      <c r="N702" s="95">
        <v>1.41492301610842E-2</v>
      </c>
      <c r="O702" s="95">
        <v>0.13023606176270869</v>
      </c>
      <c r="P702" s="95">
        <v>0.54784750841239116</v>
      </c>
      <c r="Q702" s="95">
        <v>0.27683989873789649</v>
      </c>
      <c r="R702" s="96">
        <v>3.0927300925919572E-2</v>
      </c>
    </row>
    <row r="703" spans="1:18" ht="15.75" hidden="1" customHeight="1" x14ac:dyDescent="0.3">
      <c r="A703" s="89">
        <v>2021</v>
      </c>
      <c r="B703" s="90">
        <v>2</v>
      </c>
      <c r="C703" s="90" t="s">
        <v>723</v>
      </c>
      <c r="D703" s="90" t="s">
        <v>719</v>
      </c>
      <c r="E703" s="98" t="s">
        <v>11</v>
      </c>
      <c r="F703" s="100" t="s">
        <v>48</v>
      </c>
      <c r="G703" s="93">
        <v>9592.33</v>
      </c>
      <c r="H703" s="93">
        <v>58840.56</v>
      </c>
      <c r="I703" s="93">
        <v>2397.5457928860201</v>
      </c>
      <c r="J703" s="93">
        <v>1439.6</v>
      </c>
      <c r="K703" s="93"/>
      <c r="L703" s="93">
        <v>9077.5499999999993</v>
      </c>
      <c r="M703" s="93">
        <v>110314.40000000001</v>
      </c>
      <c r="N703" s="95">
        <v>9.4751367708497444E-2</v>
      </c>
      <c r="O703" s="95">
        <v>0.58121681976473971</v>
      </c>
      <c r="P703" s="95">
        <v>0.30981169406199421</v>
      </c>
      <c r="Q703" s="95">
        <v>1.4220118464768509E-2</v>
      </c>
      <c r="R703" s="96">
        <v>0</v>
      </c>
    </row>
    <row r="704" spans="1:18" ht="15.75" hidden="1" customHeight="1" x14ac:dyDescent="0.3">
      <c r="A704" s="89">
        <v>2021</v>
      </c>
      <c r="B704" s="90">
        <v>2</v>
      </c>
      <c r="C704" s="90" t="s">
        <v>723</v>
      </c>
      <c r="D704" s="90" t="s">
        <v>722</v>
      </c>
      <c r="E704" s="98" t="s">
        <v>11</v>
      </c>
      <c r="F704" s="100" t="s">
        <v>12</v>
      </c>
      <c r="G704" s="93">
        <v>14792.6301024985</v>
      </c>
      <c r="H704" s="93">
        <v>70439.632306586893</v>
      </c>
      <c r="I704" s="93">
        <v>2397.5457928860201</v>
      </c>
      <c r="J704" s="93">
        <v>100246.81361873201</v>
      </c>
      <c r="K704" s="93">
        <v>5139.5328286657304</v>
      </c>
      <c r="L704" s="93">
        <v>15934.6808378569</v>
      </c>
      <c r="M704" s="93">
        <v>417376.79596442176</v>
      </c>
      <c r="N704" s="95">
        <v>4.0070790899791313E-2</v>
      </c>
      <c r="O704" s="95">
        <v>0.19080932583710661</v>
      </c>
      <c r="P704" s="95">
        <v>0.48364568273716713</v>
      </c>
      <c r="Q704" s="95">
        <v>0.27155205525000514</v>
      </c>
      <c r="R704" s="96">
        <v>1.3922145275929868E-2</v>
      </c>
    </row>
    <row r="705" spans="1:18" ht="15.75" hidden="1" customHeight="1" x14ac:dyDescent="0.3">
      <c r="A705" s="89">
        <v>2021</v>
      </c>
      <c r="B705" s="90">
        <v>2</v>
      </c>
      <c r="C705" s="90" t="s">
        <v>723</v>
      </c>
      <c r="D705" s="90" t="s">
        <v>722</v>
      </c>
      <c r="E705" s="98" t="s">
        <v>11</v>
      </c>
      <c r="F705" s="100" t="s">
        <v>26</v>
      </c>
      <c r="G705" s="93">
        <v>254474.80655249901</v>
      </c>
      <c r="H705" s="93">
        <v>366173.891651235</v>
      </c>
      <c r="I705" s="93">
        <v>2397.5457928860201</v>
      </c>
      <c r="J705" s="93">
        <v>37988.350862420601</v>
      </c>
      <c r="K705" s="93">
        <v>3553.0672166161098</v>
      </c>
      <c r="L705" s="93">
        <v>242241.72452192599</v>
      </c>
      <c r="M705" s="93">
        <v>1060151.5918688357</v>
      </c>
      <c r="N705" s="95">
        <v>0.31750705460917017</v>
      </c>
      <c r="O705" s="95">
        <v>0.45687349324686738</v>
      </c>
      <c r="P705" s="95">
        <v>0.17378841441865422</v>
      </c>
      <c r="Q705" s="95">
        <v>4.7397891976778274E-2</v>
      </c>
      <c r="R705" s="96">
        <v>4.4331457485299146E-3</v>
      </c>
    </row>
    <row r="706" spans="1:18" ht="15.75" hidden="1" customHeight="1" x14ac:dyDescent="0.3">
      <c r="A706" s="89">
        <v>2021</v>
      </c>
      <c r="B706" s="90">
        <v>2</v>
      </c>
      <c r="C706" s="90" t="s">
        <v>723</v>
      </c>
      <c r="D706" s="90" t="s">
        <v>722</v>
      </c>
      <c r="E706" s="98" t="s">
        <v>11</v>
      </c>
      <c r="F706" s="100" t="s">
        <v>27</v>
      </c>
      <c r="G706" s="93">
        <v>346.90501171875002</v>
      </c>
      <c r="H706" s="93">
        <v>4002.0911494163402</v>
      </c>
      <c r="I706" s="93">
        <v>2397.5457928860201</v>
      </c>
      <c r="J706" s="93">
        <v>52279.686811370899</v>
      </c>
      <c r="K706" s="93">
        <v>9004.2496321445597</v>
      </c>
      <c r="L706" s="93">
        <v>127908.658226278</v>
      </c>
      <c r="M706" s="93">
        <v>98780.958773020291</v>
      </c>
      <c r="N706" s="95">
        <v>3.5566114588434687E-3</v>
      </c>
      <c r="O706" s="95">
        <v>4.1031068334320207E-2</v>
      </c>
      <c r="P706" s="95">
        <v>0.32710444561563978</v>
      </c>
      <c r="Q706" s="95">
        <v>0.5359926403393025</v>
      </c>
      <c r="R706" s="96">
        <v>9.231523425189396E-2</v>
      </c>
    </row>
    <row r="707" spans="1:18" ht="15.75" hidden="1" customHeight="1" x14ac:dyDescent="0.3">
      <c r="A707" s="89">
        <v>2021</v>
      </c>
      <c r="B707" s="90">
        <v>2</v>
      </c>
      <c r="C707" s="90" t="s">
        <v>723</v>
      </c>
      <c r="D707" s="90" t="s">
        <v>722</v>
      </c>
      <c r="E707" s="98" t="s">
        <v>11</v>
      </c>
      <c r="F707" s="100" t="s">
        <v>28</v>
      </c>
      <c r="G707" s="93">
        <v>8740.85917103252</v>
      </c>
      <c r="H707" s="93">
        <v>45135.578653682198</v>
      </c>
      <c r="I707" s="93">
        <v>2397.5457928860201</v>
      </c>
      <c r="J707" s="93">
        <v>82373.761956494898</v>
      </c>
      <c r="K707" s="93">
        <v>18082.518570464101</v>
      </c>
      <c r="L707" s="93">
        <v>51594.2006079887</v>
      </c>
      <c r="M707" s="93">
        <v>321510.38040695264</v>
      </c>
      <c r="N707" s="95">
        <v>2.7464617026982351E-2</v>
      </c>
      <c r="O707" s="95">
        <v>0.14182031282723309</v>
      </c>
      <c r="P707" s="95">
        <v>0.51507181144057346</v>
      </c>
      <c r="Q707" s="95">
        <v>0.25882625276751797</v>
      </c>
      <c r="R707" s="96">
        <v>5.681700593769299E-2</v>
      </c>
    </row>
    <row r="708" spans="1:18" ht="15.75" customHeight="1" x14ac:dyDescent="0.3">
      <c r="A708" s="89">
        <v>2021</v>
      </c>
      <c r="B708" s="90">
        <v>2</v>
      </c>
      <c r="C708" s="90" t="s">
        <v>723</v>
      </c>
      <c r="D708" s="90" t="s">
        <v>722</v>
      </c>
      <c r="E708" s="98" t="s">
        <v>11</v>
      </c>
      <c r="F708" s="100" t="s">
        <v>29</v>
      </c>
      <c r="G708" s="93">
        <v>6668.5770967892004</v>
      </c>
      <c r="H708" s="93">
        <v>20057.680785959001</v>
      </c>
      <c r="I708" s="93">
        <v>2397.5457928860201</v>
      </c>
      <c r="J708" s="93">
        <v>128382.927286127</v>
      </c>
      <c r="K708" s="93">
        <v>16676.238751703499</v>
      </c>
      <c r="L708" s="93">
        <v>53285.277005712102</v>
      </c>
      <c r="M708" s="93">
        <v>301106.77786405303</v>
      </c>
      <c r="N708" s="95">
        <v>2.658930471788961E-2</v>
      </c>
      <c r="O708" s="95">
        <v>7.9975049941134718E-2</v>
      </c>
      <c r="P708" s="95">
        <v>0.31504803552239752</v>
      </c>
      <c r="Q708" s="95">
        <v>0.51189522511917696</v>
      </c>
      <c r="R708" s="96">
        <v>6.6492384699401177E-2</v>
      </c>
    </row>
    <row r="709" spans="1:18" ht="15.75" hidden="1" customHeight="1" x14ac:dyDescent="0.3">
      <c r="A709" s="89">
        <v>2021</v>
      </c>
      <c r="B709" s="90">
        <v>2</v>
      </c>
      <c r="C709" s="90" t="s">
        <v>723</v>
      </c>
      <c r="D709" s="90" t="s">
        <v>722</v>
      </c>
      <c r="E709" s="98" t="s">
        <v>11</v>
      </c>
      <c r="F709" s="100" t="s">
        <v>30</v>
      </c>
      <c r="G709" s="93">
        <v>875.80953045189801</v>
      </c>
      <c r="H709" s="93">
        <v>4189.2179824586501</v>
      </c>
      <c r="I709" s="93">
        <v>2397.5457928860201</v>
      </c>
      <c r="J709" s="93">
        <v>2870.9746188373101</v>
      </c>
      <c r="K709" s="93">
        <v>207.31638828125</v>
      </c>
      <c r="L709" s="93">
        <v>482.20271808057601</v>
      </c>
      <c r="M709" s="93">
        <v>229604.29744403611</v>
      </c>
      <c r="N709" s="95">
        <v>6.2164824963510099E-2</v>
      </c>
      <c r="O709" s="95">
        <v>0.29735004422612188</v>
      </c>
      <c r="P709" s="95">
        <v>0.42198851140782029</v>
      </c>
      <c r="Q709" s="95">
        <v>0.20378133423897901</v>
      </c>
      <c r="R709" s="96">
        <v>1.4715285163568834E-2</v>
      </c>
    </row>
    <row r="710" spans="1:18" ht="15.75" hidden="1" customHeight="1" x14ac:dyDescent="0.3">
      <c r="A710" s="89">
        <v>2021</v>
      </c>
      <c r="B710" s="90">
        <v>2</v>
      </c>
      <c r="C710" s="90" t="s">
        <v>723</v>
      </c>
      <c r="D710" s="90" t="s">
        <v>722</v>
      </c>
      <c r="E710" s="98" t="s">
        <v>11</v>
      </c>
      <c r="F710" s="100" t="s">
        <v>31</v>
      </c>
      <c r="G710" s="93">
        <v>8349.5609901715397</v>
      </c>
      <c r="H710" s="93">
        <v>63156.948032534201</v>
      </c>
      <c r="I710" s="93">
        <v>2397.5457928860201</v>
      </c>
      <c r="J710" s="93">
        <v>46517.935466443501</v>
      </c>
      <c r="K710" s="93">
        <v>9195.2291826991604</v>
      </c>
      <c r="L710" s="93">
        <v>1147.9361671874899</v>
      </c>
      <c r="M710" s="93">
        <v>250800.75249272911</v>
      </c>
      <c r="N710" s="95">
        <v>3.9916876105827372E-2</v>
      </c>
      <c r="O710" s="95">
        <v>0.30193540388583373</v>
      </c>
      <c r="P710" s="95">
        <v>0.39179892713393649</v>
      </c>
      <c r="Q710" s="95">
        <v>0.22238901768591665</v>
      </c>
      <c r="R710" s="96">
        <v>4.3959775188485671E-2</v>
      </c>
    </row>
    <row r="711" spans="1:18" ht="15.75" hidden="1" customHeight="1" x14ac:dyDescent="0.3">
      <c r="A711" s="89">
        <v>2021</v>
      </c>
      <c r="B711" s="90">
        <v>2</v>
      </c>
      <c r="C711" s="90" t="s">
        <v>723</v>
      </c>
      <c r="D711" s="90" t="s">
        <v>722</v>
      </c>
      <c r="E711" s="98" t="s">
        <v>11</v>
      </c>
      <c r="F711" s="100" t="s">
        <v>32</v>
      </c>
      <c r="G711" s="93">
        <v>20540.8729888665</v>
      </c>
      <c r="H711" s="93">
        <v>99476.992459405606</v>
      </c>
      <c r="I711" s="93">
        <v>2397.5457928860201</v>
      </c>
      <c r="J711" s="93">
        <v>253901.64659764501</v>
      </c>
      <c r="K711" s="93">
        <v>18107.889524710499</v>
      </c>
      <c r="L711" s="93">
        <v>31670.048033587002</v>
      </c>
      <c r="M711" s="93">
        <v>577851.76476977742</v>
      </c>
      <c r="N711" s="95">
        <v>3.6897590419215406E-2</v>
      </c>
      <c r="O711" s="95">
        <v>0.1786906197166975</v>
      </c>
      <c r="P711" s="95">
        <v>0.29580079171403761</v>
      </c>
      <c r="Q711" s="95">
        <v>0.45608377832831604</v>
      </c>
      <c r="R711" s="96">
        <v>3.2527219821733525E-2</v>
      </c>
    </row>
    <row r="712" spans="1:18" ht="15.75" hidden="1" customHeight="1" x14ac:dyDescent="0.3">
      <c r="A712" s="89">
        <v>2021</v>
      </c>
      <c r="B712" s="90">
        <v>2</v>
      </c>
      <c r="C712" s="90" t="s">
        <v>723</v>
      </c>
      <c r="D712" s="90" t="s">
        <v>722</v>
      </c>
      <c r="E712" s="98" t="s">
        <v>11</v>
      </c>
      <c r="F712" s="100" t="s">
        <v>33</v>
      </c>
      <c r="G712" s="93">
        <v>198181.05057255799</v>
      </c>
      <c r="H712" s="93">
        <v>355416.03251219902</v>
      </c>
      <c r="I712" s="93">
        <v>2397.5457928860201</v>
      </c>
      <c r="J712" s="93">
        <v>220220.054102272</v>
      </c>
      <c r="K712" s="93">
        <v>16937.0150147932</v>
      </c>
      <c r="L712" s="93">
        <v>191212.53647275499</v>
      </c>
      <c r="M712" s="93">
        <v>1160844.2517841957</v>
      </c>
      <c r="N712" s="95">
        <v>0.17603772040033669</v>
      </c>
      <c r="O712" s="95">
        <v>0.31570439240492665</v>
      </c>
      <c r="P712" s="95">
        <v>0.2975990492100814</v>
      </c>
      <c r="Q712" s="95">
        <v>0.19561424363531366</v>
      </c>
      <c r="R712" s="96">
        <v>1.5044594349341509E-2</v>
      </c>
    </row>
    <row r="713" spans="1:18" ht="15.75" hidden="1" customHeight="1" x14ac:dyDescent="0.3">
      <c r="A713" s="89">
        <v>2021</v>
      </c>
      <c r="B713" s="90">
        <v>2</v>
      </c>
      <c r="C713" s="90" t="s">
        <v>723</v>
      </c>
      <c r="D713" s="90" t="s">
        <v>722</v>
      </c>
      <c r="E713" s="98" t="s">
        <v>11</v>
      </c>
      <c r="F713" s="100" t="s">
        <v>34</v>
      </c>
      <c r="G713" s="93">
        <v>70999.936233427594</v>
      </c>
      <c r="H713" s="93">
        <v>139300.07948399501</v>
      </c>
      <c r="I713" s="93">
        <v>2397.5457928860201</v>
      </c>
      <c r="J713" s="93">
        <v>110954.391909078</v>
      </c>
      <c r="K713" s="93">
        <v>2987.4078020986499</v>
      </c>
      <c r="L713" s="93">
        <v>148494.233985942</v>
      </c>
      <c r="M713" s="93">
        <v>565134.59643410938</v>
      </c>
      <c r="N713" s="95">
        <v>0.13136308127426008</v>
      </c>
      <c r="O713" s="95">
        <v>0.25773104362524196</v>
      </c>
      <c r="P713" s="95">
        <v>0.40009236328571163</v>
      </c>
      <c r="Q713" s="95">
        <v>0.20528625200688691</v>
      </c>
      <c r="R713" s="96">
        <v>5.5272598078993851E-3</v>
      </c>
    </row>
    <row r="714" spans="1:18" ht="15.75" hidden="1" customHeight="1" x14ac:dyDescent="0.3">
      <c r="A714" s="89">
        <v>2021</v>
      </c>
      <c r="B714" s="90">
        <v>2</v>
      </c>
      <c r="C714" s="90" t="s">
        <v>723</v>
      </c>
      <c r="D714" s="90" t="s">
        <v>722</v>
      </c>
      <c r="E714" s="98" t="s">
        <v>11</v>
      </c>
      <c r="F714" s="100" t="s">
        <v>35</v>
      </c>
      <c r="G714" s="93">
        <v>16208.4546039368</v>
      </c>
      <c r="H714" s="93">
        <v>34743.882980977702</v>
      </c>
      <c r="I714" s="93">
        <v>2397.5457928860201</v>
      </c>
      <c r="J714" s="93">
        <v>171495.97406205599</v>
      </c>
      <c r="K714" s="93">
        <v>15597.303926934799</v>
      </c>
      <c r="L714" s="93">
        <v>6033.1902720634098</v>
      </c>
      <c r="M714" s="93">
        <v>599828.00602284528</v>
      </c>
      <c r="N714" s="95">
        <v>4.4600729888951154E-2</v>
      </c>
      <c r="O714" s="95">
        <v>9.5604582792954085E-2</v>
      </c>
      <c r="P714" s="95">
        <v>0.34497097589537412</v>
      </c>
      <c r="Q714" s="95">
        <v>0.47190468203714736</v>
      </c>
      <c r="R714" s="96">
        <v>4.2919029385573411E-2</v>
      </c>
    </row>
    <row r="715" spans="1:18" ht="15.75" hidden="1" customHeight="1" x14ac:dyDescent="0.3">
      <c r="A715" s="89">
        <v>2021</v>
      </c>
      <c r="B715" s="90">
        <v>2</v>
      </c>
      <c r="C715" s="90" t="s">
        <v>723</v>
      </c>
      <c r="D715" s="90" t="s">
        <v>722</v>
      </c>
      <c r="E715" s="98" t="s">
        <v>11</v>
      </c>
      <c r="F715" s="100" t="s">
        <v>36</v>
      </c>
      <c r="G715" s="93">
        <v>1566.39909440563</v>
      </c>
      <c r="H715" s="93">
        <v>11799.5600800306</v>
      </c>
      <c r="I715" s="93">
        <v>2397.5457928860201</v>
      </c>
      <c r="J715" s="93">
        <v>97573.517739667805</v>
      </c>
      <c r="K715" s="93">
        <v>9256.7048179611102</v>
      </c>
      <c r="L715" s="93">
        <v>54606.979133573499</v>
      </c>
      <c r="M715" s="93">
        <v>204279.89232101216</v>
      </c>
      <c r="N715" s="95">
        <v>9.1585815440752942E-3</v>
      </c>
      <c r="O715" s="95">
        <v>6.8990868012587789E-2</v>
      </c>
      <c r="P715" s="95">
        <v>0.2972247394605903</v>
      </c>
      <c r="Q715" s="95">
        <v>0.57050276775097009</v>
      </c>
      <c r="R715" s="96">
        <v>5.412304323177651E-2</v>
      </c>
    </row>
    <row r="716" spans="1:18" ht="15.75" hidden="1" customHeight="1" x14ac:dyDescent="0.3">
      <c r="A716" s="89">
        <v>2021</v>
      </c>
      <c r="B716" s="90">
        <v>2</v>
      </c>
      <c r="C716" s="90" t="s">
        <v>723</v>
      </c>
      <c r="D716" s="90" t="s">
        <v>722</v>
      </c>
      <c r="E716" s="98" t="s">
        <v>11</v>
      </c>
      <c r="F716" s="100" t="s">
        <v>37</v>
      </c>
      <c r="G716" s="93">
        <v>21738.056931484301</v>
      </c>
      <c r="H716" s="93">
        <v>56686.070014660101</v>
      </c>
      <c r="I716" s="93">
        <v>2397.5457928860201</v>
      </c>
      <c r="J716" s="93">
        <v>83641.2831949315</v>
      </c>
      <c r="K716" s="93">
        <v>12133.5725345296</v>
      </c>
      <c r="L716" s="93">
        <v>117225.695302145</v>
      </c>
      <c r="M716" s="93">
        <v>406848.16247416561</v>
      </c>
      <c r="N716" s="95">
        <v>8.1830112370027519E-2</v>
      </c>
      <c r="O716" s="95">
        <v>0.21338740135492654</v>
      </c>
      <c r="P716" s="95">
        <v>0.34425039128297341</v>
      </c>
      <c r="Q716" s="95">
        <v>0.31485682571295009</v>
      </c>
      <c r="R716" s="96">
        <v>4.5675269279122313E-2</v>
      </c>
    </row>
    <row r="717" spans="1:18" ht="15.75" hidden="1" customHeight="1" x14ac:dyDescent="0.3">
      <c r="A717" s="89">
        <v>2021</v>
      </c>
      <c r="B717" s="90">
        <v>2</v>
      </c>
      <c r="C717" s="90" t="s">
        <v>723</v>
      </c>
      <c r="D717" s="90" t="s">
        <v>722</v>
      </c>
      <c r="E717" s="98" t="s">
        <v>11</v>
      </c>
      <c r="F717" s="100" t="s">
        <v>720</v>
      </c>
      <c r="G717" s="93">
        <v>27502.816631718699</v>
      </c>
      <c r="H717" s="93">
        <v>72961.418144031893</v>
      </c>
      <c r="I717" s="93">
        <v>2397.5457928860201</v>
      </c>
      <c r="J717" s="93">
        <v>271840.68610023899</v>
      </c>
      <c r="K717" s="93">
        <v>60405.525491896202</v>
      </c>
      <c r="L717" s="93">
        <v>53443.181140043896</v>
      </c>
      <c r="M717" s="93">
        <v>874515.24154832773</v>
      </c>
      <c r="N717" s="95">
        <v>3.8485788475342252E-2</v>
      </c>
      <c r="O717" s="95">
        <v>0.10209782303947007</v>
      </c>
      <c r="P717" s="95">
        <v>0.39449101039420731</v>
      </c>
      <c r="Q717" s="95">
        <v>0.38039751652854331</v>
      </c>
      <c r="R717" s="96">
        <v>8.4527861562437134E-2</v>
      </c>
    </row>
    <row r="718" spans="1:18" ht="15.75" hidden="1" customHeight="1" x14ac:dyDescent="0.3">
      <c r="A718" s="89">
        <v>2021</v>
      </c>
      <c r="B718" s="90">
        <v>2</v>
      </c>
      <c r="C718" s="90" t="s">
        <v>723</v>
      </c>
      <c r="D718" s="90" t="s">
        <v>722</v>
      </c>
      <c r="E718" s="98" t="s">
        <v>11</v>
      </c>
      <c r="F718" s="100" t="s">
        <v>39</v>
      </c>
      <c r="G718" s="93">
        <v>1296.5026197012801</v>
      </c>
      <c r="H718" s="93">
        <v>19629.713595502501</v>
      </c>
      <c r="I718" s="93">
        <v>2397.5457928860201</v>
      </c>
      <c r="J718" s="93">
        <v>122891.480490713</v>
      </c>
      <c r="K718" s="93">
        <v>8353.9427612851396</v>
      </c>
      <c r="L718" s="93">
        <v>69465.333873427895</v>
      </c>
      <c r="M718" s="93">
        <v>261729.83262754334</v>
      </c>
      <c r="N718" s="95">
        <v>4.9742514566733812E-3</v>
      </c>
      <c r="O718" s="95">
        <v>7.5312714346082069E-2</v>
      </c>
      <c r="P718" s="95">
        <v>0.41616778263162479</v>
      </c>
      <c r="Q718" s="95">
        <v>0.47149393804119127</v>
      </c>
      <c r="R718" s="96">
        <v>3.2051313524428526E-2</v>
      </c>
    </row>
    <row r="719" spans="1:18" ht="15.75" hidden="1" customHeight="1" x14ac:dyDescent="0.3">
      <c r="A719" s="89">
        <v>2021</v>
      </c>
      <c r="B719" s="90">
        <v>2</v>
      </c>
      <c r="C719" s="90" t="s">
        <v>723</v>
      </c>
      <c r="D719" s="90" t="s">
        <v>722</v>
      </c>
      <c r="E719" s="98" t="s">
        <v>11</v>
      </c>
      <c r="F719" s="100" t="s">
        <v>40</v>
      </c>
      <c r="G719" s="93">
        <v>9988.4416121384402</v>
      </c>
      <c r="H719" s="93">
        <v>76924.294590513397</v>
      </c>
      <c r="I719" s="93">
        <v>2397.5457928860201</v>
      </c>
      <c r="J719" s="93">
        <v>64222.904494945498</v>
      </c>
      <c r="K719" s="93">
        <v>4264.6519519408603</v>
      </c>
      <c r="L719" s="93">
        <v>23787.324051709398</v>
      </c>
      <c r="M719" s="93">
        <v>302517.70064964233</v>
      </c>
      <c r="N719" s="95">
        <v>3.3577559085454164E-2</v>
      </c>
      <c r="O719" s="95">
        <v>0.25859189521425879</v>
      </c>
      <c r="P719" s="95">
        <v>0.47759993891383257</v>
      </c>
      <c r="Q719" s="95">
        <v>0.21589437612549003</v>
      </c>
      <c r="R719" s="96">
        <v>1.4336230660964389E-2</v>
      </c>
    </row>
    <row r="720" spans="1:18" ht="15.75" hidden="1" customHeight="1" x14ac:dyDescent="0.3">
      <c r="A720" s="89">
        <v>2021</v>
      </c>
      <c r="B720" s="90">
        <v>2</v>
      </c>
      <c r="C720" s="90" t="s">
        <v>723</v>
      </c>
      <c r="D720" s="90" t="s">
        <v>722</v>
      </c>
      <c r="E720" s="98" t="s">
        <v>11</v>
      </c>
      <c r="F720" s="100" t="s">
        <v>41</v>
      </c>
      <c r="G720" s="93">
        <v>1987.71564665441</v>
      </c>
      <c r="H720" s="93">
        <v>4258.0262546476597</v>
      </c>
      <c r="I720" s="93">
        <v>2397.5457928860201</v>
      </c>
      <c r="J720" s="93">
        <v>3205.24559567402</v>
      </c>
      <c r="K720" s="93">
        <v>512.07924410692397</v>
      </c>
      <c r="L720" s="93">
        <v>4941.8256854871397</v>
      </c>
      <c r="M720" s="93">
        <v>13772.507053475774</v>
      </c>
      <c r="N720" s="95">
        <v>0.14432489589125092</v>
      </c>
      <c r="O720" s="95">
        <v>0.30916856590558506</v>
      </c>
      <c r="P720" s="95">
        <v>0.27659744864181207</v>
      </c>
      <c r="Q720" s="95">
        <v>0.23272782386160482</v>
      </c>
      <c r="R720" s="96">
        <v>3.7181265699747112E-2</v>
      </c>
    </row>
    <row r="721" spans="1:18" ht="15.75" hidden="1" customHeight="1" x14ac:dyDescent="0.3">
      <c r="A721" s="89">
        <v>2021</v>
      </c>
      <c r="B721" s="90">
        <v>2</v>
      </c>
      <c r="C721" s="90" t="s">
        <v>723</v>
      </c>
      <c r="D721" s="90" t="s">
        <v>722</v>
      </c>
      <c r="E721" s="98" t="s">
        <v>11</v>
      </c>
      <c r="F721" s="100" t="s">
        <v>42</v>
      </c>
      <c r="G721" s="93">
        <v>5884.4933403400701</v>
      </c>
      <c r="H721" s="93">
        <v>109040.199927033</v>
      </c>
      <c r="I721" s="93">
        <v>2397.5457928860201</v>
      </c>
      <c r="J721" s="93">
        <v>102278.276700061</v>
      </c>
      <c r="K721" s="93">
        <v>12458.8253459589</v>
      </c>
      <c r="L721" s="93">
        <v>97581.278778126696</v>
      </c>
      <c r="M721" s="93">
        <v>523243.06097188295</v>
      </c>
      <c r="N721" s="95">
        <v>1.1544793324670561E-2</v>
      </c>
      <c r="O721" s="95">
        <v>0.21392607645734951</v>
      </c>
      <c r="P721" s="95">
        <v>0.54942629583931368</v>
      </c>
      <c r="Q721" s="95">
        <v>0.20065985256726188</v>
      </c>
      <c r="R721" s="96">
        <v>2.4442981811404405E-2</v>
      </c>
    </row>
    <row r="722" spans="1:18" ht="15.75" hidden="1" customHeight="1" x14ac:dyDescent="0.3">
      <c r="A722" s="89">
        <v>2021</v>
      </c>
      <c r="B722" s="90">
        <v>2</v>
      </c>
      <c r="C722" s="90" t="s">
        <v>723</v>
      </c>
      <c r="D722" s="90" t="s">
        <v>722</v>
      </c>
      <c r="E722" s="98" t="s">
        <v>11</v>
      </c>
      <c r="F722" s="100" t="s">
        <v>43</v>
      </c>
      <c r="G722" s="93">
        <v>4969.3700971537901</v>
      </c>
      <c r="H722" s="93">
        <v>22843.990874552699</v>
      </c>
      <c r="I722" s="93">
        <v>2397.5457928860201</v>
      </c>
      <c r="J722" s="93">
        <v>16187.565851826001</v>
      </c>
      <c r="K722" s="93">
        <v>1454.4941097962601</v>
      </c>
      <c r="L722" s="93">
        <v>107.952418359375</v>
      </c>
      <c r="M722" s="93">
        <v>185467.53268176346</v>
      </c>
      <c r="N722" s="95">
        <v>7.1957995748932885E-2</v>
      </c>
      <c r="O722" s="95">
        <v>0.3307879602650679</v>
      </c>
      <c r="P722" s="95">
        <v>0.34179163106410138</v>
      </c>
      <c r="Q722" s="95">
        <v>0.23440089427398869</v>
      </c>
      <c r="R722" s="96">
        <v>2.1061518647909259E-2</v>
      </c>
    </row>
    <row r="723" spans="1:18" ht="15.75" hidden="1" customHeight="1" x14ac:dyDescent="0.3">
      <c r="A723" s="89">
        <v>2021</v>
      </c>
      <c r="B723" s="90">
        <v>2</v>
      </c>
      <c r="C723" s="90" t="s">
        <v>723</v>
      </c>
      <c r="D723" s="90" t="s">
        <v>722</v>
      </c>
      <c r="E723" s="98" t="s">
        <v>11</v>
      </c>
      <c r="F723" s="100" t="s">
        <v>58</v>
      </c>
      <c r="G723" s="93">
        <v>5282.21010307904</v>
      </c>
      <c r="H723" s="93">
        <v>51849.421785976199</v>
      </c>
      <c r="I723" s="93">
        <v>2397.5457928860201</v>
      </c>
      <c r="J723" s="93">
        <v>96295.219907238497</v>
      </c>
      <c r="K723" s="93">
        <v>15832.15828856</v>
      </c>
      <c r="L723" s="93">
        <v>89524.031338706598</v>
      </c>
      <c r="M723" s="93">
        <v>281953.09425370424</v>
      </c>
      <c r="N723" s="95">
        <v>1.9012526115100455E-2</v>
      </c>
      <c r="O723" s="95">
        <v>0.18662424752550216</v>
      </c>
      <c r="P723" s="95">
        <v>0.39077748013496982</v>
      </c>
      <c r="Q723" s="95">
        <v>0.34660025775546438</v>
      </c>
      <c r="R723" s="96">
        <v>5.6985488468963119E-2</v>
      </c>
    </row>
    <row r="724" spans="1:18" ht="15.75" hidden="1" customHeight="1" x14ac:dyDescent="0.3">
      <c r="A724" s="89">
        <v>2021</v>
      </c>
      <c r="B724" s="90">
        <v>2</v>
      </c>
      <c r="C724" s="90" t="s">
        <v>723</v>
      </c>
      <c r="D724" s="90" t="s">
        <v>722</v>
      </c>
      <c r="E724" s="98" t="s">
        <v>11</v>
      </c>
      <c r="F724" s="100" t="s">
        <v>44</v>
      </c>
      <c r="G724" s="93">
        <v>2314.8663189996901</v>
      </c>
      <c r="H724" s="93">
        <v>4728.7820867325299</v>
      </c>
      <c r="I724" s="93">
        <v>2397.5457928860201</v>
      </c>
      <c r="J724" s="93">
        <v>70463.024653994798</v>
      </c>
      <c r="K724" s="93">
        <v>13093.152763357901</v>
      </c>
      <c r="L724" s="93">
        <v>60349.230485844797</v>
      </c>
      <c r="M724" s="93">
        <v>155380.0580652341</v>
      </c>
      <c r="N724" s="95">
        <v>1.9166304855971931E-2</v>
      </c>
      <c r="O724" s="95">
        <v>3.9152705418833686E-2</v>
      </c>
      <c r="P724" s="95">
        <v>0.24986429351411904</v>
      </c>
      <c r="Q724" s="95">
        <v>0.58340984985082034</v>
      </c>
      <c r="R724" s="96">
        <v>0.10840684636025516</v>
      </c>
    </row>
    <row r="725" spans="1:18" ht="15.75" hidden="1" customHeight="1" x14ac:dyDescent="0.3">
      <c r="A725" s="89">
        <v>2021</v>
      </c>
      <c r="B725" s="90">
        <v>2</v>
      </c>
      <c r="C725" s="90" t="s">
        <v>723</v>
      </c>
      <c r="D725" s="90" t="s">
        <v>722</v>
      </c>
      <c r="E725" s="98" t="s">
        <v>11</v>
      </c>
      <c r="F725" s="100" t="s">
        <v>51</v>
      </c>
      <c r="G725" s="93">
        <v>1590.5358180101</v>
      </c>
      <c r="H725" s="93">
        <v>6206.9725785371002</v>
      </c>
      <c r="I725" s="93">
        <v>2397.5457928860201</v>
      </c>
      <c r="J725" s="93">
        <v>86253.917515753201</v>
      </c>
      <c r="K725" s="93">
        <v>88613.121757576897</v>
      </c>
      <c r="L725" s="93">
        <v>6932.7604656449303</v>
      </c>
      <c r="M725" s="93">
        <v>204269.6487698296</v>
      </c>
      <c r="N725" s="95">
        <v>7.7864520137414578E-3</v>
      </c>
      <c r="O725" s="95">
        <v>3.0386171493989776E-2</v>
      </c>
      <c r="P725" s="95">
        <v>0.10576755396635973</v>
      </c>
      <c r="Q725" s="95">
        <v>0.42225518100804021</v>
      </c>
      <c r="R725" s="96">
        <v>0.43380464151786879</v>
      </c>
    </row>
    <row r="726" spans="1:18" ht="15.75" hidden="1" customHeight="1" x14ac:dyDescent="0.3">
      <c r="A726" s="89">
        <v>2021</v>
      </c>
      <c r="B726" s="90">
        <v>2</v>
      </c>
      <c r="C726" s="90" t="s">
        <v>723</v>
      </c>
      <c r="D726" s="90" t="s">
        <v>722</v>
      </c>
      <c r="E726" s="98" t="s">
        <v>11</v>
      </c>
      <c r="F726" s="100" t="s">
        <v>45</v>
      </c>
      <c r="G726" s="93">
        <v>2631.9161674555698</v>
      </c>
      <c r="H726" s="93">
        <v>6359.6476712622398</v>
      </c>
      <c r="I726" s="93">
        <v>2397.5457928860201</v>
      </c>
      <c r="J726" s="93">
        <v>24184.619121258998</v>
      </c>
      <c r="K726" s="93">
        <v>3746.03439059742</v>
      </c>
      <c r="L726" s="93">
        <v>25107.3422017343</v>
      </c>
      <c r="M726" s="93">
        <v>108988.74983472523</v>
      </c>
      <c r="N726" s="95">
        <v>4.2952986427494309E-2</v>
      </c>
      <c r="O726" s="95">
        <v>0.10378972684812317</v>
      </c>
      <c r="P726" s="95">
        <v>0.39742780551197698</v>
      </c>
      <c r="Q726" s="95">
        <v>0.39469403688257615</v>
      </c>
      <c r="R726" s="96">
        <v>6.1135444329829383E-2</v>
      </c>
    </row>
    <row r="727" spans="1:18" ht="15.75" hidden="1" customHeight="1" x14ac:dyDescent="0.3">
      <c r="A727" s="89">
        <v>2021</v>
      </c>
      <c r="B727" s="90">
        <v>2</v>
      </c>
      <c r="C727" s="90" t="s">
        <v>723</v>
      </c>
      <c r="D727" s="90" t="s">
        <v>722</v>
      </c>
      <c r="E727" s="98" t="s">
        <v>11</v>
      </c>
      <c r="F727" s="100" t="s">
        <v>721</v>
      </c>
      <c r="G727" s="93">
        <v>3312.5487230468698</v>
      </c>
      <c r="H727" s="93">
        <v>18006.242566710898</v>
      </c>
      <c r="I727" s="93">
        <v>2397.5457928860201</v>
      </c>
      <c r="J727" s="93">
        <v>114133.257949051</v>
      </c>
      <c r="K727" s="93">
        <v>22251.165794303499</v>
      </c>
      <c r="L727" s="93">
        <v>63182.205910742501</v>
      </c>
      <c r="M727" s="93">
        <v>246148.64499229964</v>
      </c>
      <c r="N727" s="95">
        <v>1.3457750711212892E-2</v>
      </c>
      <c r="O727" s="95">
        <v>7.3153195309241276E-2</v>
      </c>
      <c r="P727" s="95">
        <v>0.35930586031642897</v>
      </c>
      <c r="Q727" s="95">
        <v>0.46368432942598342</v>
      </c>
      <c r="R727" s="96">
        <v>9.0398864237133489E-2</v>
      </c>
    </row>
    <row r="728" spans="1:18" ht="15.75" hidden="1" customHeight="1" x14ac:dyDescent="0.3">
      <c r="A728" s="89">
        <v>2021</v>
      </c>
      <c r="B728" s="90">
        <v>2</v>
      </c>
      <c r="C728" s="90" t="s">
        <v>723</v>
      </c>
      <c r="D728" s="90" t="s">
        <v>722</v>
      </c>
      <c r="E728" s="98" t="s">
        <v>11</v>
      </c>
      <c r="F728" s="100" t="s">
        <v>46</v>
      </c>
      <c r="G728" s="93">
        <v>3785.90736459864</v>
      </c>
      <c r="H728" s="93">
        <v>17438.433439640299</v>
      </c>
      <c r="I728" s="93">
        <v>2397.5457928860201</v>
      </c>
      <c r="J728" s="93">
        <v>53667.526256222998</v>
      </c>
      <c r="K728" s="93">
        <v>11425.3601639353</v>
      </c>
      <c r="L728" s="93">
        <v>8515.6035794485597</v>
      </c>
      <c r="M728" s="93">
        <v>140559.39942894224</v>
      </c>
      <c r="N728" s="95">
        <v>2.6934572714310368E-2</v>
      </c>
      <c r="O728" s="95">
        <v>0.12406451301363197</v>
      </c>
      <c r="P728" s="95">
        <v>0.38590213407938145</v>
      </c>
      <c r="Q728" s="95">
        <v>0.38181385573829119</v>
      </c>
      <c r="R728" s="96">
        <v>8.1284924454385024E-2</v>
      </c>
    </row>
    <row r="729" spans="1:18" ht="15.75" hidden="1" customHeight="1" x14ac:dyDescent="0.3">
      <c r="A729" s="89">
        <v>2021</v>
      </c>
      <c r="B729" s="90">
        <v>2</v>
      </c>
      <c r="C729" s="90" t="s">
        <v>723</v>
      </c>
      <c r="D729" s="90" t="s">
        <v>722</v>
      </c>
      <c r="E729" s="98" t="s">
        <v>11</v>
      </c>
      <c r="F729" s="100" t="s">
        <v>47</v>
      </c>
      <c r="G729" s="93">
        <v>20191.031792980801</v>
      </c>
      <c r="H729" s="93">
        <v>160292.19048124901</v>
      </c>
      <c r="I729" s="93">
        <v>2397.5457928860201</v>
      </c>
      <c r="J729" s="93">
        <v>405383.907117692</v>
      </c>
      <c r="K729" s="93">
        <v>124008.324093578</v>
      </c>
      <c r="L729" s="93">
        <v>137857.97798336399</v>
      </c>
      <c r="M729" s="93">
        <v>1323912.3801576067</v>
      </c>
      <c r="N729" s="95">
        <v>1.5251033297669697E-2</v>
      </c>
      <c r="O729" s="95">
        <v>0.12107462161670159</v>
      </c>
      <c r="P729" s="95">
        <v>0.46380480753492781</v>
      </c>
      <c r="Q729" s="95">
        <v>0.30620146256917141</v>
      </c>
      <c r="R729" s="96">
        <v>9.3668074981529584E-2</v>
      </c>
    </row>
    <row r="730" spans="1:18" ht="15.75" hidden="1" customHeight="1" x14ac:dyDescent="0.3">
      <c r="A730" s="89">
        <v>2021</v>
      </c>
      <c r="B730" s="90">
        <v>2</v>
      </c>
      <c r="C730" s="90" t="s">
        <v>723</v>
      </c>
      <c r="D730" s="90" t="s">
        <v>722</v>
      </c>
      <c r="E730" s="98" t="s">
        <v>11</v>
      </c>
      <c r="F730" s="100" t="s">
        <v>48</v>
      </c>
      <c r="G730" s="93">
        <v>319.40164429074702</v>
      </c>
      <c r="H730" s="93">
        <v>918.24910452818597</v>
      </c>
      <c r="I730" s="93">
        <v>2397.5457928860201</v>
      </c>
      <c r="J730" s="93">
        <v>42330.389381254601</v>
      </c>
      <c r="K730" s="93">
        <v>8249.7823204917095</v>
      </c>
      <c r="L730" s="93">
        <v>37204.833590058901</v>
      </c>
      <c r="M730" s="93">
        <v>73109.564209881893</v>
      </c>
      <c r="N730" s="95">
        <v>4.9355537395121248E-3</v>
      </c>
      <c r="O730" s="95">
        <v>1.4189243802177386E-2</v>
      </c>
      <c r="P730" s="95">
        <v>0.19928512598245379</v>
      </c>
      <c r="Q730" s="95">
        <v>0.65411031953071241</v>
      </c>
      <c r="R730" s="96">
        <v>0.1274797569451443</v>
      </c>
    </row>
    <row r="731" spans="1:18" ht="15.75" hidden="1" customHeight="1" x14ac:dyDescent="0.3">
      <c r="A731" s="89">
        <v>2021</v>
      </c>
      <c r="B731" s="90">
        <v>3</v>
      </c>
      <c r="C731" s="90" t="s">
        <v>724</v>
      </c>
      <c r="D731" s="90" t="s">
        <v>719</v>
      </c>
      <c r="E731" s="98" t="s">
        <v>11</v>
      </c>
      <c r="F731" s="100" t="s">
        <v>12</v>
      </c>
      <c r="G731" s="93">
        <v>23305.65</v>
      </c>
      <c r="H731" s="93">
        <v>108474.48</v>
      </c>
      <c r="I731" s="93">
        <v>2397.5457928860201</v>
      </c>
      <c r="J731" s="93">
        <v>64601.63</v>
      </c>
      <c r="K731" s="93">
        <v>2778.71</v>
      </c>
      <c r="L731" s="93">
        <v>103229.86</v>
      </c>
      <c r="M731" s="93">
        <v>433311.48</v>
      </c>
      <c r="N731" s="95">
        <v>7.0605718670430653E-2</v>
      </c>
      <c r="O731" s="95">
        <v>0.3286292644831299</v>
      </c>
      <c r="P731" s="95">
        <v>0.39663265709856843</v>
      </c>
      <c r="Q731" s="95">
        <v>0.19571410852867235</v>
      </c>
      <c r="R731" s="96">
        <v>8.4182512191984509E-3</v>
      </c>
    </row>
    <row r="732" spans="1:18" ht="15.75" hidden="1" customHeight="1" x14ac:dyDescent="0.3">
      <c r="A732" s="89">
        <v>2021</v>
      </c>
      <c r="B732" s="90">
        <v>3</v>
      </c>
      <c r="C732" s="90" t="s">
        <v>724</v>
      </c>
      <c r="D732" s="90" t="s">
        <v>719</v>
      </c>
      <c r="E732" s="98" t="s">
        <v>11</v>
      </c>
      <c r="F732" s="100" t="s">
        <v>26</v>
      </c>
      <c r="G732" s="93">
        <v>76209.600000000006</v>
      </c>
      <c r="H732" s="93">
        <v>253769.41</v>
      </c>
      <c r="I732" s="93">
        <v>2397.5457928860201</v>
      </c>
      <c r="J732" s="93">
        <v>184713.03</v>
      </c>
      <c r="K732" s="93">
        <v>10067.77</v>
      </c>
      <c r="L732" s="93">
        <v>261058.93</v>
      </c>
      <c r="M732" s="93">
        <v>1302393.31</v>
      </c>
      <c r="N732" s="95">
        <v>7.3184561523840203E-2</v>
      </c>
      <c r="O732" s="95">
        <v>0.24369637157278912</v>
      </c>
      <c r="P732" s="95">
        <v>0.49606983109498404</v>
      </c>
      <c r="Q732" s="95">
        <v>0.17738109251708367</v>
      </c>
      <c r="R732" s="96">
        <v>9.6681432913028366E-3</v>
      </c>
    </row>
    <row r="733" spans="1:18" ht="15.75" hidden="1" customHeight="1" x14ac:dyDescent="0.3">
      <c r="A733" s="89">
        <v>2021</v>
      </c>
      <c r="B733" s="90">
        <v>3</v>
      </c>
      <c r="C733" s="90" t="s">
        <v>724</v>
      </c>
      <c r="D733" s="90" t="s">
        <v>719</v>
      </c>
      <c r="E733" s="98" t="s">
        <v>11</v>
      </c>
      <c r="F733" s="100" t="s">
        <v>27</v>
      </c>
      <c r="G733" s="93">
        <v>530.37</v>
      </c>
      <c r="H733" s="93">
        <v>19017.349999999999</v>
      </c>
      <c r="I733" s="93">
        <v>2397.5457928860201</v>
      </c>
      <c r="J733" s="93">
        <v>46801.79</v>
      </c>
      <c r="K733" s="93">
        <v>698.14</v>
      </c>
      <c r="L733" s="93">
        <v>47768.55</v>
      </c>
      <c r="M733" s="93">
        <v>226689.6</v>
      </c>
      <c r="N733" s="95">
        <v>2.9642683183448786E-3</v>
      </c>
      <c r="O733" s="95">
        <v>0.10628905877760049</v>
      </c>
      <c r="P733" s="95">
        <v>0.62526684255429965</v>
      </c>
      <c r="Q733" s="95">
        <v>0.26157788588877606</v>
      </c>
      <c r="R733" s="96">
        <v>3.9019444609787383E-3</v>
      </c>
    </row>
    <row r="734" spans="1:18" ht="15.75" hidden="1" customHeight="1" x14ac:dyDescent="0.3">
      <c r="A734" s="89">
        <v>2021</v>
      </c>
      <c r="B734" s="90">
        <v>3</v>
      </c>
      <c r="C734" s="90" t="s">
        <v>724</v>
      </c>
      <c r="D734" s="90" t="s">
        <v>719</v>
      </c>
      <c r="E734" s="98" t="s">
        <v>11</v>
      </c>
      <c r="F734" s="100" t="s">
        <v>28</v>
      </c>
      <c r="G734" s="93">
        <v>12117.63</v>
      </c>
      <c r="H734" s="93">
        <v>49377.18</v>
      </c>
      <c r="I734" s="93">
        <v>2397.5457928860201</v>
      </c>
      <c r="J734" s="93">
        <v>81967.97</v>
      </c>
      <c r="K734" s="93">
        <v>1276.6500000000001</v>
      </c>
      <c r="L734" s="93">
        <v>3995.43</v>
      </c>
      <c r="M734" s="93">
        <v>373104.58</v>
      </c>
      <c r="N734" s="95">
        <v>3.2829394773876502E-2</v>
      </c>
      <c r="O734" s="95">
        <v>0.13377392568024932</v>
      </c>
      <c r="P734" s="95">
        <v>0.6078682145918084</v>
      </c>
      <c r="Q734" s="95">
        <v>0.22206973194785334</v>
      </c>
      <c r="R734" s="96">
        <v>3.4587330062123898E-3</v>
      </c>
    </row>
    <row r="735" spans="1:18" ht="15.75" customHeight="1" x14ac:dyDescent="0.3">
      <c r="A735" s="89">
        <v>2021</v>
      </c>
      <c r="B735" s="90">
        <v>3</v>
      </c>
      <c r="C735" s="90" t="s">
        <v>724</v>
      </c>
      <c r="D735" s="90" t="s">
        <v>719</v>
      </c>
      <c r="E735" s="98" t="s">
        <v>11</v>
      </c>
      <c r="F735" s="100" t="s">
        <v>29</v>
      </c>
      <c r="G735" s="93">
        <v>10352.799999999999</v>
      </c>
      <c r="H735" s="93">
        <v>33987.519999999997</v>
      </c>
      <c r="I735" s="93">
        <v>2397.5457928860201</v>
      </c>
      <c r="J735" s="93">
        <v>112527.86</v>
      </c>
      <c r="K735" s="93">
        <v>7963.84</v>
      </c>
      <c r="L735" s="93">
        <v>72192.44</v>
      </c>
      <c r="M735" s="93">
        <v>354392.06</v>
      </c>
      <c r="N735" s="95">
        <v>3.6686087670848029E-2</v>
      </c>
      <c r="O735" s="95">
        <v>0.12043786593334178</v>
      </c>
      <c r="P735" s="95">
        <v>0.4159027570625361</v>
      </c>
      <c r="Q735" s="95">
        <v>0.39875269853304551</v>
      </c>
      <c r="R735" s="96">
        <v>2.8220590800228578E-2</v>
      </c>
    </row>
    <row r="736" spans="1:18" ht="15.75" hidden="1" customHeight="1" x14ac:dyDescent="0.3">
      <c r="A736" s="89">
        <v>2021</v>
      </c>
      <c r="B736" s="90">
        <v>3</v>
      </c>
      <c r="C736" s="90" t="s">
        <v>724</v>
      </c>
      <c r="D736" s="90" t="s">
        <v>719</v>
      </c>
      <c r="E736" s="98" t="s">
        <v>11</v>
      </c>
      <c r="F736" s="100" t="s">
        <v>30</v>
      </c>
      <c r="G736" s="93">
        <v>1580.87</v>
      </c>
      <c r="H736" s="93">
        <v>5115.16</v>
      </c>
      <c r="I736" s="93">
        <v>2397.5457928860201</v>
      </c>
      <c r="J736" s="93">
        <v>2011.94</v>
      </c>
      <c r="K736" s="93">
        <v>128.68</v>
      </c>
      <c r="L736" s="93">
        <v>216380</v>
      </c>
      <c r="M736" s="93">
        <v>230086.51</v>
      </c>
      <c r="N736" s="95">
        <v>0.11533716460280552</v>
      </c>
      <c r="O736" s="95">
        <v>0.3731920087608005</v>
      </c>
      <c r="P736" s="95">
        <v>0.35529540342508775</v>
      </c>
      <c r="Q736" s="95">
        <v>0.14678718360837295</v>
      </c>
      <c r="R736" s="96">
        <v>9.3882396029332047E-3</v>
      </c>
    </row>
    <row r="737" spans="1:18" ht="15.75" hidden="1" customHeight="1" x14ac:dyDescent="0.3">
      <c r="A737" s="89">
        <v>2021</v>
      </c>
      <c r="B737" s="90">
        <v>3</v>
      </c>
      <c r="C737" s="90" t="s">
        <v>724</v>
      </c>
      <c r="D737" s="90" t="s">
        <v>719</v>
      </c>
      <c r="E737" s="98" t="s">
        <v>11</v>
      </c>
      <c r="F737" s="100" t="s">
        <v>31</v>
      </c>
      <c r="G737" s="93">
        <v>8989.93</v>
      </c>
      <c r="H737" s="93">
        <v>50158.35</v>
      </c>
      <c r="I737" s="93">
        <v>2397.5457928860201</v>
      </c>
      <c r="J737" s="93">
        <v>49420.25</v>
      </c>
      <c r="K737" s="93">
        <v>10096.81</v>
      </c>
      <c r="L737" s="93">
        <v>66025.320000000007</v>
      </c>
      <c r="M737" s="93">
        <v>251948.69</v>
      </c>
      <c r="N737" s="95">
        <v>4.8352877855000156E-2</v>
      </c>
      <c r="O737" s="95">
        <v>0.26977969472046465</v>
      </c>
      <c r="P737" s="95">
        <v>0.36175134949414911</v>
      </c>
      <c r="Q737" s="95">
        <v>0.26580977958822499</v>
      </c>
      <c r="R737" s="96">
        <v>5.4306298342161073E-2</v>
      </c>
    </row>
    <row r="738" spans="1:18" ht="15.75" hidden="1" customHeight="1" x14ac:dyDescent="0.3">
      <c r="A738" s="89">
        <v>2021</v>
      </c>
      <c r="B738" s="90">
        <v>3</v>
      </c>
      <c r="C738" s="90" t="s">
        <v>724</v>
      </c>
      <c r="D738" s="90" t="s">
        <v>719</v>
      </c>
      <c r="E738" s="98" t="s">
        <v>11</v>
      </c>
      <c r="F738" s="100" t="s">
        <v>32</v>
      </c>
      <c r="G738" s="93">
        <v>23012.55</v>
      </c>
      <c r="H738" s="93">
        <v>80000.14</v>
      </c>
      <c r="I738" s="93">
        <v>2397.5457928860201</v>
      </c>
      <c r="J738" s="93">
        <v>145048.54</v>
      </c>
      <c r="K738" s="93">
        <v>3616.72</v>
      </c>
      <c r="L738" s="93">
        <v>191632.89</v>
      </c>
      <c r="M738" s="93">
        <v>609521.81000000006</v>
      </c>
      <c r="N738" s="95">
        <v>5.5068581382822966E-2</v>
      </c>
      <c r="O738" s="95">
        <v>0.1914387679864783</v>
      </c>
      <c r="P738" s="95">
        <v>0.39773959548867671</v>
      </c>
      <c r="Q738" s="95">
        <v>0.34709831502591643</v>
      </c>
      <c r="R738" s="96">
        <v>8.6547401161054943E-3</v>
      </c>
    </row>
    <row r="739" spans="1:18" ht="15.75" hidden="1" customHeight="1" x14ac:dyDescent="0.3">
      <c r="A739" s="89">
        <v>2021</v>
      </c>
      <c r="B739" s="90">
        <v>3</v>
      </c>
      <c r="C739" s="90" t="s">
        <v>724</v>
      </c>
      <c r="D739" s="90" t="s">
        <v>719</v>
      </c>
      <c r="E739" s="98" t="s">
        <v>11</v>
      </c>
      <c r="F739" s="100" t="s">
        <v>33</v>
      </c>
      <c r="G739" s="93">
        <v>89290.64</v>
      </c>
      <c r="H739" s="93">
        <v>429067.67</v>
      </c>
      <c r="I739" s="93">
        <v>2397.5457928860201</v>
      </c>
      <c r="J739" s="93">
        <v>146459.84</v>
      </c>
      <c r="K739" s="93">
        <v>7687.29</v>
      </c>
      <c r="L739" s="93">
        <v>35507.07</v>
      </c>
      <c r="M739" s="93">
        <v>1352056.79</v>
      </c>
      <c r="N739" s="95">
        <v>6.7821699889921344E-2</v>
      </c>
      <c r="O739" s="95">
        <v>0.32590312654504222</v>
      </c>
      <c r="P739" s="95">
        <v>0.48919100449924513</v>
      </c>
      <c r="Q739" s="95">
        <v>0.11124520234602303</v>
      </c>
      <c r="R739" s="96">
        <v>5.8389667197680907E-3</v>
      </c>
    </row>
    <row r="740" spans="1:18" ht="15.75" hidden="1" customHeight="1" x14ac:dyDescent="0.3">
      <c r="A740" s="89">
        <v>2021</v>
      </c>
      <c r="B740" s="90">
        <v>3</v>
      </c>
      <c r="C740" s="90" t="s">
        <v>724</v>
      </c>
      <c r="D740" s="90" t="s">
        <v>719</v>
      </c>
      <c r="E740" s="98" t="s">
        <v>11</v>
      </c>
      <c r="F740" s="100" t="s">
        <v>34</v>
      </c>
      <c r="G740" s="93">
        <v>44883.28</v>
      </c>
      <c r="H740" s="93">
        <v>203906.69</v>
      </c>
      <c r="I740" s="93">
        <v>2397.5457928860201</v>
      </c>
      <c r="J740" s="93">
        <v>65152.91</v>
      </c>
      <c r="K740" s="93">
        <v>981.8</v>
      </c>
      <c r="L740" s="93">
        <v>81539.63</v>
      </c>
      <c r="M740" s="93">
        <v>713628.83</v>
      </c>
      <c r="N740" s="95">
        <v>7.1007826110618552E-2</v>
      </c>
      <c r="O740" s="95">
        <v>0.32259163738282504</v>
      </c>
      <c r="P740" s="95">
        <v>0.50177177524944261</v>
      </c>
      <c r="Q740" s="95">
        <v>0.10307549947064433</v>
      </c>
      <c r="R740" s="96">
        <v>1.5532617864693779E-3</v>
      </c>
    </row>
    <row r="741" spans="1:18" ht="15.75" hidden="1" customHeight="1" x14ac:dyDescent="0.3">
      <c r="A741" s="89">
        <v>2021</v>
      </c>
      <c r="B741" s="90">
        <v>3</v>
      </c>
      <c r="C741" s="90" t="s">
        <v>724</v>
      </c>
      <c r="D741" s="90" t="s">
        <v>719</v>
      </c>
      <c r="E741" s="98" t="s">
        <v>11</v>
      </c>
      <c r="F741" s="100" t="s">
        <v>35</v>
      </c>
      <c r="G741" s="93">
        <v>25227.41</v>
      </c>
      <c r="H741" s="93">
        <v>47315.64</v>
      </c>
      <c r="I741" s="93">
        <v>2397.5457928860201</v>
      </c>
      <c r="J741" s="93">
        <v>156099.14000000001</v>
      </c>
      <c r="K741" s="93">
        <v>10779.04</v>
      </c>
      <c r="L741" s="93">
        <v>238108.35</v>
      </c>
      <c r="M741" s="93">
        <v>605861.18999999994</v>
      </c>
      <c r="N741" s="95">
        <v>6.8598817618920352E-2</v>
      </c>
      <c r="O741" s="95">
        <v>0.1286615216894042</v>
      </c>
      <c r="P741" s="95">
        <v>0.34896157430082658</v>
      </c>
      <c r="Q741" s="95">
        <v>0.42446753096454676</v>
      </c>
      <c r="R741" s="96">
        <v>2.9310555426302079E-2</v>
      </c>
    </row>
    <row r="742" spans="1:18" ht="15.75" hidden="1" customHeight="1" x14ac:dyDescent="0.3">
      <c r="A742" s="89">
        <v>2021</v>
      </c>
      <c r="B742" s="90">
        <v>3</v>
      </c>
      <c r="C742" s="90" t="s">
        <v>724</v>
      </c>
      <c r="D742" s="90" t="s">
        <v>719</v>
      </c>
      <c r="E742" s="98" t="s">
        <v>11</v>
      </c>
      <c r="F742" s="100" t="s">
        <v>36</v>
      </c>
      <c r="G742" s="93">
        <v>1429.8</v>
      </c>
      <c r="H742" s="93">
        <v>10330.24</v>
      </c>
      <c r="I742" s="93">
        <v>2397.5457928860201</v>
      </c>
      <c r="J742" s="93">
        <v>119940.61</v>
      </c>
      <c r="K742" s="93">
        <v>3377.58</v>
      </c>
      <c r="L742" s="93">
        <v>34188.75</v>
      </c>
      <c r="M742" s="93">
        <v>258886.88</v>
      </c>
      <c r="N742" s="95">
        <v>6.3632038237256359E-3</v>
      </c>
      <c r="O742" s="95">
        <v>4.5973858349421963E-2</v>
      </c>
      <c r="P742" s="95">
        <v>0.39884577588607439</v>
      </c>
      <c r="Q742" s="95">
        <v>0.53378552816616687</v>
      </c>
      <c r="R742" s="96">
        <v>1.50316337746113E-2</v>
      </c>
    </row>
    <row r="743" spans="1:18" ht="15.75" hidden="1" customHeight="1" x14ac:dyDescent="0.3">
      <c r="A743" s="89">
        <v>2021</v>
      </c>
      <c r="B743" s="90">
        <v>3</v>
      </c>
      <c r="C743" s="90" t="s">
        <v>724</v>
      </c>
      <c r="D743" s="90" t="s">
        <v>719</v>
      </c>
      <c r="E743" s="98" t="s">
        <v>11</v>
      </c>
      <c r="F743" s="100" t="s">
        <v>37</v>
      </c>
      <c r="G743" s="93">
        <v>8039.73</v>
      </c>
      <c r="H743" s="93">
        <v>38190.879999999997</v>
      </c>
      <c r="I743" s="93">
        <v>2397.5457928860201</v>
      </c>
      <c r="J743" s="93">
        <v>135979.13</v>
      </c>
      <c r="K743" s="93">
        <v>7801.31</v>
      </c>
      <c r="L743" s="93">
        <v>143074.15</v>
      </c>
      <c r="M743" s="93">
        <v>524073.85</v>
      </c>
      <c r="N743" s="95">
        <v>2.11016701587954E-2</v>
      </c>
      <c r="O743" s="95">
        <v>0.1002386091117657</v>
      </c>
      <c r="P743" s="95">
        <v>0.50128294064273538</v>
      </c>
      <c r="Q743" s="95">
        <v>0.35690088469885933</v>
      </c>
      <c r="R743" s="96">
        <v>2.0475895387844136E-2</v>
      </c>
    </row>
    <row r="744" spans="1:18" ht="15.75" hidden="1" customHeight="1" x14ac:dyDescent="0.3">
      <c r="A744" s="89">
        <v>2021</v>
      </c>
      <c r="B744" s="90">
        <v>3</v>
      </c>
      <c r="C744" s="90" t="s">
        <v>724</v>
      </c>
      <c r="D744" s="90" t="s">
        <v>719</v>
      </c>
      <c r="E744" s="98" t="s">
        <v>11</v>
      </c>
      <c r="F744" s="100" t="s">
        <v>38</v>
      </c>
      <c r="G744" s="93">
        <v>29530.99</v>
      </c>
      <c r="H744" s="93">
        <v>79770.95</v>
      </c>
      <c r="I744" s="93">
        <v>2397.5457928860201</v>
      </c>
      <c r="J744" s="93">
        <v>292568.8</v>
      </c>
      <c r="K744" s="93">
        <v>36520.1</v>
      </c>
      <c r="L744" s="93">
        <v>169312.6</v>
      </c>
      <c r="M744" s="93">
        <v>927958.42</v>
      </c>
      <c r="N744" s="95">
        <v>3.8925924616575368E-2</v>
      </c>
      <c r="O744" s="95">
        <v>0.10514913270068502</v>
      </c>
      <c r="P744" s="95">
        <v>0.42214030784483858</v>
      </c>
      <c r="Q744" s="95">
        <v>0.38564609767440622</v>
      </c>
      <c r="R744" s="96">
        <v>4.8138537163494817E-2</v>
      </c>
    </row>
    <row r="745" spans="1:18" ht="15.75" hidden="1" customHeight="1" x14ac:dyDescent="0.3">
      <c r="A745" s="89">
        <v>2021</v>
      </c>
      <c r="B745" s="90">
        <v>3</v>
      </c>
      <c r="C745" s="90" t="s">
        <v>724</v>
      </c>
      <c r="D745" s="90" t="s">
        <v>719</v>
      </c>
      <c r="E745" s="98" t="s">
        <v>11</v>
      </c>
      <c r="F745" s="100" t="s">
        <v>39</v>
      </c>
      <c r="G745" s="93">
        <v>3845.92</v>
      </c>
      <c r="H745" s="93">
        <v>48358.98</v>
      </c>
      <c r="I745" s="93">
        <v>2397.5457928860201</v>
      </c>
      <c r="J745" s="93">
        <v>22460.48</v>
      </c>
      <c r="K745" s="93">
        <v>365.59</v>
      </c>
      <c r="L745" s="93">
        <v>163750.20000000001</v>
      </c>
      <c r="M745" s="93">
        <v>331195.15999999997</v>
      </c>
      <c r="N745" s="95">
        <v>2.2968263720807122E-2</v>
      </c>
      <c r="O745" s="95">
        <v>0.28880522889431848</v>
      </c>
      <c r="P745" s="95">
        <v>0.55190666831656199</v>
      </c>
      <c r="Q745" s="95">
        <v>0.13413649476221917</v>
      </c>
      <c r="R745" s="96">
        <v>2.183344306093178E-3</v>
      </c>
    </row>
    <row r="746" spans="1:18" ht="15.75" hidden="1" customHeight="1" x14ac:dyDescent="0.3">
      <c r="A746" s="89">
        <v>2021</v>
      </c>
      <c r="B746" s="90">
        <v>3</v>
      </c>
      <c r="C746" s="90" t="s">
        <v>724</v>
      </c>
      <c r="D746" s="90" t="s">
        <v>719</v>
      </c>
      <c r="E746" s="98" t="s">
        <v>11</v>
      </c>
      <c r="F746" s="100" t="s">
        <v>40</v>
      </c>
      <c r="G746" s="93">
        <v>13588.4</v>
      </c>
      <c r="H746" s="93">
        <v>87027.96</v>
      </c>
      <c r="I746" s="93">
        <v>2397.5457928860201</v>
      </c>
      <c r="J746" s="93">
        <v>35847.74</v>
      </c>
      <c r="K746" s="93">
        <v>1139.8699999999999</v>
      </c>
      <c r="L746" s="93">
        <v>42490.91</v>
      </c>
      <c r="M746" s="93">
        <v>326305.02</v>
      </c>
      <c r="N746" s="95">
        <v>4.7877816927424786E-2</v>
      </c>
      <c r="O746" s="95">
        <v>0.30663718586789079</v>
      </c>
      <c r="P746" s="95">
        <v>0.51516163167504259</v>
      </c>
      <c r="Q746" s="95">
        <v>0.12630710996010733</v>
      </c>
      <c r="R746" s="96">
        <v>4.0162555695345799E-3</v>
      </c>
    </row>
    <row r="747" spans="1:18" ht="15.75" hidden="1" customHeight="1" x14ac:dyDescent="0.3">
      <c r="A747" s="89">
        <v>2021</v>
      </c>
      <c r="B747" s="90">
        <v>3</v>
      </c>
      <c r="C747" s="90" t="s">
        <v>724</v>
      </c>
      <c r="D747" s="90" t="s">
        <v>719</v>
      </c>
      <c r="E747" s="98" t="s">
        <v>11</v>
      </c>
      <c r="F747" s="100" t="s">
        <v>41</v>
      </c>
      <c r="G747" s="93">
        <v>1879.71</v>
      </c>
      <c r="H747" s="93">
        <v>6449.08</v>
      </c>
      <c r="I747" s="93">
        <v>2397.5457928860201</v>
      </c>
      <c r="J747" s="93">
        <v>1548.7</v>
      </c>
      <c r="K747" s="93">
        <v>85.54</v>
      </c>
      <c r="L747" s="93">
        <v>4481.3900000000003</v>
      </c>
      <c r="M747" s="93">
        <v>18714.32</v>
      </c>
      <c r="N747" s="95">
        <v>0.13206767685922713</v>
      </c>
      <c r="O747" s="95">
        <v>0.45310979538296042</v>
      </c>
      <c r="P747" s="95">
        <v>0.30000147545164624</v>
      </c>
      <c r="Q747" s="95">
        <v>0.10881104593362012</v>
      </c>
      <c r="R747" s="96">
        <v>6.0100063725459195E-3</v>
      </c>
    </row>
    <row r="748" spans="1:18" ht="15.75" hidden="1" customHeight="1" x14ac:dyDescent="0.3">
      <c r="A748" s="89">
        <v>2021</v>
      </c>
      <c r="B748" s="90">
        <v>3</v>
      </c>
      <c r="C748" s="90" t="s">
        <v>724</v>
      </c>
      <c r="D748" s="90" t="s">
        <v>719</v>
      </c>
      <c r="E748" s="98" t="s">
        <v>11</v>
      </c>
      <c r="F748" s="100" t="s">
        <v>42</v>
      </c>
      <c r="G748" s="93">
        <v>25020.26</v>
      </c>
      <c r="H748" s="93">
        <v>151801.53</v>
      </c>
      <c r="I748" s="93">
        <v>2397.5457928860201</v>
      </c>
      <c r="J748" s="93">
        <v>53709.53</v>
      </c>
      <c r="K748" s="93">
        <v>929.69</v>
      </c>
      <c r="L748" s="93">
        <v>196388.37</v>
      </c>
      <c r="M748" s="93">
        <v>620824.32999999996</v>
      </c>
      <c r="N748" s="95">
        <v>5.8949434915929362E-2</v>
      </c>
      <c r="O748" s="95">
        <v>0.35765473311922014</v>
      </c>
      <c r="P748" s="95">
        <v>0.45466211204159046</v>
      </c>
      <c r="Q748" s="95">
        <v>0.12654330702799074</v>
      </c>
      <c r="R748" s="96">
        <v>2.1904128952692889E-3</v>
      </c>
    </row>
    <row r="749" spans="1:18" ht="15.75" hidden="1" customHeight="1" x14ac:dyDescent="0.3">
      <c r="A749" s="89">
        <v>2021</v>
      </c>
      <c r="B749" s="90">
        <v>3</v>
      </c>
      <c r="C749" s="90" t="s">
        <v>724</v>
      </c>
      <c r="D749" s="90" t="s">
        <v>719</v>
      </c>
      <c r="E749" s="98" t="s">
        <v>11</v>
      </c>
      <c r="F749" s="100" t="s">
        <v>43</v>
      </c>
      <c r="G749" s="93">
        <v>12723.42</v>
      </c>
      <c r="H749" s="93">
        <v>26115.69</v>
      </c>
      <c r="I749" s="93">
        <v>2397.5457928860201</v>
      </c>
      <c r="J749" s="93">
        <v>10663.15</v>
      </c>
      <c r="K749" s="93">
        <v>675</v>
      </c>
      <c r="L749" s="93">
        <v>116134.21</v>
      </c>
      <c r="M749" s="93">
        <v>185575.48</v>
      </c>
      <c r="N749" s="95">
        <v>0.18322562360970648</v>
      </c>
      <c r="O749" s="95">
        <v>0.37608312751192485</v>
      </c>
      <c r="P749" s="95">
        <v>0.2774144251682033</v>
      </c>
      <c r="Q749" s="95">
        <v>0.15355637936921374</v>
      </c>
      <c r="R749" s="96">
        <v>9.7204443409517147E-3</v>
      </c>
    </row>
    <row r="750" spans="1:18" ht="15.75" hidden="1" customHeight="1" x14ac:dyDescent="0.3">
      <c r="A750" s="89">
        <v>2021</v>
      </c>
      <c r="B750" s="90">
        <v>3</v>
      </c>
      <c r="C750" s="90" t="s">
        <v>724</v>
      </c>
      <c r="D750" s="90" t="s">
        <v>719</v>
      </c>
      <c r="E750" s="98" t="s">
        <v>11</v>
      </c>
      <c r="F750" s="100" t="s">
        <v>58</v>
      </c>
      <c r="G750" s="93">
        <v>22528.65</v>
      </c>
      <c r="H750" s="93">
        <v>113008.76</v>
      </c>
      <c r="I750" s="93">
        <v>2397.5457928860201</v>
      </c>
      <c r="J750" s="93">
        <v>55250.11</v>
      </c>
      <c r="K750" s="93">
        <v>2992.04</v>
      </c>
      <c r="L750" s="93">
        <v>42229.24</v>
      </c>
      <c r="M750" s="93">
        <v>371477.12</v>
      </c>
      <c r="N750" s="95">
        <v>6.8424586363319953E-2</v>
      </c>
      <c r="O750" s="95">
        <v>0.34323306804587478</v>
      </c>
      <c r="P750" s="95">
        <v>0.41144781251135171</v>
      </c>
      <c r="Q750" s="95">
        <v>0.1678070334120299</v>
      </c>
      <c r="R750" s="96">
        <v>9.0874996674238286E-3</v>
      </c>
    </row>
    <row r="751" spans="1:18" ht="15.75" hidden="1" customHeight="1" x14ac:dyDescent="0.3">
      <c r="A751" s="89">
        <v>2021</v>
      </c>
      <c r="B751" s="90">
        <v>3</v>
      </c>
      <c r="C751" s="90" t="s">
        <v>724</v>
      </c>
      <c r="D751" s="90" t="s">
        <v>719</v>
      </c>
      <c r="E751" s="98" t="s">
        <v>11</v>
      </c>
      <c r="F751" s="100" t="s">
        <v>44</v>
      </c>
      <c r="G751" s="93">
        <v>2439.83</v>
      </c>
      <c r="H751" s="93">
        <v>3845.12</v>
      </c>
      <c r="I751" s="93">
        <v>2397.5457928860201</v>
      </c>
      <c r="J751" s="93">
        <v>118367.16</v>
      </c>
      <c r="K751" s="93">
        <v>9590.59</v>
      </c>
      <c r="L751" s="93">
        <v>43709.35</v>
      </c>
      <c r="M751" s="93">
        <v>215729.28</v>
      </c>
      <c r="N751" s="95">
        <v>1.4183414677589976E-2</v>
      </c>
      <c r="O751" s="95">
        <v>2.2352758776265053E-2</v>
      </c>
      <c r="P751" s="95">
        <v>0.21960961151420075</v>
      </c>
      <c r="Q751" s="95">
        <v>0.68810143103767107</v>
      </c>
      <c r="R751" s="96">
        <v>5.5752783994273226E-2</v>
      </c>
    </row>
    <row r="752" spans="1:18" ht="15.75" hidden="1" customHeight="1" x14ac:dyDescent="0.3">
      <c r="A752" s="89">
        <v>2021</v>
      </c>
      <c r="B752" s="90">
        <v>3</v>
      </c>
      <c r="C752" s="90" t="s">
        <v>724</v>
      </c>
      <c r="D752" s="90" t="s">
        <v>719</v>
      </c>
      <c r="E752" s="98" t="s">
        <v>11</v>
      </c>
      <c r="F752" s="100" t="s">
        <v>51</v>
      </c>
      <c r="G752" s="93">
        <v>936.09</v>
      </c>
      <c r="H752" s="93">
        <v>3781.03</v>
      </c>
      <c r="I752" s="93">
        <v>2397.5457928860201</v>
      </c>
      <c r="J752" s="93">
        <v>50651.839999999997</v>
      </c>
      <c r="K752" s="93">
        <v>132934.85999999999</v>
      </c>
      <c r="L752" s="93">
        <v>8154.37</v>
      </c>
      <c r="M752" s="93">
        <v>211202.42</v>
      </c>
      <c r="N752" s="95">
        <v>4.610189558579854E-3</v>
      </c>
      <c r="O752" s="95">
        <v>1.8621355881034071E-2</v>
      </c>
      <c r="P752" s="95">
        <v>7.2614487063530034E-2</v>
      </c>
      <c r="Q752" s="95">
        <v>0.24945740675667655</v>
      </c>
      <c r="R752" s="96">
        <v>0.65469656074017946</v>
      </c>
    </row>
    <row r="753" spans="1:18" ht="15.75" hidden="1" customHeight="1" x14ac:dyDescent="0.3">
      <c r="A753" s="89">
        <v>2021</v>
      </c>
      <c r="B753" s="90">
        <v>3</v>
      </c>
      <c r="C753" s="90" t="s">
        <v>724</v>
      </c>
      <c r="D753" s="90" t="s">
        <v>719</v>
      </c>
      <c r="E753" s="98" t="s">
        <v>11</v>
      </c>
      <c r="F753" s="100" t="s">
        <v>45</v>
      </c>
      <c r="G753" s="93">
        <v>4162.95</v>
      </c>
      <c r="H753" s="93">
        <v>8001.72</v>
      </c>
      <c r="I753" s="93">
        <v>2397.5457928860201</v>
      </c>
      <c r="J753" s="93">
        <v>18779.240000000002</v>
      </c>
      <c r="K753" s="93">
        <v>685.06</v>
      </c>
      <c r="L753" s="93">
        <v>73420.7</v>
      </c>
      <c r="M753" s="93">
        <v>134096.09</v>
      </c>
      <c r="N753" s="95">
        <v>6.86101894029853E-2</v>
      </c>
      <c r="O753" s="95">
        <v>0.13187752068837136</v>
      </c>
      <c r="P753" s="95">
        <v>0.47871830737305521</v>
      </c>
      <c r="Q753" s="95">
        <v>0.30950340821871936</v>
      </c>
      <c r="R753" s="96">
        <v>1.1290574316868833E-2</v>
      </c>
    </row>
    <row r="754" spans="1:18" ht="15.75" hidden="1" customHeight="1" x14ac:dyDescent="0.3">
      <c r="A754" s="89">
        <v>2021</v>
      </c>
      <c r="B754" s="90">
        <v>3</v>
      </c>
      <c r="C754" s="90" t="s">
        <v>724</v>
      </c>
      <c r="D754" s="90" t="s">
        <v>719</v>
      </c>
      <c r="E754" s="98" t="s">
        <v>11</v>
      </c>
      <c r="F754" s="100" t="s">
        <v>721</v>
      </c>
      <c r="G754" s="93">
        <v>8278.61</v>
      </c>
      <c r="H754" s="93">
        <v>52299.519999999997</v>
      </c>
      <c r="I754" s="93">
        <v>2397.5457928860201</v>
      </c>
      <c r="J754" s="93">
        <v>68506.429999999993</v>
      </c>
      <c r="K754" s="93">
        <v>2987.18</v>
      </c>
      <c r="L754" s="93">
        <v>34742.04</v>
      </c>
      <c r="M754" s="93">
        <v>309330.84000000003</v>
      </c>
      <c r="N754" s="95">
        <v>3.0149117516810594E-2</v>
      </c>
      <c r="O754" s="95">
        <v>0.19046486965236747</v>
      </c>
      <c r="P754" s="95">
        <v>0.51901993089302989</v>
      </c>
      <c r="Q754" s="95">
        <v>0.24948734252817303</v>
      </c>
      <c r="R754" s="96">
        <v>1.0878739409619037E-2</v>
      </c>
    </row>
    <row r="755" spans="1:18" ht="15.75" hidden="1" customHeight="1" x14ac:dyDescent="0.3">
      <c r="A755" s="89">
        <v>2021</v>
      </c>
      <c r="B755" s="90">
        <v>3</v>
      </c>
      <c r="C755" s="90" t="s">
        <v>724</v>
      </c>
      <c r="D755" s="90" t="s">
        <v>719</v>
      </c>
      <c r="E755" s="98" t="s">
        <v>11</v>
      </c>
      <c r="F755" s="100" t="s">
        <v>46</v>
      </c>
      <c r="G755" s="93">
        <v>1890.05</v>
      </c>
      <c r="H755" s="93">
        <v>10248.61</v>
      </c>
      <c r="I755" s="93">
        <v>2397.5457928860201</v>
      </c>
      <c r="J755" s="93">
        <v>54384.42</v>
      </c>
      <c r="K755" s="93">
        <v>31704.77</v>
      </c>
      <c r="L755" s="93">
        <v>7205.29</v>
      </c>
      <c r="M755" s="93">
        <v>149075.01</v>
      </c>
      <c r="N755" s="95">
        <v>1.3322434131821787E-2</v>
      </c>
      <c r="O755" s="95">
        <v>7.2239587136705433E-2</v>
      </c>
      <c r="P755" s="95">
        <v>0.30761934259121682</v>
      </c>
      <c r="Q755" s="95">
        <v>0.38334057471883359</v>
      </c>
      <c r="R755" s="96">
        <v>0.2234780614214224</v>
      </c>
    </row>
    <row r="756" spans="1:18" ht="15.75" hidden="1" customHeight="1" x14ac:dyDescent="0.3">
      <c r="A756" s="89">
        <v>2021</v>
      </c>
      <c r="B756" s="90">
        <v>3</v>
      </c>
      <c r="C756" s="90" t="s">
        <v>724</v>
      </c>
      <c r="D756" s="90" t="s">
        <v>719</v>
      </c>
      <c r="E756" s="91" t="s">
        <v>11</v>
      </c>
      <c r="F756" s="92" t="s">
        <v>47</v>
      </c>
      <c r="G756" s="93">
        <v>22434.76</v>
      </c>
      <c r="H756" s="93">
        <v>289460.94</v>
      </c>
      <c r="I756" s="93">
        <v>2397.5457928860201</v>
      </c>
      <c r="J756" s="93">
        <v>231552.01</v>
      </c>
      <c r="K756" s="93">
        <v>36537.42</v>
      </c>
      <c r="L756" s="93">
        <v>184927.46</v>
      </c>
      <c r="M756" s="93">
        <v>1461770.35</v>
      </c>
      <c r="N756" s="95">
        <v>1.75704937355292E-2</v>
      </c>
      <c r="O756" s="95">
        <v>0.2267005144227259</v>
      </c>
      <c r="P756" s="95">
        <v>0.54576625319971828</v>
      </c>
      <c r="Q756" s="95">
        <v>0.18134729950996559</v>
      </c>
      <c r="R756" s="96">
        <v>2.8615439132061112E-2</v>
      </c>
    </row>
    <row r="757" spans="1:18" ht="15.75" hidden="1" customHeight="1" x14ac:dyDescent="0.3">
      <c r="A757" s="89">
        <v>2021</v>
      </c>
      <c r="B757" s="90">
        <v>3</v>
      </c>
      <c r="C757" s="90" t="s">
        <v>724</v>
      </c>
      <c r="D757" s="90" t="s">
        <v>719</v>
      </c>
      <c r="E757" s="91" t="s">
        <v>11</v>
      </c>
      <c r="F757" s="92" t="s">
        <v>48</v>
      </c>
      <c r="G757" s="93">
        <v>521.65</v>
      </c>
      <c r="H757" s="93">
        <v>3254.79</v>
      </c>
      <c r="I757" s="93">
        <v>2397.5457928860201</v>
      </c>
      <c r="J757" s="93">
        <v>37314.54</v>
      </c>
      <c r="K757" s="93">
        <v>883.45</v>
      </c>
      <c r="L757" s="93">
        <v>15498.87</v>
      </c>
      <c r="M757" s="93">
        <v>110314.39</v>
      </c>
      <c r="N757" s="95">
        <v>5.5017364245853418E-3</v>
      </c>
      <c r="O757" s="95">
        <v>3.4327607969665726E-2</v>
      </c>
      <c r="P757" s="95">
        <v>0.557304226143568</v>
      </c>
      <c r="Q757" s="95">
        <v>0.39354886204283857</v>
      </c>
      <c r="R757" s="96">
        <v>9.3175674193423184E-3</v>
      </c>
    </row>
    <row r="758" spans="1:18" ht="15.75" hidden="1" customHeight="1" x14ac:dyDescent="0.3">
      <c r="A758" s="89">
        <v>2021</v>
      </c>
      <c r="B758" s="90">
        <v>3</v>
      </c>
      <c r="C758" s="90" t="s">
        <v>724</v>
      </c>
      <c r="D758" s="90" t="s">
        <v>722</v>
      </c>
      <c r="E758" s="91" t="s">
        <v>11</v>
      </c>
      <c r="F758" s="92" t="s">
        <v>12</v>
      </c>
      <c r="G758" s="93">
        <v>5825.6480973085199</v>
      </c>
      <c r="H758" s="93">
        <v>27289.4781051795</v>
      </c>
      <c r="I758" s="93">
        <v>2397.5457928860201</v>
      </c>
      <c r="J758" s="93">
        <v>151530.72379950399</v>
      </c>
      <c r="K758" s="93">
        <v>15894.111335998699</v>
      </c>
      <c r="L758" s="93">
        <v>101676.331950743</v>
      </c>
      <c r="M758" s="93">
        <v>433311.47680229071</v>
      </c>
      <c r="N758" s="95">
        <v>1.7566437658217127E-2</v>
      </c>
      <c r="O758" s="95">
        <v>8.2287654154975909E-2</v>
      </c>
      <c r="P758" s="95">
        <v>0.39529942935402734</v>
      </c>
      <c r="Q758" s="95">
        <v>0.45691998014062957</v>
      </c>
      <c r="R758" s="96">
        <v>4.7926498692150064E-2</v>
      </c>
    </row>
    <row r="759" spans="1:18" ht="15.75" hidden="1" customHeight="1" x14ac:dyDescent="0.3">
      <c r="A759" s="89">
        <v>2021</v>
      </c>
      <c r="B759" s="90">
        <v>3</v>
      </c>
      <c r="C759" s="90" t="s">
        <v>724</v>
      </c>
      <c r="D759" s="90" t="s">
        <v>722</v>
      </c>
      <c r="E759" s="91" t="s">
        <v>11</v>
      </c>
      <c r="F759" s="92" t="s">
        <v>26</v>
      </c>
      <c r="G759" s="93">
        <v>89047.713344997203</v>
      </c>
      <c r="H759" s="93">
        <v>256756.644280704</v>
      </c>
      <c r="I759" s="93">
        <v>2397.5457928860201</v>
      </c>
      <c r="J759" s="93">
        <v>185875.04888632699</v>
      </c>
      <c r="K759" s="93">
        <v>12816.4624584864</v>
      </c>
      <c r="L759" s="93">
        <v>305975.42911372293</v>
      </c>
      <c r="M759" s="93">
        <v>1302393.3163907256</v>
      </c>
      <c r="N759" s="95">
        <v>8.9367839018170983E-2</v>
      </c>
      <c r="O759" s="95">
        <v>0.25767968194786739</v>
      </c>
      <c r="P759" s="95">
        <v>0.4535466736165229</v>
      </c>
      <c r="Q759" s="95">
        <v>0.18654326789965989</v>
      </c>
      <c r="R759" s="96">
        <v>1.2862537517778867E-2</v>
      </c>
    </row>
    <row r="760" spans="1:18" ht="15.75" hidden="1" customHeight="1" x14ac:dyDescent="0.3">
      <c r="A760" s="89">
        <v>2021</v>
      </c>
      <c r="B760" s="90">
        <v>3</v>
      </c>
      <c r="C760" s="90" t="s">
        <v>724</v>
      </c>
      <c r="D760" s="90" t="s">
        <v>722</v>
      </c>
      <c r="E760" s="91" t="s">
        <v>11</v>
      </c>
      <c r="F760" s="92" t="s">
        <v>27</v>
      </c>
      <c r="G760" s="93">
        <v>1688.2678785631099</v>
      </c>
      <c r="H760" s="93">
        <v>39932.515042022998</v>
      </c>
      <c r="I760" s="93">
        <v>2397.5457928860201</v>
      </c>
      <c r="J760" s="93">
        <v>33978.768571961802</v>
      </c>
      <c r="K760" s="93">
        <v>2174.11338858915</v>
      </c>
      <c r="L760" s="93">
        <v>15968.223057527439</v>
      </c>
      <c r="M760" s="93">
        <v>226689.61699929947</v>
      </c>
      <c r="N760" s="95">
        <v>8.0118484743396477E-3</v>
      </c>
      <c r="O760" s="95">
        <v>0.18950384816198312</v>
      </c>
      <c r="P760" s="95">
        <v>0.63091709187047251</v>
      </c>
      <c r="Q760" s="95">
        <v>0.16124973329168013</v>
      </c>
      <c r="R760" s="96">
        <v>1.0317478201524786E-2</v>
      </c>
    </row>
    <row r="761" spans="1:18" ht="15.75" hidden="1" customHeight="1" x14ac:dyDescent="0.3">
      <c r="A761" s="89">
        <v>2021</v>
      </c>
      <c r="B761" s="90">
        <v>3</v>
      </c>
      <c r="C761" s="90" t="s">
        <v>724</v>
      </c>
      <c r="D761" s="90" t="s">
        <v>722</v>
      </c>
      <c r="E761" s="91" t="s">
        <v>11</v>
      </c>
      <c r="F761" s="92" t="s">
        <v>28</v>
      </c>
      <c r="G761" s="93">
        <v>5285.0371921828801</v>
      </c>
      <c r="H761" s="93">
        <v>33623.0485039661</v>
      </c>
      <c r="I761" s="93">
        <v>2397.5457928860201</v>
      </c>
      <c r="J761" s="93">
        <v>145657.334190858</v>
      </c>
      <c r="K761" s="93">
        <v>5033.7032233057198</v>
      </c>
      <c r="L761" s="93">
        <v>4175.239527954961</v>
      </c>
      <c r="M761" s="93">
        <v>373104.58101492963</v>
      </c>
      <c r="N761" s="95">
        <v>1.4325337125210662E-2</v>
      </c>
      <c r="O761" s="95">
        <v>9.1136824109592229E-2</v>
      </c>
      <c r="P761" s="95">
        <v>0.48608282999088426</v>
      </c>
      <c r="Q761" s="95">
        <v>0.39481092396658979</v>
      </c>
      <c r="R761" s="96">
        <v>1.3644084807723103E-2</v>
      </c>
    </row>
    <row r="762" spans="1:18" ht="15.75" customHeight="1" x14ac:dyDescent="0.3">
      <c r="A762" s="89">
        <v>2021</v>
      </c>
      <c r="B762" s="90">
        <v>3</v>
      </c>
      <c r="C762" s="90" t="s">
        <v>724</v>
      </c>
      <c r="D762" s="90" t="s">
        <v>722</v>
      </c>
      <c r="E762" s="91" t="s">
        <v>11</v>
      </c>
      <c r="F762" s="92" t="s">
        <v>29</v>
      </c>
      <c r="G762" s="93">
        <v>14157.359910893099</v>
      </c>
      <c r="H762" s="93">
        <v>43600.159523591698</v>
      </c>
      <c r="I762" s="93">
        <v>2397.5457928860201</v>
      </c>
      <c r="J762" s="93">
        <v>102322.397664609</v>
      </c>
      <c r="K762" s="93">
        <v>6284.4487272686702</v>
      </c>
      <c r="L762" s="93">
        <v>71934.108374951698</v>
      </c>
      <c r="M762" s="93">
        <v>354392.05486976117</v>
      </c>
      <c r="N762" s="95">
        <v>5.0122009617999043E-2</v>
      </c>
      <c r="O762" s="95">
        <v>0.15435982617820562</v>
      </c>
      <c r="P762" s="95">
        <v>0.41101191207088372</v>
      </c>
      <c r="Q762" s="95">
        <v>0.36225710387825577</v>
      </c>
      <c r="R762" s="96">
        <v>2.2249148254655866E-2</v>
      </c>
    </row>
    <row r="763" spans="1:18" ht="15.75" hidden="1" customHeight="1" x14ac:dyDescent="0.3">
      <c r="A763" s="89">
        <v>2021</v>
      </c>
      <c r="B763" s="90">
        <v>3</v>
      </c>
      <c r="C763" s="90" t="s">
        <v>724</v>
      </c>
      <c r="D763" s="90" t="s">
        <v>722</v>
      </c>
      <c r="E763" s="91" t="s">
        <v>11</v>
      </c>
      <c r="F763" s="92" t="s">
        <v>30</v>
      </c>
      <c r="G763" s="93">
        <v>198.24446054687499</v>
      </c>
      <c r="H763" s="93">
        <v>1510.4773109191101</v>
      </c>
      <c r="I763" s="93">
        <v>2397.5457928860201</v>
      </c>
      <c r="J763" s="93">
        <v>4934.2693752573496</v>
      </c>
      <c r="K763" s="93">
        <v>881.48263875765895</v>
      </c>
      <c r="L763" s="93">
        <v>216242.04206779529</v>
      </c>
      <c r="M763" s="93">
        <v>230086.50016211666</v>
      </c>
      <c r="N763" s="95">
        <v>1.4319409195813128E-2</v>
      </c>
      <c r="O763" s="95">
        <v>0.10910339000835774</v>
      </c>
      <c r="P763" s="95">
        <v>0.45649921909422142</v>
      </c>
      <c r="Q763" s="95">
        <v>0.35640754890083087</v>
      </c>
      <c r="R763" s="96">
        <v>6.3670432800776763E-2</v>
      </c>
    </row>
    <row r="764" spans="1:18" ht="15.75" hidden="1" customHeight="1" x14ac:dyDescent="0.3">
      <c r="A764" s="89">
        <v>2021</v>
      </c>
      <c r="B764" s="90">
        <v>3</v>
      </c>
      <c r="C764" s="90" t="s">
        <v>724</v>
      </c>
      <c r="D764" s="90" t="s">
        <v>722</v>
      </c>
      <c r="E764" s="91" t="s">
        <v>11</v>
      </c>
      <c r="F764" s="92" t="s">
        <v>31</v>
      </c>
      <c r="G764" s="93">
        <v>4351.6965557674603</v>
      </c>
      <c r="H764" s="93">
        <v>35734.374660572103</v>
      </c>
      <c r="I764" s="93">
        <v>2397.5457928860201</v>
      </c>
      <c r="J764" s="93">
        <v>69656.064496869803</v>
      </c>
      <c r="K764" s="93">
        <v>17183.257968645899</v>
      </c>
      <c r="L764" s="93">
        <v>44821.470644995818</v>
      </c>
      <c r="M764" s="93">
        <v>251948.68865991948</v>
      </c>
      <c r="N764" s="95">
        <v>2.1009776491344161E-2</v>
      </c>
      <c r="O764" s="95">
        <v>0.17252379963891279</v>
      </c>
      <c r="P764" s="95">
        <v>0.38721045501267631</v>
      </c>
      <c r="Q764" s="95">
        <v>0.33629604628712306</v>
      </c>
      <c r="R764" s="96">
        <v>8.2959922569943612E-2</v>
      </c>
    </row>
    <row r="765" spans="1:18" ht="15.75" hidden="1" customHeight="1" x14ac:dyDescent="0.3">
      <c r="A765" s="89">
        <v>2021</v>
      </c>
      <c r="B765" s="90">
        <v>3</v>
      </c>
      <c r="C765" s="90" t="s">
        <v>724</v>
      </c>
      <c r="D765" s="90" t="s">
        <v>722</v>
      </c>
      <c r="E765" s="91" t="s">
        <v>11</v>
      </c>
      <c r="F765" s="92" t="s">
        <v>32</v>
      </c>
      <c r="G765" s="93">
        <v>32411.300066497701</v>
      </c>
      <c r="H765" s="93">
        <v>95309.036137232295</v>
      </c>
      <c r="I765" s="93">
        <v>2397.5457928860201</v>
      </c>
      <c r="J765" s="93">
        <v>251770.13085403299</v>
      </c>
      <c r="K765" s="93">
        <v>30172.841635216198</v>
      </c>
      <c r="L765" s="93">
        <v>29020.750901794461</v>
      </c>
      <c r="M765" s="93">
        <v>609521.81280336063</v>
      </c>
      <c r="N765" s="95">
        <v>5.5833317445323785E-2</v>
      </c>
      <c r="O765" s="95">
        <v>0.16418408577070537</v>
      </c>
      <c r="P765" s="95">
        <v>0.2942936101597613</v>
      </c>
      <c r="Q765" s="95">
        <v>0.4337117490005985</v>
      </c>
      <c r="R765" s="96">
        <v>5.197723762361095E-2</v>
      </c>
    </row>
    <row r="766" spans="1:18" ht="15.75" hidden="1" customHeight="1" x14ac:dyDescent="0.3">
      <c r="A766" s="89">
        <v>2021</v>
      </c>
      <c r="B766" s="90">
        <v>3</v>
      </c>
      <c r="C766" s="90" t="s">
        <v>724</v>
      </c>
      <c r="D766" s="90" t="s">
        <v>722</v>
      </c>
      <c r="E766" s="91" t="s">
        <v>11</v>
      </c>
      <c r="F766" s="92" t="s">
        <v>33</v>
      </c>
      <c r="G766" s="93">
        <v>129419.101229634</v>
      </c>
      <c r="H766" s="93">
        <v>451871.57887285401</v>
      </c>
      <c r="I766" s="93">
        <v>2397.5457928860201</v>
      </c>
      <c r="J766" s="93">
        <v>103380.074032834</v>
      </c>
      <c r="K766" s="93">
        <v>4769.2042428553896</v>
      </c>
      <c r="L766" s="93">
        <v>158934.9585115212</v>
      </c>
      <c r="M766" s="93">
        <v>1352056.7882566836</v>
      </c>
      <c r="N766" s="95">
        <v>0.10847098594891728</v>
      </c>
      <c r="O766" s="95">
        <v>0.37873045954524925</v>
      </c>
      <c r="P766" s="95">
        <v>0.42215460216209927</v>
      </c>
      <c r="Q766" s="95">
        <v>8.6646704012543999E-2</v>
      </c>
      <c r="R766" s="96">
        <v>3.9972483311901501E-3</v>
      </c>
    </row>
    <row r="767" spans="1:18" ht="15.75" hidden="1" customHeight="1" x14ac:dyDescent="0.3">
      <c r="A767" s="89">
        <v>2021</v>
      </c>
      <c r="B767" s="90">
        <v>3</v>
      </c>
      <c r="C767" s="90" t="s">
        <v>724</v>
      </c>
      <c r="D767" s="90" t="s">
        <v>722</v>
      </c>
      <c r="E767" s="91" t="s">
        <v>11</v>
      </c>
      <c r="F767" s="92" t="s">
        <v>34</v>
      </c>
      <c r="G767" s="93">
        <v>61910.013545128197</v>
      </c>
      <c r="H767" s="93">
        <v>217477.675665079</v>
      </c>
      <c r="I767" s="93">
        <v>2397.5457928860201</v>
      </c>
      <c r="J767" s="93">
        <v>59813.582720352199</v>
      </c>
      <c r="K767" s="93">
        <v>987.08723828125005</v>
      </c>
      <c r="L767" s="93">
        <v>46894.151172887301</v>
      </c>
      <c r="M767" s="93">
        <v>713628.83042003296</v>
      </c>
      <c r="N767" s="95">
        <v>9.2855547299616842E-2</v>
      </c>
      <c r="O767" s="95">
        <v>0.32618323665216797</v>
      </c>
      <c r="P767" s="95">
        <v>0.48976951438468769</v>
      </c>
      <c r="Q767" s="95">
        <v>8.9711221842985106E-2</v>
      </c>
      <c r="R767" s="96">
        <v>1.4804798205424619E-3</v>
      </c>
    </row>
    <row r="768" spans="1:18" ht="15.75" hidden="1" customHeight="1" x14ac:dyDescent="0.3">
      <c r="A768" s="89">
        <v>2021</v>
      </c>
      <c r="B768" s="90">
        <v>3</v>
      </c>
      <c r="C768" s="90" t="s">
        <v>724</v>
      </c>
      <c r="D768" s="90" t="s">
        <v>722</v>
      </c>
      <c r="E768" s="91" t="s">
        <v>11</v>
      </c>
      <c r="F768" s="92" t="s">
        <v>35</v>
      </c>
      <c r="G768" s="93">
        <v>14449.0848860723</v>
      </c>
      <c r="H768" s="93">
        <v>25855.886618034601</v>
      </c>
      <c r="I768" s="93">
        <v>2397.5457928860201</v>
      </c>
      <c r="J768" s="93">
        <v>210913.521619234</v>
      </c>
      <c r="K768" s="93">
        <v>27290.2280668934</v>
      </c>
      <c r="L768" s="93">
        <v>237511.64494457201</v>
      </c>
      <c r="M768" s="93">
        <v>605861.19629491819</v>
      </c>
      <c r="N768" s="95">
        <v>3.9226557581250932E-2</v>
      </c>
      <c r="O768" s="95">
        <v>7.0193886549470633E-2</v>
      </c>
      <c r="P768" s="95">
        <v>0.24390101693014424</v>
      </c>
      <c r="Q768" s="95">
        <v>0.57259068416410008</v>
      </c>
      <c r="R768" s="96">
        <v>7.4087854775034073E-2</v>
      </c>
    </row>
    <row r="769" spans="1:18" ht="15.75" hidden="1" customHeight="1" x14ac:dyDescent="0.3">
      <c r="A769" s="89">
        <v>2021</v>
      </c>
      <c r="B769" s="90">
        <v>3</v>
      </c>
      <c r="C769" s="90" t="s">
        <v>724</v>
      </c>
      <c r="D769" s="90" t="s">
        <v>722</v>
      </c>
      <c r="E769" s="91" t="s">
        <v>11</v>
      </c>
      <c r="F769" s="92" t="s">
        <v>36</v>
      </c>
      <c r="G769" s="93">
        <v>1004.97927800551</v>
      </c>
      <c r="H769" s="93">
        <v>5264.00387388326</v>
      </c>
      <c r="I769" s="93">
        <v>2397.5457928860201</v>
      </c>
      <c r="J769" s="93">
        <v>141819.56828562199</v>
      </c>
      <c r="K769" s="93">
        <v>14246.48242409</v>
      </c>
      <c r="L769" s="93">
        <v>34568.974025419899</v>
      </c>
      <c r="M769" s="93">
        <v>258886.87145458185</v>
      </c>
      <c r="N769" s="95">
        <v>4.4801564633195415E-3</v>
      </c>
      <c r="O769" s="95">
        <v>2.3466713687192952E-2</v>
      </c>
      <c r="P769" s="95">
        <v>0.27631706733135264</v>
      </c>
      <c r="Q769" s="95">
        <v>0.63222582732350918</v>
      </c>
      <c r="R769" s="96">
        <v>6.3510235194625703E-2</v>
      </c>
    </row>
    <row r="770" spans="1:18" ht="15.75" hidden="1" customHeight="1" x14ac:dyDescent="0.3">
      <c r="A770" s="89">
        <v>2021</v>
      </c>
      <c r="B770" s="90">
        <v>3</v>
      </c>
      <c r="C770" s="90" t="s">
        <v>724</v>
      </c>
      <c r="D770" s="90" t="s">
        <v>722</v>
      </c>
      <c r="E770" s="91" t="s">
        <v>11</v>
      </c>
      <c r="F770" s="92" t="s">
        <v>37</v>
      </c>
      <c r="G770" s="93">
        <v>10502.753245617299</v>
      </c>
      <c r="H770" s="93">
        <v>38481.731112893998</v>
      </c>
      <c r="I770" s="93">
        <v>2397.5457928860201</v>
      </c>
      <c r="J770" s="93">
        <v>135931.40099409301</v>
      </c>
      <c r="K770" s="93">
        <v>14655.7963943427</v>
      </c>
      <c r="L770" s="93">
        <v>192131.8930935543</v>
      </c>
      <c r="M770" s="93">
        <v>524073.85777630331</v>
      </c>
      <c r="N770" s="95">
        <v>3.1640329825893591E-2</v>
      </c>
      <c r="O770" s="95">
        <v>0.11592909365850328</v>
      </c>
      <c r="P770" s="95">
        <v>0.39877537949235764</v>
      </c>
      <c r="Q770" s="95">
        <v>0.40950351403748669</v>
      </c>
      <c r="R770" s="96">
        <v>4.4151682985758868E-2</v>
      </c>
    </row>
    <row r="771" spans="1:18" ht="15.75" hidden="1" customHeight="1" x14ac:dyDescent="0.3">
      <c r="A771" s="89">
        <v>2021</v>
      </c>
      <c r="B771" s="90">
        <v>3</v>
      </c>
      <c r="C771" s="90" t="s">
        <v>724</v>
      </c>
      <c r="D771" s="90" t="s">
        <v>722</v>
      </c>
      <c r="E771" s="91" t="s">
        <v>11</v>
      </c>
      <c r="F771" s="92" t="s">
        <v>720</v>
      </c>
      <c r="G771" s="93">
        <v>22820.3272930206</v>
      </c>
      <c r="H771" s="93">
        <v>63142.443027702902</v>
      </c>
      <c r="I771" s="93">
        <v>2397.5457928860201</v>
      </c>
      <c r="J771" s="93">
        <v>337980.48363735998</v>
      </c>
      <c r="K771" s="93">
        <v>48839.093689301997</v>
      </c>
      <c r="L771" s="93">
        <v>161304.05350205538</v>
      </c>
      <c r="M771" s="93">
        <v>927958.42268837383</v>
      </c>
      <c r="N771" s="95">
        <v>2.976612174954503E-2</v>
      </c>
      <c r="O771" s="95">
        <v>8.2361029383708526E-2</v>
      </c>
      <c r="P771" s="95">
        <v>0.38331748092798495</v>
      </c>
      <c r="Q771" s="95">
        <v>0.44085118042967975</v>
      </c>
      <c r="R771" s="96">
        <v>6.3704187509081717E-2</v>
      </c>
    </row>
    <row r="772" spans="1:18" ht="15" hidden="1" customHeight="1" x14ac:dyDescent="0.3">
      <c r="A772" s="89">
        <v>2021</v>
      </c>
      <c r="B772" s="90">
        <v>3</v>
      </c>
      <c r="C772" s="90" t="s">
        <v>724</v>
      </c>
      <c r="D772" s="90" t="s">
        <v>722</v>
      </c>
      <c r="E772" s="91" t="s">
        <v>11</v>
      </c>
      <c r="F772" s="92" t="s">
        <v>39</v>
      </c>
      <c r="G772" s="93">
        <v>9060.5943915640291</v>
      </c>
      <c r="H772" s="93">
        <v>95156.498495538501</v>
      </c>
      <c r="I772" s="93">
        <v>2397.5457928860201</v>
      </c>
      <c r="J772" s="93">
        <v>41967.750404018101</v>
      </c>
      <c r="K772" s="93">
        <v>1005.62149552389</v>
      </c>
      <c r="L772" s="93">
        <v>1593.76441527267</v>
      </c>
      <c r="M772" s="93">
        <v>331195.16650096921</v>
      </c>
      <c r="N772" s="95">
        <v>2.7489550512313266E-2</v>
      </c>
      <c r="O772" s="95">
        <v>0.28870174062790477</v>
      </c>
      <c r="P772" s="95">
        <v>0.5534288875738006</v>
      </c>
      <c r="Q772" s="95">
        <v>0.12732879817394244</v>
      </c>
      <c r="R772" s="96">
        <v>3.0510231120389102E-3</v>
      </c>
    </row>
    <row r="773" spans="1:18" ht="15" hidden="1" customHeight="1" x14ac:dyDescent="0.3">
      <c r="A773" s="89">
        <v>2021</v>
      </c>
      <c r="B773" s="90">
        <v>3</v>
      </c>
      <c r="C773" s="90" t="s">
        <v>724</v>
      </c>
      <c r="D773" s="90" t="s">
        <v>722</v>
      </c>
      <c r="E773" s="91" t="s">
        <v>11</v>
      </c>
      <c r="F773" s="92" t="s">
        <v>40</v>
      </c>
      <c r="G773" s="93">
        <v>5594.9537846354297</v>
      </c>
      <c r="H773" s="93">
        <v>16564.752571520999</v>
      </c>
      <c r="I773" s="93">
        <v>2397.5457928860201</v>
      </c>
      <c r="J773" s="93">
        <v>176861.81840232399</v>
      </c>
      <c r="K773" s="93">
        <v>15193.3921706725</v>
      </c>
      <c r="L773" s="93">
        <v>32580.137658446271</v>
      </c>
      <c r="M773" s="93">
        <v>326305.02470134664</v>
      </c>
      <c r="N773" s="95">
        <v>1.9048279636646015E-2</v>
      </c>
      <c r="O773" s="95">
        <v>5.639546835233479E-2</v>
      </c>
      <c r="P773" s="95">
        <v>0.27069538068163279</v>
      </c>
      <c r="Q773" s="95">
        <v>0.60213426306124407</v>
      </c>
      <c r="R773" s="96">
        <v>5.172660826814246E-2</v>
      </c>
    </row>
    <row r="774" spans="1:18" ht="15" hidden="1" customHeight="1" x14ac:dyDescent="0.3">
      <c r="A774" s="89">
        <v>2021</v>
      </c>
      <c r="B774" s="90">
        <v>3</v>
      </c>
      <c r="C774" s="90" t="s">
        <v>724</v>
      </c>
      <c r="D774" s="90" t="s">
        <v>722</v>
      </c>
      <c r="E774" s="91" t="s">
        <v>11</v>
      </c>
      <c r="F774" s="92" t="s">
        <v>41</v>
      </c>
      <c r="G774" s="93">
        <v>751.22886286917799</v>
      </c>
      <c r="H774" s="93">
        <v>2239.92574315717</v>
      </c>
      <c r="I774" s="93">
        <v>2397.5457928860201</v>
      </c>
      <c r="J774" s="93">
        <v>1332.8486544607799</v>
      </c>
      <c r="K774" s="93">
        <v>105.725719921875</v>
      </c>
      <c r="L774" s="93">
        <v>10759.2285128231</v>
      </c>
      <c r="M774" s="93">
        <v>18714.332738962792</v>
      </c>
      <c r="N774" s="95">
        <v>9.4433566363683025E-2</v>
      </c>
      <c r="O774" s="95">
        <v>0.28157088574615952</v>
      </c>
      <c r="P774" s="95">
        <v>0.44315890094144245</v>
      </c>
      <c r="Q774" s="95">
        <v>0.1675463471718158</v>
      </c>
      <c r="R774" s="96">
        <v>1.3290299776899295E-2</v>
      </c>
    </row>
    <row r="775" spans="1:18" ht="15" hidden="1" customHeight="1" x14ac:dyDescent="0.3">
      <c r="A775" s="89">
        <v>2021</v>
      </c>
      <c r="B775" s="90">
        <v>3</v>
      </c>
      <c r="C775" s="90" t="s">
        <v>724</v>
      </c>
      <c r="D775" s="90" t="s">
        <v>722</v>
      </c>
      <c r="E775" s="91" t="s">
        <v>11</v>
      </c>
      <c r="F775" s="92" t="s">
        <v>42</v>
      </c>
      <c r="G775" s="93">
        <v>8732.6173502697093</v>
      </c>
      <c r="H775" s="93">
        <v>68496.5389356737</v>
      </c>
      <c r="I775" s="93">
        <v>2397.5457928860201</v>
      </c>
      <c r="J775" s="93">
        <v>242107.167328993</v>
      </c>
      <c r="K775" s="93">
        <v>90385.040629846597</v>
      </c>
      <c r="L775" s="93">
        <v>37918.524740317</v>
      </c>
      <c r="M775" s="93">
        <v>620824.33975001704</v>
      </c>
      <c r="N775" s="95">
        <v>1.4981180707769045E-2</v>
      </c>
      <c r="O775" s="95">
        <v>0.11750875900000048</v>
      </c>
      <c r="P775" s="95">
        <v>0.29710537501163048</v>
      </c>
      <c r="Q775" s="95">
        <v>0.41534526006566624</v>
      </c>
      <c r="R775" s="96">
        <v>0.15505942521493377</v>
      </c>
    </row>
    <row r="776" spans="1:18" ht="15" hidden="1" customHeight="1" x14ac:dyDescent="0.3">
      <c r="A776" s="89">
        <v>2021</v>
      </c>
      <c r="B776" s="90">
        <v>3</v>
      </c>
      <c r="C776" s="90" t="s">
        <v>724</v>
      </c>
      <c r="D776" s="90" t="s">
        <v>722</v>
      </c>
      <c r="E776" s="91" t="s">
        <v>11</v>
      </c>
      <c r="F776" s="92" t="s">
        <v>43</v>
      </c>
      <c r="G776" s="93">
        <v>2972.2227923544701</v>
      </c>
      <c r="H776" s="93">
        <v>13281.3373719593</v>
      </c>
      <c r="I776" s="93">
        <v>2397.5457928860201</v>
      </c>
      <c r="J776" s="93">
        <v>25229.784895897501</v>
      </c>
      <c r="K776" s="93">
        <v>7044.9381583226004</v>
      </c>
      <c r="L776" s="93">
        <v>117085.76662055425</v>
      </c>
      <c r="M776" s="93">
        <v>185575.48510012351</v>
      </c>
      <c r="N776" s="95">
        <v>4.3396627381978428E-2</v>
      </c>
      <c r="O776" s="95">
        <v>0.19391724286209719</v>
      </c>
      <c r="P776" s="95">
        <v>0.29145155950655521</v>
      </c>
      <c r="Q776" s="95">
        <v>0.36837331874014984</v>
      </c>
      <c r="R776" s="96">
        <v>0.10286125150921931</v>
      </c>
    </row>
    <row r="777" spans="1:18" ht="15" hidden="1" customHeight="1" x14ac:dyDescent="0.3">
      <c r="A777" s="89">
        <v>2021</v>
      </c>
      <c r="B777" s="90">
        <v>3</v>
      </c>
      <c r="C777" s="90" t="s">
        <v>724</v>
      </c>
      <c r="D777" s="90" t="s">
        <v>722</v>
      </c>
      <c r="E777" s="91" t="s">
        <v>11</v>
      </c>
      <c r="F777" s="92" t="s">
        <v>58</v>
      </c>
      <c r="G777" s="93">
        <v>2345.2656504074698</v>
      </c>
      <c r="H777" s="93">
        <v>32089.091665019099</v>
      </c>
      <c r="I777" s="93">
        <v>2397.5457928860201</v>
      </c>
      <c r="J777" s="93">
        <v>181440.06878149201</v>
      </c>
      <c r="K777" s="93">
        <v>27233.965791435399</v>
      </c>
      <c r="L777" s="93">
        <v>4162.4366282934898</v>
      </c>
      <c r="M777" s="93">
        <v>371477.12559242646</v>
      </c>
      <c r="N777" s="95">
        <v>6.3848948078318668E-3</v>
      </c>
      <c r="O777" s="95">
        <v>8.7361307971412186E-2</v>
      </c>
      <c r="P777" s="95">
        <v>0.33814682833962928</v>
      </c>
      <c r="Q777" s="95">
        <v>0.49396355286844795</v>
      </c>
      <c r="R777" s="96">
        <v>7.4143416012678723E-2</v>
      </c>
    </row>
    <row r="778" spans="1:18" ht="15" hidden="1" customHeight="1" x14ac:dyDescent="0.3">
      <c r="A778" s="89">
        <v>2021</v>
      </c>
      <c r="B778" s="90">
        <v>3</v>
      </c>
      <c r="C778" s="90" t="s">
        <v>724</v>
      </c>
      <c r="D778" s="90" t="s">
        <v>722</v>
      </c>
      <c r="E778" s="91" t="s">
        <v>11</v>
      </c>
      <c r="F778" s="92" t="s">
        <v>44</v>
      </c>
      <c r="G778" s="93">
        <v>1936.0245000903799</v>
      </c>
      <c r="H778" s="93">
        <v>2038.6607201455199</v>
      </c>
      <c r="I778" s="93">
        <v>2397.5457928860201</v>
      </c>
      <c r="J778" s="93">
        <v>113739.93652313</v>
      </c>
      <c r="K778" s="93">
        <v>29186.741440022899</v>
      </c>
      <c r="L778" s="93">
        <v>49975.800021199502</v>
      </c>
      <c r="M778" s="93">
        <v>215729.2885510803</v>
      </c>
      <c r="N778" s="95">
        <v>1.1680143309571237E-2</v>
      </c>
      <c r="O778" s="95">
        <v>1.2299353324186631E-2</v>
      </c>
      <c r="P778" s="95">
        <v>0.11373591900657633</v>
      </c>
      <c r="Q778" s="95">
        <v>0.68619935261649601</v>
      </c>
      <c r="R778" s="96">
        <v>0.17608523174316981</v>
      </c>
    </row>
    <row r="779" spans="1:18" ht="15" hidden="1" customHeight="1" x14ac:dyDescent="0.3">
      <c r="A779" s="89">
        <v>2021</v>
      </c>
      <c r="B779" s="90">
        <v>3</v>
      </c>
      <c r="C779" s="90" t="s">
        <v>724</v>
      </c>
      <c r="D779" s="90" t="s">
        <v>722</v>
      </c>
      <c r="E779" s="91" t="s">
        <v>11</v>
      </c>
      <c r="F779" s="92" t="s">
        <v>51</v>
      </c>
      <c r="G779" s="93">
        <v>1342.0639008072901</v>
      </c>
      <c r="H779" s="93">
        <v>6122.5951678952497</v>
      </c>
      <c r="I779" s="93">
        <v>2397.5457928860201</v>
      </c>
      <c r="J779" s="93">
        <v>88547.276000034006</v>
      </c>
      <c r="K779" s="93">
        <v>91823.712944625498</v>
      </c>
      <c r="L779" s="93">
        <v>708.115403483455</v>
      </c>
      <c r="M779" s="93">
        <v>211202.4092354743</v>
      </c>
      <c r="N779" s="95">
        <v>6.3757733113586363E-3</v>
      </c>
      <c r="O779" s="95">
        <v>2.9086751267386326E-2</v>
      </c>
      <c r="P779" s="95">
        <v>0.10764494089665981</v>
      </c>
      <c r="Q779" s="95">
        <v>0.42066354573349779</v>
      </c>
      <c r="R779" s="96">
        <v>0.43622898879109739</v>
      </c>
    </row>
    <row r="780" spans="1:18" ht="15" hidden="1" customHeight="1" x14ac:dyDescent="0.3">
      <c r="A780" s="89">
        <v>2021</v>
      </c>
      <c r="B780" s="90">
        <v>3</v>
      </c>
      <c r="C780" s="90" t="s">
        <v>724</v>
      </c>
      <c r="D780" s="90" t="s">
        <v>722</v>
      </c>
      <c r="E780" s="91" t="s">
        <v>11</v>
      </c>
      <c r="F780" s="92" t="s">
        <v>45</v>
      </c>
      <c r="G780" s="93">
        <v>7174.5999148544997</v>
      </c>
      <c r="H780" s="93">
        <v>19875.260938158699</v>
      </c>
      <c r="I780" s="93">
        <v>2397.5457928860201</v>
      </c>
      <c r="J780" s="93">
        <v>16886.041347887502</v>
      </c>
      <c r="K780" s="93">
        <v>838.80920376378594</v>
      </c>
      <c r="L780" s="93">
        <v>48350.697161349053</v>
      </c>
      <c r="M780" s="93">
        <v>134096.09203645974</v>
      </c>
      <c r="N780" s="95">
        <v>8.3673297269251615E-2</v>
      </c>
      <c r="O780" s="95">
        <v>0.23179391694571216</v>
      </c>
      <c r="P780" s="95">
        <v>0.47781788783083395</v>
      </c>
      <c r="Q780" s="95">
        <v>0.19693234106020793</v>
      </c>
      <c r="R780" s="96">
        <v>9.7825568939943989E-3</v>
      </c>
    </row>
    <row r="781" spans="1:18" ht="15" hidden="1" customHeight="1" x14ac:dyDescent="0.3">
      <c r="A781" s="89">
        <v>2021</v>
      </c>
      <c r="B781" s="90">
        <v>3</v>
      </c>
      <c r="C781" s="90" t="s">
        <v>724</v>
      </c>
      <c r="D781" s="90" t="s">
        <v>722</v>
      </c>
      <c r="E781" s="91" t="s">
        <v>11</v>
      </c>
      <c r="F781" s="92" t="s">
        <v>721</v>
      </c>
      <c r="G781" s="93">
        <v>9127.8369429702598</v>
      </c>
      <c r="H781" s="93">
        <v>49778.181020598597</v>
      </c>
      <c r="I781" s="93">
        <v>2397.5457928860201</v>
      </c>
      <c r="J781" s="93">
        <v>101700.904934712</v>
      </c>
      <c r="K781" s="93">
        <v>9286.9791591575504</v>
      </c>
      <c r="L781" s="93">
        <v>1208.4720067769581</v>
      </c>
      <c r="M781" s="93">
        <v>309330.85090303834</v>
      </c>
      <c r="N781" s="95">
        <v>2.9624063580410753E-2</v>
      </c>
      <c r="O781" s="95">
        <v>0.16155328022232981</v>
      </c>
      <c r="P781" s="95">
        <v>0.44861550574150849</v>
      </c>
      <c r="Q781" s="95">
        <v>0.33006659658743143</v>
      </c>
      <c r="R781" s="96">
        <v>3.0140553868319604E-2</v>
      </c>
    </row>
    <row r="782" spans="1:18" ht="15" hidden="1" customHeight="1" x14ac:dyDescent="0.3">
      <c r="A782" s="89">
        <v>2021</v>
      </c>
      <c r="B782" s="90">
        <v>3</v>
      </c>
      <c r="C782" s="90" t="s">
        <v>724</v>
      </c>
      <c r="D782" s="90" t="s">
        <v>722</v>
      </c>
      <c r="E782" s="91" t="s">
        <v>11</v>
      </c>
      <c r="F782" s="92" t="s">
        <v>46</v>
      </c>
      <c r="G782" s="93">
        <v>3089.4675978707101</v>
      </c>
      <c r="H782" s="93">
        <v>16264.611544009</v>
      </c>
      <c r="I782" s="93">
        <v>2397.5457928860201</v>
      </c>
      <c r="J782" s="93">
        <v>61472.136282018502</v>
      </c>
      <c r="K782" s="93">
        <v>18797.382120722799</v>
      </c>
      <c r="L782" s="93">
        <v>1046.8798507475401</v>
      </c>
      <c r="M782" s="93">
        <v>149075.00300839054</v>
      </c>
      <c r="N782" s="95">
        <v>2.0870815166524618E-2</v>
      </c>
      <c r="O782" s="95">
        <v>0.10987514532416216</v>
      </c>
      <c r="P782" s="95">
        <v>0.32699546937762258</v>
      </c>
      <c r="Q782" s="95">
        <v>0.41527336137710508</v>
      </c>
      <c r="R782" s="96">
        <v>0.12698520875458555</v>
      </c>
    </row>
    <row r="783" spans="1:18" ht="15" hidden="1" customHeight="1" x14ac:dyDescent="0.3">
      <c r="A783" s="89">
        <v>2021</v>
      </c>
      <c r="B783" s="90">
        <v>3</v>
      </c>
      <c r="C783" s="90" t="s">
        <v>724</v>
      </c>
      <c r="D783" s="90" t="s">
        <v>722</v>
      </c>
      <c r="E783" s="91" t="s">
        <v>11</v>
      </c>
      <c r="F783" s="92" t="s">
        <v>47</v>
      </c>
      <c r="G783" s="93">
        <v>37275.907880434497</v>
      </c>
      <c r="H783" s="93">
        <v>421267.55192092998</v>
      </c>
      <c r="I783" s="93">
        <v>2397.5457928860201</v>
      </c>
      <c r="J783" s="93">
        <v>182926.24815512501</v>
      </c>
      <c r="K783" s="93">
        <v>46346.207774058603</v>
      </c>
      <c r="L783" s="93">
        <v>242248.822594164</v>
      </c>
      <c r="M783" s="93">
        <v>1461770.3581409231</v>
      </c>
      <c r="N783" s="95">
        <v>3.0566010352348762E-2</v>
      </c>
      <c r="O783" s="95">
        <v>0.34543674682387571</v>
      </c>
      <c r="P783" s="95">
        <v>0.43599526889685197</v>
      </c>
      <c r="Q783" s="95">
        <v>0.14999837462740009</v>
      </c>
      <c r="R783" s="96">
        <v>3.8003599299523468E-2</v>
      </c>
    </row>
    <row r="784" spans="1:18" ht="15" hidden="1" customHeight="1" x14ac:dyDescent="0.3">
      <c r="A784" s="89">
        <v>2021</v>
      </c>
      <c r="B784" s="90">
        <v>3</v>
      </c>
      <c r="C784" s="90" t="s">
        <v>724</v>
      </c>
      <c r="D784" s="90" t="s">
        <v>722</v>
      </c>
      <c r="E784" s="91" t="s">
        <v>11</v>
      </c>
      <c r="F784" s="92" t="s">
        <v>48</v>
      </c>
      <c r="G784" s="93">
        <v>1911.9364545664801</v>
      </c>
      <c r="H784" s="93">
        <v>25342.9404535494</v>
      </c>
      <c r="I784" s="93">
        <v>2397.5457928860201</v>
      </c>
      <c r="J784" s="93">
        <v>11492.618826177901</v>
      </c>
      <c r="K784" s="93">
        <v>291.70726382352899</v>
      </c>
      <c r="L784" s="93">
        <v>8882.8075682996532</v>
      </c>
      <c r="M784" s="93">
        <v>110314.39779994456</v>
      </c>
      <c r="N784" s="95">
        <v>1.88495167057924E-2</v>
      </c>
      <c r="O784" s="95">
        <v>0.24985253997962895</v>
      </c>
      <c r="P784" s="95">
        <v>0.61511790450133608</v>
      </c>
      <c r="Q784" s="95">
        <v>0.11330413730014066</v>
      </c>
      <c r="R784" s="96">
        <v>2.8759015131019938E-3</v>
      </c>
    </row>
    <row r="785" spans="1:18" ht="15" hidden="1" customHeight="1" x14ac:dyDescent="0.3">
      <c r="A785" s="89">
        <v>2021</v>
      </c>
      <c r="B785" s="90">
        <v>4</v>
      </c>
      <c r="C785" s="90" t="s">
        <v>725</v>
      </c>
      <c r="D785" s="90" t="s">
        <v>719</v>
      </c>
      <c r="E785" s="91" t="s">
        <v>11</v>
      </c>
      <c r="F785" s="92" t="s">
        <v>12</v>
      </c>
      <c r="G785" s="93">
        <v>4927.9797152481597</v>
      </c>
      <c r="H785" s="93">
        <v>21691.356658721001</v>
      </c>
      <c r="I785" s="93">
        <v>2397.5457928860201</v>
      </c>
      <c r="J785" s="93">
        <v>194815.971094365</v>
      </c>
      <c r="K785" s="93">
        <v>23579.618662716101</v>
      </c>
      <c r="L785" s="93">
        <v>58407.786357166311</v>
      </c>
      <c r="M785" s="93">
        <v>433311.47680229758</v>
      </c>
      <c r="N785" s="95">
        <v>1.3144655123018562E-2</v>
      </c>
      <c r="O785" s="95">
        <v>5.7858477287770584E-2</v>
      </c>
      <c r="P785" s="95">
        <v>0.34645901767427589</v>
      </c>
      <c r="Q785" s="95">
        <v>0.51964271374084303</v>
      </c>
      <c r="R785" s="96">
        <v>6.2895136174091829E-2</v>
      </c>
    </row>
    <row r="786" spans="1:18" ht="15" hidden="1" customHeight="1" x14ac:dyDescent="0.3">
      <c r="A786" s="89">
        <v>2021</v>
      </c>
      <c r="B786" s="90">
        <v>4</v>
      </c>
      <c r="C786" s="90" t="s">
        <v>725</v>
      </c>
      <c r="D786" s="90" t="s">
        <v>719</v>
      </c>
      <c r="E786" s="91" t="s">
        <v>11</v>
      </c>
      <c r="F786" s="92" t="s">
        <v>26</v>
      </c>
      <c r="G786" s="93">
        <v>121221.64907213001</v>
      </c>
      <c r="H786" s="93">
        <v>282696.24283411098</v>
      </c>
      <c r="I786" s="93">
        <v>2397.5457928860201</v>
      </c>
      <c r="J786" s="93">
        <v>200707.667422978</v>
      </c>
      <c r="K786" s="93">
        <v>10905.410400823999</v>
      </c>
      <c r="L786" s="93">
        <v>257898.49215784451</v>
      </c>
      <c r="M786" s="93">
        <v>1302393.3163906974</v>
      </c>
      <c r="N786" s="95">
        <v>0.1160576828718738</v>
      </c>
      <c r="O786" s="95">
        <v>0.27065356024309845</v>
      </c>
      <c r="P786" s="95">
        <v>0.41069026341788706</v>
      </c>
      <c r="Q786" s="95">
        <v>0.1921576467077194</v>
      </c>
      <c r="R786" s="96">
        <v>1.0440846759421392E-2</v>
      </c>
    </row>
    <row r="787" spans="1:18" ht="15" hidden="1" customHeight="1" x14ac:dyDescent="0.3">
      <c r="A787" s="89">
        <v>2021</v>
      </c>
      <c r="B787" s="90">
        <v>4</v>
      </c>
      <c r="C787" s="90" t="s">
        <v>725</v>
      </c>
      <c r="D787" s="90" t="s">
        <v>719</v>
      </c>
      <c r="E787" s="91" t="s">
        <v>11</v>
      </c>
      <c r="F787" s="92" t="s">
        <v>27</v>
      </c>
      <c r="G787" s="93">
        <v>4063.16104793352</v>
      </c>
      <c r="H787" s="93">
        <v>68990.796243565695</v>
      </c>
      <c r="I787" s="93">
        <v>2397.5457928860201</v>
      </c>
      <c r="J787" s="93">
        <v>30901.934317912001</v>
      </c>
      <c r="K787" s="93">
        <v>5146.02560467064</v>
      </c>
      <c r="L787" s="93">
        <v>6393.6028148927699</v>
      </c>
      <c r="M787" s="93">
        <v>226689.61699930063</v>
      </c>
      <c r="N787" s="95">
        <v>1.8444096970961461E-2</v>
      </c>
      <c r="O787" s="95">
        <v>0.31317314795270923</v>
      </c>
      <c r="P787" s="95">
        <v>0.50474856470733243</v>
      </c>
      <c r="Q787" s="95">
        <v>0.14027459567218617</v>
      </c>
      <c r="R787" s="96">
        <v>2.3359594696810752E-2</v>
      </c>
    </row>
    <row r="788" spans="1:18" ht="15" hidden="1" customHeight="1" x14ac:dyDescent="0.3">
      <c r="A788" s="89">
        <v>2021</v>
      </c>
      <c r="B788" s="90">
        <v>4</v>
      </c>
      <c r="C788" s="90" t="s">
        <v>725</v>
      </c>
      <c r="D788" s="90" t="s">
        <v>719</v>
      </c>
      <c r="E788" s="91" t="s">
        <v>11</v>
      </c>
      <c r="F788" s="92" t="s">
        <v>28</v>
      </c>
      <c r="G788" s="93">
        <v>9765.4836386428597</v>
      </c>
      <c r="H788" s="93">
        <v>74806.996496445499</v>
      </c>
      <c r="I788" s="93">
        <v>2397.5457928860201</v>
      </c>
      <c r="J788" s="93">
        <v>62984.610726810497</v>
      </c>
      <c r="K788" s="93">
        <v>808.09547447150806</v>
      </c>
      <c r="L788" s="93">
        <v>3278.5730255974199</v>
      </c>
      <c r="M788" s="93">
        <v>373104.58101495076</v>
      </c>
      <c r="N788" s="95">
        <v>2.6405616229467539E-2</v>
      </c>
      <c r="O788" s="95">
        <v>0.20227619172364716</v>
      </c>
      <c r="P788" s="95">
        <v>0.59882435758644237</v>
      </c>
      <c r="Q788" s="95">
        <v>0.17030876511157572</v>
      </c>
      <c r="R788" s="96">
        <v>2.1850693488673512E-3</v>
      </c>
    </row>
    <row r="789" spans="1:18" ht="15" customHeight="1" x14ac:dyDescent="0.3">
      <c r="A789" s="89">
        <v>2021</v>
      </c>
      <c r="B789" s="90">
        <v>4</v>
      </c>
      <c r="C789" s="90" t="s">
        <v>725</v>
      </c>
      <c r="D789" s="90" t="s">
        <v>719</v>
      </c>
      <c r="E789" s="91" t="s">
        <v>11</v>
      </c>
      <c r="F789" s="92" t="s">
        <v>29</v>
      </c>
      <c r="G789" s="93">
        <v>22751.317949502401</v>
      </c>
      <c r="H789" s="93">
        <v>60784.441260402098</v>
      </c>
      <c r="I789" s="93">
        <v>2397.5457928860201</v>
      </c>
      <c r="J789" s="93">
        <v>60156.7045463943</v>
      </c>
      <c r="K789" s="93">
        <v>2255.3513027527501</v>
      </c>
      <c r="L789" s="93">
        <v>88627.697354374599</v>
      </c>
      <c r="M789" s="93">
        <v>354392.05486975715</v>
      </c>
      <c r="N789" s="95">
        <v>8.560710759788602E-2</v>
      </c>
      <c r="O789" s="95">
        <v>0.22871555022905538</v>
      </c>
      <c r="P789" s="95">
        <v>0.45083751476868367</v>
      </c>
      <c r="Q789" s="95">
        <v>0.22635354533164745</v>
      </c>
      <c r="R789" s="96">
        <v>8.4862820727275648E-3</v>
      </c>
    </row>
    <row r="790" spans="1:18" ht="15" hidden="1" customHeight="1" x14ac:dyDescent="0.3">
      <c r="A790" s="89">
        <v>2021</v>
      </c>
      <c r="B790" s="90">
        <v>4</v>
      </c>
      <c r="C790" s="90" t="s">
        <v>725</v>
      </c>
      <c r="D790" s="90" t="s">
        <v>719</v>
      </c>
      <c r="E790" s="91" t="s">
        <v>11</v>
      </c>
      <c r="F790" s="92" t="s">
        <v>30</v>
      </c>
      <c r="G790" s="93">
        <v>162.27614179687399</v>
      </c>
      <c r="H790" s="93">
        <v>1478.9902483363901</v>
      </c>
      <c r="I790" s="93">
        <v>2397.5457928860201</v>
      </c>
      <c r="J790" s="93">
        <v>4878.4603957598201</v>
      </c>
      <c r="K790" s="93">
        <v>1059.0344807169099</v>
      </c>
      <c r="L790" s="93">
        <v>216219.1473213103</v>
      </c>
      <c r="M790" s="93">
        <v>230086.50016211608</v>
      </c>
      <c r="N790" s="95">
        <v>1.1702027319833077E-2</v>
      </c>
      <c r="O790" s="95">
        <v>0.1066526730310305</v>
      </c>
      <c r="P790" s="95">
        <v>0.45348176010140201</v>
      </c>
      <c r="Q790" s="95">
        <v>0.35179463966652436</v>
      </c>
      <c r="R790" s="96">
        <v>7.6368899881210053E-2</v>
      </c>
    </row>
    <row r="791" spans="1:18" ht="15" hidden="1" customHeight="1" x14ac:dyDescent="0.3">
      <c r="A791" s="89">
        <v>2021</v>
      </c>
      <c r="B791" s="90">
        <v>4</v>
      </c>
      <c r="C791" s="90" t="s">
        <v>725</v>
      </c>
      <c r="D791" s="90" t="s">
        <v>719</v>
      </c>
      <c r="E791" s="91" t="s">
        <v>11</v>
      </c>
      <c r="F791" s="92" t="s">
        <v>31</v>
      </c>
      <c r="G791" s="93">
        <v>3853.1322074785398</v>
      </c>
      <c r="H791" s="93">
        <v>25203.198719797801</v>
      </c>
      <c r="I791" s="93">
        <v>2397.5457928860201</v>
      </c>
      <c r="J791" s="93">
        <v>71642.608982209305</v>
      </c>
      <c r="K791" s="93">
        <v>28331.1793967741</v>
      </c>
      <c r="L791" s="93">
        <v>66397.3521080317</v>
      </c>
      <c r="M791" s="93">
        <v>251948.68865991733</v>
      </c>
      <c r="N791" s="95">
        <v>2.0765855310350138E-2</v>
      </c>
      <c r="O791" s="95">
        <v>0.13582871020037218</v>
      </c>
      <c r="P791" s="95">
        <v>0.30461228841550758</v>
      </c>
      <c r="Q791" s="95">
        <v>0.38610667168207602</v>
      </c>
      <c r="R791" s="96">
        <v>0.15268647439169408</v>
      </c>
    </row>
    <row r="792" spans="1:18" ht="15" hidden="1" customHeight="1" x14ac:dyDescent="0.3">
      <c r="A792" s="89">
        <v>2021</v>
      </c>
      <c r="B792" s="90">
        <v>4</v>
      </c>
      <c r="C792" s="90" t="s">
        <v>725</v>
      </c>
      <c r="D792" s="90" t="s">
        <v>719</v>
      </c>
      <c r="E792" s="91" t="s">
        <v>11</v>
      </c>
      <c r="F792" s="92" t="s">
        <v>32</v>
      </c>
      <c r="G792" s="93">
        <v>38613.9460793252</v>
      </c>
      <c r="H792" s="93">
        <v>102514.58618156701</v>
      </c>
      <c r="I792" s="93">
        <v>2397.5457928860201</v>
      </c>
      <c r="J792" s="93">
        <v>175517.551470979</v>
      </c>
      <c r="K792" s="93">
        <v>22318.643777772701</v>
      </c>
      <c r="L792" s="93">
        <v>46187.4068313116</v>
      </c>
      <c r="M792" s="93">
        <v>609521.81280336855</v>
      </c>
      <c r="N792" s="95">
        <v>6.8545335896349577E-2</v>
      </c>
      <c r="O792" s="95">
        <v>0.18197820884856808</v>
      </c>
      <c r="P792" s="95">
        <v>0.39828861167329876</v>
      </c>
      <c r="Q792" s="95">
        <v>0.3115690247396059</v>
      </c>
      <c r="R792" s="96">
        <v>3.9618818842177682E-2</v>
      </c>
    </row>
    <row r="793" spans="1:18" ht="15" hidden="1" customHeight="1" x14ac:dyDescent="0.3">
      <c r="A793" s="89">
        <v>2021</v>
      </c>
      <c r="B793" s="90">
        <v>4</v>
      </c>
      <c r="C793" s="90" t="s">
        <v>725</v>
      </c>
      <c r="D793" s="90" t="s">
        <v>719</v>
      </c>
      <c r="E793" s="91" t="s">
        <v>11</v>
      </c>
      <c r="F793" s="92" t="s">
        <v>33</v>
      </c>
      <c r="G793" s="93">
        <v>173121.44157276701</v>
      </c>
      <c r="H793" s="93">
        <v>474937.76094412798</v>
      </c>
      <c r="I793" s="93">
        <v>2397.5457928860201</v>
      </c>
      <c r="J793" s="93">
        <v>127351.653150481</v>
      </c>
      <c r="K793" s="93">
        <v>5979.6525110554303</v>
      </c>
      <c r="L793" s="93">
        <v>35026.088350914499</v>
      </c>
      <c r="M793" s="93">
        <v>1352056.7882567027</v>
      </c>
      <c r="N793" s="95">
        <v>0.13144829622054444</v>
      </c>
      <c r="O793" s="95">
        <v>0.36061252101268548</v>
      </c>
      <c r="P793" s="95">
        <v>0.40670288989138459</v>
      </c>
      <c r="Q793" s="95">
        <v>9.6696039932547426E-2</v>
      </c>
      <c r="R793" s="96">
        <v>4.5402529428381399E-3</v>
      </c>
    </row>
    <row r="794" spans="1:18" ht="15" hidden="1" customHeight="1" x14ac:dyDescent="0.3">
      <c r="A794" s="89">
        <v>2021</v>
      </c>
      <c r="B794" s="90">
        <v>4</v>
      </c>
      <c r="C794" s="90" t="s">
        <v>725</v>
      </c>
      <c r="D794" s="90" t="s">
        <v>719</v>
      </c>
      <c r="E794" s="91" t="s">
        <v>11</v>
      </c>
      <c r="F794" s="92" t="s">
        <v>34</v>
      </c>
      <c r="G794" s="93">
        <v>95378.133008270393</v>
      </c>
      <c r="H794" s="93">
        <v>196122.282472641</v>
      </c>
      <c r="I794" s="93">
        <v>2397.5457928860201</v>
      </c>
      <c r="J794" s="93">
        <v>107325.96351122099</v>
      </c>
      <c r="K794" s="93">
        <v>2571.3993532873701</v>
      </c>
      <c r="L794" s="93">
        <v>66020.526990173297</v>
      </c>
      <c r="M794" s="93">
        <v>713628.83042007207</v>
      </c>
      <c r="N794" s="95">
        <v>0.14727750169836221</v>
      </c>
      <c r="O794" s="95">
        <v>0.30284090156646748</v>
      </c>
      <c r="P794" s="95">
        <v>0.38018432404353875</v>
      </c>
      <c r="Q794" s="95">
        <v>0.16572666369902195</v>
      </c>
      <c r="R794" s="96">
        <v>3.9706089926095497E-3</v>
      </c>
    </row>
    <row r="795" spans="1:18" ht="15" hidden="1" customHeight="1" x14ac:dyDescent="0.3">
      <c r="A795" s="89">
        <v>2021</v>
      </c>
      <c r="B795" s="90">
        <v>4</v>
      </c>
      <c r="C795" s="90" t="s">
        <v>725</v>
      </c>
      <c r="D795" s="90" t="s">
        <v>719</v>
      </c>
      <c r="E795" s="91" t="s">
        <v>11</v>
      </c>
      <c r="F795" s="92" t="s">
        <v>35</v>
      </c>
      <c r="G795" s="93">
        <v>12642.126934456101</v>
      </c>
      <c r="H795" s="93">
        <v>43066.878623445598</v>
      </c>
      <c r="I795" s="93">
        <v>2397.5457928860201</v>
      </c>
      <c r="J795" s="93">
        <v>164494.65115346099</v>
      </c>
      <c r="K795" s="93">
        <v>20821.606756913399</v>
      </c>
      <c r="L795" s="93">
        <v>245415.85944065975</v>
      </c>
      <c r="M795" s="93">
        <v>605861.1962949119</v>
      </c>
      <c r="N795" s="95">
        <v>3.5073631538110335E-2</v>
      </c>
      <c r="O795" s="95">
        <v>0.11948241305965324</v>
      </c>
      <c r="P795" s="95">
        <v>0.33131257690334365</v>
      </c>
      <c r="Q795" s="95">
        <v>0.45636504161510416</v>
      </c>
      <c r="R795" s="96">
        <v>5.7766336883788627E-2</v>
      </c>
    </row>
    <row r="796" spans="1:18" ht="15" hidden="1" customHeight="1" x14ac:dyDescent="0.3">
      <c r="A796" s="89">
        <v>2021</v>
      </c>
      <c r="B796" s="90">
        <v>4</v>
      </c>
      <c r="C796" s="90" t="s">
        <v>725</v>
      </c>
      <c r="D796" s="90" t="s">
        <v>719</v>
      </c>
      <c r="E796" s="91" t="s">
        <v>11</v>
      </c>
      <c r="F796" s="92" t="s">
        <v>36</v>
      </c>
      <c r="G796" s="93">
        <v>6904.72785914214</v>
      </c>
      <c r="H796" s="93">
        <v>44564.481258624801</v>
      </c>
      <c r="I796" s="93">
        <v>2397.5457928860201</v>
      </c>
      <c r="J796" s="93">
        <v>53758.100189784898</v>
      </c>
      <c r="K796" s="93">
        <v>1479.5209292693</v>
      </c>
      <c r="L796" s="93">
        <v>33300.462220357098</v>
      </c>
      <c r="M796" s="93">
        <v>258886.87145458022</v>
      </c>
      <c r="N796" s="95">
        <v>3.0607907110100148E-2</v>
      </c>
      <c r="O796" s="95">
        <v>0.19754949515754799</v>
      </c>
      <c r="P796" s="95">
        <v>0.52698023520544202</v>
      </c>
      <c r="Q796" s="95">
        <v>0.23830380727399511</v>
      </c>
      <c r="R796" s="96">
        <v>6.5585552529147922E-3</v>
      </c>
    </row>
    <row r="797" spans="1:18" ht="15" hidden="1" customHeight="1" x14ac:dyDescent="0.3">
      <c r="A797" s="89">
        <v>2021</v>
      </c>
      <c r="B797" s="90">
        <v>4</v>
      </c>
      <c r="C797" s="90" t="s">
        <v>725</v>
      </c>
      <c r="D797" s="90" t="s">
        <v>719</v>
      </c>
      <c r="E797" s="91" t="s">
        <v>11</v>
      </c>
      <c r="F797" s="92" t="s">
        <v>37</v>
      </c>
      <c r="G797" s="93">
        <v>17644.6124731694</v>
      </c>
      <c r="H797" s="93">
        <v>69326.033666439296</v>
      </c>
      <c r="I797" s="93">
        <v>2397.5457928860201</v>
      </c>
      <c r="J797" s="93">
        <v>111973.398997261</v>
      </c>
      <c r="K797" s="93">
        <v>7277.6489033363496</v>
      </c>
      <c r="L797" s="93">
        <v>151516.85957627476</v>
      </c>
      <c r="M797" s="93">
        <v>524073.85777630081</v>
      </c>
      <c r="N797" s="95">
        <v>4.7360840243016983E-2</v>
      </c>
      <c r="O797" s="95">
        <v>0.18608168414868459</v>
      </c>
      <c r="P797" s="95">
        <v>0.44646941263606188</v>
      </c>
      <c r="Q797" s="95">
        <v>0.30055373953046083</v>
      </c>
      <c r="R797" s="96">
        <v>1.9534323441775681E-2</v>
      </c>
    </row>
    <row r="798" spans="1:18" ht="15" hidden="1" customHeight="1" x14ac:dyDescent="0.3">
      <c r="A798" s="89">
        <v>2021</v>
      </c>
      <c r="B798" s="90">
        <v>4</v>
      </c>
      <c r="C798" s="90" t="s">
        <v>725</v>
      </c>
      <c r="D798" s="90" t="s">
        <v>719</v>
      </c>
      <c r="E798" s="91" t="s">
        <v>11</v>
      </c>
      <c r="F798" s="92" t="s">
        <v>720</v>
      </c>
      <c r="G798" s="93">
        <v>44075.741446719003</v>
      </c>
      <c r="H798" s="93">
        <v>114884.04249677301</v>
      </c>
      <c r="I798" s="93">
        <v>2397.5457928860201</v>
      </c>
      <c r="J798" s="93">
        <v>240744.73919605699</v>
      </c>
      <c r="K798" s="93">
        <v>17345.455626269799</v>
      </c>
      <c r="L798" s="93">
        <v>197723.06511034528</v>
      </c>
      <c r="M798" s="93">
        <v>927958.42268839607</v>
      </c>
      <c r="N798" s="95">
        <v>6.0358268042379738E-2</v>
      </c>
      <c r="O798" s="95">
        <v>0.15732467800217917</v>
      </c>
      <c r="P798" s="95">
        <v>0.42888279177683797</v>
      </c>
      <c r="Q798" s="95">
        <v>0.32968102228646895</v>
      </c>
      <c r="R798" s="96">
        <v>2.3753239892134147E-2</v>
      </c>
    </row>
    <row r="799" spans="1:18" ht="15" hidden="1" customHeight="1" x14ac:dyDescent="0.3">
      <c r="A799" s="89">
        <v>2021</v>
      </c>
      <c r="B799" s="90">
        <v>4</v>
      </c>
      <c r="C799" s="90" t="s">
        <v>725</v>
      </c>
      <c r="D799" s="90" t="s">
        <v>719</v>
      </c>
      <c r="E799" s="91" t="s">
        <v>11</v>
      </c>
      <c r="F799" s="92" t="s">
        <v>39</v>
      </c>
      <c r="G799" s="93">
        <v>15053.3501613771</v>
      </c>
      <c r="H799" s="93">
        <v>138694.656969417</v>
      </c>
      <c r="I799" s="93">
        <v>2397.5457928860201</v>
      </c>
      <c r="J799" s="93">
        <v>24769.3032692583</v>
      </c>
      <c r="K799" s="93">
        <v>785.28371013786705</v>
      </c>
      <c r="L799" s="93">
        <v>17462.24742400441</v>
      </c>
      <c r="M799" s="93">
        <v>331195.16650096473</v>
      </c>
      <c r="N799" s="95">
        <v>4.7981417460640899E-2</v>
      </c>
      <c r="O799" s="95">
        <v>0.44207875086067872</v>
      </c>
      <c r="P799" s="95">
        <v>0.42848651446038893</v>
      </c>
      <c r="Q799" s="95">
        <v>7.895028466293097E-2</v>
      </c>
      <c r="R799" s="96">
        <v>2.5030325553603537E-3</v>
      </c>
    </row>
    <row r="800" spans="1:18" ht="15" hidden="1" customHeight="1" x14ac:dyDescent="0.3">
      <c r="A800" s="89">
        <v>2021</v>
      </c>
      <c r="B800" s="90">
        <v>4</v>
      </c>
      <c r="C800" s="90" t="s">
        <v>725</v>
      </c>
      <c r="D800" s="90" t="s">
        <v>719</v>
      </c>
      <c r="E800" s="91" t="s">
        <v>11</v>
      </c>
      <c r="F800" s="92" t="s">
        <v>40</v>
      </c>
      <c r="G800" s="93">
        <v>8190.4225434267901</v>
      </c>
      <c r="H800" s="93">
        <v>26486.369481144498</v>
      </c>
      <c r="I800" s="93">
        <v>2397.5457928860201</v>
      </c>
      <c r="J800" s="93">
        <v>170511.18522258801</v>
      </c>
      <c r="K800" s="93">
        <v>12667.4371875995</v>
      </c>
      <c r="L800" s="93">
        <v>5941.3951648743941</v>
      </c>
      <c r="M800" s="93">
        <v>326305.02470134315</v>
      </c>
      <c r="N800" s="95">
        <v>2.556601869968023E-2</v>
      </c>
      <c r="O800" s="95">
        <v>8.2675956441957493E-2</v>
      </c>
      <c r="P800" s="95">
        <v>0.31997457155179632</v>
      </c>
      <c r="Q800" s="95">
        <v>0.53224264398957866</v>
      </c>
      <c r="R800" s="96">
        <v>3.9540809316987391E-2</v>
      </c>
    </row>
    <row r="801" spans="1:18" ht="15" hidden="1" customHeight="1" x14ac:dyDescent="0.3">
      <c r="A801" s="89">
        <v>2021</v>
      </c>
      <c r="B801" s="90">
        <v>4</v>
      </c>
      <c r="C801" s="90" t="s">
        <v>725</v>
      </c>
      <c r="D801" s="90" t="s">
        <v>719</v>
      </c>
      <c r="E801" s="91" t="s">
        <v>11</v>
      </c>
      <c r="F801" s="92" t="s">
        <v>41</v>
      </c>
      <c r="G801" s="93">
        <v>923.94837545343103</v>
      </c>
      <c r="H801" s="93">
        <v>3132.20538928002</v>
      </c>
      <c r="I801" s="93">
        <v>2397.5457928860201</v>
      </c>
      <c r="J801" s="93">
        <v>2912.6010693841899</v>
      </c>
      <c r="K801" s="93">
        <v>749.76229608149504</v>
      </c>
      <c r="L801" s="93">
        <v>7547.5405978094896</v>
      </c>
      <c r="M801" s="93">
        <v>18714.332738962967</v>
      </c>
      <c r="N801" s="95">
        <v>8.2740715845185553E-2</v>
      </c>
      <c r="O801" s="95">
        <v>0.28049285324625717</v>
      </c>
      <c r="P801" s="95">
        <v>0.30879727744248575</v>
      </c>
      <c r="Q801" s="95">
        <v>0.26082701572372352</v>
      </c>
      <c r="R801" s="96">
        <v>6.7142137742347924E-2</v>
      </c>
    </row>
    <row r="802" spans="1:18" ht="15" hidden="1" customHeight="1" x14ac:dyDescent="0.3">
      <c r="A802" s="89">
        <v>2021</v>
      </c>
      <c r="B802" s="90">
        <v>4</v>
      </c>
      <c r="C802" s="90" t="s">
        <v>725</v>
      </c>
      <c r="D802" s="90" t="s">
        <v>719</v>
      </c>
      <c r="E802" s="91" t="s">
        <v>11</v>
      </c>
      <c r="F802" s="92" t="s">
        <v>42</v>
      </c>
      <c r="G802" s="93">
        <v>7491.3925761459004</v>
      </c>
      <c r="H802" s="93">
        <v>55287.833479991699</v>
      </c>
      <c r="I802" s="93">
        <v>2397.5457928860201</v>
      </c>
      <c r="J802" s="93">
        <v>204001.01509333099</v>
      </c>
      <c r="K802" s="93">
        <v>150552.00303955199</v>
      </c>
      <c r="L802" s="93">
        <v>101816.28427161271</v>
      </c>
      <c r="M802" s="93">
        <v>620824.33975001029</v>
      </c>
      <c r="N802" s="95">
        <v>1.4434058387091277E-2</v>
      </c>
      <c r="O802" s="95">
        <v>0.10652596408938186</v>
      </c>
      <c r="P802" s="95">
        <v>0.19590411018891979</v>
      </c>
      <c r="Q802" s="95">
        <v>0.39305943894318229</v>
      </c>
      <c r="R802" s="96">
        <v>0.29007642839142467</v>
      </c>
    </row>
    <row r="803" spans="1:18" ht="15" hidden="1" customHeight="1" x14ac:dyDescent="0.3">
      <c r="A803" s="89">
        <v>2021</v>
      </c>
      <c r="B803" s="90">
        <v>4</v>
      </c>
      <c r="C803" s="90" t="s">
        <v>725</v>
      </c>
      <c r="D803" s="90" t="s">
        <v>719</v>
      </c>
      <c r="E803" s="91" t="s">
        <v>11</v>
      </c>
      <c r="F803" s="92" t="s">
        <v>43</v>
      </c>
      <c r="G803" s="93">
        <v>2125.9661414338202</v>
      </c>
      <c r="H803" s="93">
        <v>14064.3862081265</v>
      </c>
      <c r="I803" s="93">
        <v>2397.5457928860201</v>
      </c>
      <c r="J803" s="93">
        <v>22006.2997067539</v>
      </c>
      <c r="K803" s="93">
        <v>10655.4828160079</v>
      </c>
      <c r="L803" s="93">
        <v>117138.997422168</v>
      </c>
      <c r="M803" s="93">
        <v>185575.48510012263</v>
      </c>
      <c r="N803" s="95">
        <v>3.1064804953727269E-2</v>
      </c>
      <c r="O803" s="95">
        <v>0.20551005297510386</v>
      </c>
      <c r="P803" s="95">
        <v>0.28616829223895407</v>
      </c>
      <c r="Q803" s="95">
        <v>0.32155799418447895</v>
      </c>
      <c r="R803" s="96">
        <v>0.15569885564773567</v>
      </c>
    </row>
    <row r="804" spans="1:18" ht="15" hidden="1" customHeight="1" x14ac:dyDescent="0.3">
      <c r="A804" s="89">
        <v>2021</v>
      </c>
      <c r="B804" s="90">
        <v>4</v>
      </c>
      <c r="C804" s="90" t="s">
        <v>725</v>
      </c>
      <c r="D804" s="90" t="s">
        <v>719</v>
      </c>
      <c r="E804" s="91" t="s">
        <v>11</v>
      </c>
      <c r="F804" s="92" t="s">
        <v>58</v>
      </c>
      <c r="G804" s="93">
        <v>1438.1462144531199</v>
      </c>
      <c r="H804" s="93">
        <v>29717.110896214901</v>
      </c>
      <c r="I804" s="93">
        <v>2397.5457928860201</v>
      </c>
      <c r="J804" s="93">
        <v>193576.97270010601</v>
      </c>
      <c r="K804" s="93">
        <v>41342.601780681398</v>
      </c>
      <c r="L804" s="93">
        <v>4162.4366282934898</v>
      </c>
      <c r="M804" s="93">
        <v>371477.12559244392</v>
      </c>
      <c r="N804" s="95">
        <v>3.9152973122550012E-3</v>
      </c>
      <c r="O804" s="95">
        <v>8.0903682289480292E-2</v>
      </c>
      <c r="P804" s="95">
        <v>0.27562158665148268</v>
      </c>
      <c r="Q804" s="95">
        <v>0.52700580324191426</v>
      </c>
      <c r="R804" s="96">
        <v>0.1125536305048677</v>
      </c>
    </row>
    <row r="805" spans="1:18" ht="15" hidden="1" customHeight="1" x14ac:dyDescent="0.3">
      <c r="A805" s="89">
        <v>2021</v>
      </c>
      <c r="B805" s="90">
        <v>4</v>
      </c>
      <c r="C805" s="90" t="s">
        <v>725</v>
      </c>
      <c r="D805" s="90" t="s">
        <v>719</v>
      </c>
      <c r="E805" s="91" t="s">
        <v>11</v>
      </c>
      <c r="F805" s="92" t="s">
        <v>44</v>
      </c>
      <c r="G805" s="93">
        <v>1736.57461071844</v>
      </c>
      <c r="H805" s="93">
        <v>4050.2172676516502</v>
      </c>
      <c r="I805" s="93">
        <v>2397.5457928860201</v>
      </c>
      <c r="J805" s="93">
        <v>99326.965221959705</v>
      </c>
      <c r="K805" s="93">
        <v>5610.9872144699702</v>
      </c>
      <c r="L805" s="93">
        <v>46241.834155597404</v>
      </c>
      <c r="M805" s="93">
        <v>215729.28855108167</v>
      </c>
      <c r="N805" s="95">
        <v>1.0246036303467593E-2</v>
      </c>
      <c r="O805" s="95">
        <v>2.3896855859318174E-2</v>
      </c>
      <c r="P805" s="95">
        <v>0.34670831708621225</v>
      </c>
      <c r="Q805" s="95">
        <v>0.58604317101954251</v>
      </c>
      <c r="R805" s="96">
        <v>3.310561973145941E-2</v>
      </c>
    </row>
    <row r="806" spans="1:18" ht="15" hidden="1" customHeight="1" x14ac:dyDescent="0.3">
      <c r="A806" s="89">
        <v>2021</v>
      </c>
      <c r="B806" s="90">
        <v>4</v>
      </c>
      <c r="C806" s="90" t="s">
        <v>725</v>
      </c>
      <c r="D806" s="90" t="s">
        <v>719</v>
      </c>
      <c r="E806" s="91" t="s">
        <v>11</v>
      </c>
      <c r="F806" s="92" t="s">
        <v>51</v>
      </c>
      <c r="G806" s="93">
        <v>1143.35664042586</v>
      </c>
      <c r="H806" s="93">
        <v>9016.1138084405702</v>
      </c>
      <c r="I806" s="93">
        <v>2397.5457928860201</v>
      </c>
      <c r="J806" s="93">
        <v>92595.104247359806</v>
      </c>
      <c r="K806" s="93">
        <v>68119.076805203906</v>
      </c>
      <c r="L806" s="93">
        <v>315.22233461703399</v>
      </c>
      <c r="M806" s="93">
        <v>211202.40923547509</v>
      </c>
      <c r="N806" s="95">
        <v>5.4216505859285462E-3</v>
      </c>
      <c r="O806" s="95">
        <v>4.2753255619456913E-2</v>
      </c>
      <c r="P806" s="95">
        <v>0.18973905426619872</v>
      </c>
      <c r="Q806" s="95">
        <v>0.4390741116523616</v>
      </c>
      <c r="R806" s="96">
        <v>0.32301192787605409</v>
      </c>
    </row>
    <row r="807" spans="1:18" ht="15" hidden="1" customHeight="1" x14ac:dyDescent="0.3">
      <c r="A807" s="89">
        <v>2021</v>
      </c>
      <c r="B807" s="90">
        <v>4</v>
      </c>
      <c r="C807" s="90" t="s">
        <v>725</v>
      </c>
      <c r="D807" s="90" t="s">
        <v>719</v>
      </c>
      <c r="E807" s="91" t="s">
        <v>11</v>
      </c>
      <c r="F807" s="92" t="s">
        <v>45</v>
      </c>
      <c r="G807" s="93">
        <v>10720.7813423192</v>
      </c>
      <c r="H807" s="93">
        <v>26737.547178987501</v>
      </c>
      <c r="I807" s="93">
        <v>2397.5457928860201</v>
      </c>
      <c r="J807" s="93">
        <v>14104.0073335783</v>
      </c>
      <c r="K807" s="93">
        <v>1188.8538604181899</v>
      </c>
      <c r="L807" s="93">
        <v>48118.400966536006</v>
      </c>
      <c r="M807" s="93">
        <v>134096.0920364598</v>
      </c>
      <c r="N807" s="95">
        <v>0.12469259419400111</v>
      </c>
      <c r="O807" s="95">
        <v>0.31098238213029511</v>
      </c>
      <c r="P807" s="95">
        <v>0.38645491570130919</v>
      </c>
      <c r="Q807" s="95">
        <v>0.16404263894581464</v>
      </c>
      <c r="R807" s="96">
        <v>1.3827469028579993E-2</v>
      </c>
    </row>
    <row r="808" spans="1:18" ht="15" hidden="1" customHeight="1" x14ac:dyDescent="0.3">
      <c r="A808" s="89">
        <v>2021</v>
      </c>
      <c r="B808" s="90">
        <v>4</v>
      </c>
      <c r="C808" s="90" t="s">
        <v>725</v>
      </c>
      <c r="D808" s="90" t="s">
        <v>719</v>
      </c>
      <c r="E808" s="91" t="s">
        <v>11</v>
      </c>
      <c r="F808" s="92" t="s">
        <v>721</v>
      </c>
      <c r="G808" s="93">
        <v>6405.67684270066</v>
      </c>
      <c r="H808" s="93">
        <v>64378.298735529199</v>
      </c>
      <c r="I808" s="93">
        <v>2397.5457928860201</v>
      </c>
      <c r="J808" s="93">
        <v>83482.331071872904</v>
      </c>
      <c r="K808" s="93">
        <v>7140.8853055545096</v>
      </c>
      <c r="L808" s="93">
        <v>423.38501619944805</v>
      </c>
      <c r="M808" s="93">
        <v>309330.85090303171</v>
      </c>
      <c r="N808" s="95">
        <v>2.0736555603506745E-2</v>
      </c>
      <c r="O808" s="95">
        <v>0.20840641889540501</v>
      </c>
      <c r="P808" s="95">
        <v>0.4774901555315969</v>
      </c>
      <c r="Q808" s="95">
        <v>0.27025028622149427</v>
      </c>
      <c r="R808" s="96">
        <v>2.3116583747997081E-2</v>
      </c>
    </row>
    <row r="809" spans="1:18" ht="15" hidden="1" customHeight="1" x14ac:dyDescent="0.3">
      <c r="A809" s="89">
        <v>2021</v>
      </c>
      <c r="B809" s="90">
        <v>4</v>
      </c>
      <c r="C809" s="90" t="s">
        <v>725</v>
      </c>
      <c r="D809" s="90" t="s">
        <v>719</v>
      </c>
      <c r="E809" s="91" t="s">
        <v>11</v>
      </c>
      <c r="F809" s="92" t="s">
        <v>46</v>
      </c>
      <c r="G809" s="93">
        <v>2805.6141245480999</v>
      </c>
      <c r="H809" s="93">
        <v>18704.054752726799</v>
      </c>
      <c r="I809" s="93">
        <v>2397.5457928860201</v>
      </c>
      <c r="J809" s="93">
        <v>53634.968246290598</v>
      </c>
      <c r="K809" s="93">
        <v>23217.967977400302</v>
      </c>
      <c r="L809" s="93">
        <v>1087.76447882812</v>
      </c>
      <c r="M809" s="93">
        <v>149075.00300839002</v>
      </c>
      <c r="N809" s="95">
        <v>1.8958486910259163E-2</v>
      </c>
      <c r="O809" s="95">
        <v>0.12638964642204931</v>
      </c>
      <c r="P809" s="95">
        <v>0.33533049147804112</v>
      </c>
      <c r="Q809" s="95">
        <v>0.36242968501352557</v>
      </c>
      <c r="R809" s="96">
        <v>0.15689169017612478</v>
      </c>
    </row>
    <row r="810" spans="1:18" ht="15" hidden="1" customHeight="1" x14ac:dyDescent="0.3">
      <c r="A810" s="89">
        <v>2021</v>
      </c>
      <c r="B810" s="90">
        <v>4</v>
      </c>
      <c r="C810" s="90" t="s">
        <v>725</v>
      </c>
      <c r="D810" s="90" t="s">
        <v>719</v>
      </c>
      <c r="E810" s="91" t="s">
        <v>11</v>
      </c>
      <c r="F810" s="92" t="s">
        <v>47</v>
      </c>
      <c r="G810" s="93">
        <v>18044.1165859469</v>
      </c>
      <c r="H810" s="93">
        <v>234933.450665688</v>
      </c>
      <c r="I810" s="93">
        <v>2397.5457928860201</v>
      </c>
      <c r="J810" s="93">
        <v>313999.62336110597</v>
      </c>
      <c r="K810" s="93">
        <v>85975.740558271398</v>
      </c>
      <c r="L810" s="93">
        <v>199573.34965819001</v>
      </c>
      <c r="M810" s="93">
        <v>1461770.3581409561</v>
      </c>
      <c r="N810" s="95">
        <v>1.4295800469086021E-2</v>
      </c>
      <c r="O810" s="95">
        <v>0.18613057160394605</v>
      </c>
      <c r="P810" s="95">
        <v>0.48268540744213984</v>
      </c>
      <c r="Q810" s="95">
        <v>0.2487722766341775</v>
      </c>
      <c r="R810" s="96">
        <v>6.8115943850650715E-2</v>
      </c>
    </row>
    <row r="811" spans="1:18" ht="15" hidden="1" customHeight="1" x14ac:dyDescent="0.3">
      <c r="A811" s="89">
        <v>2021</v>
      </c>
      <c r="B811" s="90">
        <v>4</v>
      </c>
      <c r="C811" s="90" t="s">
        <v>725</v>
      </c>
      <c r="D811" s="90" t="s">
        <v>719</v>
      </c>
      <c r="E811" s="91" t="s">
        <v>11</v>
      </c>
      <c r="F811" s="92" t="s">
        <v>48</v>
      </c>
      <c r="G811" s="93">
        <v>9090.6554486351506</v>
      </c>
      <c r="H811" s="93">
        <v>44055.029267248501</v>
      </c>
      <c r="I811" s="93">
        <v>2397.5457928860201</v>
      </c>
      <c r="J811" s="93">
        <v>5510.7008658026998</v>
      </c>
      <c r="K811" s="93">
        <v>230.746547778798</v>
      </c>
      <c r="L811" s="93">
        <v>8303.3858491115407</v>
      </c>
      <c r="M811" s="93">
        <v>110314.39779994369</v>
      </c>
      <c r="N811" s="95">
        <v>8.9114452202637848E-2</v>
      </c>
      <c r="O811" s="95">
        <v>0.4318654273176154</v>
      </c>
      <c r="P811" s="95">
        <v>0.42273749663567789</v>
      </c>
      <c r="Q811" s="95">
        <v>5.4020646991118748E-2</v>
      </c>
      <c r="R811" s="96">
        <v>2.2619768529500966E-3</v>
      </c>
    </row>
    <row r="812" spans="1:18" ht="15" hidden="1" customHeight="1" x14ac:dyDescent="0.3">
      <c r="A812" s="89">
        <v>2021</v>
      </c>
      <c r="B812" s="90">
        <v>4</v>
      </c>
      <c r="C812" s="90" t="s">
        <v>725</v>
      </c>
      <c r="D812" s="90" t="s">
        <v>722</v>
      </c>
      <c r="E812" s="91" t="s">
        <v>11</v>
      </c>
      <c r="F812" s="92" t="s">
        <v>12</v>
      </c>
      <c r="G812" s="93">
        <v>6551.5725950413898</v>
      </c>
      <c r="H812" s="93">
        <v>23939.171292504499</v>
      </c>
      <c r="I812" s="93">
        <v>2397.5457928860201</v>
      </c>
      <c r="J812" s="93">
        <v>202238.21283033499</v>
      </c>
      <c r="K812" s="93">
        <v>15399.955483763801</v>
      </c>
      <c r="L812" s="93">
        <v>51734.683706668424</v>
      </c>
      <c r="M812" s="93">
        <v>433311.47680229612</v>
      </c>
      <c r="N812" s="95">
        <v>1.7169735459775428E-2</v>
      </c>
      <c r="O812" s="95">
        <v>6.2737492755501667E-2</v>
      </c>
      <c r="P812" s="95">
        <v>0.34972745541299044</v>
      </c>
      <c r="Q812" s="95">
        <v>0.53000658449281446</v>
      </c>
      <c r="R812" s="96">
        <v>4.0358731878917982E-2</v>
      </c>
    </row>
    <row r="813" spans="1:18" ht="15" hidden="1" customHeight="1" x14ac:dyDescent="0.3">
      <c r="A813" s="89">
        <v>2021</v>
      </c>
      <c r="B813" s="90">
        <v>4</v>
      </c>
      <c r="C813" s="90" t="s">
        <v>725</v>
      </c>
      <c r="D813" s="90" t="s">
        <v>722</v>
      </c>
      <c r="E813" s="91" t="s">
        <v>11</v>
      </c>
      <c r="F813" s="92" t="s">
        <v>26</v>
      </c>
      <c r="G813" s="93">
        <v>69110.620554854206</v>
      </c>
      <c r="H813" s="93">
        <v>273049.579289785</v>
      </c>
      <c r="I813" s="93">
        <v>2397.5457928860201</v>
      </c>
      <c r="J813" s="93">
        <v>205427.097460369</v>
      </c>
      <c r="K813" s="93">
        <v>8957.8342679702491</v>
      </c>
      <c r="L813" s="93">
        <v>259009.12435605837</v>
      </c>
      <c r="M813" s="93">
        <v>1302393.316390676</v>
      </c>
      <c r="N813" s="95">
        <v>6.6236982582693033E-2</v>
      </c>
      <c r="O813" s="95">
        <v>0.26169610520678249</v>
      </c>
      <c r="P813" s="95">
        <v>0.46659616292661504</v>
      </c>
      <c r="Q813" s="95">
        <v>0.19688538414577908</v>
      </c>
      <c r="R813" s="96">
        <v>8.585365138130293E-3</v>
      </c>
    </row>
    <row r="814" spans="1:18" ht="15" hidden="1" customHeight="1" x14ac:dyDescent="0.3">
      <c r="A814" s="89">
        <v>2021</v>
      </c>
      <c r="B814" s="90">
        <v>4</v>
      </c>
      <c r="C814" s="90" t="s">
        <v>725</v>
      </c>
      <c r="D814" s="90" t="s">
        <v>722</v>
      </c>
      <c r="E814" s="91" t="s">
        <v>11</v>
      </c>
      <c r="F814" s="92" t="s">
        <v>27</v>
      </c>
      <c r="G814" s="93">
        <v>1286.8306428293499</v>
      </c>
      <c r="H814" s="93">
        <v>38294.090249494999</v>
      </c>
      <c r="I814" s="93">
        <v>2397.5457928860201</v>
      </c>
      <c r="J814" s="93">
        <v>43922.360580669098</v>
      </c>
      <c r="K814" s="93">
        <v>5826.2410862132301</v>
      </c>
      <c r="L814" s="93">
        <v>6773.1928946890102</v>
      </c>
      <c r="M814" s="93">
        <v>226689.61699929769</v>
      </c>
      <c r="N814" s="95">
        <v>5.8514531057363732E-3</v>
      </c>
      <c r="O814" s="95">
        <v>0.17413019698464843</v>
      </c>
      <c r="P814" s="95">
        <v>0.59380240505950166</v>
      </c>
      <c r="Q814" s="95">
        <v>0.19972296639279813</v>
      </c>
      <c r="R814" s="96">
        <v>2.6492978457315377E-2</v>
      </c>
    </row>
    <row r="815" spans="1:18" ht="15" hidden="1" customHeight="1" x14ac:dyDescent="0.3">
      <c r="A815" s="89">
        <v>2021</v>
      </c>
      <c r="B815" s="90">
        <v>4</v>
      </c>
      <c r="C815" s="90" t="s">
        <v>725</v>
      </c>
      <c r="D815" s="90" t="s">
        <v>722</v>
      </c>
      <c r="E815" s="91" t="s">
        <v>11</v>
      </c>
      <c r="F815" s="92" t="s">
        <v>28</v>
      </c>
      <c r="G815" s="93">
        <v>4124.5631824126604</v>
      </c>
      <c r="H815" s="93">
        <v>21931.096689558901</v>
      </c>
      <c r="I815" s="93">
        <v>2397.5457928860201</v>
      </c>
      <c r="J815" s="93">
        <v>160490.79277379499</v>
      </c>
      <c r="K815" s="93">
        <v>2052.2655791375601</v>
      </c>
      <c r="L815" s="93">
        <v>3484.8459502068004</v>
      </c>
      <c r="M815" s="93">
        <v>373104.5810149379</v>
      </c>
      <c r="N815" s="95">
        <v>1.1158936580294692E-2</v>
      </c>
      <c r="O815" s="95">
        <v>5.9334214623897534E-2</v>
      </c>
      <c r="P815" s="95">
        <v>0.48974932793597992</v>
      </c>
      <c r="Q815" s="95">
        <v>0.43420515072250787</v>
      </c>
      <c r="R815" s="96">
        <v>5.552370137320046E-3</v>
      </c>
    </row>
    <row r="816" spans="1:18" ht="15" customHeight="1" x14ac:dyDescent="0.3">
      <c r="A816" s="89">
        <v>2021</v>
      </c>
      <c r="B816" s="90">
        <v>4</v>
      </c>
      <c r="C816" s="90" t="s">
        <v>725</v>
      </c>
      <c r="D816" s="90" t="s">
        <v>722</v>
      </c>
      <c r="E816" s="91" t="s">
        <v>11</v>
      </c>
      <c r="F816" s="92" t="s">
        <v>29</v>
      </c>
      <c r="G816" s="93">
        <v>17396.868236393999</v>
      </c>
      <c r="H816" s="93">
        <v>49952.046450766102</v>
      </c>
      <c r="I816" s="93">
        <v>2397.5457928860201</v>
      </c>
      <c r="J816" s="93">
        <v>86980.596673122098</v>
      </c>
      <c r="K816" s="93">
        <v>4956.5477132935002</v>
      </c>
      <c r="L816" s="93">
        <v>62219.1750519864</v>
      </c>
      <c r="M816" s="93">
        <v>354392.05486976012</v>
      </c>
      <c r="N816" s="95">
        <v>5.9543063159196399E-2</v>
      </c>
      <c r="O816" s="95">
        <v>0.1709674302485599</v>
      </c>
      <c r="P816" s="95">
        <v>0.45482257226296507</v>
      </c>
      <c r="Q816" s="95">
        <v>0.29770249972335322</v>
      </c>
      <c r="R816" s="96">
        <v>1.6964434605925321E-2</v>
      </c>
    </row>
    <row r="817" spans="1:18" ht="15" hidden="1" customHeight="1" x14ac:dyDescent="0.3">
      <c r="A817" s="89">
        <v>2021</v>
      </c>
      <c r="B817" s="90">
        <v>4</v>
      </c>
      <c r="C817" s="90" t="s">
        <v>725</v>
      </c>
      <c r="D817" s="90" t="s">
        <v>722</v>
      </c>
      <c r="E817" s="91" t="s">
        <v>11</v>
      </c>
      <c r="F817" s="92" t="s">
        <v>30</v>
      </c>
      <c r="G817" s="93">
        <v>136.19984552695999</v>
      </c>
      <c r="H817" s="93">
        <v>1059.85731500153</v>
      </c>
      <c r="I817" s="93">
        <v>2397.5457928860201</v>
      </c>
      <c r="J817" s="93">
        <v>6403.2692682169099</v>
      </c>
      <c r="K817" s="93">
        <v>1573.8310978753</v>
      </c>
      <c r="L817" s="93">
        <v>216172.25976651508</v>
      </c>
      <c r="M817" s="93">
        <v>230086.50016211713</v>
      </c>
      <c r="N817" s="95">
        <v>9.7885218060491212E-3</v>
      </c>
      <c r="O817" s="95">
        <v>7.61706916704218E-2</v>
      </c>
      <c r="P817" s="95">
        <v>0.34073601822201355</v>
      </c>
      <c r="Q817" s="95">
        <v>0.46019538876450894</v>
      </c>
      <c r="R817" s="96">
        <v>0.1131093795370067</v>
      </c>
    </row>
    <row r="818" spans="1:18" ht="15" hidden="1" customHeight="1" x14ac:dyDescent="0.3">
      <c r="A818" s="89">
        <v>2021</v>
      </c>
      <c r="B818" s="90">
        <v>4</v>
      </c>
      <c r="C818" s="90" t="s">
        <v>725</v>
      </c>
      <c r="D818" s="90" t="s">
        <v>722</v>
      </c>
      <c r="E818" s="91" t="s">
        <v>11</v>
      </c>
      <c r="F818" s="92" t="s">
        <v>31</v>
      </c>
      <c r="G818" s="93">
        <v>1453.49652523437</v>
      </c>
      <c r="H818" s="93">
        <v>20894.628958877202</v>
      </c>
      <c r="I818" s="93">
        <v>2397.5457928860201</v>
      </c>
      <c r="J818" s="93">
        <v>82178.820621144507</v>
      </c>
      <c r="K818" s="93">
        <v>46159.880833134303</v>
      </c>
      <c r="L818" s="93">
        <v>44764.693907863468</v>
      </c>
      <c r="M818" s="93">
        <v>251948.68865991785</v>
      </c>
      <c r="N818" s="95">
        <v>7.0154865339565877E-3</v>
      </c>
      <c r="O818" s="95">
        <v>0.10085059410058515</v>
      </c>
      <c r="P818" s="95">
        <v>0.27269079294120419</v>
      </c>
      <c r="Q818" s="95">
        <v>0.39664656876363102</v>
      </c>
      <c r="R818" s="96">
        <v>0.22279655766062301</v>
      </c>
    </row>
    <row r="819" spans="1:18" ht="15" hidden="1" customHeight="1" x14ac:dyDescent="0.3">
      <c r="A819" s="89">
        <v>2021</v>
      </c>
      <c r="B819" s="90">
        <v>4</v>
      </c>
      <c r="C819" s="90" t="s">
        <v>725</v>
      </c>
      <c r="D819" s="90" t="s">
        <v>722</v>
      </c>
      <c r="E819" s="91" t="s">
        <v>11</v>
      </c>
      <c r="F819" s="92" t="s">
        <v>32</v>
      </c>
      <c r="G819" s="93">
        <v>38000.017520464899</v>
      </c>
      <c r="H819" s="93">
        <v>122332.08448926</v>
      </c>
      <c r="I819" s="93">
        <v>2397.5457928860201</v>
      </c>
      <c r="J819" s="93">
        <v>148093.42436623099</v>
      </c>
      <c r="K819" s="93">
        <v>5192.0259164965901</v>
      </c>
      <c r="L819" s="93">
        <v>42209.763627420602</v>
      </c>
      <c r="M819" s="93">
        <v>609521.81280337309</v>
      </c>
      <c r="N819" s="95">
        <v>6.698256731134429E-2</v>
      </c>
      <c r="O819" s="95">
        <v>0.21563456067424117</v>
      </c>
      <c r="P819" s="95">
        <v>0.44718686523933915</v>
      </c>
      <c r="Q819" s="95">
        <v>0.26104403137804616</v>
      </c>
      <c r="R819" s="96">
        <v>9.1519753970292946E-3</v>
      </c>
    </row>
    <row r="820" spans="1:18" ht="15" hidden="1" customHeight="1" x14ac:dyDescent="0.3">
      <c r="A820" s="89">
        <v>2021</v>
      </c>
      <c r="B820" s="90">
        <v>4</v>
      </c>
      <c r="C820" s="90" t="s">
        <v>725</v>
      </c>
      <c r="D820" s="90" t="s">
        <v>722</v>
      </c>
      <c r="E820" s="91" t="s">
        <v>11</v>
      </c>
      <c r="F820" s="92" t="s">
        <v>33</v>
      </c>
      <c r="G820" s="93">
        <v>133838.66223648601</v>
      </c>
      <c r="H820" s="93">
        <v>529757.00412532396</v>
      </c>
      <c r="I820" s="93">
        <v>2397.5457928860201</v>
      </c>
      <c r="J820" s="93">
        <v>68908.327818716905</v>
      </c>
      <c r="K820" s="93">
        <v>679.28000208333299</v>
      </c>
      <c r="L820" s="93">
        <v>35064.168357302427</v>
      </c>
      <c r="M820" s="93">
        <v>1352056.7882565956</v>
      </c>
      <c r="N820" s="95">
        <v>0.10162445879667897</v>
      </c>
      <c r="O820" s="95">
        <v>0.40224751158122135</v>
      </c>
      <c r="P820" s="95">
        <v>0.44328976252070817</v>
      </c>
      <c r="Q820" s="95">
        <v>5.2322485925537031E-2</v>
      </c>
      <c r="R820" s="96">
        <v>5.1578117585448255E-4</v>
      </c>
    </row>
    <row r="821" spans="1:18" ht="15" hidden="1" customHeight="1" x14ac:dyDescent="0.3">
      <c r="A821" s="89">
        <v>2021</v>
      </c>
      <c r="B821" s="90">
        <v>4</v>
      </c>
      <c r="C821" s="90" t="s">
        <v>725</v>
      </c>
      <c r="D821" s="90" t="s">
        <v>722</v>
      </c>
      <c r="E821" s="91" t="s">
        <v>11</v>
      </c>
      <c r="F821" s="92" t="s">
        <v>34</v>
      </c>
      <c r="G821" s="93">
        <v>33151.000543659502</v>
      </c>
      <c r="H821" s="93">
        <v>166112.77995606401</v>
      </c>
      <c r="I821" s="93">
        <v>2397.5457928860201</v>
      </c>
      <c r="J821" s="93">
        <v>114704.617558169</v>
      </c>
      <c r="K821" s="93">
        <v>2265.5392835784201</v>
      </c>
      <c r="L821" s="93">
        <v>36088.906121702799</v>
      </c>
      <c r="M821" s="93">
        <v>713628.83042002958</v>
      </c>
      <c r="N821" s="95">
        <v>4.8928482816700883E-2</v>
      </c>
      <c r="O821" s="95">
        <v>0.2451704674497131</v>
      </c>
      <c r="P821" s="95">
        <v>0.53326154518647928</v>
      </c>
      <c r="Q821" s="95">
        <v>0.16929573216952384</v>
      </c>
      <c r="R821" s="96">
        <v>3.3437723775829971E-3</v>
      </c>
    </row>
    <row r="822" spans="1:18" ht="15" hidden="1" customHeight="1" x14ac:dyDescent="0.3">
      <c r="A822" s="89">
        <v>2021</v>
      </c>
      <c r="B822" s="90">
        <v>4</v>
      </c>
      <c r="C822" s="90" t="s">
        <v>725</v>
      </c>
      <c r="D822" s="90" t="s">
        <v>722</v>
      </c>
      <c r="E822" s="91" t="s">
        <v>11</v>
      </c>
      <c r="F822" s="92" t="s">
        <v>35</v>
      </c>
      <c r="G822" s="93">
        <v>11109.993613578299</v>
      </c>
      <c r="H822" s="93">
        <v>52566.992986718498</v>
      </c>
      <c r="I822" s="93">
        <v>2397.5457928860201</v>
      </c>
      <c r="J822" s="93">
        <v>166231.17256025801</v>
      </c>
      <c r="K822" s="93">
        <v>15956.230920928299</v>
      </c>
      <c r="L822" s="93">
        <v>235429.61458010876</v>
      </c>
      <c r="M822" s="93">
        <v>605861.1962949119</v>
      </c>
      <c r="N822" s="95">
        <v>2.9992025955637689E-2</v>
      </c>
      <c r="O822" s="95">
        <v>0.14190742793412808</v>
      </c>
      <c r="P822" s="95">
        <v>0.33627584088989698</v>
      </c>
      <c r="Q822" s="95">
        <v>0.44875000071737975</v>
      </c>
      <c r="R822" s="96">
        <v>4.30747045029575E-2</v>
      </c>
    </row>
    <row r="823" spans="1:18" ht="15" hidden="1" customHeight="1" x14ac:dyDescent="0.3">
      <c r="A823" s="89">
        <v>2021</v>
      </c>
      <c r="B823" s="90">
        <v>4</v>
      </c>
      <c r="C823" s="90" t="s">
        <v>725</v>
      </c>
      <c r="D823" s="90" t="s">
        <v>722</v>
      </c>
      <c r="E823" s="91" t="s">
        <v>11</v>
      </c>
      <c r="F823" s="92" t="s">
        <v>36</v>
      </c>
      <c r="G823" s="93">
        <v>5023.8676781280601</v>
      </c>
      <c r="H823" s="93">
        <v>36333.544323531401</v>
      </c>
      <c r="I823" s="93">
        <v>2397.5457928860201</v>
      </c>
      <c r="J823" s="93">
        <v>48336.193270899799</v>
      </c>
      <c r="K823" s="93">
        <v>582.26854316636002</v>
      </c>
      <c r="L823" s="93">
        <v>33319.24561370883</v>
      </c>
      <c r="M823" s="93">
        <v>258886.87145457944</v>
      </c>
      <c r="N823" s="95">
        <v>2.2272113116410631E-2</v>
      </c>
      <c r="O823" s="95">
        <v>0.16107605951025675</v>
      </c>
      <c r="P823" s="95">
        <v>0.59978355280729945</v>
      </c>
      <c r="Q823" s="95">
        <v>0.2142869265512381</v>
      </c>
      <c r="R823" s="96">
        <v>2.5813480147950326E-3</v>
      </c>
    </row>
    <row r="824" spans="1:18" ht="15" hidden="1" customHeight="1" x14ac:dyDescent="0.3">
      <c r="A824" s="89">
        <v>2021</v>
      </c>
      <c r="B824" s="90">
        <v>4</v>
      </c>
      <c r="C824" s="90" t="s">
        <v>725</v>
      </c>
      <c r="D824" s="90" t="s">
        <v>722</v>
      </c>
      <c r="E824" s="91" t="s">
        <v>11</v>
      </c>
      <c r="F824" s="92" t="s">
        <v>37</v>
      </c>
      <c r="G824" s="93">
        <v>14253.2150371567</v>
      </c>
      <c r="H824" s="93">
        <v>69210.572418778698</v>
      </c>
      <c r="I824" s="93">
        <v>2397.5457928860201</v>
      </c>
      <c r="J824" s="93">
        <v>107961.362902598</v>
      </c>
      <c r="K824" s="93">
        <v>6150.2992436028999</v>
      </c>
      <c r="L824" s="93">
        <v>144830.2714226713</v>
      </c>
      <c r="M824" s="93">
        <v>524073.85777629458</v>
      </c>
      <c r="N824" s="95">
        <v>3.7583272466647277E-2</v>
      </c>
      <c r="O824" s="95">
        <v>0.18249635566478303</v>
      </c>
      <c r="P824" s="95">
        <v>0.47902757828603509</v>
      </c>
      <c r="Q824" s="95">
        <v>0.28467551406902397</v>
      </c>
      <c r="R824" s="96">
        <v>1.6217279513510589E-2</v>
      </c>
    </row>
    <row r="825" spans="1:18" ht="15" hidden="1" customHeight="1" x14ac:dyDescent="0.3">
      <c r="A825" s="89">
        <v>2021</v>
      </c>
      <c r="B825" s="90">
        <v>4</v>
      </c>
      <c r="C825" s="90" t="s">
        <v>725</v>
      </c>
      <c r="D825" s="90" t="s">
        <v>722</v>
      </c>
      <c r="E825" s="91" t="s">
        <v>11</v>
      </c>
      <c r="F825" s="92" t="s">
        <v>720</v>
      </c>
      <c r="G825" s="93">
        <v>27864.6238698698</v>
      </c>
      <c r="H825" s="93">
        <v>55476.909492003797</v>
      </c>
      <c r="I825" s="93">
        <v>2397.5457928860201</v>
      </c>
      <c r="J825" s="93">
        <v>398434.91344798799</v>
      </c>
      <c r="K825" s="93">
        <v>25168.963489367099</v>
      </c>
      <c r="L825" s="93">
        <v>161469.19563476191</v>
      </c>
      <c r="M825" s="93">
        <v>927958.42268839153</v>
      </c>
      <c r="N825" s="95">
        <v>3.6353575348972482E-2</v>
      </c>
      <c r="O825" s="95">
        <v>7.237793765902753E-2</v>
      </c>
      <c r="P825" s="95">
        <v>0.33861378293871475</v>
      </c>
      <c r="Q825" s="95">
        <v>0.51981802142159839</v>
      </c>
      <c r="R825" s="96">
        <v>3.2836682631686986E-2</v>
      </c>
    </row>
    <row r="826" spans="1:18" ht="15" hidden="1" customHeight="1" x14ac:dyDescent="0.3">
      <c r="A826" s="89">
        <v>2021</v>
      </c>
      <c r="B826" s="90">
        <v>4</v>
      </c>
      <c r="C826" s="90" t="s">
        <v>725</v>
      </c>
      <c r="D826" s="90" t="s">
        <v>722</v>
      </c>
      <c r="E826" s="91" t="s">
        <v>11</v>
      </c>
      <c r="F826" s="92" t="s">
        <v>39</v>
      </c>
      <c r="G826" s="93">
        <v>9665.2913420435107</v>
      </c>
      <c r="H826" s="93">
        <v>104204.38721823999</v>
      </c>
      <c r="I826" s="93">
        <v>2397.5457928860201</v>
      </c>
      <c r="J826" s="93">
        <v>31570.294870287998</v>
      </c>
      <c r="K826" s="93">
        <v>1749.2789632429501</v>
      </c>
      <c r="L826" s="93">
        <v>17873.417763402271</v>
      </c>
      <c r="M826" s="93">
        <v>331195.16650096676</v>
      </c>
      <c r="N826" s="95">
        <v>3.0847815004821363E-2</v>
      </c>
      <c r="O826" s="95">
        <v>0.33257948941655074</v>
      </c>
      <c r="P826" s="95">
        <v>0.53022969842703482</v>
      </c>
      <c r="Q826" s="95">
        <v>0.10075998553401092</v>
      </c>
      <c r="R826" s="96">
        <v>5.5830116175820616E-3</v>
      </c>
    </row>
    <row r="827" spans="1:18" ht="15" hidden="1" customHeight="1" x14ac:dyDescent="0.3">
      <c r="A827" s="89">
        <v>2021</v>
      </c>
      <c r="B827" s="90">
        <v>4</v>
      </c>
      <c r="C827" s="90" t="s">
        <v>725</v>
      </c>
      <c r="D827" s="90" t="s">
        <v>722</v>
      </c>
      <c r="E827" s="91" t="s">
        <v>11</v>
      </c>
      <c r="F827" s="92" t="s">
        <v>40</v>
      </c>
      <c r="G827" s="93">
        <v>9397.2909814629202</v>
      </c>
      <c r="H827" s="93">
        <v>28072.621110528798</v>
      </c>
      <c r="I827" s="93">
        <v>2397.5457928860201</v>
      </c>
      <c r="J827" s="93">
        <v>156432.28433769901</v>
      </c>
      <c r="K827" s="93">
        <v>11756.6745365196</v>
      </c>
      <c r="L827" s="93">
        <v>6163.6698106127496</v>
      </c>
      <c r="M827" s="93">
        <v>326305.02470133209</v>
      </c>
      <c r="N827" s="95">
        <v>2.9353567847148949E-2</v>
      </c>
      <c r="O827" s="95">
        <v>8.7688206105429337E-2</v>
      </c>
      <c r="P827" s="95">
        <v>0.3575997982628259</v>
      </c>
      <c r="Q827" s="95">
        <v>0.48863504182737455</v>
      </c>
      <c r="R827" s="96">
        <v>3.6723385957221168E-2</v>
      </c>
    </row>
    <row r="828" spans="1:18" ht="15" hidden="1" customHeight="1" x14ac:dyDescent="0.3">
      <c r="A828" s="89">
        <v>2021</v>
      </c>
      <c r="B828" s="90">
        <v>4</v>
      </c>
      <c r="C828" s="90" t="s">
        <v>725</v>
      </c>
      <c r="D828" s="90" t="s">
        <v>722</v>
      </c>
      <c r="E828" s="91" t="s">
        <v>11</v>
      </c>
      <c r="F828" s="92" t="s">
        <v>41</v>
      </c>
      <c r="G828" s="93">
        <v>371.15952373008503</v>
      </c>
      <c r="H828" s="93">
        <v>3358.98635825979</v>
      </c>
      <c r="I828" s="93">
        <v>2397.5457928860201</v>
      </c>
      <c r="J828" s="93">
        <v>5652.6622566896503</v>
      </c>
      <c r="K828" s="93">
        <v>3516.5293944791601</v>
      </c>
      <c r="L828" s="93">
        <v>1146.25356819699</v>
      </c>
      <c r="M828" s="93">
        <v>18714.332738962905</v>
      </c>
      <c r="N828" s="95">
        <v>2.1126926861060109E-2</v>
      </c>
      <c r="O828" s="95">
        <v>0.19119827077335219</v>
      </c>
      <c r="P828" s="95">
        <v>0.26575140015171544</v>
      </c>
      <c r="Q828" s="95">
        <v>0.32175755822502999</v>
      </c>
      <c r="R828" s="96">
        <v>0.2001658439888423</v>
      </c>
    </row>
    <row r="829" spans="1:18" ht="15" hidden="1" customHeight="1" x14ac:dyDescent="0.3">
      <c r="A829" s="89">
        <v>2021</v>
      </c>
      <c r="B829" s="90">
        <v>4</v>
      </c>
      <c r="C829" s="90" t="s">
        <v>725</v>
      </c>
      <c r="D829" s="90" t="s">
        <v>722</v>
      </c>
      <c r="E829" s="91" t="s">
        <v>11</v>
      </c>
      <c r="F829" s="92" t="s">
        <v>42</v>
      </c>
      <c r="G829" s="93">
        <v>5113.5760458134</v>
      </c>
      <c r="H829" s="93">
        <v>61910.815629418998</v>
      </c>
      <c r="I829" s="93">
        <v>2397.5457928860201</v>
      </c>
      <c r="J829" s="93">
        <v>237371.30347268801</v>
      </c>
      <c r="K829" s="93">
        <v>97761.345868638193</v>
      </c>
      <c r="L829" s="93">
        <v>104545.926591332</v>
      </c>
      <c r="M829" s="93">
        <v>620824.33975001564</v>
      </c>
      <c r="N829" s="95">
        <v>9.9046869198493644E-3</v>
      </c>
      <c r="O829" s="95">
        <v>0.11991749810075839</v>
      </c>
      <c r="P829" s="95">
        <v>0.22104618212469904</v>
      </c>
      <c r="Q829" s="95">
        <v>0.45977383020995966</v>
      </c>
      <c r="R829" s="96">
        <v>0.18935780264473348</v>
      </c>
    </row>
    <row r="830" spans="1:18" ht="15" hidden="1" customHeight="1" x14ac:dyDescent="0.3">
      <c r="A830" s="89">
        <v>2021</v>
      </c>
      <c r="B830" s="90">
        <v>4</v>
      </c>
      <c r="C830" s="90" t="s">
        <v>725</v>
      </c>
      <c r="D830" s="90" t="s">
        <v>722</v>
      </c>
      <c r="E830" s="91" t="s">
        <v>11</v>
      </c>
      <c r="F830" s="92" t="s">
        <v>43</v>
      </c>
      <c r="G830" s="93">
        <v>1105.0603250689301</v>
      </c>
      <c r="H830" s="93">
        <v>10618.419440813301</v>
      </c>
      <c r="I830" s="93">
        <v>2397.5457928860201</v>
      </c>
      <c r="J830" s="93">
        <v>21007.884366035301</v>
      </c>
      <c r="K830" s="93">
        <v>16734.281409344301</v>
      </c>
      <c r="L830" s="93">
        <v>117277.52293617863</v>
      </c>
      <c r="M830" s="93">
        <v>185575.48510012275</v>
      </c>
      <c r="N830" s="95">
        <v>1.6179989710619999E-2</v>
      </c>
      <c r="O830" s="95">
        <v>0.15547198048639552</v>
      </c>
      <c r="P830" s="95">
        <v>0.27573760659910668</v>
      </c>
      <c r="Q830" s="95">
        <v>0.3075916718511667</v>
      </c>
      <c r="R830" s="96">
        <v>0.24501875135271114</v>
      </c>
    </row>
    <row r="831" spans="1:18" ht="15" hidden="1" customHeight="1" x14ac:dyDescent="0.3">
      <c r="A831" s="89">
        <v>2021</v>
      </c>
      <c r="B831" s="90">
        <v>4</v>
      </c>
      <c r="C831" s="90" t="s">
        <v>725</v>
      </c>
      <c r="D831" s="90" t="s">
        <v>722</v>
      </c>
      <c r="E831" s="91" t="s">
        <v>11</v>
      </c>
      <c r="F831" s="92" t="s">
        <v>58</v>
      </c>
      <c r="G831" s="93">
        <v>1931.74655289062</v>
      </c>
      <c r="H831" s="93">
        <v>45436.360055384401</v>
      </c>
      <c r="I831" s="93">
        <v>2397.5457928860201</v>
      </c>
      <c r="J831" s="93">
        <v>148697.84290184401</v>
      </c>
      <c r="K831" s="93">
        <v>18433.485858949101</v>
      </c>
      <c r="L831" s="93">
        <v>4162.4610431372403</v>
      </c>
      <c r="M831" s="93">
        <v>371477.12559240434</v>
      </c>
      <c r="N831" s="95">
        <v>5.259105446446229E-3</v>
      </c>
      <c r="O831" s="95">
        <v>0.12369873691577082</v>
      </c>
      <c r="P831" s="95">
        <v>0.41603356448542295</v>
      </c>
      <c r="Q831" s="95">
        <v>0.40482413922763355</v>
      </c>
      <c r="R831" s="96">
        <v>5.0184453924726598E-2</v>
      </c>
    </row>
    <row r="832" spans="1:18" ht="15" hidden="1" customHeight="1" x14ac:dyDescent="0.3">
      <c r="A832" s="89">
        <v>2021</v>
      </c>
      <c r="B832" s="90">
        <v>4</v>
      </c>
      <c r="C832" s="90" t="s">
        <v>725</v>
      </c>
      <c r="D832" s="90" t="s">
        <v>722</v>
      </c>
      <c r="E832" s="91" t="s">
        <v>11</v>
      </c>
      <c r="F832" s="92" t="s">
        <v>44</v>
      </c>
      <c r="G832" s="93">
        <v>3087.5306182980898</v>
      </c>
      <c r="H832" s="93">
        <v>4695.3629294607799</v>
      </c>
      <c r="I832" s="93">
        <v>2397.5457928860201</v>
      </c>
      <c r="J832" s="93">
        <v>111978.00916701699</v>
      </c>
      <c r="K832" s="93">
        <v>9742.8514747748195</v>
      </c>
      <c r="L832" s="93">
        <v>43092.215317319271</v>
      </c>
      <c r="M832" s="93">
        <v>215729.28855107893</v>
      </c>
      <c r="N832" s="95">
        <v>1.7884516694264222E-2</v>
      </c>
      <c r="O832" s="95">
        <v>2.7197883059005591E-2</v>
      </c>
      <c r="P832" s="95">
        <v>0.24984968892402512</v>
      </c>
      <c r="Q832" s="95">
        <v>0.64863245807806813</v>
      </c>
      <c r="R832" s="96">
        <v>5.6435453244637009E-2</v>
      </c>
    </row>
    <row r="833" spans="1:18" ht="15" hidden="1" customHeight="1" x14ac:dyDescent="0.3">
      <c r="A833" s="89">
        <v>2021</v>
      </c>
      <c r="B833" s="90">
        <v>4</v>
      </c>
      <c r="C833" s="90" t="s">
        <v>725</v>
      </c>
      <c r="D833" s="90" t="s">
        <v>722</v>
      </c>
      <c r="E833" s="91" t="s">
        <v>11</v>
      </c>
      <c r="F833" s="92" t="s">
        <v>51</v>
      </c>
      <c r="G833" s="93">
        <v>2021.9321967846199</v>
      </c>
      <c r="H833" s="93">
        <v>18266.454947907299</v>
      </c>
      <c r="I833" s="93">
        <v>2397.5457928860201</v>
      </c>
      <c r="J833" s="93">
        <v>107094.971468038</v>
      </c>
      <c r="K833" s="93">
        <v>23486.538732734301</v>
      </c>
      <c r="L833" s="93">
        <v>1137.51070615502</v>
      </c>
      <c r="M833" s="93">
        <v>211202.40923547043</v>
      </c>
      <c r="N833" s="95">
        <v>9.6252739555268956E-3</v>
      </c>
      <c r="O833" s="95">
        <v>8.6956245787813718E-2</v>
      </c>
      <c r="P833" s="95">
        <v>0.28179387226652858</v>
      </c>
      <c r="Q833" s="95">
        <v>0.50981849998652895</v>
      </c>
      <c r="R833" s="96">
        <v>0.11180610800360184</v>
      </c>
    </row>
    <row r="834" spans="1:18" ht="15" hidden="1" customHeight="1" x14ac:dyDescent="0.3">
      <c r="A834" s="89">
        <v>2021</v>
      </c>
      <c r="B834" s="90">
        <v>4</v>
      </c>
      <c r="C834" s="90" t="s">
        <v>725</v>
      </c>
      <c r="D834" s="90" t="s">
        <v>722</v>
      </c>
      <c r="E834" s="91" t="s">
        <v>11</v>
      </c>
      <c r="F834" s="92" t="s">
        <v>45</v>
      </c>
      <c r="G834" s="93">
        <v>8153.5496473269204</v>
      </c>
      <c r="H834" s="93">
        <v>24673.042095186898</v>
      </c>
      <c r="I834" s="93">
        <v>2397.5457928860201</v>
      </c>
      <c r="J834" s="93">
        <v>12691.620762643901</v>
      </c>
      <c r="K834" s="93">
        <v>787.11782361059898</v>
      </c>
      <c r="L834" s="93">
        <v>50832.041441660083</v>
      </c>
      <c r="M834" s="93">
        <v>134096.09203645992</v>
      </c>
      <c r="N834" s="95">
        <v>9.7924009090138375E-2</v>
      </c>
      <c r="O834" s="95">
        <v>0.29632286585788353</v>
      </c>
      <c r="P834" s="95">
        <v>0.44387367659891047</v>
      </c>
      <c r="Q834" s="95">
        <v>0.15242617518581955</v>
      </c>
      <c r="R834" s="96">
        <v>9.4532732672479129E-3</v>
      </c>
    </row>
    <row r="835" spans="1:18" ht="15" hidden="1" customHeight="1" x14ac:dyDescent="0.3">
      <c r="A835" s="89">
        <v>2021</v>
      </c>
      <c r="B835" s="90">
        <v>4</v>
      </c>
      <c r="C835" s="90" t="s">
        <v>725</v>
      </c>
      <c r="D835" s="90" t="s">
        <v>722</v>
      </c>
      <c r="E835" s="91" t="s">
        <v>11</v>
      </c>
      <c r="F835" s="92" t="s">
        <v>721</v>
      </c>
      <c r="G835" s="93">
        <v>4101.7199667248797</v>
      </c>
      <c r="H835" s="93">
        <v>38754.355931679798</v>
      </c>
      <c r="I835" s="93">
        <v>2397.5457928860201</v>
      </c>
      <c r="J835" s="93">
        <v>90498.006989603702</v>
      </c>
      <c r="K835" s="93">
        <v>5796.8794110018198</v>
      </c>
      <c r="L835" s="93">
        <v>224.53212243259804</v>
      </c>
      <c r="M835" s="93">
        <v>309330.85090303276</v>
      </c>
      <c r="N835" s="95">
        <v>1.3269608925840917E-2</v>
      </c>
      <c r="O835" s="95">
        <v>0.12537548919919414</v>
      </c>
      <c r="P835" s="95">
        <v>0.54982815347175806</v>
      </c>
      <c r="Q835" s="95">
        <v>0.29277307350626525</v>
      </c>
      <c r="R835" s="96">
        <v>1.8753674896941765E-2</v>
      </c>
    </row>
    <row r="836" spans="1:18" ht="15" hidden="1" customHeight="1" x14ac:dyDescent="0.3">
      <c r="A836" s="89">
        <v>2021</v>
      </c>
      <c r="B836" s="90">
        <v>4</v>
      </c>
      <c r="C836" s="90" t="s">
        <v>725</v>
      </c>
      <c r="D836" s="90" t="s">
        <v>722</v>
      </c>
      <c r="E836" s="91" t="s">
        <v>11</v>
      </c>
      <c r="F836" s="92" t="s">
        <v>46</v>
      </c>
      <c r="G836" s="93">
        <v>3318.4218667922701</v>
      </c>
      <c r="H836" s="93">
        <v>29761.4002550845</v>
      </c>
      <c r="I836" s="93">
        <v>2397.5457928860201</v>
      </c>
      <c r="J836" s="93">
        <v>38258.324112039198</v>
      </c>
      <c r="K836" s="93">
        <v>20291.982445796399</v>
      </c>
      <c r="L836" s="93">
        <v>2026.77700594209</v>
      </c>
      <c r="M836" s="93">
        <v>149075.00300838996</v>
      </c>
      <c r="N836" s="95">
        <v>2.2566894936474985E-2</v>
      </c>
      <c r="O836" s="95">
        <v>0.20239210675407313</v>
      </c>
      <c r="P836" s="95">
        <v>0.37687022026238504</v>
      </c>
      <c r="Q836" s="95">
        <v>0.260175353026036</v>
      </c>
      <c r="R836" s="96">
        <v>0.1379954250210309</v>
      </c>
    </row>
    <row r="837" spans="1:18" ht="15" hidden="1" customHeight="1" x14ac:dyDescent="0.3">
      <c r="A837" s="89">
        <v>2021</v>
      </c>
      <c r="B837" s="90">
        <v>4</v>
      </c>
      <c r="C837" s="90" t="s">
        <v>725</v>
      </c>
      <c r="D837" s="90" t="s">
        <v>722</v>
      </c>
      <c r="E837" s="91" t="s">
        <v>11</v>
      </c>
      <c r="F837" s="92" t="s">
        <v>47</v>
      </c>
      <c r="G837" s="93">
        <v>31774.291897111099</v>
      </c>
      <c r="H837" s="93">
        <v>281351.76100244903</v>
      </c>
      <c r="I837" s="93">
        <v>2397.5457928860201</v>
      </c>
      <c r="J837" s="93">
        <v>222227.40825142799</v>
      </c>
      <c r="K837" s="93">
        <v>37970.475001774299</v>
      </c>
      <c r="L837" s="93">
        <v>363009.43772519298</v>
      </c>
      <c r="M837" s="93">
        <v>1461770.3581409683</v>
      </c>
      <c r="N837" s="95">
        <v>2.8918294514049137E-2</v>
      </c>
      <c r="O837" s="95">
        <v>0.25606276649881615</v>
      </c>
      <c r="P837" s="95">
        <v>0.47820865713369715</v>
      </c>
      <c r="Q837" s="95">
        <v>0.20225274135827134</v>
      </c>
      <c r="R837" s="96">
        <v>3.4557540495166253E-2</v>
      </c>
    </row>
    <row r="838" spans="1:18" ht="15" hidden="1" customHeight="1" x14ac:dyDescent="0.3">
      <c r="A838" s="89">
        <v>2021</v>
      </c>
      <c r="B838" s="90">
        <v>4</v>
      </c>
      <c r="C838" s="90" t="s">
        <v>725</v>
      </c>
      <c r="D838" s="90" t="s">
        <v>722</v>
      </c>
      <c r="E838" s="91" t="s">
        <v>11</v>
      </c>
      <c r="F838" s="92" t="s">
        <v>48</v>
      </c>
      <c r="G838" s="93">
        <v>4201.3810640318698</v>
      </c>
      <c r="H838" s="93">
        <v>32533.4214329489</v>
      </c>
      <c r="I838" s="93">
        <v>2397.5457928860201</v>
      </c>
      <c r="J838" s="93">
        <v>8335.6105194087104</v>
      </c>
      <c r="K838" s="93">
        <v>179.08309101562401</v>
      </c>
      <c r="L838" s="93">
        <v>8408.5573201179704</v>
      </c>
      <c r="M838" s="93">
        <v>110314.39779994507</v>
      </c>
      <c r="N838" s="95">
        <v>4.1228069404555465E-2</v>
      </c>
      <c r="O838" s="95">
        <v>0.31924982199022334</v>
      </c>
      <c r="P838" s="95">
        <v>0.55596758837033955</v>
      </c>
      <c r="Q838" s="95">
        <v>8.1797181399615615E-2</v>
      </c>
      <c r="R838" s="96">
        <v>1.757338835266018E-3</v>
      </c>
    </row>
    <row r="839" spans="1:18" ht="15" hidden="1" customHeight="1" x14ac:dyDescent="0.3">
      <c r="A839" s="89">
        <v>2021</v>
      </c>
      <c r="B839" s="90">
        <v>5</v>
      </c>
      <c r="C839" s="90" t="s">
        <v>726</v>
      </c>
      <c r="D839" s="90" t="s">
        <v>719</v>
      </c>
      <c r="E839" s="91" t="s">
        <v>11</v>
      </c>
      <c r="F839" s="92" t="s">
        <v>12</v>
      </c>
      <c r="G839" s="93">
        <v>9119.4214058425805</v>
      </c>
      <c r="H839" s="93">
        <v>28228.890040913</v>
      </c>
      <c r="I839" s="93">
        <v>2397.5457928860201</v>
      </c>
      <c r="J839" s="93">
        <v>194383.27129808601</v>
      </c>
      <c r="K839" s="93">
        <v>19439.145947556801</v>
      </c>
      <c r="L839" s="93">
        <v>61472.041705813601</v>
      </c>
      <c r="M839" s="93">
        <v>433311.47680229403</v>
      </c>
      <c r="N839" s="95">
        <v>2.4525159370136152E-2</v>
      </c>
      <c r="O839" s="95">
        <v>7.5916880719196736E-2</v>
      </c>
      <c r="P839" s="95">
        <v>0.32451831359084421</v>
      </c>
      <c r="Q839" s="95">
        <v>0.52276131295124673</v>
      </c>
      <c r="R839" s="96">
        <v>5.2278333368576048E-2</v>
      </c>
    </row>
    <row r="840" spans="1:18" ht="15" hidden="1" customHeight="1" x14ac:dyDescent="0.3">
      <c r="A840" s="89">
        <v>2021</v>
      </c>
      <c r="B840" s="90">
        <v>5</v>
      </c>
      <c r="C840" s="90" t="s">
        <v>726</v>
      </c>
      <c r="D840" s="90" t="s">
        <v>719</v>
      </c>
      <c r="E840" s="91" t="s">
        <v>11</v>
      </c>
      <c r="F840" s="92" t="s">
        <v>26</v>
      </c>
      <c r="G840" s="93">
        <v>46109.052908071601</v>
      </c>
      <c r="H840" s="93">
        <v>155072.45087671201</v>
      </c>
      <c r="I840" s="93">
        <v>2397.5457928860201</v>
      </c>
      <c r="J840" s="93">
        <v>380351.13283602399</v>
      </c>
      <c r="K840" s="93">
        <v>48096.5463189621</v>
      </c>
      <c r="L840" s="93">
        <v>262559.9759666904</v>
      </c>
      <c r="M840" s="93">
        <v>1302393.3163907521</v>
      </c>
      <c r="N840" s="95">
        <v>4.4342733701217496E-2</v>
      </c>
      <c r="O840" s="95">
        <v>0.1491320241890598</v>
      </c>
      <c r="P840" s="95">
        <v>0.39449029141247172</v>
      </c>
      <c r="Q840" s="95">
        <v>0.36578085934512389</v>
      </c>
      <c r="R840" s="96">
        <v>4.6254091352127172E-2</v>
      </c>
    </row>
    <row r="841" spans="1:18" ht="15" hidden="1" customHeight="1" x14ac:dyDescent="0.3">
      <c r="A841" s="89">
        <v>2021</v>
      </c>
      <c r="B841" s="90">
        <v>5</v>
      </c>
      <c r="C841" s="90" t="s">
        <v>726</v>
      </c>
      <c r="D841" s="90" t="s">
        <v>719</v>
      </c>
      <c r="E841" s="91" t="s">
        <v>11</v>
      </c>
      <c r="F841" s="92" t="s">
        <v>27</v>
      </c>
      <c r="G841" s="93">
        <v>1571.1886012392699</v>
      </c>
      <c r="H841" s="93">
        <v>35362.732342369098</v>
      </c>
      <c r="I841" s="93">
        <v>2397.5457928860201</v>
      </c>
      <c r="J841" s="93">
        <v>55191.547618312703</v>
      </c>
      <c r="K841" s="93">
        <v>3954.8915118642799</v>
      </c>
      <c r="L841" s="93">
        <v>14819.206247653041</v>
      </c>
      <c r="M841" s="93">
        <v>226689.61699930043</v>
      </c>
      <c r="N841" s="95">
        <v>7.4158000433623712E-3</v>
      </c>
      <c r="O841" s="95">
        <v>0.16690736671021505</v>
      </c>
      <c r="P841" s="95">
        <v>0.54651355168981142</v>
      </c>
      <c r="Q841" s="95">
        <v>0.26049672260751761</v>
      </c>
      <c r="R841" s="96">
        <v>1.8666558949093505E-2</v>
      </c>
    </row>
    <row r="842" spans="1:18" ht="15" hidden="1" customHeight="1" x14ac:dyDescent="0.3">
      <c r="A842" s="89">
        <v>2021</v>
      </c>
      <c r="B842" s="90">
        <v>5</v>
      </c>
      <c r="C842" s="90" t="s">
        <v>726</v>
      </c>
      <c r="D842" s="90" t="s">
        <v>719</v>
      </c>
      <c r="E842" s="91" t="s">
        <v>11</v>
      </c>
      <c r="F842" s="92" t="s">
        <v>28</v>
      </c>
      <c r="G842" s="93">
        <v>5584.6749948912602</v>
      </c>
      <c r="H842" s="93">
        <v>20926.971986104501</v>
      </c>
      <c r="I842" s="93">
        <v>2397.5457928860201</v>
      </c>
      <c r="J842" s="93">
        <v>203230.542996206</v>
      </c>
      <c r="K842" s="93">
        <v>5955.0718504411598</v>
      </c>
      <c r="L842" s="93">
        <v>3944.001265050545</v>
      </c>
      <c r="M842" s="93">
        <v>373104.5810149415</v>
      </c>
      <c r="N842" s="95">
        <v>1.5128037231588809E-2</v>
      </c>
      <c r="O842" s="95">
        <v>5.6687991985175344E-2</v>
      </c>
      <c r="P842" s="95">
        <v>0.3615318786547318</v>
      </c>
      <c r="Q842" s="95">
        <v>0.5505207060133458</v>
      </c>
      <c r="R842" s="96">
        <v>1.6131386115158249E-2</v>
      </c>
    </row>
    <row r="843" spans="1:18" ht="15" customHeight="1" x14ac:dyDescent="0.3">
      <c r="A843" s="89">
        <v>2021</v>
      </c>
      <c r="B843" s="90">
        <v>5</v>
      </c>
      <c r="C843" s="90" t="s">
        <v>726</v>
      </c>
      <c r="D843" s="90" t="s">
        <v>719</v>
      </c>
      <c r="E843" s="91" t="s">
        <v>11</v>
      </c>
      <c r="F843" s="92" t="s">
        <v>29</v>
      </c>
      <c r="G843" s="93">
        <v>14835.0694791162</v>
      </c>
      <c r="H843" s="93">
        <v>39599.293917843701</v>
      </c>
      <c r="I843" s="93">
        <v>2397.5457928860201</v>
      </c>
      <c r="J843" s="93">
        <v>96996.568234829203</v>
      </c>
      <c r="K843" s="93">
        <v>7990.6779223881504</v>
      </c>
      <c r="L843" s="93">
        <v>94944.206432604697</v>
      </c>
      <c r="M843" s="93">
        <v>354392.05486975494</v>
      </c>
      <c r="N843" s="95">
        <v>5.717938910836607E-2</v>
      </c>
      <c r="O843" s="95">
        <v>0.152629108918729</v>
      </c>
      <c r="P843" s="95">
        <v>0.38553504870249011</v>
      </c>
      <c r="Q843" s="95">
        <v>0.37385767050724283</v>
      </c>
      <c r="R843" s="96">
        <v>3.0798782763171943E-2</v>
      </c>
    </row>
    <row r="844" spans="1:18" ht="15" hidden="1" customHeight="1" x14ac:dyDescent="0.3">
      <c r="A844" s="89">
        <v>2021</v>
      </c>
      <c r="B844" s="90">
        <v>5</v>
      </c>
      <c r="C844" s="90" t="s">
        <v>726</v>
      </c>
      <c r="D844" s="90" t="s">
        <v>719</v>
      </c>
      <c r="E844" s="91" t="s">
        <v>11</v>
      </c>
      <c r="F844" s="92" t="s">
        <v>30</v>
      </c>
      <c r="G844" s="93">
        <v>458.72213595588198</v>
      </c>
      <c r="H844" s="93">
        <v>2993.0856655116399</v>
      </c>
      <c r="I844" s="93">
        <v>2397.5457928860201</v>
      </c>
      <c r="J844" s="93">
        <v>2658.6196159941801</v>
      </c>
      <c r="K844" s="93">
        <v>157.454314437806</v>
      </c>
      <c r="L844" s="93">
        <v>217203.51570925699</v>
      </c>
      <c r="M844" s="93">
        <v>230086.50016211698</v>
      </c>
      <c r="N844" s="95">
        <v>3.5606822133053717E-2</v>
      </c>
      <c r="O844" s="95">
        <v>0.23232859408187698</v>
      </c>
      <c r="P844" s="95">
        <v>0.51347595311984906</v>
      </c>
      <c r="Q844" s="95">
        <v>0.20636674877023342</v>
      </c>
      <c r="R844" s="96">
        <v>1.2221881894986807E-2</v>
      </c>
    </row>
    <row r="845" spans="1:18" ht="15" hidden="1" customHeight="1" x14ac:dyDescent="0.3">
      <c r="A845" s="89">
        <v>2021</v>
      </c>
      <c r="B845" s="90">
        <v>5</v>
      </c>
      <c r="C845" s="90" t="s">
        <v>726</v>
      </c>
      <c r="D845" s="90" t="s">
        <v>719</v>
      </c>
      <c r="E845" s="91" t="s">
        <v>11</v>
      </c>
      <c r="F845" s="92" t="s">
        <v>31</v>
      </c>
      <c r="G845" s="93">
        <v>1032.57288707873</v>
      </c>
      <c r="H845" s="93">
        <v>41205.557256987297</v>
      </c>
      <c r="I845" s="93">
        <v>2397.5457928860201</v>
      </c>
      <c r="J845" s="93">
        <v>60708.127939293598</v>
      </c>
      <c r="K845" s="93">
        <v>34618.132689948397</v>
      </c>
      <c r="L845" s="93">
        <v>43443.82149472773</v>
      </c>
      <c r="M845" s="93">
        <v>251948.68865991937</v>
      </c>
      <c r="N845" s="95">
        <v>4.9522723431710399E-3</v>
      </c>
      <c r="O845" s="95">
        <v>0.19762395869800714</v>
      </c>
      <c r="P845" s="95">
        <v>0.34023415067658713</v>
      </c>
      <c r="Q845" s="95">
        <v>0.29115928450339973</v>
      </c>
      <c r="R845" s="96">
        <v>0.16603033377883489</v>
      </c>
    </row>
    <row r="846" spans="1:18" ht="15" hidden="1" customHeight="1" x14ac:dyDescent="0.3">
      <c r="A846" s="89">
        <v>2021</v>
      </c>
      <c r="B846" s="90">
        <v>5</v>
      </c>
      <c r="C846" s="90" t="s">
        <v>726</v>
      </c>
      <c r="D846" s="90" t="s">
        <v>719</v>
      </c>
      <c r="E846" s="91" t="s">
        <v>11</v>
      </c>
      <c r="F846" s="92" t="s">
        <v>32</v>
      </c>
      <c r="G846" s="93">
        <v>36084.205663720997</v>
      </c>
      <c r="H846" s="93">
        <v>137206.416374227</v>
      </c>
      <c r="I846" s="93">
        <v>2397.5457928860201</v>
      </c>
      <c r="J846" s="93">
        <v>115269.672692558</v>
      </c>
      <c r="K846" s="93">
        <v>2903.7401023115799</v>
      </c>
      <c r="L846" s="93">
        <v>66748.3204690602</v>
      </c>
      <c r="M846" s="93">
        <v>609521.81280337484</v>
      </c>
      <c r="N846" s="95">
        <v>6.6481149454320404E-2</v>
      </c>
      <c r="O846" s="95">
        <v>0.25278761456117022</v>
      </c>
      <c r="P846" s="95">
        <v>0.46300982094885734</v>
      </c>
      <c r="Q846" s="95">
        <v>0.21237159574027073</v>
      </c>
      <c r="R846" s="96">
        <v>5.3498192953812434E-3</v>
      </c>
    </row>
    <row r="847" spans="1:18" ht="15" hidden="1" customHeight="1" x14ac:dyDescent="0.3">
      <c r="A847" s="89">
        <v>2021</v>
      </c>
      <c r="B847" s="90">
        <v>5</v>
      </c>
      <c r="C847" s="90" t="s">
        <v>726</v>
      </c>
      <c r="D847" s="90" t="s">
        <v>719</v>
      </c>
      <c r="E847" s="91" t="s">
        <v>11</v>
      </c>
      <c r="F847" s="92" t="s">
        <v>33</v>
      </c>
      <c r="G847" s="93">
        <v>50656.148052974502</v>
      </c>
      <c r="H847" s="93">
        <v>251636.83088351699</v>
      </c>
      <c r="I847" s="93">
        <v>2397.5457928860201</v>
      </c>
      <c r="J847" s="93">
        <v>309612.97837045201</v>
      </c>
      <c r="K847" s="93">
        <v>8338.2436503875706</v>
      </c>
      <c r="L847" s="93">
        <v>35552.430107967171</v>
      </c>
      <c r="M847" s="93">
        <v>1352056.7882569053</v>
      </c>
      <c r="N847" s="95">
        <v>3.8477767080239089E-2</v>
      </c>
      <c r="O847" s="95">
        <v>0.19114014270133464</v>
      </c>
      <c r="P847" s="95">
        <v>0.52887037774077628</v>
      </c>
      <c r="Q847" s="95">
        <v>0.23517808843852309</v>
      </c>
      <c r="R847" s="96">
        <v>6.3336240391269963E-3</v>
      </c>
    </row>
    <row r="848" spans="1:18" ht="15" hidden="1" customHeight="1" x14ac:dyDescent="0.3">
      <c r="A848" s="89">
        <v>2021</v>
      </c>
      <c r="B848" s="90">
        <v>5</v>
      </c>
      <c r="C848" s="90" t="s">
        <v>726</v>
      </c>
      <c r="D848" s="90" t="s">
        <v>719</v>
      </c>
      <c r="E848" s="91" t="s">
        <v>11</v>
      </c>
      <c r="F848" s="92" t="s">
        <v>34</v>
      </c>
      <c r="G848" s="93">
        <v>18756.1260214553</v>
      </c>
      <c r="H848" s="93">
        <v>50006.720979765501</v>
      </c>
      <c r="I848" s="93">
        <v>2397.5457928860201</v>
      </c>
      <c r="J848" s="93">
        <v>308770.343593269</v>
      </c>
      <c r="K848" s="93">
        <v>12330.3256132766</v>
      </c>
      <c r="L848" s="93">
        <v>49602.782201186405</v>
      </c>
      <c r="M848" s="93">
        <v>713628.83042004786</v>
      </c>
      <c r="N848" s="95">
        <v>2.8246069671160438E-2</v>
      </c>
      <c r="O848" s="95">
        <v>7.5308372486139877E-2</v>
      </c>
      <c r="P848" s="95">
        <v>0.41287918259605938</v>
      </c>
      <c r="Q848" s="95">
        <v>0.46499733620615286</v>
      </c>
      <c r="R848" s="96">
        <v>1.856903904048739E-2</v>
      </c>
    </row>
    <row r="849" spans="1:18" ht="15" hidden="1" customHeight="1" x14ac:dyDescent="0.3">
      <c r="A849" s="89">
        <v>2021</v>
      </c>
      <c r="B849" s="90">
        <v>5</v>
      </c>
      <c r="C849" s="90" t="s">
        <v>726</v>
      </c>
      <c r="D849" s="90" t="s">
        <v>719</v>
      </c>
      <c r="E849" s="91" t="s">
        <v>11</v>
      </c>
      <c r="F849" s="92" t="s">
        <v>35</v>
      </c>
      <c r="G849" s="93">
        <v>18231.317863526499</v>
      </c>
      <c r="H849" s="93">
        <v>67810.875168242303</v>
      </c>
      <c r="I849" s="93">
        <v>2397.5457928860201</v>
      </c>
      <c r="J849" s="93">
        <v>137601.24302537399</v>
      </c>
      <c r="K849" s="93">
        <v>11365.2305025306</v>
      </c>
      <c r="L849" s="93">
        <v>253759.9734368299</v>
      </c>
      <c r="M849" s="93">
        <v>605861.19629491225</v>
      </c>
      <c r="N849" s="95">
        <v>5.1778626940113745E-2</v>
      </c>
      <c r="O849" s="95">
        <v>0.19258914984107878</v>
      </c>
      <c r="P849" s="95">
        <v>0.33255367688854698</v>
      </c>
      <c r="Q849" s="95">
        <v>0.39080024178398104</v>
      </c>
      <c r="R849" s="96">
        <v>3.2278304546279467E-2</v>
      </c>
    </row>
    <row r="850" spans="1:18" ht="15" hidden="1" customHeight="1" x14ac:dyDescent="0.3">
      <c r="A850" s="89">
        <v>2021</v>
      </c>
      <c r="B850" s="90">
        <v>5</v>
      </c>
      <c r="C850" s="90" t="s">
        <v>726</v>
      </c>
      <c r="D850" s="90" t="s">
        <v>719</v>
      </c>
      <c r="E850" s="91" t="s">
        <v>11</v>
      </c>
      <c r="F850" s="92" t="s">
        <v>36</v>
      </c>
      <c r="G850" s="93">
        <v>8676.1012353676197</v>
      </c>
      <c r="H850" s="93">
        <v>49239.917311640602</v>
      </c>
      <c r="I850" s="93">
        <v>2397.5457928860201</v>
      </c>
      <c r="J850" s="93">
        <v>34578.235847670301</v>
      </c>
      <c r="K850" s="93">
        <v>171.53735667432599</v>
      </c>
      <c r="L850" s="93">
        <v>32866.203123474501</v>
      </c>
      <c r="M850" s="93">
        <v>258886.87145457833</v>
      </c>
      <c r="N850" s="95">
        <v>3.8386317939108835E-2</v>
      </c>
      <c r="O850" s="95">
        <v>0.21785581679418675</v>
      </c>
      <c r="P850" s="95">
        <v>0.590011867341246</v>
      </c>
      <c r="Q850" s="95">
        <v>0.15298705248059749</v>
      </c>
      <c r="R850" s="96">
        <v>7.5894544486098162E-4</v>
      </c>
    </row>
    <row r="851" spans="1:18" ht="15" hidden="1" customHeight="1" x14ac:dyDescent="0.3">
      <c r="A851" s="89">
        <v>2021</v>
      </c>
      <c r="B851" s="90">
        <v>5</v>
      </c>
      <c r="C851" s="90" t="s">
        <v>726</v>
      </c>
      <c r="D851" s="90" t="s">
        <v>719</v>
      </c>
      <c r="E851" s="91" t="s">
        <v>11</v>
      </c>
      <c r="F851" s="92" t="s">
        <v>37</v>
      </c>
      <c r="G851" s="93">
        <v>15374.3147980085</v>
      </c>
      <c r="H851" s="93">
        <v>57589.301127742699</v>
      </c>
      <c r="I851" s="93">
        <v>2397.5457928860201</v>
      </c>
      <c r="J851" s="93">
        <v>143193.448109377</v>
      </c>
      <c r="K851" s="93">
        <v>15460.6349312073</v>
      </c>
      <c r="L851" s="93">
        <v>156172.1049413945</v>
      </c>
      <c r="M851" s="93">
        <v>524073.85777630599</v>
      </c>
      <c r="N851" s="95">
        <v>4.1789186051819145E-2</v>
      </c>
      <c r="O851" s="95">
        <v>0.15653445704996338</v>
      </c>
      <c r="P851" s="95">
        <v>0.37043600042245717</v>
      </c>
      <c r="Q851" s="95">
        <v>0.38921654220449492</v>
      </c>
      <c r="R851" s="96">
        <v>4.2023814271265371E-2</v>
      </c>
    </row>
    <row r="852" spans="1:18" ht="15" hidden="1" customHeight="1" x14ac:dyDescent="0.3">
      <c r="A852" s="89">
        <v>2021</v>
      </c>
      <c r="B852" s="90">
        <v>5</v>
      </c>
      <c r="C852" s="90" t="s">
        <v>726</v>
      </c>
      <c r="D852" s="90" t="s">
        <v>719</v>
      </c>
      <c r="E852" s="91" t="s">
        <v>11</v>
      </c>
      <c r="F852" s="92" t="s">
        <v>720</v>
      </c>
      <c r="G852" s="93">
        <v>26385.348782039</v>
      </c>
      <c r="H852" s="93">
        <v>51035.722961305299</v>
      </c>
      <c r="I852" s="93">
        <v>2397.5457928860201</v>
      </c>
      <c r="J852" s="93">
        <v>419568.974207277</v>
      </c>
      <c r="K852" s="93">
        <v>94857.318291064599</v>
      </c>
      <c r="L852" s="93">
        <v>171915.8195810602</v>
      </c>
      <c r="M852" s="93">
        <v>927958.42268839513</v>
      </c>
      <c r="N852" s="95">
        <v>3.4899288312054404E-2</v>
      </c>
      <c r="O852" s="95">
        <v>6.7503765993541229E-2</v>
      </c>
      <c r="P852" s="95">
        <v>0.21717723074176853</v>
      </c>
      <c r="Q852" s="95">
        <v>0.55495414211163319</v>
      </c>
      <c r="R852" s="96">
        <v>0.12546557284100265</v>
      </c>
    </row>
    <row r="853" spans="1:18" ht="15" hidden="1" customHeight="1" x14ac:dyDescent="0.3">
      <c r="A853" s="89">
        <v>2021</v>
      </c>
      <c r="B853" s="90">
        <v>5</v>
      </c>
      <c r="C853" s="90" t="s">
        <v>726</v>
      </c>
      <c r="D853" s="90" t="s">
        <v>719</v>
      </c>
      <c r="E853" s="91" t="s">
        <v>11</v>
      </c>
      <c r="F853" s="92" t="s">
        <v>39</v>
      </c>
      <c r="G853" s="93">
        <v>11796.4098077788</v>
      </c>
      <c r="H853" s="93">
        <v>84220.5525559573</v>
      </c>
      <c r="I853" s="93">
        <v>2397.5457928860201</v>
      </c>
      <c r="J853" s="93">
        <v>35671.687678829599</v>
      </c>
      <c r="K853" s="93">
        <v>1069.0102119761</v>
      </c>
      <c r="L853" s="93">
        <v>53392.631508566221</v>
      </c>
      <c r="M853" s="93">
        <v>331195.16650097305</v>
      </c>
      <c r="N853" s="95">
        <v>4.246329072591519E-2</v>
      </c>
      <c r="O853" s="95">
        <v>0.30316696915044095</v>
      </c>
      <c r="P853" s="95">
        <v>0.52211501504775504</v>
      </c>
      <c r="Q853" s="95">
        <v>0.12840663127787733</v>
      </c>
      <c r="R853" s="96">
        <v>3.8480937980113076E-3</v>
      </c>
    </row>
    <row r="854" spans="1:18" ht="15" hidden="1" customHeight="1" x14ac:dyDescent="0.3">
      <c r="A854" s="89">
        <v>2021</v>
      </c>
      <c r="B854" s="90">
        <v>5</v>
      </c>
      <c r="C854" s="90" t="s">
        <v>726</v>
      </c>
      <c r="D854" s="90" t="s">
        <v>719</v>
      </c>
      <c r="E854" s="91" t="s">
        <v>11</v>
      </c>
      <c r="F854" s="92" t="s">
        <v>40</v>
      </c>
      <c r="G854" s="93">
        <v>6892.2080434237096</v>
      </c>
      <c r="H854" s="93">
        <v>18222.1304896736</v>
      </c>
      <c r="I854" s="93">
        <v>2397.5457928860201</v>
      </c>
      <c r="J854" s="93">
        <v>182933.70313622299</v>
      </c>
      <c r="K854" s="93">
        <v>20537.606179971001</v>
      </c>
      <c r="L854" s="93">
        <v>8126.4980718198603</v>
      </c>
      <c r="M854" s="93">
        <v>326305.02470134804</v>
      </c>
      <c r="N854" s="95">
        <v>2.166144936439619E-2</v>
      </c>
      <c r="O854" s="95">
        <v>5.7270145420248844E-2</v>
      </c>
      <c r="P854" s="95">
        <v>0.28158053194002797</v>
      </c>
      <c r="Q854" s="95">
        <v>0.57494044326008908</v>
      </c>
      <c r="R854" s="96">
        <v>6.4547430015237967E-2</v>
      </c>
    </row>
    <row r="855" spans="1:18" ht="15" hidden="1" customHeight="1" x14ac:dyDescent="0.3">
      <c r="A855" s="89">
        <v>2021</v>
      </c>
      <c r="B855" s="90">
        <v>5</v>
      </c>
      <c r="C855" s="90" t="s">
        <v>726</v>
      </c>
      <c r="D855" s="90" t="s">
        <v>719</v>
      </c>
      <c r="E855" s="91" t="s">
        <v>11</v>
      </c>
      <c r="F855" s="92" t="s">
        <v>41</v>
      </c>
      <c r="G855" s="93">
        <v>2197.6133008563102</v>
      </c>
      <c r="H855" s="93">
        <v>5164.0654090211601</v>
      </c>
      <c r="I855" s="93">
        <v>2397.5457928860201</v>
      </c>
      <c r="J855" s="93">
        <v>4631.6880434574005</v>
      </c>
      <c r="K855" s="93">
        <v>1028.5141938832701</v>
      </c>
      <c r="L855" s="93">
        <v>682.22937625306201</v>
      </c>
      <c r="M855" s="93">
        <v>18714.332738962934</v>
      </c>
      <c r="N855" s="95">
        <v>0.12187226618282049</v>
      </c>
      <c r="O855" s="95">
        <v>0.28638175509244096</v>
      </c>
      <c r="P855" s="95">
        <v>0.27785013842882006</v>
      </c>
      <c r="Q855" s="95">
        <v>0.25685789118953611</v>
      </c>
      <c r="R855" s="96">
        <v>5.7037949106382255E-2</v>
      </c>
    </row>
    <row r="856" spans="1:18" ht="15" hidden="1" customHeight="1" x14ac:dyDescent="0.3">
      <c r="A856" s="89">
        <v>2021</v>
      </c>
      <c r="B856" s="90">
        <v>5</v>
      </c>
      <c r="C856" s="90" t="s">
        <v>726</v>
      </c>
      <c r="D856" s="90" t="s">
        <v>719</v>
      </c>
      <c r="E856" s="91" t="s">
        <v>11</v>
      </c>
      <c r="F856" s="92" t="s">
        <v>42</v>
      </c>
      <c r="G856" s="93">
        <v>4078.6604448207599</v>
      </c>
      <c r="H856" s="93">
        <v>51830.593261675698</v>
      </c>
      <c r="I856" s="93">
        <v>2397.5457928860201</v>
      </c>
      <c r="J856" s="93">
        <v>201013.90364433499</v>
      </c>
      <c r="K856" s="93">
        <v>82049.742517593695</v>
      </c>
      <c r="L856" s="93">
        <v>200876.42255144101</v>
      </c>
      <c r="M856" s="93">
        <v>620824.33975000167</v>
      </c>
      <c r="N856" s="95">
        <v>9.7123006872594612E-3</v>
      </c>
      <c r="O856" s="95">
        <v>0.1234214795192544</v>
      </c>
      <c r="P856" s="95">
        <v>0.19282157147084675</v>
      </c>
      <c r="Q856" s="95">
        <v>0.47866389000160503</v>
      </c>
      <c r="R856" s="96">
        <v>0.19538075832103427</v>
      </c>
    </row>
    <row r="857" spans="1:18" ht="15" hidden="1" customHeight="1" x14ac:dyDescent="0.3">
      <c r="A857" s="89">
        <v>2021</v>
      </c>
      <c r="B857" s="90">
        <v>5</v>
      </c>
      <c r="C857" s="90" t="s">
        <v>726</v>
      </c>
      <c r="D857" s="90" t="s">
        <v>719</v>
      </c>
      <c r="E857" s="91" t="s">
        <v>11</v>
      </c>
      <c r="F857" s="92" t="s">
        <v>43</v>
      </c>
      <c r="G857" s="93">
        <v>936.36671575061303</v>
      </c>
      <c r="H857" s="93">
        <v>18288.5544433348</v>
      </c>
      <c r="I857" s="93">
        <v>2397.5457928860201</v>
      </c>
      <c r="J857" s="93">
        <v>16663.630516040001</v>
      </c>
      <c r="K857" s="93">
        <v>7316.0855478324102</v>
      </c>
      <c r="L857" s="93">
        <v>117016.54072086493</v>
      </c>
      <c r="M857" s="93">
        <v>185575.48510012316</v>
      </c>
      <c r="N857" s="95">
        <v>1.3657834498891448E-2</v>
      </c>
      <c r="O857" s="95">
        <v>0.26675665165095225</v>
      </c>
      <c r="P857" s="95">
        <v>0.36981764211601648</v>
      </c>
      <c r="Q857" s="95">
        <v>0.24305552932465224</v>
      </c>
      <c r="R857" s="96">
        <v>0.10671234240948746</v>
      </c>
    </row>
    <row r="858" spans="1:18" ht="15" hidden="1" customHeight="1" x14ac:dyDescent="0.3">
      <c r="A858" s="89">
        <v>2021</v>
      </c>
      <c r="B858" s="90">
        <v>5</v>
      </c>
      <c r="C858" s="90" t="s">
        <v>726</v>
      </c>
      <c r="D858" s="90" t="s">
        <v>719</v>
      </c>
      <c r="E858" s="91" t="s">
        <v>11</v>
      </c>
      <c r="F858" s="92" t="s">
        <v>58</v>
      </c>
      <c r="G858" s="93">
        <v>2660.23648613664</v>
      </c>
      <c r="H858" s="93">
        <v>40572.5986792025</v>
      </c>
      <c r="I858" s="93">
        <v>2397.5457928860201</v>
      </c>
      <c r="J858" s="93">
        <v>148484.77711319801</v>
      </c>
      <c r="K858" s="93">
        <v>18317.079413302599</v>
      </c>
      <c r="L858" s="93">
        <v>4185.7305052466199</v>
      </c>
      <c r="M858" s="93">
        <v>371477.1255923984</v>
      </c>
      <c r="N858" s="95">
        <v>7.2428500142384571E-3</v>
      </c>
      <c r="O858" s="95">
        <v>0.11046433219481043</v>
      </c>
      <c r="P858" s="95">
        <v>0.42815243019237564</v>
      </c>
      <c r="Q858" s="95">
        <v>0.40426968641060917</v>
      </c>
      <c r="R858" s="96">
        <v>4.9870701187966243E-2</v>
      </c>
    </row>
    <row r="859" spans="1:18" ht="15" hidden="1" customHeight="1" x14ac:dyDescent="0.3">
      <c r="A859" s="89">
        <v>2021</v>
      </c>
      <c r="B859" s="90">
        <v>5</v>
      </c>
      <c r="C859" s="90" t="s">
        <v>726</v>
      </c>
      <c r="D859" s="90" t="s">
        <v>719</v>
      </c>
      <c r="E859" s="91" t="s">
        <v>11</v>
      </c>
      <c r="F859" s="92" t="s">
        <v>44</v>
      </c>
      <c r="G859" s="93">
        <v>3020.4235250566699</v>
      </c>
      <c r="H859" s="93">
        <v>6424.9384249984696</v>
      </c>
      <c r="I859" s="93">
        <v>2397.5457928860201</v>
      </c>
      <c r="J859" s="93">
        <v>101812.102604342</v>
      </c>
      <c r="K859" s="93">
        <v>6949.6909677803296</v>
      </c>
      <c r="L859" s="93">
        <v>44946.515562330002</v>
      </c>
      <c r="M859" s="93">
        <v>215729.28855108179</v>
      </c>
      <c r="N859" s="95">
        <v>1.7685762282684113E-2</v>
      </c>
      <c r="O859" s="95">
        <v>3.7620529943155526E-2</v>
      </c>
      <c r="P859" s="95">
        <v>0.30785082445076045</v>
      </c>
      <c r="Q859" s="95">
        <v>0.59614972179335446</v>
      </c>
      <c r="R859" s="96">
        <v>4.0693161530045277E-2</v>
      </c>
    </row>
    <row r="860" spans="1:18" ht="15" hidden="1" customHeight="1" x14ac:dyDescent="0.3">
      <c r="A860" s="89">
        <v>2021</v>
      </c>
      <c r="B860" s="90">
        <v>5</v>
      </c>
      <c r="C860" s="90" t="s">
        <v>726</v>
      </c>
      <c r="D860" s="90" t="s">
        <v>719</v>
      </c>
      <c r="E860" s="91" t="s">
        <v>11</v>
      </c>
      <c r="F860" s="92" t="s">
        <v>51</v>
      </c>
      <c r="G860" s="93">
        <v>1745.66486927542</v>
      </c>
      <c r="H860" s="93">
        <v>15782.0265884604</v>
      </c>
      <c r="I860" s="93">
        <v>2397.5457928860201</v>
      </c>
      <c r="J860" s="93">
        <v>92890.6575505894</v>
      </c>
      <c r="K860" s="93">
        <v>44644.987647874099</v>
      </c>
      <c r="L860" s="93">
        <v>982.08700246783098</v>
      </c>
      <c r="M860" s="93">
        <v>211202.40923546994</v>
      </c>
      <c r="N860" s="95">
        <v>8.3039777064967853E-3</v>
      </c>
      <c r="O860" s="95">
        <v>7.5073743683867336E-2</v>
      </c>
      <c r="P860" s="95">
        <v>0.26237703848473981</v>
      </c>
      <c r="Q860" s="95">
        <v>0.44187287206054271</v>
      </c>
      <c r="R860" s="96">
        <v>0.21237236806435342</v>
      </c>
    </row>
    <row r="861" spans="1:18" ht="15" hidden="1" customHeight="1" x14ac:dyDescent="0.3">
      <c r="A861" s="89">
        <v>2021</v>
      </c>
      <c r="B861" s="90">
        <v>5</v>
      </c>
      <c r="C861" s="90" t="s">
        <v>726</v>
      </c>
      <c r="D861" s="90" t="s">
        <v>719</v>
      </c>
      <c r="E861" s="91" t="s">
        <v>11</v>
      </c>
      <c r="F861" s="92" t="s">
        <v>45</v>
      </c>
      <c r="G861" s="93">
        <v>5786.1947648253699</v>
      </c>
      <c r="H861" s="93">
        <v>17712.5490064691</v>
      </c>
      <c r="I861" s="93">
        <v>2397.5457928860201</v>
      </c>
      <c r="J861" s="93">
        <v>22915.307291127501</v>
      </c>
      <c r="K861" s="93">
        <v>1798.5681139246301</v>
      </c>
      <c r="L861" s="93">
        <v>50493.049150550971</v>
      </c>
      <c r="M861" s="93">
        <v>134096.09203645977</v>
      </c>
      <c r="N861" s="95">
        <v>6.9210336909885678E-2</v>
      </c>
      <c r="O861" s="95">
        <v>0.2118648842798822</v>
      </c>
      <c r="P861" s="95">
        <v>0.42331501926142467</v>
      </c>
      <c r="Q861" s="95">
        <v>0.27409656993465542</v>
      </c>
      <c r="R861" s="96">
        <v>2.1513189614151908E-2</v>
      </c>
    </row>
    <row r="862" spans="1:18" ht="15" hidden="1" customHeight="1" x14ac:dyDescent="0.3">
      <c r="A862" s="89">
        <v>2021</v>
      </c>
      <c r="B862" s="90">
        <v>5</v>
      </c>
      <c r="C862" s="90" t="s">
        <v>726</v>
      </c>
      <c r="D862" s="90" t="s">
        <v>719</v>
      </c>
      <c r="E862" s="91" t="s">
        <v>11</v>
      </c>
      <c r="F862" s="92" t="s">
        <v>721</v>
      </c>
      <c r="G862" s="93">
        <v>3775.3615573483398</v>
      </c>
      <c r="H862" s="93">
        <v>31706.255796942802</v>
      </c>
      <c r="I862" s="93">
        <v>2397.5457928860201</v>
      </c>
      <c r="J862" s="93">
        <v>115180.626312455</v>
      </c>
      <c r="K862" s="93">
        <v>6739.4310541712302</v>
      </c>
      <c r="L862" s="93">
        <v>294.73980915134803</v>
      </c>
      <c r="M862" s="93">
        <v>309330.85090302571</v>
      </c>
      <c r="N862" s="95">
        <v>1.2216570885470134E-2</v>
      </c>
      <c r="O862" s="95">
        <v>0.10259725209689669</v>
      </c>
      <c r="P862" s="95">
        <v>0.49066898957609434</v>
      </c>
      <c r="Q862" s="95">
        <v>0.37270927952321775</v>
      </c>
      <c r="R862" s="96">
        <v>2.1807907918320997E-2</v>
      </c>
    </row>
    <row r="863" spans="1:18" ht="15" hidden="1" customHeight="1" x14ac:dyDescent="0.3">
      <c r="A863" s="89">
        <v>2021</v>
      </c>
      <c r="B863" s="90">
        <v>5</v>
      </c>
      <c r="C863" s="90" t="s">
        <v>726</v>
      </c>
      <c r="D863" s="90" t="s">
        <v>719</v>
      </c>
      <c r="E863" s="91" t="s">
        <v>11</v>
      </c>
      <c r="F863" s="92" t="s">
        <v>46</v>
      </c>
      <c r="G863" s="93">
        <v>4108.8375192600997</v>
      </c>
      <c r="H863" s="93">
        <v>33030.7643884301</v>
      </c>
      <c r="I863" s="93">
        <v>2397.5457928860201</v>
      </c>
      <c r="J863" s="93">
        <v>32280.9324210696</v>
      </c>
      <c r="K863" s="93">
        <v>22107.046641242301</v>
      </c>
      <c r="L863" s="93">
        <v>1718.1044757888999</v>
      </c>
      <c r="M863" s="93">
        <v>149075.00300839019</v>
      </c>
      <c r="N863" s="95">
        <v>2.7883577628033878E-2</v>
      </c>
      <c r="O863" s="95">
        <v>0.2241548561170508</v>
      </c>
      <c r="P863" s="95">
        <v>0.37887142114522382</v>
      </c>
      <c r="Q863" s="95">
        <v>0.21906631275852859</v>
      </c>
      <c r="R863" s="96">
        <v>0.1500238323511629</v>
      </c>
    </row>
    <row r="864" spans="1:18" ht="15" hidden="1" customHeight="1" x14ac:dyDescent="0.3">
      <c r="A864" s="89">
        <v>2021</v>
      </c>
      <c r="B864" s="90">
        <v>5</v>
      </c>
      <c r="C864" s="90" t="s">
        <v>726</v>
      </c>
      <c r="D864" s="90" t="s">
        <v>719</v>
      </c>
      <c r="E864" s="91" t="s">
        <v>11</v>
      </c>
      <c r="F864" s="92" t="s">
        <v>47</v>
      </c>
      <c r="G864" s="93">
        <v>12452.980389123701</v>
      </c>
      <c r="H864" s="93">
        <v>141834.55550419501</v>
      </c>
      <c r="I864" s="93">
        <v>2397.5457928860201</v>
      </c>
      <c r="J864" s="93">
        <v>406977.92323391198</v>
      </c>
      <c r="K864" s="93">
        <v>59059.371528679498</v>
      </c>
      <c r="L864" s="93">
        <v>119933.243577613</v>
      </c>
      <c r="M864" s="93">
        <v>1461770.3581410074</v>
      </c>
      <c r="N864" s="95">
        <v>9.2805454954013843E-3</v>
      </c>
      <c r="O864" s="95">
        <v>0.10570176809451645</v>
      </c>
      <c r="P864" s="95">
        <v>0.53770481981507046</v>
      </c>
      <c r="Q864" s="95">
        <v>0.30329905084368908</v>
      </c>
      <c r="R864" s="96">
        <v>4.401381575132253E-2</v>
      </c>
    </row>
    <row r="865" spans="1:18" ht="15" hidden="1" customHeight="1" x14ac:dyDescent="0.3">
      <c r="A865" s="89">
        <v>2021</v>
      </c>
      <c r="B865" s="90">
        <v>5</v>
      </c>
      <c r="C865" s="90" t="s">
        <v>726</v>
      </c>
      <c r="D865" s="90" t="s">
        <v>719</v>
      </c>
      <c r="E865" s="91" t="s">
        <v>11</v>
      </c>
      <c r="F865" s="92" t="s">
        <v>48</v>
      </c>
      <c r="G865" s="93">
        <v>2983.5920539981598</v>
      </c>
      <c r="H865" s="93">
        <v>21204.531189673799</v>
      </c>
      <c r="I865" s="93">
        <v>2397.5457928860201</v>
      </c>
      <c r="J865" s="93">
        <v>19153.292140715399</v>
      </c>
      <c r="K865" s="93">
        <v>229.870927927389</v>
      </c>
      <c r="L865" s="93">
        <v>8363.2316504258797</v>
      </c>
      <c r="M865" s="93">
        <v>110314.39779994452</v>
      </c>
      <c r="N865" s="95">
        <v>2.9264913454962446E-2</v>
      </c>
      <c r="O865" s="95">
        <v>0.20798713727880114</v>
      </c>
      <c r="P865" s="95">
        <v>0.57262591534838991</v>
      </c>
      <c r="Q865" s="95">
        <v>0.18786731789439007</v>
      </c>
      <c r="R865" s="96">
        <v>2.2547160234564351E-3</v>
      </c>
    </row>
    <row r="866" spans="1:18" ht="15" hidden="1" customHeight="1" x14ac:dyDescent="0.3">
      <c r="A866" s="89">
        <v>2021</v>
      </c>
      <c r="B866" s="90">
        <v>5</v>
      </c>
      <c r="C866" s="90" t="s">
        <v>726</v>
      </c>
      <c r="D866" s="90" t="s">
        <v>722</v>
      </c>
      <c r="E866" s="91" t="s">
        <v>11</v>
      </c>
      <c r="F866" s="92" t="s">
        <v>12</v>
      </c>
      <c r="G866" s="93">
        <v>11954.891</v>
      </c>
      <c r="H866" s="93">
        <v>50436.831700000002</v>
      </c>
      <c r="I866" s="93">
        <v>2397.5457928860201</v>
      </c>
      <c r="J866" s="93">
        <v>110707.496</v>
      </c>
      <c r="K866" s="93">
        <v>5027.2068200000003</v>
      </c>
      <c r="L866" s="93">
        <v>68471.830400000006</v>
      </c>
      <c r="M866" s="93">
        <v>433311.47592</v>
      </c>
      <c r="N866" s="95">
        <v>3.2767521695622984E-2</v>
      </c>
      <c r="O866" s="95">
        <v>0.13824383484451971</v>
      </c>
      <c r="P866" s="95">
        <v>0.51176790212555079</v>
      </c>
      <c r="Q866" s="95">
        <v>0.30344151837503952</v>
      </c>
      <c r="R866" s="96">
        <v>1.3779222959266951E-2</v>
      </c>
    </row>
    <row r="867" spans="1:18" ht="15" hidden="1" customHeight="1" x14ac:dyDescent="0.3">
      <c r="A867" s="89">
        <v>2021</v>
      </c>
      <c r="B867" s="90">
        <v>5</v>
      </c>
      <c r="C867" s="90" t="s">
        <v>726</v>
      </c>
      <c r="D867" s="90" t="s">
        <v>722</v>
      </c>
      <c r="E867" s="91" t="s">
        <v>11</v>
      </c>
      <c r="F867" s="92" t="s">
        <v>26</v>
      </c>
      <c r="G867" s="93">
        <v>103897.02800000001</v>
      </c>
      <c r="H867" s="93">
        <v>318277.42300000001</v>
      </c>
      <c r="I867" s="93">
        <v>2397.5457928860201</v>
      </c>
      <c r="J867" s="93">
        <v>166197.18799999999</v>
      </c>
      <c r="K867" s="93">
        <v>5854.2349299999996</v>
      </c>
      <c r="L867" s="93">
        <v>269751.32520000002</v>
      </c>
      <c r="M867" s="93">
        <v>1302393.3161299999</v>
      </c>
      <c r="N867" s="95">
        <v>0.10061282507641403</v>
      </c>
      <c r="O867" s="95">
        <v>0.30821661892071478</v>
      </c>
      <c r="P867" s="95">
        <v>0.42455770814158095</v>
      </c>
      <c r="Q867" s="95">
        <v>0.16094366630425555</v>
      </c>
      <c r="R867" s="96">
        <v>5.6691815570347479E-3</v>
      </c>
    </row>
    <row r="868" spans="1:18" ht="15" hidden="1" customHeight="1" x14ac:dyDescent="0.3">
      <c r="A868" s="89">
        <v>2021</v>
      </c>
      <c r="B868" s="90">
        <v>5</v>
      </c>
      <c r="C868" s="90" t="s">
        <v>726</v>
      </c>
      <c r="D868" s="90" t="s">
        <v>722</v>
      </c>
      <c r="E868" s="91" t="s">
        <v>11</v>
      </c>
      <c r="F868" s="92" t="s">
        <v>27</v>
      </c>
      <c r="G868" s="93">
        <v>3307.8008599999998</v>
      </c>
      <c r="H868" s="93">
        <v>49368.741000000002</v>
      </c>
      <c r="I868" s="93">
        <v>2397.5457928860201</v>
      </c>
      <c r="J868" s="93">
        <v>27604.958200000001</v>
      </c>
      <c r="K868" s="93">
        <v>2016.3896400000001</v>
      </c>
      <c r="L868" s="93">
        <v>34619.737939999999</v>
      </c>
      <c r="M868" s="93">
        <v>226689.61663999999</v>
      </c>
      <c r="N868" s="95">
        <v>1.7221861555744292E-2</v>
      </c>
      <c r="O868" s="95">
        <v>0.25703531097195409</v>
      </c>
      <c r="P868" s="95">
        <v>0.57152110337642448</v>
      </c>
      <c r="Q868" s="95">
        <v>0.14372351556027718</v>
      </c>
      <c r="R868" s="96">
        <v>1.0498208535600018E-2</v>
      </c>
    </row>
    <row r="869" spans="1:18" ht="15" hidden="1" customHeight="1" x14ac:dyDescent="0.3">
      <c r="A869" s="89">
        <v>2021</v>
      </c>
      <c r="B869" s="90">
        <v>5</v>
      </c>
      <c r="C869" s="90" t="s">
        <v>726</v>
      </c>
      <c r="D869" s="90" t="s">
        <v>722</v>
      </c>
      <c r="E869" s="91" t="s">
        <v>11</v>
      </c>
      <c r="F869" s="92" t="s">
        <v>28</v>
      </c>
      <c r="G869" s="93">
        <v>9731.7117500000004</v>
      </c>
      <c r="H869" s="93">
        <v>60617.440699999999</v>
      </c>
      <c r="I869" s="93">
        <v>2397.5457928860201</v>
      </c>
      <c r="J869" s="93">
        <v>55968.3629</v>
      </c>
      <c r="K869" s="93">
        <v>585.64917600000001</v>
      </c>
      <c r="L869" s="93">
        <v>20790.289839999998</v>
      </c>
      <c r="M869" s="93">
        <v>373104.581366</v>
      </c>
      <c r="N869" s="95">
        <v>2.7622245205689653E-2</v>
      </c>
      <c r="O869" s="95">
        <v>0.17205501496247583</v>
      </c>
      <c r="P869" s="95">
        <v>0.63980125819949929</v>
      </c>
      <c r="Q869" s="95">
        <v>0.15885918978075195</v>
      </c>
      <c r="R869" s="96">
        <v>1.6622918515832629E-3</v>
      </c>
    </row>
    <row r="870" spans="1:18" ht="15" customHeight="1" x14ac:dyDescent="0.3">
      <c r="A870" s="89">
        <v>2021</v>
      </c>
      <c r="B870" s="90">
        <v>5</v>
      </c>
      <c r="C870" s="90" t="s">
        <v>726</v>
      </c>
      <c r="D870" s="90" t="s">
        <v>722</v>
      </c>
      <c r="E870" s="91" t="s">
        <v>11</v>
      </c>
      <c r="F870" s="92" t="s">
        <v>29</v>
      </c>
      <c r="G870" s="93">
        <v>21835.918000000001</v>
      </c>
      <c r="H870" s="93">
        <v>61438.074099999998</v>
      </c>
      <c r="I870" s="93">
        <v>2397.5457928860201</v>
      </c>
      <c r="J870" s="93">
        <v>35248.824500000002</v>
      </c>
      <c r="K870" s="93">
        <v>1158.5498</v>
      </c>
      <c r="L870" s="93">
        <v>122538.69399999999</v>
      </c>
      <c r="M870" s="93">
        <v>354392.05440000002</v>
      </c>
      <c r="N870" s="95">
        <v>9.4179864213863679E-2</v>
      </c>
      <c r="O870" s="95">
        <v>0.26498677437327317</v>
      </c>
      <c r="P870" s="95">
        <v>0.48380577191755031</v>
      </c>
      <c r="Q870" s="95">
        <v>0.15203068197583045</v>
      </c>
      <c r="R870" s="96">
        <v>4.9969075194823001E-3</v>
      </c>
    </row>
    <row r="871" spans="1:18" ht="15" hidden="1" customHeight="1" x14ac:dyDescent="0.3">
      <c r="A871" s="89">
        <v>2021</v>
      </c>
      <c r="B871" s="90">
        <v>5</v>
      </c>
      <c r="C871" s="90" t="s">
        <v>726</v>
      </c>
      <c r="D871" s="90" t="s">
        <v>722</v>
      </c>
      <c r="E871" s="91" t="s">
        <v>11</v>
      </c>
      <c r="F871" s="92" t="s">
        <v>30</v>
      </c>
      <c r="G871" s="93">
        <v>691.10117100000002</v>
      </c>
      <c r="H871" s="93">
        <v>5725.0704500000002</v>
      </c>
      <c r="I871" s="93">
        <v>2397.5457928860201</v>
      </c>
      <c r="J871" s="93">
        <v>1789.7110299999999</v>
      </c>
      <c r="K871" s="93">
        <v>153.326123</v>
      </c>
      <c r="L871" s="93">
        <v>215923.425476</v>
      </c>
      <c r="M871" s="93">
        <v>230086.50002000001</v>
      </c>
      <c r="N871" s="95">
        <v>4.8795984858582546E-2</v>
      </c>
      <c r="O871" s="95">
        <v>0.40422511596716476</v>
      </c>
      <c r="P871" s="95">
        <v>0.40978854922843927</v>
      </c>
      <c r="Q871" s="95">
        <v>0.12636458450034685</v>
      </c>
      <c r="R871" s="96">
        <v>1.0825765445466397E-2</v>
      </c>
    </row>
    <row r="872" spans="1:18" ht="15" hidden="1" customHeight="1" x14ac:dyDescent="0.3">
      <c r="A872" s="89">
        <v>2021</v>
      </c>
      <c r="B872" s="90">
        <v>5</v>
      </c>
      <c r="C872" s="90" t="s">
        <v>726</v>
      </c>
      <c r="D872" s="90" t="s">
        <v>722</v>
      </c>
      <c r="E872" s="91" t="s">
        <v>11</v>
      </c>
      <c r="F872" s="92" t="s">
        <v>31</v>
      </c>
      <c r="G872" s="93">
        <v>1222.4509599999999</v>
      </c>
      <c r="H872" s="93">
        <v>42210.709799999997</v>
      </c>
      <c r="I872" s="93">
        <v>2397.5457928860201</v>
      </c>
      <c r="J872" s="93">
        <v>61899.037199999999</v>
      </c>
      <c r="K872" s="93">
        <v>35716.919199999997</v>
      </c>
      <c r="L872" s="93">
        <v>44410.324090000002</v>
      </c>
      <c r="M872" s="93">
        <v>251948.68865</v>
      </c>
      <c r="N872" s="95">
        <v>5.8902408843382091E-3</v>
      </c>
      <c r="O872" s="95">
        <v>0.20338750326712124</v>
      </c>
      <c r="P872" s="95">
        <v>0.32037087475832809</v>
      </c>
      <c r="Q872" s="95">
        <v>0.29825346909344463</v>
      </c>
      <c r="R872" s="96">
        <v>0.17209791199676783</v>
      </c>
    </row>
    <row r="873" spans="1:18" ht="15" hidden="1" customHeight="1" x14ac:dyDescent="0.3">
      <c r="A873" s="89">
        <v>2021</v>
      </c>
      <c r="B873" s="90">
        <v>5</v>
      </c>
      <c r="C873" s="90" t="s">
        <v>726</v>
      </c>
      <c r="D873" s="90" t="s">
        <v>722</v>
      </c>
      <c r="E873" s="91" t="s">
        <v>11</v>
      </c>
      <c r="F873" s="92" t="s">
        <v>32</v>
      </c>
      <c r="G873" s="93">
        <v>41119.915300000001</v>
      </c>
      <c r="H873" s="93">
        <v>145588.601</v>
      </c>
      <c r="I873" s="93">
        <v>2397.5457928860201</v>
      </c>
      <c r="J873" s="93">
        <v>86194.285099999994</v>
      </c>
      <c r="K873" s="93">
        <v>6805.6000599999998</v>
      </c>
      <c r="L873" s="93">
        <v>93365.111100000009</v>
      </c>
      <c r="M873" s="93">
        <v>609521.81255999999</v>
      </c>
      <c r="N873" s="95">
        <v>7.96655650961971E-2</v>
      </c>
      <c r="O873" s="95">
        <v>0.28206279331100098</v>
      </c>
      <c r="P873" s="95">
        <v>0.45809402325143261</v>
      </c>
      <c r="Q873" s="95">
        <v>0.1669924750685034</v>
      </c>
      <c r="R873" s="96">
        <v>1.3185143272865955E-2</v>
      </c>
    </row>
    <row r="874" spans="1:18" ht="15" hidden="1" customHeight="1" x14ac:dyDescent="0.3">
      <c r="A874" s="89">
        <v>2021</v>
      </c>
      <c r="B874" s="90">
        <v>5</v>
      </c>
      <c r="C874" s="90" t="s">
        <v>726</v>
      </c>
      <c r="D874" s="90" t="s">
        <v>722</v>
      </c>
      <c r="E874" s="91" t="s">
        <v>11</v>
      </c>
      <c r="F874" s="92" t="s">
        <v>33</v>
      </c>
      <c r="G874" s="93">
        <v>205081.11499999999</v>
      </c>
      <c r="H874" s="93">
        <v>630775.01100000006</v>
      </c>
      <c r="I874" s="93">
        <v>2397.5457928860201</v>
      </c>
      <c r="J874" s="93">
        <v>34508.906300000002</v>
      </c>
      <c r="K874" s="93">
        <v>81.726489099999995</v>
      </c>
      <c r="L874" s="93">
        <v>37327.057279999994</v>
      </c>
      <c r="M874" s="93">
        <v>1352056.7890690998</v>
      </c>
      <c r="N874" s="95">
        <v>0.15598728015447189</v>
      </c>
      <c r="O874" s="95">
        <v>0.47977542132681061</v>
      </c>
      <c r="P874" s="95">
        <v>0.3379272273666577</v>
      </c>
      <c r="Q874" s="95">
        <v>2.6247908954671523E-2</v>
      </c>
      <c r="R874" s="96">
        <v>6.2162197388497195E-5</v>
      </c>
    </row>
    <row r="875" spans="1:18" ht="15" hidden="1" customHeight="1" x14ac:dyDescent="0.3">
      <c r="A875" s="89">
        <v>2021</v>
      </c>
      <c r="B875" s="90">
        <v>5</v>
      </c>
      <c r="C875" s="90" t="s">
        <v>726</v>
      </c>
      <c r="D875" s="90" t="s">
        <v>722</v>
      </c>
      <c r="E875" s="91" t="s">
        <v>11</v>
      </c>
      <c r="F875" s="92" t="s">
        <v>34</v>
      </c>
      <c r="G875" s="93">
        <v>29090.3789</v>
      </c>
      <c r="H875" s="93">
        <v>125314.947</v>
      </c>
      <c r="I875" s="93">
        <v>2397.5457928860201</v>
      </c>
      <c r="J875" s="93">
        <v>109988.442</v>
      </c>
      <c r="K875" s="93">
        <v>944.505132</v>
      </c>
      <c r="L875" s="93">
        <v>89295.494600000005</v>
      </c>
      <c r="M875" s="93">
        <v>713628.830632</v>
      </c>
      <c r="N875" s="95">
        <v>4.6594306632553387E-2</v>
      </c>
      <c r="O875" s="95">
        <v>0.20071801354777732</v>
      </c>
      <c r="P875" s="95">
        <v>0.57500543745048371</v>
      </c>
      <c r="Q875" s="95">
        <v>0.17616942048784429</v>
      </c>
      <c r="R875" s="96">
        <v>1.5128218813412675E-3</v>
      </c>
    </row>
    <row r="876" spans="1:18" ht="15" hidden="1" customHeight="1" x14ac:dyDescent="0.3">
      <c r="A876" s="89">
        <v>2021</v>
      </c>
      <c r="B876" s="90">
        <v>5</v>
      </c>
      <c r="C876" s="90" t="s">
        <v>726</v>
      </c>
      <c r="D876" s="90" t="s">
        <v>722</v>
      </c>
      <c r="E876" s="91" t="s">
        <v>11</v>
      </c>
      <c r="F876" s="92" t="s">
        <v>35</v>
      </c>
      <c r="G876" s="93">
        <v>20697.607599999999</v>
      </c>
      <c r="H876" s="93">
        <v>65672.288499999995</v>
      </c>
      <c r="I876" s="93">
        <v>2397.5457928860201</v>
      </c>
      <c r="J876" s="93">
        <v>102258.048</v>
      </c>
      <c r="K876" s="93">
        <v>5484.0347499999998</v>
      </c>
      <c r="L876" s="93">
        <v>292948.04310000001</v>
      </c>
      <c r="M876" s="93">
        <v>605861.19695000001</v>
      </c>
      <c r="N876" s="95">
        <v>6.6144894662759149E-2</v>
      </c>
      <c r="O876" s="95">
        <v>0.20987385059396088</v>
      </c>
      <c r="P876" s="95">
        <v>0.37966181203411242</v>
      </c>
      <c r="Q876" s="95">
        <v>0.32679370215615494</v>
      </c>
      <c r="R876" s="96">
        <v>1.752574055301255E-2</v>
      </c>
    </row>
    <row r="877" spans="1:18" ht="15" hidden="1" customHeight="1" x14ac:dyDescent="0.3">
      <c r="A877" s="89">
        <v>2021</v>
      </c>
      <c r="B877" s="90">
        <v>5</v>
      </c>
      <c r="C877" s="90" t="s">
        <v>726</v>
      </c>
      <c r="D877" s="90" t="s">
        <v>722</v>
      </c>
      <c r="E877" s="91" t="s">
        <v>11</v>
      </c>
      <c r="F877" s="92" t="s">
        <v>36</v>
      </c>
      <c r="G877" s="93">
        <v>16382.5646</v>
      </c>
      <c r="H877" s="93">
        <v>80743.025399999999</v>
      </c>
      <c r="I877" s="93">
        <v>2397.5457928860201</v>
      </c>
      <c r="J877" s="93">
        <v>16500.667300000001</v>
      </c>
      <c r="K877" s="93">
        <v>113.35132400000001</v>
      </c>
      <c r="L877" s="93">
        <v>49383.517</v>
      </c>
      <c r="M877" s="93">
        <v>258886.87142399998</v>
      </c>
      <c r="N877" s="95">
        <v>7.8197146986221572E-2</v>
      </c>
      <c r="O877" s="95">
        <v>0.38540206490722589</v>
      </c>
      <c r="P877" s="95">
        <v>0.45709886633218333</v>
      </c>
      <c r="Q877" s="95">
        <v>7.8760873998252989E-2</v>
      </c>
      <c r="R877" s="96">
        <v>5.4104777611625136E-4</v>
      </c>
    </row>
    <row r="878" spans="1:18" ht="15" hidden="1" customHeight="1" x14ac:dyDescent="0.3">
      <c r="A878" s="89">
        <v>2021</v>
      </c>
      <c r="B878" s="90">
        <v>5</v>
      </c>
      <c r="C878" s="90" t="s">
        <v>726</v>
      </c>
      <c r="D878" s="90" t="s">
        <v>722</v>
      </c>
      <c r="E878" s="91" t="s">
        <v>11</v>
      </c>
      <c r="F878" s="92" t="s">
        <v>37</v>
      </c>
      <c r="G878" s="93">
        <v>21348.909899999999</v>
      </c>
      <c r="H878" s="93">
        <v>87833.444600000003</v>
      </c>
      <c r="I878" s="93">
        <v>2397.5457928860201</v>
      </c>
      <c r="J878" s="93">
        <v>58664.576800000003</v>
      </c>
      <c r="K878" s="93">
        <v>1173.2443900000001</v>
      </c>
      <c r="L878" s="93">
        <v>204716.7481</v>
      </c>
      <c r="M878" s="93">
        <v>524073.85779000004</v>
      </c>
      <c r="N878" s="95">
        <v>6.6849646531193213E-2</v>
      </c>
      <c r="O878" s="95">
        <v>0.2750320626500532</v>
      </c>
      <c r="P878" s="95">
        <v>0.47074866799092741</v>
      </c>
      <c r="Q878" s="95">
        <v>0.18369585338790709</v>
      </c>
      <c r="R878" s="96">
        <v>3.6737694399190564E-3</v>
      </c>
    </row>
    <row r="879" spans="1:18" ht="15" hidden="1" customHeight="1" x14ac:dyDescent="0.3">
      <c r="A879" s="89">
        <v>2021</v>
      </c>
      <c r="B879" s="90">
        <v>5</v>
      </c>
      <c r="C879" s="90" t="s">
        <v>726</v>
      </c>
      <c r="D879" s="90" t="s">
        <v>722</v>
      </c>
      <c r="E879" s="91" t="s">
        <v>11</v>
      </c>
      <c r="F879" s="92" t="s">
        <v>720</v>
      </c>
      <c r="G879" s="93">
        <v>44178.166899999997</v>
      </c>
      <c r="H879" s="93">
        <v>83900.3753</v>
      </c>
      <c r="I879" s="93">
        <v>2397.5457928860201</v>
      </c>
      <c r="J879" s="93">
        <v>273709.53100000002</v>
      </c>
      <c r="K879" s="93">
        <v>18774.9221</v>
      </c>
      <c r="L879" s="93">
        <v>229679.80050000001</v>
      </c>
      <c r="M879" s="93">
        <v>927958.42179999989</v>
      </c>
      <c r="N879" s="95">
        <v>6.3267248276558399E-2</v>
      </c>
      <c r="O879" s="95">
        <v>0.12015314910228946</v>
      </c>
      <c r="P879" s="95">
        <v>0.39771463356986503</v>
      </c>
      <c r="Q879" s="95">
        <v>0.39197753253626649</v>
      </c>
      <c r="R879" s="96">
        <v>2.6887436515020804E-2</v>
      </c>
    </row>
    <row r="880" spans="1:18" ht="15" hidden="1" customHeight="1" x14ac:dyDescent="0.3">
      <c r="A880" s="89">
        <v>2021</v>
      </c>
      <c r="B880" s="90">
        <v>5</v>
      </c>
      <c r="C880" s="90" t="s">
        <v>726</v>
      </c>
      <c r="D880" s="90" t="s">
        <v>722</v>
      </c>
      <c r="E880" s="91" t="s">
        <v>11</v>
      </c>
      <c r="F880" s="92" t="s">
        <v>39</v>
      </c>
      <c r="G880" s="93">
        <v>16228.218800000001</v>
      </c>
      <c r="H880" s="93">
        <v>84044.746899999998</v>
      </c>
      <c r="I880" s="93">
        <v>2397.5457928860201</v>
      </c>
      <c r="J880" s="93">
        <v>27356.0723</v>
      </c>
      <c r="K880" s="93">
        <v>792.05709400000001</v>
      </c>
      <c r="L880" s="93">
        <v>104702.149605</v>
      </c>
      <c r="M880" s="93">
        <v>331195.16629899997</v>
      </c>
      <c r="N880" s="95">
        <v>7.1649974188497362E-2</v>
      </c>
      <c r="O880" s="95">
        <v>0.37106992580503001</v>
      </c>
      <c r="P880" s="95">
        <v>0.43300196638070571</v>
      </c>
      <c r="Q880" s="95">
        <v>0.12078108499459395</v>
      </c>
      <c r="R880" s="96">
        <v>3.4970486311730171E-3</v>
      </c>
    </row>
    <row r="881" spans="1:18" ht="15" hidden="1" customHeight="1" x14ac:dyDescent="0.3">
      <c r="A881" s="89">
        <v>2021</v>
      </c>
      <c r="B881" s="90">
        <v>5</v>
      </c>
      <c r="C881" s="90" t="s">
        <v>726</v>
      </c>
      <c r="D881" s="90" t="s">
        <v>722</v>
      </c>
      <c r="E881" s="91" t="s">
        <v>11</v>
      </c>
      <c r="F881" s="92" t="s">
        <v>40</v>
      </c>
      <c r="G881" s="93">
        <v>10295.9125</v>
      </c>
      <c r="H881" s="93">
        <v>32580.018199999999</v>
      </c>
      <c r="I881" s="93">
        <v>2397.5457928860201</v>
      </c>
      <c r="J881" s="93">
        <v>110011.383</v>
      </c>
      <c r="K881" s="93">
        <v>3815.9978999999998</v>
      </c>
      <c r="L881" s="93">
        <v>11390.29016</v>
      </c>
      <c r="M881" s="93">
        <v>326305.02375999995</v>
      </c>
      <c r="N881" s="95">
        <v>3.2694286425727276E-2</v>
      </c>
      <c r="O881" s="95">
        <v>0.10345663357047834</v>
      </c>
      <c r="P881" s="95">
        <v>0.5023944741847417</v>
      </c>
      <c r="Q881" s="95">
        <v>0.34933704670590238</v>
      </c>
      <c r="R881" s="96">
        <v>1.2117559113150368E-2</v>
      </c>
    </row>
    <row r="882" spans="1:18" ht="15" hidden="1" customHeight="1" x14ac:dyDescent="0.3">
      <c r="A882" s="89">
        <v>2021</v>
      </c>
      <c r="B882" s="90">
        <v>5</v>
      </c>
      <c r="C882" s="90" t="s">
        <v>726</v>
      </c>
      <c r="D882" s="90" t="s">
        <v>722</v>
      </c>
      <c r="E882" s="91" t="s">
        <v>11</v>
      </c>
      <c r="F882" s="92" t="s">
        <v>41</v>
      </c>
      <c r="G882" s="93">
        <v>2166.0122799999999</v>
      </c>
      <c r="H882" s="93">
        <v>5888.0877600000003</v>
      </c>
      <c r="I882" s="93">
        <v>2397.5457928860201</v>
      </c>
      <c r="J882" s="93">
        <v>2258.5211100000001</v>
      </c>
      <c r="K882" s="93">
        <v>152.70904899999999</v>
      </c>
      <c r="L882" s="93">
        <v>2934.3234299999999</v>
      </c>
      <c r="M882" s="93">
        <v>18714.332738999998</v>
      </c>
      <c r="N882" s="95">
        <v>0.13726305463993818</v>
      </c>
      <c r="O882" s="95">
        <v>0.37313588634208078</v>
      </c>
      <c r="P882" s="95">
        <v>0.33679822400160542</v>
      </c>
      <c r="Q882" s="95">
        <v>0.14312546119423841</v>
      </c>
      <c r="R882" s="96">
        <v>9.6773738221373317E-3</v>
      </c>
    </row>
    <row r="883" spans="1:18" ht="15" hidden="1" customHeight="1" x14ac:dyDescent="0.3">
      <c r="A883" s="89">
        <v>2021</v>
      </c>
      <c r="B883" s="90">
        <v>5</v>
      </c>
      <c r="C883" s="90" t="s">
        <v>726</v>
      </c>
      <c r="D883" s="90" t="s">
        <v>722</v>
      </c>
      <c r="E883" s="91" t="s">
        <v>11</v>
      </c>
      <c r="F883" s="92" t="s">
        <v>42</v>
      </c>
      <c r="G883" s="93">
        <v>7878.3643099999999</v>
      </c>
      <c r="H883" s="93">
        <v>40727.301299999999</v>
      </c>
      <c r="I883" s="93">
        <v>2397.5457928860201</v>
      </c>
      <c r="J883" s="93">
        <v>217518.81899999999</v>
      </c>
      <c r="K883" s="93">
        <v>54166.698400000001</v>
      </c>
      <c r="L883" s="93">
        <v>226712.8744</v>
      </c>
      <c r="M883" s="93">
        <v>620824.33950999996</v>
      </c>
      <c r="N883" s="95">
        <v>1.9990193149547371E-2</v>
      </c>
      <c r="O883" s="95">
        <v>0.10333954960846584</v>
      </c>
      <c r="P883" s="95">
        <v>0.18730813141758285</v>
      </c>
      <c r="Q883" s="95">
        <v>0.55192207854011188</v>
      </c>
      <c r="R883" s="96">
        <v>0.13744004728429202</v>
      </c>
    </row>
    <row r="884" spans="1:18" ht="15" hidden="1" customHeight="1" x14ac:dyDescent="0.3">
      <c r="A884" s="89">
        <v>2021</v>
      </c>
      <c r="B884" s="90">
        <v>5</v>
      </c>
      <c r="C884" s="90" t="s">
        <v>726</v>
      </c>
      <c r="D884" s="90" t="s">
        <v>722</v>
      </c>
      <c r="E884" s="91" t="s">
        <v>11</v>
      </c>
      <c r="F884" s="92" t="s">
        <v>43</v>
      </c>
      <c r="G884" s="93">
        <v>1122.0342499999999</v>
      </c>
      <c r="H884" s="93">
        <v>20789.443899999998</v>
      </c>
      <c r="I884" s="93">
        <v>2397.5457928860201</v>
      </c>
      <c r="J884" s="93">
        <v>16051.0394</v>
      </c>
      <c r="K884" s="93">
        <v>7727.7198600000002</v>
      </c>
      <c r="L884" s="93">
        <v>117061.43841800001</v>
      </c>
      <c r="M884" s="93">
        <v>185575.48522800001</v>
      </c>
      <c r="N884" s="95">
        <v>1.6376703789101433E-2</v>
      </c>
      <c r="O884" s="95">
        <v>0.30343330846669042</v>
      </c>
      <c r="P884" s="95">
        <v>0.3331259860228945</v>
      </c>
      <c r="Q884" s="95">
        <v>0.23427370221630614</v>
      </c>
      <c r="R884" s="96">
        <v>0.11279029950500745</v>
      </c>
    </row>
    <row r="885" spans="1:18" ht="15" hidden="1" customHeight="1" x14ac:dyDescent="0.3">
      <c r="A885" s="89">
        <v>2021</v>
      </c>
      <c r="B885" s="90">
        <v>5</v>
      </c>
      <c r="C885" s="90" t="s">
        <v>726</v>
      </c>
      <c r="D885" s="90" t="s">
        <v>722</v>
      </c>
      <c r="E885" s="91" t="s">
        <v>11</v>
      </c>
      <c r="F885" s="92" t="s">
        <v>58</v>
      </c>
      <c r="G885" s="93">
        <v>5772.67641</v>
      </c>
      <c r="H885" s="93">
        <v>88858.463199999998</v>
      </c>
      <c r="I885" s="93">
        <v>2397.5457928860201</v>
      </c>
      <c r="J885" s="93">
        <v>93707.842199999999</v>
      </c>
      <c r="K885" s="93">
        <v>3002.1171100000001</v>
      </c>
      <c r="L885" s="93">
        <v>11231.587660000001</v>
      </c>
      <c r="M885" s="93">
        <v>371477.12558000005</v>
      </c>
      <c r="N885" s="95">
        <v>1.6024282891414859E-2</v>
      </c>
      <c r="O885" s="95">
        <v>0.24666082948051074</v>
      </c>
      <c r="P885" s="95">
        <v>0.4688592119009361</v>
      </c>
      <c r="Q885" s="95">
        <v>0.26012214541519113</v>
      </c>
      <c r="R885" s="96">
        <v>8.3335303119470763E-3</v>
      </c>
    </row>
    <row r="886" spans="1:18" ht="15" hidden="1" customHeight="1" x14ac:dyDescent="0.3">
      <c r="A886" s="89">
        <v>2021</v>
      </c>
      <c r="B886" s="90">
        <v>5</v>
      </c>
      <c r="C886" s="90" t="s">
        <v>726</v>
      </c>
      <c r="D886" s="90" t="s">
        <v>722</v>
      </c>
      <c r="E886" s="91" t="s">
        <v>11</v>
      </c>
      <c r="F886" s="92" t="s">
        <v>44</v>
      </c>
      <c r="G886" s="93">
        <v>4566.8035300000001</v>
      </c>
      <c r="H886" s="93">
        <v>18075.278399999999</v>
      </c>
      <c r="I886" s="93">
        <v>2397.5457928860201</v>
      </c>
      <c r="J886" s="93">
        <v>60873.234100000001</v>
      </c>
      <c r="K886" s="93">
        <v>1523.11842</v>
      </c>
      <c r="L886" s="93">
        <v>46659.998900000006</v>
      </c>
      <c r="M886" s="93">
        <v>215729.28855000003</v>
      </c>
      <c r="N886" s="95">
        <v>2.7011431463715267E-2</v>
      </c>
      <c r="O886" s="95">
        <v>0.10691047698501996</v>
      </c>
      <c r="P886" s="95">
        <v>0.49702021800622143</v>
      </c>
      <c r="Q886" s="95">
        <v>0.36004903212178363</v>
      </c>
      <c r="R886" s="96">
        <v>9.0088414232596253E-3</v>
      </c>
    </row>
    <row r="887" spans="1:18" ht="15" hidden="1" customHeight="1" x14ac:dyDescent="0.3">
      <c r="A887" s="89">
        <v>2021</v>
      </c>
      <c r="B887" s="90">
        <v>5</v>
      </c>
      <c r="C887" s="90" t="s">
        <v>726</v>
      </c>
      <c r="D887" s="90" t="s">
        <v>722</v>
      </c>
      <c r="E887" s="91" t="s">
        <v>11</v>
      </c>
      <c r="F887" s="92" t="s">
        <v>51</v>
      </c>
      <c r="G887" s="93">
        <v>2284.2395299999998</v>
      </c>
      <c r="H887" s="93">
        <v>22145.950799999999</v>
      </c>
      <c r="I887" s="93">
        <v>2397.5457928860201</v>
      </c>
      <c r="J887" s="93">
        <v>92241.728400000007</v>
      </c>
      <c r="K887" s="93">
        <v>27993.612499999999</v>
      </c>
      <c r="L887" s="93">
        <v>1376.8004599999999</v>
      </c>
      <c r="M887" s="93">
        <v>211202.40918999998</v>
      </c>
      <c r="N887" s="95">
        <v>1.0886371515019982E-2</v>
      </c>
      <c r="O887" s="95">
        <v>0.10554455642493586</v>
      </c>
      <c r="P887" s="95">
        <v>0.31054396979658894</v>
      </c>
      <c r="Q887" s="95">
        <v>0.4396113942349863</v>
      </c>
      <c r="R887" s="96">
        <v>0.13341370802846902</v>
      </c>
    </row>
    <row r="888" spans="1:18" ht="15" hidden="1" customHeight="1" x14ac:dyDescent="0.3">
      <c r="A888" s="89">
        <v>2021</v>
      </c>
      <c r="B888" s="90">
        <v>5</v>
      </c>
      <c r="C888" s="90" t="s">
        <v>726</v>
      </c>
      <c r="D888" s="90" t="s">
        <v>722</v>
      </c>
      <c r="E888" s="91" t="s">
        <v>11</v>
      </c>
      <c r="F888" s="92" t="s">
        <v>45</v>
      </c>
      <c r="G888" s="93">
        <v>10691.689899999999</v>
      </c>
      <c r="H888" s="93">
        <v>25086.089800000002</v>
      </c>
      <c r="I888" s="93">
        <v>2397.5457928860201</v>
      </c>
      <c r="J888" s="93">
        <v>9915.9669300000005</v>
      </c>
      <c r="K888" s="93">
        <v>586.40703900000005</v>
      </c>
      <c r="L888" s="93">
        <v>56038.786639999998</v>
      </c>
      <c r="M888" s="93">
        <v>134096.09200899999</v>
      </c>
      <c r="N888" s="95">
        <v>0.13697231603700916</v>
      </c>
      <c r="O888" s="95">
        <v>0.32138042277286705</v>
      </c>
      <c r="P888" s="95">
        <v>0.40710029061059683</v>
      </c>
      <c r="Q888" s="95">
        <v>0.12703445094759919</v>
      </c>
      <c r="R888" s="96">
        <v>7.5125196319278552E-3</v>
      </c>
    </row>
    <row r="889" spans="1:18" ht="15" hidden="1" customHeight="1" x14ac:dyDescent="0.3">
      <c r="A889" s="89">
        <v>2021</v>
      </c>
      <c r="B889" s="90">
        <v>5</v>
      </c>
      <c r="C889" s="90" t="s">
        <v>726</v>
      </c>
      <c r="D889" s="90" t="s">
        <v>722</v>
      </c>
      <c r="E889" s="91" t="s">
        <v>11</v>
      </c>
      <c r="F889" s="92" t="s">
        <v>721</v>
      </c>
      <c r="G889" s="93">
        <v>6688.75191</v>
      </c>
      <c r="H889" s="93">
        <v>66952.578399999999</v>
      </c>
      <c r="I889" s="93">
        <v>2397.5457928860201</v>
      </c>
      <c r="J889" s="93">
        <v>73963.618700000006</v>
      </c>
      <c r="K889" s="93">
        <v>4089.2436499999999</v>
      </c>
      <c r="L889" s="93">
        <v>1657.42001837</v>
      </c>
      <c r="M889" s="93">
        <v>309330.85067836998</v>
      </c>
      <c r="N889" s="95">
        <v>2.1739777450564213E-2</v>
      </c>
      <c r="O889" s="95">
        <v>0.21760923020352424</v>
      </c>
      <c r="P889" s="95">
        <v>0.50696362589842092</v>
      </c>
      <c r="Q889" s="95">
        <v>0.24039650918617933</v>
      </c>
      <c r="R889" s="96">
        <v>1.3290857261311234E-2</v>
      </c>
    </row>
    <row r="890" spans="1:18" ht="15" hidden="1" customHeight="1" x14ac:dyDescent="0.3">
      <c r="A890" s="89">
        <v>2021</v>
      </c>
      <c r="B890" s="90">
        <v>5</v>
      </c>
      <c r="C890" s="90" t="s">
        <v>726</v>
      </c>
      <c r="D890" s="90" t="s">
        <v>722</v>
      </c>
      <c r="E890" s="91" t="s">
        <v>11</v>
      </c>
      <c r="F890" s="92" t="s">
        <v>46</v>
      </c>
      <c r="G890" s="93">
        <v>3472.0142300000002</v>
      </c>
      <c r="H890" s="93">
        <v>32524.0147</v>
      </c>
      <c r="I890" s="93">
        <v>2397.5457928860201</v>
      </c>
      <c r="J890" s="93">
        <v>35273.660199999998</v>
      </c>
      <c r="K890" s="93">
        <v>17087.919099999999</v>
      </c>
      <c r="L890" s="93">
        <v>2326.0554699999998</v>
      </c>
      <c r="M890" s="93">
        <v>149075.003</v>
      </c>
      <c r="N890" s="95">
        <v>2.36595511479918E-2</v>
      </c>
      <c r="O890" s="95">
        <v>0.22163030977343867</v>
      </c>
      <c r="P890" s="95">
        <v>0.39789954396819788</v>
      </c>
      <c r="Q890" s="95">
        <v>0.24036738112066511</v>
      </c>
      <c r="R890" s="96">
        <v>0.11644321398970649</v>
      </c>
    </row>
    <row r="891" spans="1:18" ht="15" hidden="1" customHeight="1" x14ac:dyDescent="0.3">
      <c r="A891" s="89">
        <v>2021</v>
      </c>
      <c r="B891" s="90">
        <v>5</v>
      </c>
      <c r="C891" s="90" t="s">
        <v>726</v>
      </c>
      <c r="D891" s="90" t="s">
        <v>722</v>
      </c>
      <c r="E891" s="91" t="s">
        <v>11</v>
      </c>
      <c r="F891" s="92" t="s">
        <v>47</v>
      </c>
      <c r="G891" s="93">
        <v>35435.570800000001</v>
      </c>
      <c r="H891" s="93">
        <v>273523.01</v>
      </c>
      <c r="I891" s="93">
        <v>2397.5457928860201</v>
      </c>
      <c r="J891" s="93">
        <v>217764.038</v>
      </c>
      <c r="K891" s="93">
        <v>39656.241099999999</v>
      </c>
      <c r="L891" s="93">
        <v>443045.13199999998</v>
      </c>
      <c r="M891" s="93">
        <v>1461770.3588999999</v>
      </c>
      <c r="N891" s="95">
        <v>3.4784228233781071E-2</v>
      </c>
      <c r="O891" s="95">
        <v>0.26849537321494993</v>
      </c>
      <c r="P891" s="95">
        <v>0.44403177133101784</v>
      </c>
      <c r="Q891" s="95">
        <v>0.21376130898678153</v>
      </c>
      <c r="R891" s="96">
        <v>3.8927318233469774E-2</v>
      </c>
    </row>
    <row r="892" spans="1:18" ht="15" hidden="1" customHeight="1" x14ac:dyDescent="0.3">
      <c r="A892" s="89">
        <v>2021</v>
      </c>
      <c r="B892" s="90">
        <v>5</v>
      </c>
      <c r="C892" s="90" t="s">
        <v>726</v>
      </c>
      <c r="D892" s="90" t="s">
        <v>722</v>
      </c>
      <c r="E892" s="91" t="s">
        <v>11</v>
      </c>
      <c r="F892" s="92" t="s">
        <v>48</v>
      </c>
      <c r="G892" s="93">
        <v>7577.8736600000002</v>
      </c>
      <c r="H892" s="93">
        <v>35491.149799999999</v>
      </c>
      <c r="I892" s="93">
        <v>2397.5457928860201</v>
      </c>
      <c r="J892" s="93">
        <v>7921.7518300000002</v>
      </c>
      <c r="K892" s="93">
        <v>70.679276599999994</v>
      </c>
      <c r="L892" s="93">
        <v>13436.740390000001</v>
      </c>
      <c r="M892" s="93">
        <v>110314.3978566</v>
      </c>
      <c r="N892" s="95">
        <v>7.8221066220687516E-2</v>
      </c>
      <c r="O892" s="95">
        <v>0.36635020631290655</v>
      </c>
      <c r="P892" s="95">
        <v>0.47292847595737758</v>
      </c>
      <c r="Q892" s="95">
        <v>8.1770678989953299E-2</v>
      </c>
      <c r="R892" s="96">
        <v>7.2957251907507898E-4</v>
      </c>
    </row>
    <row r="893" spans="1:18" ht="15" hidden="1" customHeight="1" x14ac:dyDescent="0.3">
      <c r="A893" s="89">
        <v>2021</v>
      </c>
      <c r="B893" s="90">
        <v>6</v>
      </c>
      <c r="C893" s="90" t="s">
        <v>727</v>
      </c>
      <c r="D893" s="90" t="s">
        <v>719</v>
      </c>
      <c r="E893" s="91" t="s">
        <v>11</v>
      </c>
      <c r="F893" s="92" t="s">
        <v>12</v>
      </c>
      <c r="G893" s="93">
        <v>8336.1639113051606</v>
      </c>
      <c r="H893" s="93">
        <v>44901.046180420803</v>
      </c>
      <c r="I893" s="93">
        <v>2397.5457928860201</v>
      </c>
      <c r="J893" s="93">
        <v>129562.993510221</v>
      </c>
      <c r="K893" s="93">
        <v>11172.939671735699</v>
      </c>
      <c r="L893" s="93">
        <v>57489.696217374723</v>
      </c>
      <c r="M893" s="93">
        <v>433311.47680229036</v>
      </c>
      <c r="N893" s="95">
        <v>2.2181162300734809E-2</v>
      </c>
      <c r="O893" s="95">
        <v>0.11947430537564484</v>
      </c>
      <c r="P893" s="95">
        <v>0.48386934101639945</v>
      </c>
      <c r="Q893" s="95">
        <v>0.34474583487038396</v>
      </c>
      <c r="R893" s="96">
        <v>2.9729356436836985E-2</v>
      </c>
    </row>
    <row r="894" spans="1:18" ht="15" hidden="1" customHeight="1" x14ac:dyDescent="0.3">
      <c r="A894" s="89">
        <v>2021</v>
      </c>
      <c r="B894" s="90">
        <v>6</v>
      </c>
      <c r="C894" s="90" t="s">
        <v>727</v>
      </c>
      <c r="D894" s="90" t="s">
        <v>719</v>
      </c>
      <c r="E894" s="91" t="s">
        <v>11</v>
      </c>
      <c r="F894" s="92" t="s">
        <v>26</v>
      </c>
      <c r="G894" s="93">
        <v>27490.692662330101</v>
      </c>
      <c r="H894" s="93">
        <v>96657.540548296703</v>
      </c>
      <c r="I894" s="93">
        <v>2397.5457928860201</v>
      </c>
      <c r="J894" s="93">
        <v>449298.62529220799</v>
      </c>
      <c r="K894" s="93">
        <v>42634.152332363301</v>
      </c>
      <c r="L894" s="93">
        <v>273909.86647324322</v>
      </c>
      <c r="M894" s="93">
        <v>1302393.3163907153</v>
      </c>
      <c r="N894" s="95">
        <v>2.6729348600151047E-2</v>
      </c>
      <c r="O894" s="95">
        <v>9.3980647482516833E-2</v>
      </c>
      <c r="P894" s="95">
        <v>0.40098111361477534</v>
      </c>
      <c r="Q894" s="95">
        <v>0.43685547426967419</v>
      </c>
      <c r="R894" s="96">
        <v>4.1453416032882558E-2</v>
      </c>
    </row>
    <row r="895" spans="1:18" ht="15" hidden="1" customHeight="1" x14ac:dyDescent="0.3">
      <c r="A895" s="89">
        <v>2021</v>
      </c>
      <c r="B895" s="90">
        <v>6</v>
      </c>
      <c r="C895" s="90" t="s">
        <v>727</v>
      </c>
      <c r="D895" s="90" t="s">
        <v>719</v>
      </c>
      <c r="E895" s="91" t="s">
        <v>11</v>
      </c>
      <c r="F895" s="92" t="s">
        <v>27</v>
      </c>
      <c r="G895" s="93">
        <v>1429.4193190517699</v>
      </c>
      <c r="H895" s="93">
        <v>30770.415622364701</v>
      </c>
      <c r="I895" s="93">
        <v>2397.5457928860201</v>
      </c>
      <c r="J895" s="93">
        <v>61510.587415365102</v>
      </c>
      <c r="K895" s="93">
        <v>5180.9551881970001</v>
      </c>
      <c r="L895" s="93">
        <v>8276.3284741145508</v>
      </c>
      <c r="M895" s="93">
        <v>226689.61699930014</v>
      </c>
      <c r="N895" s="95">
        <v>6.5445620488743354E-3</v>
      </c>
      <c r="O895" s="95">
        <v>0.14088160949427084</v>
      </c>
      <c r="P895" s="95">
        <v>0.54722820111938719</v>
      </c>
      <c r="Q895" s="95">
        <v>0.28162474834159285</v>
      </c>
      <c r="R895" s="96">
        <v>2.3720878995874724E-2</v>
      </c>
    </row>
    <row r="896" spans="1:18" ht="15" hidden="1" customHeight="1" x14ac:dyDescent="0.3">
      <c r="A896" s="89">
        <v>2021</v>
      </c>
      <c r="B896" s="90">
        <v>6</v>
      </c>
      <c r="C896" s="90" t="s">
        <v>727</v>
      </c>
      <c r="D896" s="90" t="s">
        <v>719</v>
      </c>
      <c r="E896" s="91" t="s">
        <v>11</v>
      </c>
      <c r="F896" s="92" t="s">
        <v>28</v>
      </c>
      <c r="G896" s="93">
        <v>5034.7910423713101</v>
      </c>
      <c r="H896" s="93">
        <v>25225.102471683502</v>
      </c>
      <c r="I896" s="93">
        <v>2397.5457928860201</v>
      </c>
      <c r="J896" s="93">
        <v>177091.21009856899</v>
      </c>
      <c r="K896" s="93">
        <v>6945.1372593872102</v>
      </c>
      <c r="L896" s="93">
        <v>3414.431668175549</v>
      </c>
      <c r="M896" s="93">
        <v>373104.58101493458</v>
      </c>
      <c r="N896" s="95">
        <v>1.3618948330832633E-2</v>
      </c>
      <c r="O896" s="95">
        <v>6.8233093351976387E-2</v>
      </c>
      <c r="P896" s="95">
        <v>0.42033553977385762</v>
      </c>
      <c r="Q896" s="95">
        <v>0.47902604495004381</v>
      </c>
      <c r="R896" s="96">
        <v>1.8786373593289513E-2</v>
      </c>
    </row>
    <row r="897" spans="1:18" ht="15" customHeight="1" x14ac:dyDescent="0.3">
      <c r="A897" s="89">
        <v>2021</v>
      </c>
      <c r="B897" s="90">
        <v>6</v>
      </c>
      <c r="C897" s="90" t="s">
        <v>727</v>
      </c>
      <c r="D897" s="90" t="s">
        <v>719</v>
      </c>
      <c r="E897" s="91" t="s">
        <v>11</v>
      </c>
      <c r="F897" s="92" t="s">
        <v>29</v>
      </c>
      <c r="G897" s="93">
        <v>10120.141312691399</v>
      </c>
      <c r="H897" s="93">
        <v>38506.3244279789</v>
      </c>
      <c r="I897" s="93">
        <v>2397.5457928860201</v>
      </c>
      <c r="J897" s="93">
        <v>98785.639604510798</v>
      </c>
      <c r="K897" s="93">
        <v>18013.7623518521</v>
      </c>
      <c r="L897" s="93">
        <v>93912.026309348003</v>
      </c>
      <c r="M897" s="93">
        <v>354392.0548697575</v>
      </c>
      <c r="N897" s="95">
        <v>3.8851889600220832E-2</v>
      </c>
      <c r="O897" s="95">
        <v>0.14782831774394045</v>
      </c>
      <c r="P897" s="95">
        <v>0.36491918934710849</v>
      </c>
      <c r="Q897" s="95">
        <v>0.37924458220642748</v>
      </c>
      <c r="R897" s="96">
        <v>6.9156021102302734E-2</v>
      </c>
    </row>
    <row r="898" spans="1:18" ht="15" hidden="1" customHeight="1" x14ac:dyDescent="0.3">
      <c r="A898" s="89">
        <v>2021</v>
      </c>
      <c r="B898" s="90">
        <v>6</v>
      </c>
      <c r="C898" s="90" t="s">
        <v>727</v>
      </c>
      <c r="D898" s="90" t="s">
        <v>719</v>
      </c>
      <c r="E898" s="91" t="s">
        <v>11</v>
      </c>
      <c r="F898" s="92" t="s">
        <v>30</v>
      </c>
      <c r="G898" s="93">
        <v>288.28184990042803</v>
      </c>
      <c r="H898" s="93">
        <v>3333.3389783869502</v>
      </c>
      <c r="I898" s="93">
        <v>2397.5457928860201</v>
      </c>
      <c r="J898" s="93">
        <v>2527.7731369040998</v>
      </c>
      <c r="K898" s="93">
        <v>414.25109121017101</v>
      </c>
      <c r="L898" s="93">
        <v>216351.26211248277</v>
      </c>
      <c r="M898" s="93">
        <v>230086.50016211663</v>
      </c>
      <c r="N898" s="95">
        <v>2.0988485882711919E-2</v>
      </c>
      <c r="O898" s="95">
        <v>0.24268519892713508</v>
      </c>
      <c r="P898" s="95">
        <v>0.5221309574189279</v>
      </c>
      <c r="Q898" s="95">
        <v>0.18403562630437856</v>
      </c>
      <c r="R898" s="96">
        <v>3.0159731466846577E-2</v>
      </c>
    </row>
    <row r="899" spans="1:18" ht="15" hidden="1" customHeight="1" x14ac:dyDescent="0.3">
      <c r="A899" s="89">
        <v>2021</v>
      </c>
      <c r="B899" s="90">
        <v>6</v>
      </c>
      <c r="C899" s="90" t="s">
        <v>727</v>
      </c>
      <c r="D899" s="90" t="s">
        <v>719</v>
      </c>
      <c r="E899" s="91" t="s">
        <v>11</v>
      </c>
      <c r="F899" s="92" t="s">
        <v>31</v>
      </c>
      <c r="G899" s="93">
        <v>1361.9915211887201</v>
      </c>
      <c r="H899" s="93">
        <v>41290.423786466599</v>
      </c>
      <c r="I899" s="93">
        <v>2397.5457928860201</v>
      </c>
      <c r="J899" s="93">
        <v>59805.942476875098</v>
      </c>
      <c r="K899" s="93">
        <v>41944.355221201498</v>
      </c>
      <c r="L899" s="93">
        <v>45006.173779885488</v>
      </c>
      <c r="M899" s="93">
        <v>251948.68865991829</v>
      </c>
      <c r="N899" s="95">
        <v>6.5814969049655348E-3</v>
      </c>
      <c r="O899" s="95">
        <v>0.19952605587306785</v>
      </c>
      <c r="P899" s="95">
        <v>0.30220857183723709</v>
      </c>
      <c r="Q899" s="95">
        <v>0.28899785291362368</v>
      </c>
      <c r="R899" s="96">
        <v>0.20268602247110593</v>
      </c>
    </row>
    <row r="900" spans="1:18" ht="15" hidden="1" customHeight="1" x14ac:dyDescent="0.3">
      <c r="A900" s="89">
        <v>2021</v>
      </c>
      <c r="B900" s="90">
        <v>6</v>
      </c>
      <c r="C900" s="90" t="s">
        <v>727</v>
      </c>
      <c r="D900" s="90" t="s">
        <v>719</v>
      </c>
      <c r="E900" s="91" t="s">
        <v>11</v>
      </c>
      <c r="F900" s="92" t="s">
        <v>32</v>
      </c>
      <c r="G900" s="93">
        <v>15282.7700723253</v>
      </c>
      <c r="H900" s="93">
        <v>88086.714433449597</v>
      </c>
      <c r="I900" s="93">
        <v>2397.5457928860201</v>
      </c>
      <c r="J900" s="93">
        <v>177547.183268672</v>
      </c>
      <c r="K900" s="93">
        <v>49613.2296762892</v>
      </c>
      <c r="L900" s="93">
        <v>77695.596027309701</v>
      </c>
      <c r="M900" s="93">
        <v>609521.81280337379</v>
      </c>
      <c r="N900" s="95">
        <v>2.8736398451677705E-2</v>
      </c>
      <c r="O900" s="95">
        <v>0.16563063582580068</v>
      </c>
      <c r="P900" s="95">
        <v>0.37850018102828459</v>
      </c>
      <c r="Q900" s="95">
        <v>0.33384436056004313</v>
      </c>
      <c r="R900" s="96">
        <v>9.3288424134193873E-2</v>
      </c>
    </row>
    <row r="901" spans="1:18" ht="15" hidden="1" customHeight="1" x14ac:dyDescent="0.3">
      <c r="A901" s="89">
        <v>2021</v>
      </c>
      <c r="B901" s="90">
        <v>6</v>
      </c>
      <c r="C901" s="90" t="s">
        <v>727</v>
      </c>
      <c r="D901" s="90" t="s">
        <v>719</v>
      </c>
      <c r="E901" s="91" t="s">
        <v>11</v>
      </c>
      <c r="F901" s="92" t="s">
        <v>33</v>
      </c>
      <c r="G901" s="93">
        <v>28574.039241727802</v>
      </c>
      <c r="H901" s="93">
        <v>119820.057171533</v>
      </c>
      <c r="I901" s="93">
        <v>2397.5457928860201</v>
      </c>
      <c r="J901" s="93">
        <v>421959.21867196303</v>
      </c>
      <c r="K901" s="93">
        <v>8270.6414200183408</v>
      </c>
      <c r="L901" s="93">
        <v>88498.222880916597</v>
      </c>
      <c r="M901" s="93">
        <v>1352056.7882565858</v>
      </c>
      <c r="N901" s="95">
        <v>2.2613941312037596E-2</v>
      </c>
      <c r="O901" s="95">
        <v>9.4827466217135128E-2</v>
      </c>
      <c r="P901" s="95">
        <v>0.54206795604031921</v>
      </c>
      <c r="Q901" s="95">
        <v>0.33394512152787326</v>
      </c>
      <c r="R901" s="96">
        <v>6.5455149026348398E-3</v>
      </c>
    </row>
    <row r="902" spans="1:18" ht="15" hidden="1" customHeight="1" x14ac:dyDescent="0.3">
      <c r="A902" s="89">
        <v>2021</v>
      </c>
      <c r="B902" s="90">
        <v>6</v>
      </c>
      <c r="C902" s="90" t="s">
        <v>727</v>
      </c>
      <c r="D902" s="90" t="s">
        <v>719</v>
      </c>
      <c r="E902" s="91" t="s">
        <v>11</v>
      </c>
      <c r="F902" s="92" t="s">
        <v>34</v>
      </c>
      <c r="G902" s="93">
        <v>12796.716476015599</v>
      </c>
      <c r="H902" s="93">
        <v>39922.792727078297</v>
      </c>
      <c r="I902" s="93">
        <v>2397.5457928860201</v>
      </c>
      <c r="J902" s="93">
        <v>355450.64678952098</v>
      </c>
      <c r="K902" s="93">
        <v>45320.575309743697</v>
      </c>
      <c r="L902" s="93">
        <v>52761.362211598702</v>
      </c>
      <c r="M902" s="93">
        <v>713628.83042003715</v>
      </c>
      <c r="N902" s="95">
        <v>1.9363514004867761E-2</v>
      </c>
      <c r="O902" s="95">
        <v>6.040968068122033E-2</v>
      </c>
      <c r="P902" s="95">
        <v>0.31379474233807059</v>
      </c>
      <c r="Q902" s="95">
        <v>0.53785465904853913</v>
      </c>
      <c r="R902" s="96">
        <v>6.85774039273023E-2</v>
      </c>
    </row>
    <row r="903" spans="1:18" ht="15" hidden="1" customHeight="1" x14ac:dyDescent="0.3">
      <c r="A903" s="89">
        <v>2021</v>
      </c>
      <c r="B903" s="90">
        <v>6</v>
      </c>
      <c r="C903" s="90" t="s">
        <v>727</v>
      </c>
      <c r="D903" s="90" t="s">
        <v>719</v>
      </c>
      <c r="E903" s="91" t="s">
        <v>11</v>
      </c>
      <c r="F903" s="92" t="s">
        <v>35</v>
      </c>
      <c r="G903" s="93">
        <v>12869.331069031899</v>
      </c>
      <c r="H903" s="93">
        <v>69077.042544230993</v>
      </c>
      <c r="I903" s="93">
        <v>2397.5457928860201</v>
      </c>
      <c r="J903" s="93">
        <v>132772.152266094</v>
      </c>
      <c r="K903" s="93">
        <v>17975.084288937102</v>
      </c>
      <c r="L903" s="93">
        <v>248482.36249792908</v>
      </c>
      <c r="M903" s="93">
        <v>605861.196294914</v>
      </c>
      <c r="N903" s="95">
        <v>3.6010333718707412E-2</v>
      </c>
      <c r="O903" s="95">
        <v>0.19328800704372817</v>
      </c>
      <c r="P903" s="95">
        <v>0.34888810370767659</v>
      </c>
      <c r="Q903" s="95">
        <v>0.37151655249263427</v>
      </c>
      <c r="R903" s="96">
        <v>5.0297003037253596E-2</v>
      </c>
    </row>
    <row r="904" spans="1:18" ht="15" hidden="1" customHeight="1" x14ac:dyDescent="0.3">
      <c r="A904" s="89">
        <v>2021</v>
      </c>
      <c r="B904" s="90">
        <v>6</v>
      </c>
      <c r="C904" s="90" t="s">
        <v>727</v>
      </c>
      <c r="D904" s="90" t="s">
        <v>719</v>
      </c>
      <c r="E904" s="91" t="s">
        <v>11</v>
      </c>
      <c r="F904" s="92" t="s">
        <v>36</v>
      </c>
      <c r="G904" s="93">
        <v>3888.6348376531801</v>
      </c>
      <c r="H904" s="93">
        <v>40563.2427664278</v>
      </c>
      <c r="I904" s="93">
        <v>2397.5457928860201</v>
      </c>
      <c r="J904" s="93">
        <v>67492.573261410405</v>
      </c>
      <c r="K904" s="93">
        <v>3216.3209165594399</v>
      </c>
      <c r="L904" s="93">
        <v>35337.111914744397</v>
      </c>
      <c r="M904" s="93">
        <v>258886.87145458523</v>
      </c>
      <c r="N904" s="95">
        <v>1.7394940820592345E-2</v>
      </c>
      <c r="O904" s="95">
        <v>0.18145062132888878</v>
      </c>
      <c r="P904" s="95">
        <v>0.48485396710289469</v>
      </c>
      <c r="Q904" s="95">
        <v>0.3019129763339421</v>
      </c>
      <c r="R904" s="96">
        <v>1.4387494413682114E-2</v>
      </c>
    </row>
    <row r="905" spans="1:18" ht="15" hidden="1" customHeight="1" x14ac:dyDescent="0.3">
      <c r="A905" s="89">
        <v>2021</v>
      </c>
      <c r="B905" s="90">
        <v>6</v>
      </c>
      <c r="C905" s="90" t="s">
        <v>727</v>
      </c>
      <c r="D905" s="90" t="s">
        <v>719</v>
      </c>
      <c r="E905" s="91" t="s">
        <v>11</v>
      </c>
      <c r="F905" s="92" t="s">
        <v>37</v>
      </c>
      <c r="G905" s="93">
        <v>9199.3346813066491</v>
      </c>
      <c r="H905" s="93">
        <v>47109.254609553202</v>
      </c>
      <c r="I905" s="93">
        <v>2397.5457928860201</v>
      </c>
      <c r="J905" s="93">
        <v>142441.015826235</v>
      </c>
      <c r="K905" s="93">
        <v>44047.148174595197</v>
      </c>
      <c r="L905" s="93">
        <v>163906.54740566851</v>
      </c>
      <c r="M905" s="93">
        <v>524073.85777631053</v>
      </c>
      <c r="N905" s="95">
        <v>2.5541836853099662E-2</v>
      </c>
      <c r="O905" s="95">
        <v>0.13079825195982908</v>
      </c>
      <c r="P905" s="95">
        <v>0.32587787314225702</v>
      </c>
      <c r="Q905" s="95">
        <v>0.39548568602645079</v>
      </c>
      <c r="R905" s="96">
        <v>0.12229635201836343</v>
      </c>
    </row>
    <row r="906" spans="1:18" ht="15" hidden="1" customHeight="1" x14ac:dyDescent="0.3">
      <c r="A906" s="89">
        <v>2021</v>
      </c>
      <c r="B906" s="90">
        <v>6</v>
      </c>
      <c r="C906" s="90" t="s">
        <v>727</v>
      </c>
      <c r="D906" s="90" t="s">
        <v>719</v>
      </c>
      <c r="E906" s="91" t="s">
        <v>11</v>
      </c>
      <c r="F906" s="92" t="s">
        <v>720</v>
      </c>
      <c r="G906" s="93">
        <v>26026.726307552199</v>
      </c>
      <c r="H906" s="93">
        <v>62321.343541297501</v>
      </c>
      <c r="I906" s="93">
        <v>2397.5457928860201</v>
      </c>
      <c r="J906" s="93">
        <v>415306.36813076399</v>
      </c>
      <c r="K906" s="93">
        <v>89993.456434203603</v>
      </c>
      <c r="L906" s="93">
        <v>183344.64032351889</v>
      </c>
      <c r="M906" s="93">
        <v>927958.42268836719</v>
      </c>
      <c r="N906" s="95">
        <v>3.4953323352265774E-2</v>
      </c>
      <c r="O906" s="95">
        <v>8.3696199314722178E-2</v>
      </c>
      <c r="P906" s="95">
        <v>0.20274388082311945</v>
      </c>
      <c r="Q906" s="95">
        <v>0.55774735569864975</v>
      </c>
      <c r="R906" s="96">
        <v>0.12085924081124289</v>
      </c>
    </row>
    <row r="907" spans="1:18" ht="15" hidden="1" customHeight="1" x14ac:dyDescent="0.3">
      <c r="A907" s="89">
        <v>2021</v>
      </c>
      <c r="B907" s="90">
        <v>6</v>
      </c>
      <c r="C907" s="90" t="s">
        <v>727</v>
      </c>
      <c r="D907" s="90" t="s">
        <v>719</v>
      </c>
      <c r="E907" s="91" t="s">
        <v>11</v>
      </c>
      <c r="F907" s="92" t="s">
        <v>39</v>
      </c>
      <c r="G907" s="93">
        <v>3068.5172120051998</v>
      </c>
      <c r="H907" s="93">
        <v>47808.097249917897</v>
      </c>
      <c r="I907" s="93">
        <v>2397.5457928860201</v>
      </c>
      <c r="J907" s="93">
        <v>85491.668248153204</v>
      </c>
      <c r="K907" s="93">
        <v>8488.0631504855592</v>
      </c>
      <c r="L907" s="93">
        <v>42316.860979431345</v>
      </c>
      <c r="M907" s="93">
        <v>331195.16650096921</v>
      </c>
      <c r="N907" s="95">
        <v>1.062217948995973E-2</v>
      </c>
      <c r="O907" s="95">
        <v>0.16549563029181324</v>
      </c>
      <c r="P907" s="95">
        <v>0.49855581713192432</v>
      </c>
      <c r="Q907" s="95">
        <v>0.29594353959466579</v>
      </c>
      <c r="R907" s="96">
        <v>2.9382833491636902E-2</v>
      </c>
    </row>
    <row r="908" spans="1:18" ht="15" hidden="1" customHeight="1" x14ac:dyDescent="0.3">
      <c r="A908" s="89">
        <v>2021</v>
      </c>
      <c r="B908" s="90">
        <v>6</v>
      </c>
      <c r="C908" s="90" t="s">
        <v>727</v>
      </c>
      <c r="D908" s="90" t="s">
        <v>719</v>
      </c>
      <c r="E908" s="91" t="s">
        <v>11</v>
      </c>
      <c r="F908" s="92" t="s">
        <v>40</v>
      </c>
      <c r="G908" s="93">
        <v>7234.1042868152899</v>
      </c>
      <c r="H908" s="93">
        <v>25437.559042806399</v>
      </c>
      <c r="I908" s="93">
        <v>2397.5457928860201</v>
      </c>
      <c r="J908" s="93">
        <v>137203.05498102799</v>
      </c>
      <c r="K908" s="93">
        <v>7268.6236614966101</v>
      </c>
      <c r="L908" s="93">
        <v>8203.4073554473307</v>
      </c>
      <c r="M908" s="93">
        <v>326305.0247013527</v>
      </c>
      <c r="N908" s="95">
        <v>2.2741488544363128E-2</v>
      </c>
      <c r="O908" s="95">
        <v>7.9966770540325374E-2</v>
      </c>
      <c r="P908" s="95">
        <v>0.44312341618961421</v>
      </c>
      <c r="Q908" s="95">
        <v>0.43131831936532622</v>
      </c>
      <c r="R908" s="96">
        <v>2.2850005360370965E-2</v>
      </c>
    </row>
    <row r="909" spans="1:18" ht="15" hidden="1" customHeight="1" x14ac:dyDescent="0.3">
      <c r="A909" s="89">
        <v>2021</v>
      </c>
      <c r="B909" s="90">
        <v>6</v>
      </c>
      <c r="C909" s="90" t="s">
        <v>727</v>
      </c>
      <c r="D909" s="90" t="s">
        <v>719</v>
      </c>
      <c r="E909" s="91" t="s">
        <v>11</v>
      </c>
      <c r="F909" s="92" t="s">
        <v>41</v>
      </c>
      <c r="G909" s="93">
        <v>544.80705004135996</v>
      </c>
      <c r="H909" s="93">
        <v>2587.9724521767698</v>
      </c>
      <c r="I909" s="93">
        <v>2397.5457928860201</v>
      </c>
      <c r="J909" s="93">
        <v>3113.4298244623101</v>
      </c>
      <c r="K909" s="93">
        <v>237.309412415747</v>
      </c>
      <c r="L909" s="93">
        <v>8120.59570454811</v>
      </c>
      <c r="M909" s="93">
        <v>18714.332738962905</v>
      </c>
      <c r="N909" s="95">
        <v>5.14272771045289E-2</v>
      </c>
      <c r="O909" s="95">
        <v>0.24429268385362848</v>
      </c>
      <c r="P909" s="95">
        <v>0.38798568266950195</v>
      </c>
      <c r="Q909" s="95">
        <v>0.2938934404684605</v>
      </c>
      <c r="R909" s="96">
        <v>2.2400915903880193E-2</v>
      </c>
    </row>
    <row r="910" spans="1:18" ht="15" hidden="1" customHeight="1" x14ac:dyDescent="0.3">
      <c r="A910" s="89">
        <v>2021</v>
      </c>
      <c r="B910" s="90">
        <v>6</v>
      </c>
      <c r="C910" s="90" t="s">
        <v>727</v>
      </c>
      <c r="D910" s="90" t="s">
        <v>719</v>
      </c>
      <c r="E910" s="91" t="s">
        <v>11</v>
      </c>
      <c r="F910" s="92" t="s">
        <v>42</v>
      </c>
      <c r="G910" s="93">
        <v>2836.4760214031799</v>
      </c>
      <c r="H910" s="93">
        <v>36491.402794242102</v>
      </c>
      <c r="I910" s="93">
        <v>2397.5457928860201</v>
      </c>
      <c r="J910" s="93">
        <v>206864.34953257401</v>
      </c>
      <c r="K910" s="93">
        <v>91616.904447206005</v>
      </c>
      <c r="L910" s="93">
        <v>203587.74036425</v>
      </c>
      <c r="M910" s="93">
        <v>620824.339749999</v>
      </c>
      <c r="N910" s="95">
        <v>6.798243551929547E-3</v>
      </c>
      <c r="O910" s="95">
        <v>8.7459735909947323E-2</v>
      </c>
      <c r="P910" s="95">
        <v>0.19036553051016117</v>
      </c>
      <c r="Q910" s="95">
        <v>0.49579626963961776</v>
      </c>
      <c r="R910" s="96">
        <v>0.2195802203883441</v>
      </c>
    </row>
    <row r="911" spans="1:18" ht="15" hidden="1" customHeight="1" x14ac:dyDescent="0.3">
      <c r="A911" s="89">
        <v>2021</v>
      </c>
      <c r="B911" s="90">
        <v>6</v>
      </c>
      <c r="C911" s="90" t="s">
        <v>727</v>
      </c>
      <c r="D911" s="90" t="s">
        <v>719</v>
      </c>
      <c r="E911" s="91" t="s">
        <v>11</v>
      </c>
      <c r="F911" s="92" t="s">
        <v>43</v>
      </c>
      <c r="G911" s="93">
        <v>1775.9348100612699</v>
      </c>
      <c r="H911" s="93">
        <v>18818.978526807601</v>
      </c>
      <c r="I911" s="93">
        <v>2397.5457928860201</v>
      </c>
      <c r="J911" s="93">
        <v>17006.353573020799</v>
      </c>
      <c r="K911" s="93">
        <v>10149.4029533991</v>
      </c>
      <c r="L911" s="93">
        <v>116640.25681552324</v>
      </c>
      <c r="M911" s="93">
        <v>185575.48510012322</v>
      </c>
      <c r="N911" s="95">
        <v>2.5762369317604932E-2</v>
      </c>
      <c r="O911" s="95">
        <v>0.27299508531564165</v>
      </c>
      <c r="P911" s="95">
        <v>0.30731106501672095</v>
      </c>
      <c r="Q911" s="95">
        <v>0.24670047515922991</v>
      </c>
      <c r="R911" s="96">
        <v>0.14723100519080259</v>
      </c>
    </row>
    <row r="912" spans="1:18" ht="15" hidden="1" customHeight="1" x14ac:dyDescent="0.3">
      <c r="A912" s="89">
        <v>2021</v>
      </c>
      <c r="B912" s="90">
        <v>6</v>
      </c>
      <c r="C912" s="90" t="s">
        <v>727</v>
      </c>
      <c r="D912" s="90" t="s">
        <v>719</v>
      </c>
      <c r="E912" s="91" t="s">
        <v>11</v>
      </c>
      <c r="F912" s="92" t="s">
        <v>58</v>
      </c>
      <c r="G912" s="93">
        <v>2249.4505199356599</v>
      </c>
      <c r="H912" s="93">
        <v>53989.621732423802</v>
      </c>
      <c r="I912" s="93">
        <v>2397.5457928860201</v>
      </c>
      <c r="J912" s="93">
        <v>124473.86334876101</v>
      </c>
      <c r="K912" s="93">
        <v>8567.3647674065996</v>
      </c>
      <c r="L912" s="93">
        <v>5053.0949138403703</v>
      </c>
      <c r="M912" s="93">
        <v>371477.12559239741</v>
      </c>
      <c r="N912" s="95">
        <v>6.1389273944998839E-3</v>
      </c>
      <c r="O912" s="95">
        <v>0.14734192414303152</v>
      </c>
      <c r="P912" s="95">
        <v>0.48343917286753524</v>
      </c>
      <c r="Q912" s="95">
        <v>0.33969896329740129</v>
      </c>
      <c r="R912" s="96">
        <v>2.338101229753204E-2</v>
      </c>
    </row>
    <row r="913" spans="1:18" ht="15" hidden="1" customHeight="1" x14ac:dyDescent="0.3">
      <c r="A913" s="89">
        <v>2021</v>
      </c>
      <c r="B913" s="90">
        <v>6</v>
      </c>
      <c r="C913" s="90" t="s">
        <v>727</v>
      </c>
      <c r="D913" s="90" t="s">
        <v>719</v>
      </c>
      <c r="E913" s="91" t="s">
        <v>11</v>
      </c>
      <c r="F913" s="92" t="s">
        <v>44</v>
      </c>
      <c r="G913" s="93">
        <v>2962.7218142585698</v>
      </c>
      <c r="H913" s="93">
        <v>7910.4621073177204</v>
      </c>
      <c r="I913" s="93">
        <v>2397.5457928860201</v>
      </c>
      <c r="J913" s="93">
        <v>90369.5397014888</v>
      </c>
      <c r="K913" s="93">
        <v>26740.463347472902</v>
      </c>
      <c r="L913" s="93">
        <v>45447.237129869798</v>
      </c>
      <c r="M913" s="93">
        <v>215729.28855107818</v>
      </c>
      <c r="N913" s="95">
        <v>1.7398908396575537E-2</v>
      </c>
      <c r="O913" s="95">
        <v>4.6455055252713998E-2</v>
      </c>
      <c r="P913" s="95">
        <v>0.24840471498690286</v>
      </c>
      <c r="Q913" s="95">
        <v>0.53070502115311846</v>
      </c>
      <c r="R913" s="96">
        <v>0.15703630021068926</v>
      </c>
    </row>
    <row r="914" spans="1:18" ht="15" hidden="1" customHeight="1" x14ac:dyDescent="0.3">
      <c r="A914" s="89">
        <v>2021</v>
      </c>
      <c r="B914" s="90">
        <v>6</v>
      </c>
      <c r="C914" s="90" t="s">
        <v>727</v>
      </c>
      <c r="D914" s="90" t="s">
        <v>719</v>
      </c>
      <c r="E914" s="91" t="s">
        <v>11</v>
      </c>
      <c r="F914" s="92" t="s">
        <v>51</v>
      </c>
      <c r="G914" s="93">
        <v>1328.3296255208299</v>
      </c>
      <c r="H914" s="93">
        <v>18694.302877654602</v>
      </c>
      <c r="I914" s="93">
        <v>2397.5457928860201</v>
      </c>
      <c r="J914" s="93">
        <v>90847.375261846304</v>
      </c>
      <c r="K914" s="93">
        <v>41026.051703626697</v>
      </c>
      <c r="L914" s="93">
        <v>3573.0437293703999</v>
      </c>
      <c r="M914" s="93">
        <v>211202.40923547122</v>
      </c>
      <c r="N914" s="95">
        <v>6.3975999843904514E-3</v>
      </c>
      <c r="O914" s="95">
        <v>9.0036892575801386E-2</v>
      </c>
      <c r="P914" s="95">
        <v>0.2684268956927231</v>
      </c>
      <c r="Q914" s="95">
        <v>0.43754588875424233</v>
      </c>
      <c r="R914" s="96">
        <v>0.19759272299284283</v>
      </c>
    </row>
    <row r="915" spans="1:18" ht="15" hidden="1" customHeight="1" x14ac:dyDescent="0.3">
      <c r="A915" s="89">
        <v>2021</v>
      </c>
      <c r="B915" s="90">
        <v>6</v>
      </c>
      <c r="C915" s="90" t="s">
        <v>727</v>
      </c>
      <c r="D915" s="90" t="s">
        <v>719</v>
      </c>
      <c r="E915" s="91" t="s">
        <v>11</v>
      </c>
      <c r="F915" s="92" t="s">
        <v>45</v>
      </c>
      <c r="G915" s="93">
        <v>3979.1351848468198</v>
      </c>
      <c r="H915" s="93">
        <v>17228.224182777099</v>
      </c>
      <c r="I915" s="93">
        <v>2397.5457928860201</v>
      </c>
      <c r="J915" s="93">
        <v>26001.489237795598</v>
      </c>
      <c r="K915" s="93">
        <v>4030.4560009267698</v>
      </c>
      <c r="L915" s="93">
        <v>50054.526577044235</v>
      </c>
      <c r="M915" s="93">
        <v>134096.09203645872</v>
      </c>
      <c r="N915" s="95">
        <v>4.734722828037314E-2</v>
      </c>
      <c r="O915" s="95">
        <v>0.20499646917092454</v>
      </c>
      <c r="P915" s="95">
        <v>0.3903099695222732</v>
      </c>
      <c r="Q915" s="95">
        <v>0.30938844482082245</v>
      </c>
      <c r="R915" s="96">
        <v>4.7957888205606605E-2</v>
      </c>
    </row>
    <row r="916" spans="1:18" ht="15" hidden="1" customHeight="1" x14ac:dyDescent="0.3">
      <c r="A916" s="89">
        <v>2021</v>
      </c>
      <c r="B916" s="90">
        <v>6</v>
      </c>
      <c r="C916" s="90" t="s">
        <v>727</v>
      </c>
      <c r="D916" s="90" t="s">
        <v>719</v>
      </c>
      <c r="E916" s="91" t="s">
        <v>11</v>
      </c>
      <c r="F916" s="92" t="s">
        <v>721</v>
      </c>
      <c r="G916" s="93">
        <v>3103.8544227634802</v>
      </c>
      <c r="H916" s="93">
        <v>27700.576571610101</v>
      </c>
      <c r="I916" s="93">
        <v>2397.5457928860201</v>
      </c>
      <c r="J916" s="93">
        <v>118212.583194611</v>
      </c>
      <c r="K916" s="93">
        <v>10315.196387452501</v>
      </c>
      <c r="L916" s="93">
        <v>201.19688010263405</v>
      </c>
      <c r="M916" s="93">
        <v>309330.85090303066</v>
      </c>
      <c r="N916" s="95">
        <v>1.0040623351305109E-2</v>
      </c>
      <c r="O916" s="95">
        <v>8.9608279927604617E-2</v>
      </c>
      <c r="P916" s="95">
        <v>0.48457804515700259</v>
      </c>
      <c r="Q916" s="95">
        <v>0.38240454015402614</v>
      </c>
      <c r="R916" s="96">
        <v>3.3368511410061703E-2</v>
      </c>
    </row>
    <row r="917" spans="1:18" ht="15" hidden="1" customHeight="1" x14ac:dyDescent="0.3">
      <c r="A917" s="89">
        <v>2021</v>
      </c>
      <c r="B917" s="90">
        <v>6</v>
      </c>
      <c r="C917" s="90" t="s">
        <v>727</v>
      </c>
      <c r="D917" s="90" t="s">
        <v>719</v>
      </c>
      <c r="E917" s="91" t="s">
        <v>11</v>
      </c>
      <c r="F917" s="92" t="s">
        <v>46</v>
      </c>
      <c r="G917" s="93">
        <v>1764.6392995542201</v>
      </c>
      <c r="H917" s="93">
        <v>18193.1406882597</v>
      </c>
      <c r="I917" s="93">
        <v>2397.5457928860201</v>
      </c>
      <c r="J917" s="93">
        <v>43039.945431609201</v>
      </c>
      <c r="K917" s="93">
        <v>32153.840571958899</v>
      </c>
      <c r="L917" s="93">
        <v>4621.3783838847703</v>
      </c>
      <c r="M917" s="93">
        <v>149075.00300838987</v>
      </c>
      <c r="N917" s="95">
        <v>1.2215957226004191E-2</v>
      </c>
      <c r="O917" s="95">
        <v>0.12594450804229537</v>
      </c>
      <c r="P917" s="95">
        <v>0.34130025301393163</v>
      </c>
      <c r="Q917" s="95">
        <v>0.29794991675347621</v>
      </c>
      <c r="R917" s="96">
        <v>0.22258936496429263</v>
      </c>
    </row>
    <row r="918" spans="1:18" ht="15" hidden="1" customHeight="1" x14ac:dyDescent="0.3">
      <c r="A918" s="89">
        <v>2021</v>
      </c>
      <c r="B918" s="90">
        <v>6</v>
      </c>
      <c r="C918" s="90" t="s">
        <v>727</v>
      </c>
      <c r="D918" s="90" t="s">
        <v>719</v>
      </c>
      <c r="E918" s="91" t="s">
        <v>11</v>
      </c>
      <c r="F918" s="92" t="s">
        <v>47</v>
      </c>
      <c r="G918" s="93">
        <v>20716.047794969301</v>
      </c>
      <c r="H918" s="93">
        <v>201358.72222125501</v>
      </c>
      <c r="I918" s="93">
        <v>2397.5457928860201</v>
      </c>
      <c r="J918" s="93">
        <v>248438.495077628</v>
      </c>
      <c r="K918" s="93">
        <v>30937.698294001599</v>
      </c>
      <c r="L918" s="93">
        <v>410356.80485087301</v>
      </c>
      <c r="M918" s="93">
        <v>1461770.3581409839</v>
      </c>
      <c r="N918" s="95">
        <v>1.9703044278004695E-2</v>
      </c>
      <c r="O918" s="95">
        <v>0.19151238976438723</v>
      </c>
      <c r="P918" s="95">
        <v>0.52306971712633876</v>
      </c>
      <c r="Q918" s="95">
        <v>0.23628998722739283</v>
      </c>
      <c r="R918" s="96">
        <v>2.9424861603876556E-2</v>
      </c>
    </row>
    <row r="919" spans="1:18" ht="15" hidden="1" customHeight="1" x14ac:dyDescent="0.3">
      <c r="A919" s="89">
        <v>2021</v>
      </c>
      <c r="B919" s="90">
        <v>6</v>
      </c>
      <c r="C919" s="90" t="s">
        <v>727</v>
      </c>
      <c r="D919" s="90" t="s">
        <v>719</v>
      </c>
      <c r="E919" s="91" t="s">
        <v>11</v>
      </c>
      <c r="F919" s="92" t="s">
        <v>48</v>
      </c>
      <c r="G919" s="93">
        <v>1115.7108555468701</v>
      </c>
      <c r="H919" s="93">
        <v>11255.477937584201</v>
      </c>
      <c r="I919" s="93">
        <v>2397.5457928860201</v>
      </c>
      <c r="J919" s="93">
        <v>35290.286320997002</v>
      </c>
      <c r="K919" s="93">
        <v>553.61794548713203</v>
      </c>
      <c r="L919" s="93">
        <v>9023.6609369408816</v>
      </c>
      <c r="M919" s="93">
        <v>110314.39779994448</v>
      </c>
      <c r="N919" s="95">
        <v>1.1014934732441296E-2</v>
      </c>
      <c r="O919" s="95">
        <v>0.11112050604200176</v>
      </c>
      <c r="P919" s="95">
        <v>0.52399306636670606</v>
      </c>
      <c r="Q919" s="95">
        <v>0.34840586033772619</v>
      </c>
      <c r="R919" s="96">
        <v>5.4656325211248497E-3</v>
      </c>
    </row>
    <row r="920" spans="1:18" ht="15" hidden="1" customHeight="1" x14ac:dyDescent="0.3">
      <c r="A920" s="89">
        <v>2021</v>
      </c>
      <c r="B920" s="90">
        <v>6</v>
      </c>
      <c r="C920" s="90" t="s">
        <v>727</v>
      </c>
      <c r="D920" s="90" t="s">
        <v>722</v>
      </c>
      <c r="E920" s="91" t="s">
        <v>11</v>
      </c>
      <c r="F920" s="92" t="s">
        <v>12</v>
      </c>
      <c r="G920" s="93">
        <v>8921.2523150459801</v>
      </c>
      <c r="H920" s="93">
        <v>54127.673929120399</v>
      </c>
      <c r="I920" s="93">
        <v>2397.5457928860201</v>
      </c>
      <c r="J920" s="93">
        <v>112111.729383137</v>
      </c>
      <c r="K920" s="93">
        <v>7659.3259313419303</v>
      </c>
      <c r="L920" s="93">
        <v>81331.838171651907</v>
      </c>
      <c r="M920" s="93">
        <v>433311.47680228623</v>
      </c>
      <c r="N920" s="95">
        <v>2.5345932934512438E-2</v>
      </c>
      <c r="O920" s="95">
        <v>0.15378069634852293</v>
      </c>
      <c r="P920" s="95">
        <v>0.48059500751264855</v>
      </c>
      <c r="Q920" s="95">
        <v>0.31851765579197749</v>
      </c>
      <c r="R920" s="96">
        <v>2.1760707412338671E-2</v>
      </c>
    </row>
    <row r="921" spans="1:18" ht="15" hidden="1" customHeight="1" x14ac:dyDescent="0.3">
      <c r="A921" s="89">
        <v>2021</v>
      </c>
      <c r="B921" s="90">
        <v>6</v>
      </c>
      <c r="C921" s="90" t="s">
        <v>727</v>
      </c>
      <c r="D921" s="90" t="s">
        <v>722</v>
      </c>
      <c r="E921" s="91" t="s">
        <v>11</v>
      </c>
      <c r="F921" s="92" t="s">
        <v>26</v>
      </c>
      <c r="G921" s="93">
        <v>52932.818081782701</v>
      </c>
      <c r="H921" s="93">
        <v>177682.57689943901</v>
      </c>
      <c r="I921" s="93">
        <v>2397.5457928860201</v>
      </c>
      <c r="J921" s="93">
        <v>369053.94517118699</v>
      </c>
      <c r="K921" s="93">
        <v>18798.204865451899</v>
      </c>
      <c r="L921" s="93">
        <v>272298.08381385257</v>
      </c>
      <c r="M921" s="93">
        <v>1302393.3163907393</v>
      </c>
      <c r="N921" s="95">
        <v>5.1386334396836243E-2</v>
      </c>
      <c r="O921" s="95">
        <v>0.17249140786230824</v>
      </c>
      <c r="P921" s="95">
        <v>0.39960158492268527</v>
      </c>
      <c r="Q921" s="95">
        <v>0.35827167576337721</v>
      </c>
      <c r="R921" s="96">
        <v>1.8248997054792986E-2</v>
      </c>
    </row>
    <row r="922" spans="1:18" ht="15" hidden="1" customHeight="1" x14ac:dyDescent="0.3">
      <c r="A922" s="89">
        <v>2021</v>
      </c>
      <c r="B922" s="90">
        <v>6</v>
      </c>
      <c r="C922" s="90" t="s">
        <v>727</v>
      </c>
      <c r="D922" s="90" t="s">
        <v>722</v>
      </c>
      <c r="E922" s="91" t="s">
        <v>11</v>
      </c>
      <c r="F922" s="92" t="s">
        <v>27</v>
      </c>
      <c r="G922" s="93">
        <v>1920.5977372150701</v>
      </c>
      <c r="H922" s="93">
        <v>42178.374012471497</v>
      </c>
      <c r="I922" s="93">
        <v>2397.5457928860201</v>
      </c>
      <c r="J922" s="93">
        <v>39830.284995440998</v>
      </c>
      <c r="K922" s="93">
        <v>2099.8585535983502</v>
      </c>
      <c r="L922" s="93">
        <v>30760.24609805939</v>
      </c>
      <c r="M922" s="93">
        <v>226689.6169993013</v>
      </c>
      <c r="N922" s="95">
        <v>9.8025004029801445E-3</v>
      </c>
      <c r="O922" s="95">
        <v>0.21527336008102368</v>
      </c>
      <c r="P922" s="95">
        <v>0.56091771793577161</v>
      </c>
      <c r="Q922" s="95">
        <v>0.20328899547948545</v>
      </c>
      <c r="R922" s="96">
        <v>1.0717426100739039E-2</v>
      </c>
    </row>
    <row r="923" spans="1:18" ht="15" hidden="1" customHeight="1" x14ac:dyDescent="0.3">
      <c r="A923" s="89">
        <v>2021</v>
      </c>
      <c r="B923" s="90">
        <v>6</v>
      </c>
      <c r="C923" s="90" t="s">
        <v>727</v>
      </c>
      <c r="D923" s="90" t="s">
        <v>722</v>
      </c>
      <c r="E923" s="91" t="s">
        <v>11</v>
      </c>
      <c r="F923" s="92" t="s">
        <v>28</v>
      </c>
      <c r="G923" s="93">
        <v>6042.4706232169201</v>
      </c>
      <c r="H923" s="93">
        <v>32202.976736658798</v>
      </c>
      <c r="I923" s="93">
        <v>2397.5457928860201</v>
      </c>
      <c r="J923" s="93">
        <v>137256.613296297</v>
      </c>
      <c r="K923" s="93">
        <v>3963.4575746109199</v>
      </c>
      <c r="L923" s="93">
        <v>3887.5187908578419</v>
      </c>
      <c r="M923" s="93">
        <v>373104.58101494954</v>
      </c>
      <c r="N923" s="95">
        <v>1.6365632148249744E-2</v>
      </c>
      <c r="O923" s="95">
        <v>8.7219633195373847E-2</v>
      </c>
      <c r="P923" s="95">
        <v>0.51392951032729006</v>
      </c>
      <c r="Q923" s="95">
        <v>0.3717504615563807</v>
      </c>
      <c r="R923" s="96">
        <v>1.0734762772705637E-2</v>
      </c>
    </row>
    <row r="924" spans="1:18" ht="15" customHeight="1" x14ac:dyDescent="0.3">
      <c r="A924" s="89">
        <v>2021</v>
      </c>
      <c r="B924" s="90">
        <v>6</v>
      </c>
      <c r="C924" s="90" t="s">
        <v>727</v>
      </c>
      <c r="D924" s="90" t="s">
        <v>722</v>
      </c>
      <c r="E924" s="91" t="s">
        <v>11</v>
      </c>
      <c r="F924" s="92" t="s">
        <v>29</v>
      </c>
      <c r="G924" s="93">
        <v>21112.603567777202</v>
      </c>
      <c r="H924" s="93">
        <v>53788.052420540102</v>
      </c>
      <c r="I924" s="93">
        <v>2397.5457928860201</v>
      </c>
      <c r="J924" s="93">
        <v>58744.517875644196</v>
      </c>
      <c r="K924" s="93">
        <v>5042.81198379749</v>
      </c>
      <c r="L924" s="93">
        <v>124985.3939778581</v>
      </c>
      <c r="M924" s="93">
        <v>354392.05486975232</v>
      </c>
      <c r="N924" s="95">
        <v>9.2031345060753583E-2</v>
      </c>
      <c r="O924" s="95">
        <v>0.23446595757691285</v>
      </c>
      <c r="P924" s="95">
        <v>0.39544917611126185</v>
      </c>
      <c r="Q924" s="95">
        <v>0.25607154407485583</v>
      </c>
      <c r="R924" s="96">
        <v>2.1981977176215771E-2</v>
      </c>
    </row>
    <row r="925" spans="1:18" ht="15" hidden="1" customHeight="1" x14ac:dyDescent="0.3">
      <c r="A925" s="89">
        <v>2021</v>
      </c>
      <c r="B925" s="90">
        <v>6</v>
      </c>
      <c r="C925" s="90" t="s">
        <v>727</v>
      </c>
      <c r="D925" s="90" t="s">
        <v>722</v>
      </c>
      <c r="E925" s="91" t="s">
        <v>11</v>
      </c>
      <c r="F925" s="92" t="s">
        <v>30</v>
      </c>
      <c r="G925" s="93">
        <v>508.75779923713202</v>
      </c>
      <c r="H925" s="93">
        <v>2796.9134697303998</v>
      </c>
      <c r="I925" s="93">
        <v>2397.5457928860201</v>
      </c>
      <c r="J925" s="93">
        <v>1749.40495740042</v>
      </c>
      <c r="K925" s="93">
        <v>121.74210445772</v>
      </c>
      <c r="L925" s="93">
        <v>219601.93999965835</v>
      </c>
      <c r="M925" s="93">
        <v>230086.50016211701</v>
      </c>
      <c r="N925" s="95">
        <v>4.8524477074279787E-2</v>
      </c>
      <c r="O925" s="95">
        <v>0.26676497882525552</v>
      </c>
      <c r="P925" s="95">
        <v>0.50624363343710388</v>
      </c>
      <c r="Q925" s="95">
        <v>0.1668553501809637</v>
      </c>
      <c r="R925" s="96">
        <v>1.1611560482397119E-2</v>
      </c>
    </row>
    <row r="926" spans="1:18" ht="15" hidden="1" customHeight="1" x14ac:dyDescent="0.3">
      <c r="A926" s="89">
        <v>2021</v>
      </c>
      <c r="B926" s="90">
        <v>6</v>
      </c>
      <c r="C926" s="90" t="s">
        <v>727</v>
      </c>
      <c r="D926" s="90" t="s">
        <v>722</v>
      </c>
      <c r="E926" s="91" t="s">
        <v>11</v>
      </c>
      <c r="F926" s="92" t="s">
        <v>31</v>
      </c>
      <c r="G926" s="93">
        <v>882.20755781249898</v>
      </c>
      <c r="H926" s="93">
        <v>33765.853496101903</v>
      </c>
      <c r="I926" s="93">
        <v>2397.5457928860201</v>
      </c>
      <c r="J926" s="93">
        <v>63238.298126899797</v>
      </c>
      <c r="K926" s="93">
        <v>43361.754564824303</v>
      </c>
      <c r="L926" s="93">
        <v>44987.650453909715</v>
      </c>
      <c r="M926" s="93">
        <v>251948.68865991689</v>
      </c>
      <c r="N926" s="95">
        <v>4.2626745858046836E-3</v>
      </c>
      <c r="O926" s="95">
        <v>0.16315077363736294</v>
      </c>
      <c r="P926" s="95">
        <v>0.3175135041357815</v>
      </c>
      <c r="Q926" s="95">
        <v>0.30555653699394836</v>
      </c>
      <c r="R926" s="96">
        <v>0.20951651064710256</v>
      </c>
    </row>
    <row r="927" spans="1:18" ht="15" hidden="1" customHeight="1" x14ac:dyDescent="0.3">
      <c r="A927" s="89">
        <v>2021</v>
      </c>
      <c r="B927" s="90">
        <v>6</v>
      </c>
      <c r="C927" s="90" t="s">
        <v>727</v>
      </c>
      <c r="D927" s="90" t="s">
        <v>722</v>
      </c>
      <c r="E927" s="91" t="s">
        <v>11</v>
      </c>
      <c r="F927" s="92" t="s">
        <v>32</v>
      </c>
      <c r="G927" s="93">
        <v>41183.811313926803</v>
      </c>
      <c r="H927" s="93">
        <v>158508.770700986</v>
      </c>
      <c r="I927" s="93">
        <v>2397.5457928860201</v>
      </c>
      <c r="J927" s="93">
        <v>91689.129163156002</v>
      </c>
      <c r="K927" s="93">
        <v>2443.37039875459</v>
      </c>
      <c r="L927" s="93">
        <v>76846.012171313894</v>
      </c>
      <c r="M927" s="93">
        <v>609521.81280337833</v>
      </c>
      <c r="N927" s="95">
        <v>7.7314965810458741E-2</v>
      </c>
      <c r="O927" s="95">
        <v>0.29757081232693894</v>
      </c>
      <c r="P927" s="95">
        <v>0.44839791627820264</v>
      </c>
      <c r="Q927" s="95">
        <v>0.17212933092578858</v>
      </c>
      <c r="R927" s="96">
        <v>4.5869746586109719E-3</v>
      </c>
    </row>
    <row r="928" spans="1:18" ht="15" hidden="1" customHeight="1" x14ac:dyDescent="0.3">
      <c r="A928" s="89">
        <v>2021</v>
      </c>
      <c r="B928" s="90">
        <v>6</v>
      </c>
      <c r="C928" s="90" t="s">
        <v>727</v>
      </c>
      <c r="D928" s="90" t="s">
        <v>722</v>
      </c>
      <c r="E928" s="91" t="s">
        <v>11</v>
      </c>
      <c r="F928" s="92" t="s">
        <v>33</v>
      </c>
      <c r="G928" s="93">
        <v>44663.385777403302</v>
      </c>
      <c r="H928" s="93">
        <v>269730.41806294402</v>
      </c>
      <c r="I928" s="93">
        <v>2397.5457928860201</v>
      </c>
      <c r="J928" s="93">
        <v>173060.40593673501</v>
      </c>
      <c r="K928" s="93">
        <v>1222.4208445955801</v>
      </c>
      <c r="L928" s="93">
        <v>35732.946988748437</v>
      </c>
      <c r="M928" s="93">
        <v>1352056.7882569213</v>
      </c>
      <c r="N928" s="95">
        <v>3.3930393401044603E-2</v>
      </c>
      <c r="O928" s="95">
        <v>0.20491189903776286</v>
      </c>
      <c r="P928" s="95">
        <v>0.62875652988942521</v>
      </c>
      <c r="Q928" s="95">
        <v>0.13147251497777715</v>
      </c>
      <c r="R928" s="96">
        <v>9.2866269399016212E-4</v>
      </c>
    </row>
    <row r="929" spans="1:18" ht="15" hidden="1" customHeight="1" x14ac:dyDescent="0.3">
      <c r="A929" s="89">
        <v>2021</v>
      </c>
      <c r="B929" s="90">
        <v>6</v>
      </c>
      <c r="C929" s="90" t="s">
        <v>727</v>
      </c>
      <c r="D929" s="90" t="s">
        <v>722</v>
      </c>
      <c r="E929" s="91" t="s">
        <v>11</v>
      </c>
      <c r="F929" s="92" t="s">
        <v>34</v>
      </c>
      <c r="G929" s="93">
        <v>20866.1431113894</v>
      </c>
      <c r="H929" s="93">
        <v>50231.476273037501</v>
      </c>
      <c r="I929" s="93">
        <v>2397.5457928860201</v>
      </c>
      <c r="J929" s="93">
        <v>259528.459512845</v>
      </c>
      <c r="K929" s="93">
        <v>10178.7154365518</v>
      </c>
      <c r="L929" s="93">
        <v>99709.114662721899</v>
      </c>
      <c r="M929" s="93">
        <v>713628.83042006858</v>
      </c>
      <c r="N929" s="95">
        <v>3.3988390624738941E-2</v>
      </c>
      <c r="O929" s="95">
        <v>8.1820920527158336E-2</v>
      </c>
      <c r="P929" s="95">
        <v>0.44487074516999603</v>
      </c>
      <c r="Q929" s="95">
        <v>0.422740063320306</v>
      </c>
      <c r="R929" s="96">
        <v>1.6579880357800666E-2</v>
      </c>
    </row>
    <row r="930" spans="1:18" ht="15" hidden="1" customHeight="1" x14ac:dyDescent="0.3">
      <c r="A930" s="89">
        <v>2021</v>
      </c>
      <c r="B930" s="90">
        <v>6</v>
      </c>
      <c r="C930" s="90" t="s">
        <v>727</v>
      </c>
      <c r="D930" s="90" t="s">
        <v>722</v>
      </c>
      <c r="E930" s="91" t="s">
        <v>11</v>
      </c>
      <c r="F930" s="92" t="s">
        <v>35</v>
      </c>
      <c r="G930" s="93">
        <v>17964.612940412298</v>
      </c>
      <c r="H930" s="93">
        <v>81105.402699710306</v>
      </c>
      <c r="I930" s="93">
        <v>2397.5457928860201</v>
      </c>
      <c r="J930" s="93">
        <v>101761.62912673601</v>
      </c>
      <c r="K930" s="93">
        <v>10331.5446377955</v>
      </c>
      <c r="L930" s="93">
        <v>256433.81584388859</v>
      </c>
      <c r="M930" s="93">
        <v>605861.19629490969</v>
      </c>
      <c r="N930" s="95">
        <v>5.1411577756799116E-2</v>
      </c>
      <c r="O930" s="95">
        <v>0.23210946604992444</v>
      </c>
      <c r="P930" s="95">
        <v>0.39568791337388443</v>
      </c>
      <c r="Q930" s="95">
        <v>0.29122397047245657</v>
      </c>
      <c r="R930" s="96">
        <v>2.9567072346935511E-2</v>
      </c>
    </row>
    <row r="931" spans="1:18" ht="15" hidden="1" customHeight="1" x14ac:dyDescent="0.3">
      <c r="A931" s="89">
        <v>2021</v>
      </c>
      <c r="B931" s="90">
        <v>6</v>
      </c>
      <c r="C931" s="90" t="s">
        <v>727</v>
      </c>
      <c r="D931" s="90" t="s">
        <v>722</v>
      </c>
      <c r="E931" s="91" t="s">
        <v>11</v>
      </c>
      <c r="F931" s="92" t="s">
        <v>36</v>
      </c>
      <c r="G931" s="93">
        <v>10503.096315094899</v>
      </c>
      <c r="H931" s="93">
        <v>71380.661251208294</v>
      </c>
      <c r="I931" s="93">
        <v>2397.5457928860201</v>
      </c>
      <c r="J931" s="93">
        <v>31668.195296686801</v>
      </c>
      <c r="K931" s="93">
        <v>258.26475323529399</v>
      </c>
      <c r="L931" s="93">
        <v>33874.466077412842</v>
      </c>
      <c r="M931" s="93">
        <v>258886.87145458115</v>
      </c>
      <c r="N931" s="95">
        <v>4.6677854483131685E-2</v>
      </c>
      <c r="O931" s="95">
        <v>0.31722989286550329</v>
      </c>
      <c r="P931" s="95">
        <v>0.494204697623425</v>
      </c>
      <c r="Q931" s="95">
        <v>0.14073977496309245</v>
      </c>
      <c r="R931" s="96">
        <v>1.1477800648474815E-3</v>
      </c>
    </row>
    <row r="932" spans="1:18" ht="15" hidden="1" customHeight="1" x14ac:dyDescent="0.3">
      <c r="A932" s="89">
        <v>2021</v>
      </c>
      <c r="B932" s="90">
        <v>6</v>
      </c>
      <c r="C932" s="90" t="s">
        <v>727</v>
      </c>
      <c r="D932" s="90" t="s">
        <v>722</v>
      </c>
      <c r="E932" s="91" t="s">
        <v>11</v>
      </c>
      <c r="F932" s="92" t="s">
        <v>37</v>
      </c>
      <c r="G932" s="93">
        <v>19830.5750885938</v>
      </c>
      <c r="H932" s="93">
        <v>73453.077708304394</v>
      </c>
      <c r="I932" s="93">
        <v>2397.5457928860201</v>
      </c>
      <c r="J932" s="93">
        <v>90097.183176409904</v>
      </c>
      <c r="K932" s="93">
        <v>9298.3883235661597</v>
      </c>
      <c r="L932" s="93">
        <v>200655.21249172301</v>
      </c>
      <c r="M932" s="93">
        <v>524073.85777630127</v>
      </c>
      <c r="N932" s="95">
        <v>6.1315497352184944E-2</v>
      </c>
      <c r="O932" s="95">
        <v>0.22711454265004583</v>
      </c>
      <c r="P932" s="95">
        <v>0.40424206487126152</v>
      </c>
      <c r="Q932" s="95">
        <v>0.27857757890591861</v>
      </c>
      <c r="R932" s="96">
        <v>2.875031622058909E-2</v>
      </c>
    </row>
    <row r="933" spans="1:18" ht="15" hidden="1" customHeight="1" x14ac:dyDescent="0.3">
      <c r="A933" s="89">
        <v>2021</v>
      </c>
      <c r="B933" s="90">
        <v>6</v>
      </c>
      <c r="C933" s="90" t="s">
        <v>727</v>
      </c>
      <c r="D933" s="90" t="s">
        <v>722</v>
      </c>
      <c r="E933" s="91" t="s">
        <v>11</v>
      </c>
      <c r="F933" s="92" t="s">
        <v>720</v>
      </c>
      <c r="G933" s="93">
        <v>37464.359208425201</v>
      </c>
      <c r="H933" s="93">
        <v>86205.372435630707</v>
      </c>
      <c r="I933" s="93">
        <v>2397.5457928860201</v>
      </c>
      <c r="J933" s="93">
        <v>370591.78193896299</v>
      </c>
      <c r="K933" s="93">
        <v>42051.6022102067</v>
      </c>
      <c r="L933" s="93">
        <v>208501.1473368938</v>
      </c>
      <c r="M933" s="93">
        <v>927958.42268836743</v>
      </c>
      <c r="N933" s="95">
        <v>5.2073084103740404E-2</v>
      </c>
      <c r="O933" s="95">
        <v>0.11982000236708586</v>
      </c>
      <c r="P933" s="95">
        <v>0.25455877066331328</v>
      </c>
      <c r="Q933" s="95">
        <v>0.5150990818154132</v>
      </c>
      <c r="R933" s="96">
        <v>5.8449061050447226E-2</v>
      </c>
    </row>
    <row r="934" spans="1:18" ht="15" hidden="1" customHeight="1" x14ac:dyDescent="0.3">
      <c r="A934" s="89">
        <v>2021</v>
      </c>
      <c r="B934" s="90">
        <v>6</v>
      </c>
      <c r="C934" s="90" t="s">
        <v>727</v>
      </c>
      <c r="D934" s="90" t="s">
        <v>722</v>
      </c>
      <c r="E934" s="91" t="s">
        <v>11</v>
      </c>
      <c r="F934" s="92" t="s">
        <v>39</v>
      </c>
      <c r="G934" s="93">
        <v>10809.198759114601</v>
      </c>
      <c r="H934" s="93">
        <v>75848.426147780803</v>
      </c>
      <c r="I934" s="93">
        <v>2397.5457928860201</v>
      </c>
      <c r="J934" s="93">
        <v>40689.642660125697</v>
      </c>
      <c r="K934" s="93">
        <v>1386.00469588388</v>
      </c>
      <c r="L934" s="93">
        <v>67724.251580997821</v>
      </c>
      <c r="M934" s="93">
        <v>331195.16650097381</v>
      </c>
      <c r="N934" s="95">
        <v>4.1026155628592548E-2</v>
      </c>
      <c r="O934" s="95">
        <v>0.28788159091798898</v>
      </c>
      <c r="P934" s="95">
        <v>0.51139474995938305</v>
      </c>
      <c r="Q934" s="95">
        <v>0.15443694296383478</v>
      </c>
      <c r="R934" s="96">
        <v>5.2605605302006534E-3</v>
      </c>
    </row>
    <row r="935" spans="1:18" ht="15" hidden="1" customHeight="1" x14ac:dyDescent="0.3">
      <c r="A935" s="89">
        <v>2021</v>
      </c>
      <c r="B935" s="90">
        <v>6</v>
      </c>
      <c r="C935" s="90" t="s">
        <v>727</v>
      </c>
      <c r="D935" s="90" t="s">
        <v>722</v>
      </c>
      <c r="E935" s="91" t="s">
        <v>11</v>
      </c>
      <c r="F935" s="92" t="s">
        <v>40</v>
      </c>
      <c r="G935" s="93">
        <v>6346.4839610845802</v>
      </c>
      <c r="H935" s="93">
        <v>34037.456561280902</v>
      </c>
      <c r="I935" s="93">
        <v>2397.5457928860201</v>
      </c>
      <c r="J935" s="93">
        <v>101563.585246919</v>
      </c>
      <c r="K935" s="93">
        <v>4602.6865919117699</v>
      </c>
      <c r="L935" s="93">
        <v>35257.029544933997</v>
      </c>
      <c r="M935" s="93">
        <v>326305.02470134926</v>
      </c>
      <c r="N935" s="95">
        <v>2.1805626792494644E-2</v>
      </c>
      <c r="O935" s="95">
        <v>0.11694791624655741</v>
      </c>
      <c r="P935" s="95">
        <v>0.49647407025622314</v>
      </c>
      <c r="Q935" s="95">
        <v>0.34895820255465637</v>
      </c>
      <c r="R935" s="96">
        <v>1.5814184150068411E-2</v>
      </c>
    </row>
    <row r="936" spans="1:18" ht="15" hidden="1" customHeight="1" x14ac:dyDescent="0.3">
      <c r="A936" s="89">
        <v>2021</v>
      </c>
      <c r="B936" s="90">
        <v>6</v>
      </c>
      <c r="C936" s="90" t="s">
        <v>727</v>
      </c>
      <c r="D936" s="90" t="s">
        <v>722</v>
      </c>
      <c r="E936" s="91" t="s">
        <v>11</v>
      </c>
      <c r="F936" s="92" t="s">
        <v>41</v>
      </c>
      <c r="G936" s="93">
        <v>412.775553209252</v>
      </c>
      <c r="H936" s="93">
        <v>1599.1291621185601</v>
      </c>
      <c r="I936" s="93">
        <v>2397.5457928860201</v>
      </c>
      <c r="J936" s="93">
        <v>1245.3358508501799</v>
      </c>
      <c r="K936" s="93">
        <v>60.070363607536699</v>
      </c>
      <c r="L936" s="93">
        <v>12968.3387953614</v>
      </c>
      <c r="M936" s="93">
        <v>18714.332738962799</v>
      </c>
      <c r="N936" s="95">
        <v>7.1837102033306011E-2</v>
      </c>
      <c r="O936" s="95">
        <v>0.27830331493810784</v>
      </c>
      <c r="P936" s="95">
        <v>0.42267413395386422</v>
      </c>
      <c r="Q936" s="95">
        <v>0.21673114574667385</v>
      </c>
      <c r="R936" s="96">
        <v>1.0454303328048165E-2</v>
      </c>
    </row>
    <row r="937" spans="1:18" ht="15" hidden="1" customHeight="1" x14ac:dyDescent="0.3">
      <c r="A937" s="89">
        <v>2021</v>
      </c>
      <c r="B937" s="90">
        <v>6</v>
      </c>
      <c r="C937" s="90" t="s">
        <v>727</v>
      </c>
      <c r="D937" s="90" t="s">
        <v>722</v>
      </c>
      <c r="E937" s="91" t="s">
        <v>11</v>
      </c>
      <c r="F937" s="92" t="s">
        <v>42</v>
      </c>
      <c r="G937" s="93">
        <v>7549.6643253493403</v>
      </c>
      <c r="H937" s="93">
        <v>48911.800593996501</v>
      </c>
      <c r="I937" s="93">
        <v>2397.5457928860201</v>
      </c>
      <c r="J937" s="93">
        <v>166361.01573420499</v>
      </c>
      <c r="K937" s="93">
        <v>52033.940321665897</v>
      </c>
      <c r="L937" s="93">
        <v>246839.07041932369</v>
      </c>
      <c r="M937" s="93">
        <v>620824.33974997432</v>
      </c>
      <c r="N937" s="95">
        <v>2.0187063353755988E-2</v>
      </c>
      <c r="O937" s="95">
        <v>0.13078536671120122</v>
      </c>
      <c r="P937" s="95">
        <v>0.26506083657479934</v>
      </c>
      <c r="Q937" s="95">
        <v>0.44483307064995831</v>
      </c>
      <c r="R937" s="96">
        <v>0.13913366271028516</v>
      </c>
    </row>
    <row r="938" spans="1:18" ht="15" hidden="1" customHeight="1" x14ac:dyDescent="0.3">
      <c r="A938" s="89">
        <v>2021</v>
      </c>
      <c r="B938" s="90">
        <v>6</v>
      </c>
      <c r="C938" s="90" t="s">
        <v>727</v>
      </c>
      <c r="D938" s="90" t="s">
        <v>722</v>
      </c>
      <c r="E938" s="91" t="s">
        <v>11</v>
      </c>
      <c r="F938" s="92" t="s">
        <v>43</v>
      </c>
      <c r="G938" s="93">
        <v>1189.1544621369401</v>
      </c>
      <c r="H938" s="93">
        <v>14809.4338802987</v>
      </c>
      <c r="I938" s="93">
        <v>2397.5457928860201</v>
      </c>
      <c r="J938" s="93">
        <v>17832.351849077801</v>
      </c>
      <c r="K938" s="93">
        <v>9792.4073942401992</v>
      </c>
      <c r="L938" s="93">
        <v>119088.92670191456</v>
      </c>
      <c r="M938" s="93">
        <v>185575.48510012359</v>
      </c>
      <c r="N938" s="95">
        <v>1.7885637199247371E-2</v>
      </c>
      <c r="O938" s="95">
        <v>0.22274327679288669</v>
      </c>
      <c r="P938" s="95">
        <v>0.3438771890630945</v>
      </c>
      <c r="Q938" s="95">
        <v>0.26820987999219636</v>
      </c>
      <c r="R938" s="96">
        <v>0.14728401695257518</v>
      </c>
    </row>
    <row r="939" spans="1:18" ht="15" hidden="1" customHeight="1" x14ac:dyDescent="0.3">
      <c r="A939" s="89">
        <v>2021</v>
      </c>
      <c r="B939" s="90">
        <v>6</v>
      </c>
      <c r="C939" s="90" t="s">
        <v>727</v>
      </c>
      <c r="D939" s="90" t="s">
        <v>722</v>
      </c>
      <c r="E939" s="91" t="s">
        <v>11</v>
      </c>
      <c r="F939" s="92" t="s">
        <v>58</v>
      </c>
      <c r="G939" s="93">
        <v>11579.4837743398</v>
      </c>
      <c r="H939" s="93">
        <v>71692.217135196304</v>
      </c>
      <c r="I939" s="93">
        <v>2397.5457928860201</v>
      </c>
      <c r="J939" s="93">
        <v>100033.803571026</v>
      </c>
      <c r="K939" s="93">
        <v>9638.1222838342401</v>
      </c>
      <c r="L939" s="93">
        <v>16420.866675572892</v>
      </c>
      <c r="M939" s="93">
        <v>371477.12559240125</v>
      </c>
      <c r="N939" s="95">
        <v>3.2613095765908706E-2</v>
      </c>
      <c r="O939" s="95">
        <v>0.20191790831658074</v>
      </c>
      <c r="P939" s="95">
        <v>0.45658294448037529</v>
      </c>
      <c r="Q939" s="95">
        <v>0.28174071308079329</v>
      </c>
      <c r="R939" s="96">
        <v>2.7145338356341895E-2</v>
      </c>
    </row>
    <row r="940" spans="1:18" ht="15" hidden="1" customHeight="1" x14ac:dyDescent="0.3">
      <c r="A940" s="89">
        <v>2021</v>
      </c>
      <c r="B940" s="90">
        <v>6</v>
      </c>
      <c r="C940" s="90" t="s">
        <v>727</v>
      </c>
      <c r="D940" s="90" t="s">
        <v>722</v>
      </c>
      <c r="E940" s="91" t="s">
        <v>11</v>
      </c>
      <c r="F940" s="92" t="s">
        <v>44</v>
      </c>
      <c r="G940" s="93">
        <v>4864.5439722533501</v>
      </c>
      <c r="H940" s="93">
        <v>21684.224190445701</v>
      </c>
      <c r="I940" s="93">
        <v>2397.5457928860201</v>
      </c>
      <c r="J940" s="93">
        <v>57293.464965060703</v>
      </c>
      <c r="K940" s="93">
        <v>4362.5716487239497</v>
      </c>
      <c r="L940" s="93">
        <v>46861.658175257398</v>
      </c>
      <c r="M940" s="93">
        <v>215729.28855108103</v>
      </c>
      <c r="N940" s="95">
        <v>2.8806846886090937E-2</v>
      </c>
      <c r="O940" s="95">
        <v>0.128409595978734</v>
      </c>
      <c r="P940" s="95">
        <v>0.47766896130312619</v>
      </c>
      <c r="Q940" s="95">
        <v>0.33928032765990229</v>
      </c>
      <c r="R940" s="96">
        <v>2.5834268172146561E-2</v>
      </c>
    </row>
    <row r="941" spans="1:18" ht="15" hidden="1" customHeight="1" x14ac:dyDescent="0.3">
      <c r="A941" s="89">
        <v>2021</v>
      </c>
      <c r="B941" s="90">
        <v>6</v>
      </c>
      <c r="C941" s="90" t="s">
        <v>727</v>
      </c>
      <c r="D941" s="90" t="s">
        <v>722</v>
      </c>
      <c r="E941" s="91" t="s">
        <v>11</v>
      </c>
      <c r="F941" s="92" t="s">
        <v>51</v>
      </c>
      <c r="G941" s="93">
        <v>1826.8803770725999</v>
      </c>
      <c r="H941" s="93">
        <v>15604.581391199299</v>
      </c>
      <c r="I941" s="93">
        <v>2397.5457928860201</v>
      </c>
      <c r="J941" s="93">
        <v>87805.768716691193</v>
      </c>
      <c r="K941" s="93">
        <v>48403.707537714799</v>
      </c>
      <c r="L941" s="93">
        <v>1926.4674703400699</v>
      </c>
      <c r="M941" s="93">
        <v>211202.40923547006</v>
      </c>
      <c r="N941" s="95">
        <v>8.729528877824402E-3</v>
      </c>
      <c r="O941" s="95">
        <v>7.4564621521150745E-2</v>
      </c>
      <c r="P941" s="95">
        <v>0.265845195932226</v>
      </c>
      <c r="Q941" s="95">
        <v>0.41956933977263117</v>
      </c>
      <c r="R941" s="96">
        <v>0.23129131389616775</v>
      </c>
    </row>
    <row r="942" spans="1:18" ht="15" hidden="1" customHeight="1" x14ac:dyDescent="0.3">
      <c r="A942" s="89">
        <v>2021</v>
      </c>
      <c r="B942" s="90">
        <v>6</v>
      </c>
      <c r="C942" s="90" t="s">
        <v>727</v>
      </c>
      <c r="D942" s="90" t="s">
        <v>722</v>
      </c>
      <c r="E942" s="91" t="s">
        <v>11</v>
      </c>
      <c r="F942" s="92" t="s">
        <v>45</v>
      </c>
      <c r="G942" s="93">
        <v>8167.5307776639202</v>
      </c>
      <c r="H942" s="93">
        <v>24168.041988967601</v>
      </c>
      <c r="I942" s="93">
        <v>2397.5457928860201</v>
      </c>
      <c r="J942" s="93">
        <v>18928.578877469201</v>
      </c>
      <c r="K942" s="93">
        <v>1574.68636929993</v>
      </c>
      <c r="L942" s="93">
        <v>51517.212193708103</v>
      </c>
      <c r="M942" s="93">
        <v>134096.09203645907</v>
      </c>
      <c r="N942" s="95">
        <v>9.8905807310740515E-2</v>
      </c>
      <c r="O942" s="95">
        <v>0.29266613975618305</v>
      </c>
      <c r="P942" s="95">
        <v>0.36014101772731877</v>
      </c>
      <c r="Q942" s="95">
        <v>0.2292181598189941</v>
      </c>
      <c r="R942" s="96">
        <v>1.9068875386763447E-2</v>
      </c>
    </row>
    <row r="943" spans="1:18" ht="15" hidden="1" customHeight="1" x14ac:dyDescent="0.3">
      <c r="A943" s="89">
        <v>2021</v>
      </c>
      <c r="B943" s="90">
        <v>6</v>
      </c>
      <c r="C943" s="90" t="s">
        <v>727</v>
      </c>
      <c r="D943" s="90" t="s">
        <v>722</v>
      </c>
      <c r="E943" s="91" t="s">
        <v>11</v>
      </c>
      <c r="F943" s="92" t="s">
        <v>721</v>
      </c>
      <c r="G943" s="93">
        <v>4435.6752120818001</v>
      </c>
      <c r="H943" s="93">
        <v>42535.092881554097</v>
      </c>
      <c r="I943" s="93">
        <v>2397.5457928860201</v>
      </c>
      <c r="J943" s="93">
        <v>89248.021720841003</v>
      </c>
      <c r="K943" s="93">
        <v>3525.31107443474</v>
      </c>
      <c r="L943" s="93">
        <v>6320.6182903722083</v>
      </c>
      <c r="M943" s="93">
        <v>309330.85090303281</v>
      </c>
      <c r="N943" s="95">
        <v>1.4638697755636339E-2</v>
      </c>
      <c r="O943" s="95">
        <v>0.14037510388610178</v>
      </c>
      <c r="P943" s="95">
        <v>0.53881392161581831</v>
      </c>
      <c r="Q943" s="95">
        <v>0.29453797962964229</v>
      </c>
      <c r="R943" s="96">
        <v>1.1634297112801341E-2</v>
      </c>
    </row>
    <row r="944" spans="1:18" ht="15" hidden="1" customHeight="1" x14ac:dyDescent="0.3">
      <c r="A944" s="89">
        <v>2021</v>
      </c>
      <c r="B944" s="90">
        <v>6</v>
      </c>
      <c r="C944" s="90" t="s">
        <v>727</v>
      </c>
      <c r="D944" s="90" t="s">
        <v>722</v>
      </c>
      <c r="E944" s="91" t="s">
        <v>11</v>
      </c>
      <c r="F944" s="92" t="s">
        <v>46</v>
      </c>
      <c r="G944" s="93">
        <v>2647.0146802971799</v>
      </c>
      <c r="H944" s="93">
        <v>23765.7496815505</v>
      </c>
      <c r="I944" s="93">
        <v>2397.5457928860201</v>
      </c>
      <c r="J944" s="93">
        <v>44474.005164259099</v>
      </c>
      <c r="K944" s="93">
        <v>18133.4528898116</v>
      </c>
      <c r="L944" s="93">
        <v>3038.28307996781</v>
      </c>
      <c r="M944" s="93">
        <v>149075.0030083906</v>
      </c>
      <c r="N944" s="95">
        <v>1.8125678812798352E-2</v>
      </c>
      <c r="O944" s="95">
        <v>0.16273817772132135</v>
      </c>
      <c r="P944" s="95">
        <v>0.39042576100346532</v>
      </c>
      <c r="Q944" s="95">
        <v>0.30453988001139176</v>
      </c>
      <c r="R944" s="96">
        <v>0.12417050245102312</v>
      </c>
    </row>
    <row r="945" spans="1:18" ht="15" hidden="1" customHeight="1" x14ac:dyDescent="0.3">
      <c r="A945" s="89">
        <v>2021</v>
      </c>
      <c r="B945" s="90">
        <v>6</v>
      </c>
      <c r="C945" s="90" t="s">
        <v>727</v>
      </c>
      <c r="D945" s="90" t="s">
        <v>722</v>
      </c>
      <c r="E945" s="91" t="s">
        <v>11</v>
      </c>
      <c r="F945" s="92" t="s">
        <v>47</v>
      </c>
      <c r="G945" s="93">
        <v>1002.16187196231</v>
      </c>
      <c r="H945" s="93">
        <v>8270.2798141681906</v>
      </c>
      <c r="I945" s="93">
        <v>2397.5457928860201</v>
      </c>
      <c r="J945" s="93">
        <v>23110.967271547201</v>
      </c>
      <c r="K945" s="93">
        <v>5733.7108432797104</v>
      </c>
      <c r="L945" s="93">
        <v>1391826.2692644801</v>
      </c>
      <c r="M945" s="93">
        <v>1461770.3581410011</v>
      </c>
      <c r="N945" s="95">
        <v>1.4328042413012516E-2</v>
      </c>
      <c r="O945" s="95">
        <v>0.11824129739924852</v>
      </c>
      <c r="P945" s="95">
        <v>0.45503443660193776</v>
      </c>
      <c r="Q945" s="95">
        <v>0.33042059225829934</v>
      </c>
      <c r="R945" s="96">
        <v>8.1975631327501866E-2</v>
      </c>
    </row>
    <row r="946" spans="1:18" ht="15" hidden="1" customHeight="1" x14ac:dyDescent="0.3">
      <c r="A946" s="89">
        <v>2021</v>
      </c>
      <c r="B946" s="90">
        <v>6</v>
      </c>
      <c r="C946" s="90" t="s">
        <v>727</v>
      </c>
      <c r="D946" s="90" t="s">
        <v>722</v>
      </c>
      <c r="E946" s="91" t="s">
        <v>11</v>
      </c>
      <c r="F946" s="92" t="s">
        <v>48</v>
      </c>
      <c r="G946" s="93">
        <v>4853.9724981525997</v>
      </c>
      <c r="H946" s="93">
        <v>21066.715782326901</v>
      </c>
      <c r="I946" s="93">
        <v>2397.5457928860201</v>
      </c>
      <c r="J946" s="93">
        <v>22793.511472562699</v>
      </c>
      <c r="K946" s="93">
        <v>347.56625129748699</v>
      </c>
      <c r="L946" s="93">
        <v>8649.7058029013642</v>
      </c>
      <c r="M946" s="93">
        <v>110314.39779994264</v>
      </c>
      <c r="N946" s="95">
        <v>4.7744919133713239E-2</v>
      </c>
      <c r="O946" s="95">
        <v>0.20721762264267715</v>
      </c>
      <c r="P946" s="95">
        <v>0.51741587919464205</v>
      </c>
      <c r="Q946" s="95">
        <v>0.224202828187647</v>
      </c>
      <c r="R946" s="96">
        <v>3.4187508413206238E-3</v>
      </c>
    </row>
    <row r="947" spans="1:18" ht="15" hidden="1" customHeight="1" x14ac:dyDescent="0.3">
      <c r="A947" s="89">
        <v>2021</v>
      </c>
      <c r="B947" s="90">
        <v>7</v>
      </c>
      <c r="C947" s="90" t="s">
        <v>728</v>
      </c>
      <c r="D947" s="90" t="s">
        <v>719</v>
      </c>
      <c r="E947" s="91" t="s">
        <v>11</v>
      </c>
      <c r="F947" s="92" t="s">
        <v>12</v>
      </c>
      <c r="G947" s="93">
        <v>11577.2083132935</v>
      </c>
      <c r="H947" s="93">
        <v>89843.844436774598</v>
      </c>
      <c r="I947" s="93">
        <v>2397.5457928860201</v>
      </c>
      <c r="J947" s="93">
        <v>37254.337324305699</v>
      </c>
      <c r="K947" s="93">
        <v>1764.7869459865201</v>
      </c>
      <c r="L947" s="93">
        <v>101520.7679911696</v>
      </c>
      <c r="M947" s="93">
        <v>433311.47680229385</v>
      </c>
      <c r="N947" s="95">
        <v>3.4893105821971526E-2</v>
      </c>
      <c r="O947" s="95">
        <v>0.27078469062230209</v>
      </c>
      <c r="P947" s="95">
        <v>0.57672058532444481</v>
      </c>
      <c r="Q947" s="95">
        <v>0.11228264184309382</v>
      </c>
      <c r="R947" s="96">
        <v>5.31897638818797E-3</v>
      </c>
    </row>
    <row r="948" spans="1:18" ht="15" hidden="1" customHeight="1" x14ac:dyDescent="0.3">
      <c r="A948" s="89">
        <v>2021</v>
      </c>
      <c r="B948" s="90">
        <v>7</v>
      </c>
      <c r="C948" s="90" t="s">
        <v>728</v>
      </c>
      <c r="D948" s="90" t="s">
        <v>719</v>
      </c>
      <c r="E948" s="91" t="s">
        <v>11</v>
      </c>
      <c r="F948" s="92" t="s">
        <v>26</v>
      </c>
      <c r="G948" s="93">
        <v>83222.692089527205</v>
      </c>
      <c r="H948" s="93">
        <v>538172.44215500099</v>
      </c>
      <c r="I948" s="93">
        <v>2397.5457928860201</v>
      </c>
      <c r="J948" s="93">
        <v>19355.467053824999</v>
      </c>
      <c r="K948" s="93">
        <v>994.70837035539205</v>
      </c>
      <c r="L948" s="93">
        <v>307805.5956722874</v>
      </c>
      <c r="M948" s="93">
        <v>1302393.316390726</v>
      </c>
      <c r="N948" s="95">
        <v>8.3675567630587117E-2</v>
      </c>
      <c r="O948" s="95">
        <v>0.54110103206005111</v>
      </c>
      <c r="P948" s="95">
        <v>0.35476248469552285</v>
      </c>
      <c r="Q948" s="95">
        <v>1.9460794307659072E-2</v>
      </c>
      <c r="R948" s="96">
        <v>1.0001213061798775E-3</v>
      </c>
    </row>
    <row r="949" spans="1:18" ht="15" hidden="1" customHeight="1" x14ac:dyDescent="0.3">
      <c r="A949" s="89">
        <v>2021</v>
      </c>
      <c r="B949" s="90">
        <v>7</v>
      </c>
      <c r="C949" s="90" t="s">
        <v>728</v>
      </c>
      <c r="D949" s="90" t="s">
        <v>719</v>
      </c>
      <c r="E949" s="91" t="s">
        <v>11</v>
      </c>
      <c r="F949" s="92" t="s">
        <v>27</v>
      </c>
      <c r="G949" s="93">
        <v>4501.8815589583201</v>
      </c>
      <c r="H949" s="93">
        <v>80816.247187475805</v>
      </c>
      <c r="I949" s="93">
        <v>2397.5457928860201</v>
      </c>
      <c r="J949" s="93">
        <v>16344.690911154999</v>
      </c>
      <c r="K949" s="93">
        <v>384.47503350337001</v>
      </c>
      <c r="L949" s="93">
        <v>14293.01103019434</v>
      </c>
      <c r="M949" s="93">
        <v>226689.61699930087</v>
      </c>
      <c r="N949" s="95">
        <v>2.1195637936008861E-2</v>
      </c>
      <c r="O949" s="95">
        <v>0.38049688609068771</v>
      </c>
      <c r="P949" s="95">
        <v>0.5195436658440038</v>
      </c>
      <c r="Q949" s="95">
        <v>7.6953635094961753E-2</v>
      </c>
      <c r="R949" s="96">
        <v>1.8101750343378492E-3</v>
      </c>
    </row>
    <row r="950" spans="1:18" ht="15" hidden="1" customHeight="1" x14ac:dyDescent="0.3">
      <c r="A950" s="89">
        <v>2021</v>
      </c>
      <c r="B950" s="90">
        <v>7</v>
      </c>
      <c r="C950" s="90" t="s">
        <v>728</v>
      </c>
      <c r="D950" s="90" t="s">
        <v>719</v>
      </c>
      <c r="E950" s="91" t="s">
        <v>11</v>
      </c>
      <c r="F950" s="92" t="s">
        <v>28</v>
      </c>
      <c r="G950" s="93">
        <v>10508.2667958073</v>
      </c>
      <c r="H950" s="93">
        <v>103777.332897076</v>
      </c>
      <c r="I950" s="93">
        <v>2397.5457928860201</v>
      </c>
      <c r="J950" s="93">
        <v>30808.673509617001</v>
      </c>
      <c r="K950" s="93">
        <v>818.77479701899404</v>
      </c>
      <c r="L950" s="93">
        <v>6162.10184821231</v>
      </c>
      <c r="M950" s="93">
        <v>373104.58101494255</v>
      </c>
      <c r="N950" s="95">
        <v>2.863736795933235E-2</v>
      </c>
      <c r="O950" s="95">
        <v>0.28281635076085582</v>
      </c>
      <c r="P950" s="95">
        <v>0.60235443895494123</v>
      </c>
      <c r="Q950" s="95">
        <v>8.3960498603428926E-2</v>
      </c>
      <c r="R950" s="96">
        <v>2.23134372144186E-3</v>
      </c>
    </row>
    <row r="951" spans="1:18" ht="15" customHeight="1" x14ac:dyDescent="0.3">
      <c r="A951" s="89">
        <v>2021</v>
      </c>
      <c r="B951" s="90">
        <v>7</v>
      </c>
      <c r="C951" s="90" t="s">
        <v>728</v>
      </c>
      <c r="D951" s="90" t="s">
        <v>719</v>
      </c>
      <c r="E951" s="91" t="s">
        <v>11</v>
      </c>
      <c r="F951" s="92" t="s">
        <v>29</v>
      </c>
      <c r="G951" s="93">
        <v>31139.132672375799</v>
      </c>
      <c r="H951" s="93">
        <v>95445.930410457804</v>
      </c>
      <c r="I951" s="93">
        <v>2397.5457928860201</v>
      </c>
      <c r="J951" s="93">
        <v>13941.263143164701</v>
      </c>
      <c r="K951" s="93">
        <v>954.92825981924</v>
      </c>
      <c r="L951" s="93">
        <v>133010.72449790829</v>
      </c>
      <c r="M951" s="93">
        <v>354392.05486975814</v>
      </c>
      <c r="N951" s="95">
        <v>0.14065835009696623</v>
      </c>
      <c r="O951" s="95">
        <v>0.43113811923588657</v>
      </c>
      <c r="P951" s="95">
        <v>0.36091605264014681</v>
      </c>
      <c r="Q951" s="95">
        <v>6.2973978518187756E-2</v>
      </c>
      <c r="R951" s="96">
        <v>4.3134995088125357E-3</v>
      </c>
    </row>
    <row r="952" spans="1:18" ht="15" hidden="1" customHeight="1" x14ac:dyDescent="0.3">
      <c r="A952" s="89">
        <v>2021</v>
      </c>
      <c r="B952" s="90">
        <v>7</v>
      </c>
      <c r="C952" s="90" t="s">
        <v>728</v>
      </c>
      <c r="D952" s="90" t="s">
        <v>719</v>
      </c>
      <c r="E952" s="91" t="s">
        <v>11</v>
      </c>
      <c r="F952" s="92" t="s">
        <v>30</v>
      </c>
      <c r="G952" s="93">
        <v>269.06494198988901</v>
      </c>
      <c r="H952" s="93">
        <v>4030.1379870404498</v>
      </c>
      <c r="I952" s="93">
        <v>2397.5457928860201</v>
      </c>
      <c r="J952" s="93">
        <v>2612.2071807031198</v>
      </c>
      <c r="K952" s="93">
        <v>197.48594231311199</v>
      </c>
      <c r="L952" s="93">
        <v>216147.86952940497</v>
      </c>
      <c r="M952" s="93">
        <v>230086.50016211637</v>
      </c>
      <c r="N952" s="95">
        <v>1.9303542010679534E-2</v>
      </c>
      <c r="O952" s="95">
        <v>0.28913442742233658</v>
      </c>
      <c r="P952" s="95">
        <v>0.48998605104268234</v>
      </c>
      <c r="Q952" s="95">
        <v>0.18740773391130344</v>
      </c>
      <c r="R952" s="96">
        <v>1.4168245612997947E-2</v>
      </c>
    </row>
    <row r="953" spans="1:18" ht="15" hidden="1" customHeight="1" x14ac:dyDescent="0.3">
      <c r="A953" s="89">
        <v>2021</v>
      </c>
      <c r="B953" s="90">
        <v>7</v>
      </c>
      <c r="C953" s="90" t="s">
        <v>728</v>
      </c>
      <c r="D953" s="90" t="s">
        <v>719</v>
      </c>
      <c r="E953" s="91" t="s">
        <v>11</v>
      </c>
      <c r="F953" s="92" t="s">
        <v>31</v>
      </c>
      <c r="G953" s="93">
        <v>787.62333274356604</v>
      </c>
      <c r="H953" s="93">
        <v>33505.411211424602</v>
      </c>
      <c r="I953" s="93">
        <v>2397.5457928860201</v>
      </c>
      <c r="J953" s="93">
        <v>54241.837728013998</v>
      </c>
      <c r="K953" s="93">
        <v>30339.704523638298</v>
      </c>
      <c r="L953" s="93">
        <v>64744.669193694601</v>
      </c>
      <c r="M953" s="93">
        <v>251948.68865992036</v>
      </c>
      <c r="N953" s="95">
        <v>4.2072992609310097E-3</v>
      </c>
      <c r="O953" s="95">
        <v>0.17897805456826449</v>
      </c>
      <c r="P953" s="95">
        <v>0.36499986947520052</v>
      </c>
      <c r="Q953" s="95">
        <v>0.28974718535784427</v>
      </c>
      <c r="R953" s="96">
        <v>0.16206759133775975</v>
      </c>
    </row>
    <row r="954" spans="1:18" ht="15" hidden="1" customHeight="1" x14ac:dyDescent="0.3">
      <c r="A954" s="89">
        <v>2021</v>
      </c>
      <c r="B954" s="90">
        <v>7</v>
      </c>
      <c r="C954" s="90" t="s">
        <v>728</v>
      </c>
      <c r="D954" s="90" t="s">
        <v>719</v>
      </c>
      <c r="E954" s="91" t="s">
        <v>11</v>
      </c>
      <c r="F954" s="92" t="s">
        <v>32</v>
      </c>
      <c r="G954" s="93">
        <v>57103.561672397002</v>
      </c>
      <c r="H954" s="93">
        <v>225144.959029569</v>
      </c>
      <c r="I954" s="93">
        <v>2397.5457928860201</v>
      </c>
      <c r="J954" s="93">
        <v>30740.546159789999</v>
      </c>
      <c r="K954" s="93">
        <v>540.52198736366404</v>
      </c>
      <c r="L954" s="93">
        <v>88242.4269752166</v>
      </c>
      <c r="M954" s="93">
        <v>609521.81280337321</v>
      </c>
      <c r="N954" s="95">
        <v>0.10954502177690484</v>
      </c>
      <c r="O954" s="95">
        <v>0.43190842598135959</v>
      </c>
      <c r="P954" s="95">
        <v>0.39853829371937438</v>
      </c>
      <c r="Q954" s="95">
        <v>5.8971344341484919E-2</v>
      </c>
      <c r="R954" s="96">
        <v>1.0369141808762236E-3</v>
      </c>
    </row>
    <row r="955" spans="1:18" ht="15" hidden="1" customHeight="1" x14ac:dyDescent="0.3">
      <c r="A955" s="89">
        <v>2021</v>
      </c>
      <c r="B955" s="90">
        <v>7</v>
      </c>
      <c r="C955" s="90" t="s">
        <v>728</v>
      </c>
      <c r="D955" s="90" t="s">
        <v>719</v>
      </c>
      <c r="E955" s="91" t="s">
        <v>11</v>
      </c>
      <c r="F955" s="92" t="s">
        <v>33</v>
      </c>
      <c r="G955" s="93">
        <v>131324.18772544299</v>
      </c>
      <c r="H955" s="93">
        <v>900506.81418969401</v>
      </c>
      <c r="I955" s="93">
        <v>2397.5457928860201</v>
      </c>
      <c r="J955" s="93">
        <v>6338.8310290318605</v>
      </c>
      <c r="K955" s="93">
        <v>177.75068671874999</v>
      </c>
      <c r="L955" s="93">
        <v>40488.600391891901</v>
      </c>
      <c r="M955" s="93">
        <v>1352056.7882571649</v>
      </c>
      <c r="N955" s="95">
        <v>0.10012760978839241</v>
      </c>
      <c r="O955" s="95">
        <v>0.68658787436387259</v>
      </c>
      <c r="P955" s="95">
        <v>0.20831597378027503</v>
      </c>
      <c r="Q955" s="95">
        <v>4.8330167563373373E-3</v>
      </c>
      <c r="R955" s="96">
        <v>1.3552531112245072E-4</v>
      </c>
    </row>
    <row r="956" spans="1:18" ht="15" hidden="1" customHeight="1" x14ac:dyDescent="0.3">
      <c r="A956" s="89">
        <v>2021</v>
      </c>
      <c r="B956" s="90">
        <v>7</v>
      </c>
      <c r="C956" s="90" t="s">
        <v>728</v>
      </c>
      <c r="D956" s="90" t="s">
        <v>719</v>
      </c>
      <c r="E956" s="91" t="s">
        <v>11</v>
      </c>
      <c r="F956" s="92" t="s">
        <v>34</v>
      </c>
      <c r="G956" s="93">
        <v>27883.844309559099</v>
      </c>
      <c r="H956" s="93">
        <v>243269.60343192201</v>
      </c>
      <c r="I956" s="93">
        <v>2397.5457928860201</v>
      </c>
      <c r="J956" s="93">
        <v>26434.664632849399</v>
      </c>
      <c r="K956" s="93">
        <v>649.11174057597998</v>
      </c>
      <c r="L956" s="93">
        <v>110558.9835400126</v>
      </c>
      <c r="M956" s="93">
        <v>713628.83042004518</v>
      </c>
      <c r="N956" s="95">
        <v>4.6236508845228293E-2</v>
      </c>
      <c r="O956" s="95">
        <v>0.40338545309547724</v>
      </c>
      <c r="P956" s="95">
        <v>0.50546818804185001</v>
      </c>
      <c r="Q956" s="95">
        <v>4.3833504144849066E-2</v>
      </c>
      <c r="R956" s="96">
        <v>1.0763458725952626E-3</v>
      </c>
    </row>
    <row r="957" spans="1:18" ht="15" hidden="1" customHeight="1" x14ac:dyDescent="0.3">
      <c r="A957" s="89">
        <v>2021</v>
      </c>
      <c r="B957" s="90">
        <v>7</v>
      </c>
      <c r="C957" s="90" t="s">
        <v>728</v>
      </c>
      <c r="D957" s="90" t="s">
        <v>719</v>
      </c>
      <c r="E957" s="91" t="s">
        <v>11</v>
      </c>
      <c r="F957" s="92" t="s">
        <v>35</v>
      </c>
      <c r="G957" s="93">
        <v>24845.962797087999</v>
      </c>
      <c r="H957" s="93">
        <v>93822.411030892705</v>
      </c>
      <c r="I957" s="93">
        <v>2397.5457928860201</v>
      </c>
      <c r="J957" s="93">
        <v>47014.693788840101</v>
      </c>
      <c r="K957" s="93">
        <v>9215.9910987269905</v>
      </c>
      <c r="L957" s="93">
        <v>284035.38475413609</v>
      </c>
      <c r="M957" s="93">
        <v>605861.19629491586</v>
      </c>
      <c r="N957" s="95">
        <v>7.7203138797770646E-2</v>
      </c>
      <c r="O957" s="95">
        <v>0.29153165366602085</v>
      </c>
      <c r="P957" s="95">
        <v>0.45654123304095001</v>
      </c>
      <c r="Q957" s="95">
        <v>0.14608739294014858</v>
      </c>
      <c r="R957" s="96">
        <v>2.8636581555109966E-2</v>
      </c>
    </row>
    <row r="958" spans="1:18" ht="15" hidden="1" customHeight="1" x14ac:dyDescent="0.3">
      <c r="A958" s="89">
        <v>2021</v>
      </c>
      <c r="B958" s="90">
        <v>7</v>
      </c>
      <c r="C958" s="90" t="s">
        <v>728</v>
      </c>
      <c r="D958" s="90" t="s">
        <v>719</v>
      </c>
      <c r="E958" s="91" t="s">
        <v>11</v>
      </c>
      <c r="F958" s="92" t="s">
        <v>36</v>
      </c>
      <c r="G958" s="93">
        <v>19028.930795851698</v>
      </c>
      <c r="H958" s="93">
        <v>93394.113474217796</v>
      </c>
      <c r="I958" s="93">
        <v>2397.5457928860201</v>
      </c>
      <c r="J958" s="93">
        <v>10658.292987692899</v>
      </c>
      <c r="K958" s="93">
        <v>57.605949480698499</v>
      </c>
      <c r="L958" s="93">
        <v>55147.677687396106</v>
      </c>
      <c r="M958" s="93">
        <v>258886.87145458319</v>
      </c>
      <c r="N958" s="95">
        <v>9.3398478927898723E-2</v>
      </c>
      <c r="O958" s="95">
        <v>0.45840032910378209</v>
      </c>
      <c r="P958" s="95">
        <v>0.39560503342349512</v>
      </c>
      <c r="Q958" s="95">
        <v>5.2313414962621957E-2</v>
      </c>
      <c r="R958" s="96">
        <v>2.8274358220208159E-4</v>
      </c>
    </row>
    <row r="959" spans="1:18" ht="15" hidden="1" customHeight="1" x14ac:dyDescent="0.3">
      <c r="A959" s="89">
        <v>2021</v>
      </c>
      <c r="B959" s="90">
        <v>7</v>
      </c>
      <c r="C959" s="90" t="s">
        <v>728</v>
      </c>
      <c r="D959" s="90" t="s">
        <v>719</v>
      </c>
      <c r="E959" s="91" t="s">
        <v>11</v>
      </c>
      <c r="F959" s="92" t="s">
        <v>37</v>
      </c>
      <c r="G959" s="93">
        <v>26789.5684894613</v>
      </c>
      <c r="H959" s="93">
        <v>132603.59230050701</v>
      </c>
      <c r="I959" s="93">
        <v>2397.5457928860201</v>
      </c>
      <c r="J959" s="93">
        <v>15409.7920325383</v>
      </c>
      <c r="K959" s="93">
        <v>1002.36975176011</v>
      </c>
      <c r="L959" s="93">
        <v>215402.87844227991</v>
      </c>
      <c r="M959" s="93">
        <v>524073.85777631856</v>
      </c>
      <c r="N959" s="95">
        <v>8.6790045981193678E-2</v>
      </c>
      <c r="O959" s="95">
        <v>0.42959526867929354</v>
      </c>
      <c r="P959" s="95">
        <v>0.43044427774334748</v>
      </c>
      <c r="Q959" s="95">
        <v>4.9923034765967017E-2</v>
      </c>
      <c r="R959" s="96">
        <v>3.2473728301984682E-3</v>
      </c>
    </row>
    <row r="960" spans="1:18" ht="15" hidden="1" customHeight="1" x14ac:dyDescent="0.3">
      <c r="A960" s="89">
        <v>2021</v>
      </c>
      <c r="B960" s="90">
        <v>7</v>
      </c>
      <c r="C960" s="90" t="s">
        <v>728</v>
      </c>
      <c r="D960" s="90" t="s">
        <v>719</v>
      </c>
      <c r="E960" s="91" t="s">
        <v>11</v>
      </c>
      <c r="F960" s="92" t="s">
        <v>720</v>
      </c>
      <c r="G960" s="93">
        <v>46342.009047521598</v>
      </c>
      <c r="H960" s="93">
        <v>150600.65069312099</v>
      </c>
      <c r="I960" s="93">
        <v>2397.5457928860201</v>
      </c>
      <c r="J960" s="93">
        <v>96207.055346929599</v>
      </c>
      <c r="K960" s="93">
        <v>3182.93657983302</v>
      </c>
      <c r="L960" s="93">
        <v>242567.84360855079</v>
      </c>
      <c r="M960" s="93">
        <v>927958.42268837406</v>
      </c>
      <c r="N960" s="95">
        <v>6.7614015222879839E-2</v>
      </c>
      <c r="O960" s="95">
        <v>0.21972967719414985</v>
      </c>
      <c r="P960" s="95">
        <v>0.56764411313436924</v>
      </c>
      <c r="Q960" s="95">
        <v>0.14036821964505725</v>
      </c>
      <c r="R960" s="96">
        <v>4.6439748035438386E-3</v>
      </c>
    </row>
    <row r="961" spans="1:18" ht="15" hidden="1" customHeight="1" x14ac:dyDescent="0.3">
      <c r="A961" s="89">
        <v>2021</v>
      </c>
      <c r="B961" s="90">
        <v>7</v>
      </c>
      <c r="C961" s="90" t="s">
        <v>728</v>
      </c>
      <c r="D961" s="90" t="s">
        <v>719</v>
      </c>
      <c r="E961" s="91" t="s">
        <v>11</v>
      </c>
      <c r="F961" s="92" t="s">
        <v>39</v>
      </c>
      <c r="G961" s="93">
        <v>17030.944576052399</v>
      </c>
      <c r="H961" s="93">
        <v>111648.525763786</v>
      </c>
      <c r="I961" s="93">
        <v>2397.5457928860201</v>
      </c>
      <c r="J961" s="93">
        <v>15161.2034252467</v>
      </c>
      <c r="K961" s="93">
        <v>137.481363875612</v>
      </c>
      <c r="L961" s="93">
        <v>56995.06743722011</v>
      </c>
      <c r="M961" s="93">
        <v>331195.16650097485</v>
      </c>
      <c r="N961" s="95">
        <v>6.2111372804765128E-2</v>
      </c>
      <c r="O961" s="95">
        <v>0.4071790132279508</v>
      </c>
      <c r="P961" s="95">
        <v>0.47491574357351302</v>
      </c>
      <c r="Q961" s="95">
        <v>5.5292479751152618E-2</v>
      </c>
      <c r="R961" s="96">
        <v>5.0139064261842581E-4</v>
      </c>
    </row>
    <row r="962" spans="1:18" ht="15" hidden="1" customHeight="1" x14ac:dyDescent="0.3">
      <c r="A962" s="89">
        <v>2021</v>
      </c>
      <c r="B962" s="90">
        <v>7</v>
      </c>
      <c r="C962" s="90" t="s">
        <v>728</v>
      </c>
      <c r="D962" s="90" t="s">
        <v>719</v>
      </c>
      <c r="E962" s="91" t="s">
        <v>11</v>
      </c>
      <c r="F962" s="92" t="s">
        <v>40</v>
      </c>
      <c r="G962" s="93">
        <v>8086.0858578278403</v>
      </c>
      <c r="H962" s="93">
        <v>62917.534125621198</v>
      </c>
      <c r="I962" s="93">
        <v>2397.5457928860201</v>
      </c>
      <c r="J962" s="93">
        <v>48223.054024850098</v>
      </c>
      <c r="K962" s="93">
        <v>1032.6000228599801</v>
      </c>
      <c r="L962" s="93">
        <v>15572.336774116091</v>
      </c>
      <c r="M962" s="93">
        <v>326305.02470135322</v>
      </c>
      <c r="N962" s="95">
        <v>2.6022643165630913E-2</v>
      </c>
      <c r="O962" s="95">
        <v>0.20248122122367221</v>
      </c>
      <c r="P962" s="95">
        <v>0.61298157965498723</v>
      </c>
      <c r="Q962" s="95">
        <v>0.15519144235041751</v>
      </c>
      <c r="R962" s="96">
        <v>3.3231136052920811E-3</v>
      </c>
    </row>
    <row r="963" spans="1:18" ht="15" hidden="1" customHeight="1" x14ac:dyDescent="0.3">
      <c r="A963" s="89">
        <v>2021</v>
      </c>
      <c r="B963" s="90">
        <v>7</v>
      </c>
      <c r="C963" s="90" t="s">
        <v>728</v>
      </c>
      <c r="D963" s="90" t="s">
        <v>719</v>
      </c>
      <c r="E963" s="91" t="s">
        <v>11</v>
      </c>
      <c r="F963" s="92" t="s">
        <v>41</v>
      </c>
      <c r="G963" s="93">
        <v>519.79223289215599</v>
      </c>
      <c r="H963" s="93">
        <v>4091.41117357536</v>
      </c>
      <c r="I963" s="93">
        <v>2397.5457928860201</v>
      </c>
      <c r="J963" s="93">
        <v>3718.0892496767701</v>
      </c>
      <c r="K963" s="93">
        <v>269.62513897671499</v>
      </c>
      <c r="L963" s="93">
        <v>3416.2424170725999</v>
      </c>
      <c r="M963" s="93">
        <v>18714.33273896297</v>
      </c>
      <c r="N963" s="95">
        <v>3.3977589486994593E-2</v>
      </c>
      <c r="O963" s="95">
        <v>0.26744587641248729</v>
      </c>
      <c r="P963" s="95">
        <v>0.43790907138150292</v>
      </c>
      <c r="Q963" s="95">
        <v>0.24304270477188092</v>
      </c>
      <c r="R963" s="96">
        <v>1.7624757947134258E-2</v>
      </c>
    </row>
    <row r="964" spans="1:18" ht="15" hidden="1" customHeight="1" x14ac:dyDescent="0.3">
      <c r="A964" s="89">
        <v>2021</v>
      </c>
      <c r="B964" s="90">
        <v>7</v>
      </c>
      <c r="C964" s="90" t="s">
        <v>728</v>
      </c>
      <c r="D964" s="90" t="s">
        <v>719</v>
      </c>
      <c r="E964" s="91" t="s">
        <v>11</v>
      </c>
      <c r="F964" s="92" t="s">
        <v>42</v>
      </c>
      <c r="G964" s="93">
        <v>8010.2085137791501</v>
      </c>
      <c r="H964" s="93">
        <v>59098.089638502897</v>
      </c>
      <c r="I964" s="93">
        <v>2397.5457928860201</v>
      </c>
      <c r="J964" s="93">
        <v>148056.43617104599</v>
      </c>
      <c r="K964" s="93">
        <v>9716.6628973223105</v>
      </c>
      <c r="L964" s="93">
        <v>227109.1282015203</v>
      </c>
      <c r="M964" s="93">
        <v>620824.33974995068</v>
      </c>
      <c r="N964" s="95">
        <v>2.034518423170913E-2</v>
      </c>
      <c r="O964" s="95">
        <v>0.15010364828444867</v>
      </c>
      <c r="P964" s="95">
        <v>0.42882217749164103</v>
      </c>
      <c r="Q964" s="95">
        <v>0.37604957042111586</v>
      </c>
      <c r="R964" s="96">
        <v>2.467941957108527E-2</v>
      </c>
    </row>
    <row r="965" spans="1:18" ht="15" hidden="1" customHeight="1" x14ac:dyDescent="0.3">
      <c r="A965" s="89">
        <v>2021</v>
      </c>
      <c r="B965" s="90">
        <v>7</v>
      </c>
      <c r="C965" s="90" t="s">
        <v>728</v>
      </c>
      <c r="D965" s="90" t="s">
        <v>719</v>
      </c>
      <c r="E965" s="91" t="s">
        <v>11</v>
      </c>
      <c r="F965" s="92" t="s">
        <v>43</v>
      </c>
      <c r="G965" s="93">
        <v>1574.54249224571</v>
      </c>
      <c r="H965" s="93">
        <v>11009.4552969332</v>
      </c>
      <c r="I965" s="93">
        <v>2397.5457928860201</v>
      </c>
      <c r="J965" s="93">
        <v>15155.444480955801</v>
      </c>
      <c r="K965" s="93">
        <v>6984.3857021997601</v>
      </c>
      <c r="L965" s="93">
        <v>132399.7063302421</v>
      </c>
      <c r="M965" s="93">
        <v>185575.48510012246</v>
      </c>
      <c r="N965" s="95">
        <v>2.9610144480621256E-2</v>
      </c>
      <c r="O965" s="95">
        <v>0.20703891041402361</v>
      </c>
      <c r="P965" s="95">
        <v>0.34699916436385858</v>
      </c>
      <c r="Q965" s="95">
        <v>0.28500653552327648</v>
      </c>
      <c r="R965" s="96">
        <v>0.13134524521822011</v>
      </c>
    </row>
    <row r="966" spans="1:18" ht="15" hidden="1" customHeight="1" x14ac:dyDescent="0.3">
      <c r="A966" s="89">
        <v>2021</v>
      </c>
      <c r="B966" s="90">
        <v>7</v>
      </c>
      <c r="C966" s="90" t="s">
        <v>728</v>
      </c>
      <c r="D966" s="90" t="s">
        <v>719</v>
      </c>
      <c r="E966" s="91" t="s">
        <v>11</v>
      </c>
      <c r="F966" s="92" t="s">
        <v>58</v>
      </c>
      <c r="G966" s="93">
        <v>9334.3399663587697</v>
      </c>
      <c r="H966" s="93">
        <v>132556.29736710299</v>
      </c>
      <c r="I966" s="93">
        <v>2397.5457928860201</v>
      </c>
      <c r="J966" s="93">
        <v>44482.116160457401</v>
      </c>
      <c r="K966" s="93">
        <v>484.06659403952102</v>
      </c>
      <c r="L966" s="93">
        <v>13999.440984454661</v>
      </c>
      <c r="M966" s="93">
        <v>371477.12559241324</v>
      </c>
      <c r="N966" s="95">
        <v>2.611167177217125E-2</v>
      </c>
      <c r="O966" s="95">
        <v>0.37080999199285924</v>
      </c>
      <c r="P966" s="95">
        <v>0.47729095232089191</v>
      </c>
      <c r="Q966" s="95">
        <v>0.12443326695830088</v>
      </c>
      <c r="R966" s="96">
        <v>1.3541169557769485E-3</v>
      </c>
    </row>
    <row r="967" spans="1:18" ht="15" hidden="1" customHeight="1" x14ac:dyDescent="0.3">
      <c r="A967" s="89">
        <v>2021</v>
      </c>
      <c r="B967" s="90">
        <v>7</v>
      </c>
      <c r="C967" s="90" t="s">
        <v>728</v>
      </c>
      <c r="D967" s="90" t="s">
        <v>719</v>
      </c>
      <c r="E967" s="91" t="s">
        <v>11</v>
      </c>
      <c r="F967" s="92" t="s">
        <v>44</v>
      </c>
      <c r="G967" s="93">
        <v>8435.3332580100796</v>
      </c>
      <c r="H967" s="93">
        <v>56361.885351579098</v>
      </c>
      <c r="I967" s="93">
        <v>2397.5457928860201</v>
      </c>
      <c r="J967" s="93">
        <v>18776.3303837852</v>
      </c>
      <c r="K967" s="93">
        <v>645.67750545955801</v>
      </c>
      <c r="L967" s="93">
        <v>47084.299610819697</v>
      </c>
      <c r="M967" s="93">
        <v>215729.28855107841</v>
      </c>
      <c r="N967" s="95">
        <v>5.0018285814577249E-2</v>
      </c>
      <c r="O967" s="95">
        <v>0.33420432890268026</v>
      </c>
      <c r="P967" s="95">
        <v>0.50061233939973171</v>
      </c>
      <c r="Q967" s="95">
        <v>0.11133642631051778</v>
      </c>
      <c r="R967" s="96">
        <v>3.8286195724931064E-3</v>
      </c>
    </row>
    <row r="968" spans="1:18" ht="15" hidden="1" customHeight="1" x14ac:dyDescent="0.3">
      <c r="A968" s="89">
        <v>2021</v>
      </c>
      <c r="B968" s="90">
        <v>7</v>
      </c>
      <c r="C968" s="90" t="s">
        <v>728</v>
      </c>
      <c r="D968" s="90" t="s">
        <v>719</v>
      </c>
      <c r="E968" s="91" t="s">
        <v>11</v>
      </c>
      <c r="F968" s="92" t="s">
        <v>51</v>
      </c>
      <c r="G968" s="93">
        <v>2541.10054827665</v>
      </c>
      <c r="H968" s="93">
        <v>28906.387195892999</v>
      </c>
      <c r="I968" s="93">
        <v>2397.5457928860201</v>
      </c>
      <c r="J968" s="93">
        <v>82661.730691809207</v>
      </c>
      <c r="K968" s="93">
        <v>25133.071986760198</v>
      </c>
      <c r="L968" s="93">
        <v>2630.6113730346101</v>
      </c>
      <c r="M968" s="93">
        <v>211202.40923547643</v>
      </c>
      <c r="N968" s="95">
        <v>1.2183337221615012E-2</v>
      </c>
      <c r="O968" s="95">
        <v>0.13859202199022835</v>
      </c>
      <c r="P968" s="95">
        <v>0.33240115945794019</v>
      </c>
      <c r="Q968" s="95">
        <v>0.39632266461224364</v>
      </c>
      <c r="R968" s="96">
        <v>0.12050081671797291</v>
      </c>
    </row>
    <row r="969" spans="1:18" ht="15" hidden="1" customHeight="1" x14ac:dyDescent="0.3">
      <c r="A969" s="89">
        <v>2021</v>
      </c>
      <c r="B969" s="90">
        <v>7</v>
      </c>
      <c r="C969" s="90" t="s">
        <v>728</v>
      </c>
      <c r="D969" s="90" t="s">
        <v>719</v>
      </c>
      <c r="E969" s="91" t="s">
        <v>11</v>
      </c>
      <c r="F969" s="92" t="s">
        <v>45</v>
      </c>
      <c r="G969" s="93">
        <v>14234.7052487897</v>
      </c>
      <c r="H969" s="93">
        <v>30284.6741145341</v>
      </c>
      <c r="I969" s="93">
        <v>2397.5457928860201</v>
      </c>
      <c r="J969" s="93">
        <v>8053.9665253983003</v>
      </c>
      <c r="K969" s="93">
        <v>1320.34800767616</v>
      </c>
      <c r="L969" s="93">
        <v>53653.788977358607</v>
      </c>
      <c r="M969" s="93">
        <v>134096.09203645919</v>
      </c>
      <c r="N969" s="95">
        <v>0.1769554663089585</v>
      </c>
      <c r="O969" s="95">
        <v>0.37647696501533651</v>
      </c>
      <c r="P969" s="95">
        <v>0.33003293233906006</v>
      </c>
      <c r="Q969" s="95">
        <v>0.10012103357459931</v>
      </c>
      <c r="R969" s="96">
        <v>1.6413602762045572E-2</v>
      </c>
    </row>
    <row r="970" spans="1:18" ht="15" hidden="1" customHeight="1" x14ac:dyDescent="0.3">
      <c r="A970" s="89">
        <v>2021</v>
      </c>
      <c r="B970" s="90">
        <v>7</v>
      </c>
      <c r="C970" s="90" t="s">
        <v>728</v>
      </c>
      <c r="D970" s="90" t="s">
        <v>719</v>
      </c>
      <c r="E970" s="91" t="s">
        <v>11</v>
      </c>
      <c r="F970" s="92" t="s">
        <v>721</v>
      </c>
      <c r="G970" s="93">
        <v>10470.495889984601</v>
      </c>
      <c r="H970" s="93">
        <v>115788.75241081</v>
      </c>
      <c r="I970" s="93">
        <v>2397.5457928860201</v>
      </c>
      <c r="J970" s="93">
        <v>29746.953220294701</v>
      </c>
      <c r="K970" s="93">
        <v>1449.1184779350399</v>
      </c>
      <c r="L970" s="93">
        <v>1263.987701729468</v>
      </c>
      <c r="M970" s="93">
        <v>309330.85090303083</v>
      </c>
      <c r="N970" s="95">
        <v>3.3987738185079719E-2</v>
      </c>
      <c r="O970" s="95">
        <v>0.3758559138999305</v>
      </c>
      <c r="P970" s="95">
        <v>0.4888923840661899</v>
      </c>
      <c r="Q970" s="95">
        <v>9.6560054889308328E-2</v>
      </c>
      <c r="R970" s="96">
        <v>4.7039089594914877E-3</v>
      </c>
    </row>
    <row r="971" spans="1:18" ht="15" hidden="1" customHeight="1" x14ac:dyDescent="0.3">
      <c r="A971" s="89">
        <v>2021</v>
      </c>
      <c r="B971" s="90">
        <v>7</v>
      </c>
      <c r="C971" s="90" t="s">
        <v>728</v>
      </c>
      <c r="D971" s="90" t="s">
        <v>719</v>
      </c>
      <c r="E971" s="91" t="s">
        <v>11</v>
      </c>
      <c r="F971" s="92" t="s">
        <v>46</v>
      </c>
      <c r="G971" s="93">
        <v>4255.07704721965</v>
      </c>
      <c r="H971" s="93">
        <v>35792.794728204099</v>
      </c>
      <c r="I971" s="93">
        <v>2397.5457928860201</v>
      </c>
      <c r="J971" s="93">
        <v>35916.908706937997</v>
      </c>
      <c r="K971" s="93">
        <v>12344.420172193601</v>
      </c>
      <c r="L971" s="93">
        <v>3279.5497675811698</v>
      </c>
      <c r="M971" s="93">
        <v>149075.00300839084</v>
      </c>
      <c r="N971" s="95">
        <v>2.9185252026972055E-2</v>
      </c>
      <c r="O971" s="95">
        <v>0.24550007515724998</v>
      </c>
      <c r="P971" s="95">
        <v>0.39429386382375398</v>
      </c>
      <c r="Q971" s="95">
        <v>0.24635136356148368</v>
      </c>
      <c r="R971" s="96">
        <v>8.4669445430540141E-2</v>
      </c>
    </row>
    <row r="972" spans="1:18" ht="15" hidden="1" customHeight="1" x14ac:dyDescent="0.3">
      <c r="A972" s="89">
        <v>2021</v>
      </c>
      <c r="B972" s="90">
        <v>7</v>
      </c>
      <c r="C972" s="90" t="s">
        <v>728</v>
      </c>
      <c r="D972" s="90" t="s">
        <v>719</v>
      </c>
      <c r="E972" s="91" t="s">
        <v>11</v>
      </c>
      <c r="F972" s="92" t="s">
        <v>47</v>
      </c>
      <c r="G972" s="93">
        <v>32582.3925820525</v>
      </c>
      <c r="H972" s="93">
        <v>265594.85689801897</v>
      </c>
      <c r="I972" s="93">
        <v>2397.5457928860201</v>
      </c>
      <c r="J972" s="93">
        <v>151810.65643124201</v>
      </c>
      <c r="K972" s="93">
        <v>20279.787024289399</v>
      </c>
      <c r="L972" s="93">
        <v>563428.50323195104</v>
      </c>
      <c r="M972" s="93">
        <v>1461770.3581408891</v>
      </c>
      <c r="N972" s="95">
        <v>3.6269480714950404E-2</v>
      </c>
      <c r="O972" s="95">
        <v>0.29565009739520764</v>
      </c>
      <c r="P972" s="95">
        <v>0.47651588271674988</v>
      </c>
      <c r="Q972" s="95">
        <v>0.16898985124836532</v>
      </c>
      <c r="R972" s="96">
        <v>2.2574687924726715E-2</v>
      </c>
    </row>
    <row r="973" spans="1:18" ht="15" hidden="1" customHeight="1" x14ac:dyDescent="0.3">
      <c r="A973" s="89">
        <v>2021</v>
      </c>
      <c r="B973" s="90">
        <v>7</v>
      </c>
      <c r="C973" s="90" t="s">
        <v>728</v>
      </c>
      <c r="D973" s="90" t="s">
        <v>719</v>
      </c>
      <c r="E973" s="91" t="s">
        <v>11</v>
      </c>
      <c r="F973" s="92" t="s">
        <v>48</v>
      </c>
      <c r="G973" s="93">
        <v>12998.8945170066</v>
      </c>
      <c r="H973" s="93">
        <v>41433.910241215097</v>
      </c>
      <c r="I973" s="93">
        <v>2397.5457928860201</v>
      </c>
      <c r="J973" s="93">
        <v>5867.5660175704697</v>
      </c>
      <c r="K973" s="93">
        <v>287.58563320312498</v>
      </c>
      <c r="L973" s="93">
        <v>9331.5681954963402</v>
      </c>
      <c r="M973" s="93">
        <v>110314.39779994183</v>
      </c>
      <c r="N973" s="95">
        <v>0.1287238094626966</v>
      </c>
      <c r="O973" s="95">
        <v>0.41030648877154341</v>
      </c>
      <c r="P973" s="95">
        <v>0.4000172440570226</v>
      </c>
      <c r="Q973" s="95">
        <v>5.8104591053290966E-2</v>
      </c>
      <c r="R973" s="96">
        <v>2.8478666554463909E-3</v>
      </c>
    </row>
    <row r="974" spans="1:18" ht="15" hidden="1" customHeight="1" x14ac:dyDescent="0.3">
      <c r="A974" s="89">
        <v>2021</v>
      </c>
      <c r="B974" s="90">
        <v>7</v>
      </c>
      <c r="C974" s="90" t="s">
        <v>728</v>
      </c>
      <c r="D974" s="90" t="s">
        <v>722</v>
      </c>
      <c r="E974" s="91" t="s">
        <v>11</v>
      </c>
      <c r="F974" s="92" t="s">
        <v>12</v>
      </c>
      <c r="G974" s="93">
        <v>9900.0836593122294</v>
      </c>
      <c r="H974" s="93">
        <v>77134.5535814084</v>
      </c>
      <c r="I974" s="93">
        <v>2397.5457928860201</v>
      </c>
      <c r="J974" s="93">
        <v>41438.245558842202</v>
      </c>
      <c r="K974" s="93">
        <v>1292.0878017432501</v>
      </c>
      <c r="L974" s="93">
        <v>100748.2944599644</v>
      </c>
      <c r="M974" s="93">
        <v>433311.4768023084</v>
      </c>
      <c r="N974" s="95">
        <v>2.9769030923937272E-2</v>
      </c>
      <c r="O974" s="95">
        <v>0.23193954615819523</v>
      </c>
      <c r="P974" s="95">
        <v>0.60980355766584948</v>
      </c>
      <c r="Q974" s="95">
        <v>0.1246026251823187</v>
      </c>
      <c r="R974" s="96">
        <v>3.8852400696994817E-3</v>
      </c>
    </row>
    <row r="975" spans="1:18" ht="15" hidden="1" customHeight="1" x14ac:dyDescent="0.3">
      <c r="A975" s="89">
        <v>2021</v>
      </c>
      <c r="B975" s="90">
        <v>7</v>
      </c>
      <c r="C975" s="90" t="s">
        <v>728</v>
      </c>
      <c r="D975" s="90" t="s">
        <v>722</v>
      </c>
      <c r="E975" s="91" t="s">
        <v>11</v>
      </c>
      <c r="F975" s="92" t="s">
        <v>26</v>
      </c>
      <c r="G975" s="93">
        <v>77567.867644016398</v>
      </c>
      <c r="H975" s="93">
        <v>409377.14151982398</v>
      </c>
      <c r="I975" s="93">
        <v>2397.5457928860201</v>
      </c>
      <c r="J975" s="93">
        <v>46817.141212965398</v>
      </c>
      <c r="K975" s="93">
        <v>1614.5653149096199</v>
      </c>
      <c r="L975" s="93">
        <v>299408.93473500101</v>
      </c>
      <c r="M975" s="93">
        <v>1302393.3163907304</v>
      </c>
      <c r="N975" s="95">
        <v>7.7337064327928168E-2</v>
      </c>
      <c r="O975" s="95">
        <v>0.40815903917070279</v>
      </c>
      <c r="P975" s="95">
        <v>0.46621629859488539</v>
      </c>
      <c r="Q975" s="95">
        <v>4.6677836733289436E-2</v>
      </c>
      <c r="R975" s="96">
        <v>1.6097611731942336E-3</v>
      </c>
    </row>
    <row r="976" spans="1:18" ht="15" hidden="1" customHeight="1" x14ac:dyDescent="0.3">
      <c r="A976" s="89">
        <v>2021</v>
      </c>
      <c r="B976" s="90">
        <v>7</v>
      </c>
      <c r="C976" s="90" t="s">
        <v>728</v>
      </c>
      <c r="D976" s="90" t="s">
        <v>722</v>
      </c>
      <c r="E976" s="91" t="s">
        <v>11</v>
      </c>
      <c r="F976" s="92" t="s">
        <v>27</v>
      </c>
      <c r="G976" s="93">
        <v>2049.0069842294702</v>
      </c>
      <c r="H976" s="93">
        <v>65597.755221436804</v>
      </c>
      <c r="I976" s="93">
        <v>2397.5457928860201</v>
      </c>
      <c r="J976" s="93">
        <v>21970.975351511599</v>
      </c>
      <c r="K976" s="93">
        <v>974.915691969975</v>
      </c>
      <c r="L976" s="93">
        <v>15388.784111507141</v>
      </c>
      <c r="M976" s="93">
        <v>226689.61699930101</v>
      </c>
      <c r="N976" s="95">
        <v>9.6971079395486593E-3</v>
      </c>
      <c r="O976" s="95">
        <v>0.31044721558798061</v>
      </c>
      <c r="P976" s="95">
        <v>0.5712622046442436</v>
      </c>
      <c r="Q976" s="95">
        <v>0.10397959653655861</v>
      </c>
      <c r="R976" s="96">
        <v>4.6138752916685382E-3</v>
      </c>
    </row>
    <row r="977" spans="1:18" ht="15" hidden="1" customHeight="1" x14ac:dyDescent="0.3">
      <c r="A977" s="89">
        <v>2021</v>
      </c>
      <c r="B977" s="90">
        <v>7</v>
      </c>
      <c r="C977" s="90" t="s">
        <v>728</v>
      </c>
      <c r="D977" s="90" t="s">
        <v>722</v>
      </c>
      <c r="E977" s="91" t="s">
        <v>11</v>
      </c>
      <c r="F977" s="92" t="s">
        <v>28</v>
      </c>
      <c r="G977" s="93">
        <v>9954.9901134084193</v>
      </c>
      <c r="H977" s="93">
        <v>75556.105708911302</v>
      </c>
      <c r="I977" s="93">
        <v>2397.5457928860201</v>
      </c>
      <c r="J977" s="93">
        <v>38990.621309956703</v>
      </c>
      <c r="K977" s="93">
        <v>885.98896100337004</v>
      </c>
      <c r="L977" s="93">
        <v>7576.5165437208798</v>
      </c>
      <c r="M977" s="93">
        <v>373104.58101494471</v>
      </c>
      <c r="N977" s="95">
        <v>2.7234543886006123E-2</v>
      </c>
      <c r="O977" s="95">
        <v>0.20670397994805528</v>
      </c>
      <c r="P977" s="95">
        <v>0.65696831986165882</v>
      </c>
      <c r="Q977" s="95">
        <v>0.10666929601249876</v>
      </c>
      <c r="R977" s="96">
        <v>2.4238602917810146E-3</v>
      </c>
    </row>
    <row r="978" spans="1:18" ht="15" customHeight="1" x14ac:dyDescent="0.3">
      <c r="A978" s="89">
        <v>2021</v>
      </c>
      <c r="B978" s="90">
        <v>7</v>
      </c>
      <c r="C978" s="90" t="s">
        <v>728</v>
      </c>
      <c r="D978" s="90" t="s">
        <v>722</v>
      </c>
      <c r="E978" s="91" t="s">
        <v>11</v>
      </c>
      <c r="F978" s="92" t="s">
        <v>29</v>
      </c>
      <c r="G978" s="93">
        <v>21953.861608221399</v>
      </c>
      <c r="H978" s="93">
        <v>86529.033832252593</v>
      </c>
      <c r="I978" s="93">
        <v>2397.5457928860201</v>
      </c>
      <c r="J978" s="93">
        <v>21858.937052587298</v>
      </c>
      <c r="K978" s="93">
        <v>1773.9791610079601</v>
      </c>
      <c r="L978" s="93">
        <v>125018.17165482949</v>
      </c>
      <c r="M978" s="93">
        <v>354392.05486975797</v>
      </c>
      <c r="N978" s="95">
        <v>9.5712124242366942E-2</v>
      </c>
      <c r="O978" s="95">
        <v>0.37724013134997131</v>
      </c>
      <c r="P978" s="95">
        <v>0.42401545545499708</v>
      </c>
      <c r="Q978" s="95">
        <v>9.5298282202882639E-2</v>
      </c>
      <c r="R978" s="96">
        <v>7.7340067497819786E-3</v>
      </c>
    </row>
    <row r="979" spans="1:18" ht="15" hidden="1" customHeight="1" x14ac:dyDescent="0.3">
      <c r="A979" s="89">
        <v>2021</v>
      </c>
      <c r="B979" s="90">
        <v>7</v>
      </c>
      <c r="C979" s="90" t="s">
        <v>728</v>
      </c>
      <c r="D979" s="90" t="s">
        <v>722</v>
      </c>
      <c r="E979" s="91" t="s">
        <v>11</v>
      </c>
      <c r="F979" s="92" t="s">
        <v>30</v>
      </c>
      <c r="G979" s="93">
        <v>233.62196018688701</v>
      </c>
      <c r="H979" s="93">
        <v>4621.8345175321701</v>
      </c>
      <c r="I979" s="93">
        <v>2397.5457928860201</v>
      </c>
      <c r="J979" s="93">
        <v>1878.5178781556299</v>
      </c>
      <c r="K979" s="93">
        <v>273.25716341758499</v>
      </c>
      <c r="L979" s="93">
        <v>216944.35590940373</v>
      </c>
      <c r="M979" s="93">
        <v>230086.50016211666</v>
      </c>
      <c r="N979" s="95">
        <v>1.7776548156413715E-2</v>
      </c>
      <c r="O979" s="95">
        <v>0.35168039770816611</v>
      </c>
      <c r="P979" s="95">
        <v>0.46681215907017798</v>
      </c>
      <c r="Q979" s="95">
        <v>0.14293846133730034</v>
      </c>
      <c r="R979" s="96">
        <v>2.0792433727941827E-2</v>
      </c>
    </row>
    <row r="980" spans="1:18" ht="15" hidden="1" customHeight="1" x14ac:dyDescent="0.3">
      <c r="A980" s="89">
        <v>2021</v>
      </c>
      <c r="B980" s="90">
        <v>7</v>
      </c>
      <c r="C980" s="90" t="s">
        <v>728</v>
      </c>
      <c r="D980" s="90" t="s">
        <v>722</v>
      </c>
      <c r="E980" s="91" t="s">
        <v>11</v>
      </c>
      <c r="F980" s="92" t="s">
        <v>31</v>
      </c>
      <c r="G980" s="93">
        <v>942.85182070312396</v>
      </c>
      <c r="H980" s="93">
        <v>40082.639964555798</v>
      </c>
      <c r="I980" s="93">
        <v>2397.5457928860201</v>
      </c>
      <c r="J980" s="93">
        <v>55724.7242994279</v>
      </c>
      <c r="K980" s="93">
        <v>20521.438077270301</v>
      </c>
      <c r="L980" s="93">
        <v>45875.555926219669</v>
      </c>
      <c r="M980" s="93">
        <v>251948.68865991873</v>
      </c>
      <c r="N980" s="95">
        <v>4.5753262843902008E-3</v>
      </c>
      <c r="O980" s="95">
        <v>0.19450686963813552</v>
      </c>
      <c r="P980" s="95">
        <v>0.43092215561403086</v>
      </c>
      <c r="Q980" s="95">
        <v>0.2704123704056024</v>
      </c>
      <c r="R980" s="96">
        <v>9.9583278057840868E-2</v>
      </c>
    </row>
    <row r="981" spans="1:18" ht="15" hidden="1" customHeight="1" x14ac:dyDescent="0.3">
      <c r="A981" s="89">
        <v>2021</v>
      </c>
      <c r="B981" s="90">
        <v>7</v>
      </c>
      <c r="C981" s="90" t="s">
        <v>728</v>
      </c>
      <c r="D981" s="90" t="s">
        <v>722</v>
      </c>
      <c r="E981" s="91" t="s">
        <v>11</v>
      </c>
      <c r="F981" s="92" t="s">
        <v>32</v>
      </c>
      <c r="G981" s="93">
        <v>47071.882533628297</v>
      </c>
      <c r="H981" s="93">
        <v>193466.164498581</v>
      </c>
      <c r="I981" s="93">
        <v>2397.5457928860201</v>
      </c>
      <c r="J981" s="93">
        <v>57496.569212225797</v>
      </c>
      <c r="K981" s="93">
        <v>1254.74545521599</v>
      </c>
      <c r="L981" s="93">
        <v>87535.005423016992</v>
      </c>
      <c r="M981" s="93">
        <v>609521.81280337798</v>
      </c>
      <c r="N981" s="95">
        <v>9.0178299275153875E-2</v>
      </c>
      <c r="O981" s="95">
        <v>0.3706342033230855</v>
      </c>
      <c r="P981" s="95">
        <v>0.4266342415785136</v>
      </c>
      <c r="Q981" s="95">
        <v>0.11014946814609672</v>
      </c>
      <c r="R981" s="96">
        <v>2.4037876771503975E-3</v>
      </c>
    </row>
    <row r="982" spans="1:18" ht="15" hidden="1" customHeight="1" x14ac:dyDescent="0.3">
      <c r="A982" s="89">
        <v>2021</v>
      </c>
      <c r="B982" s="90">
        <v>7</v>
      </c>
      <c r="C982" s="90" t="s">
        <v>728</v>
      </c>
      <c r="D982" s="90" t="s">
        <v>722</v>
      </c>
      <c r="E982" s="91" t="s">
        <v>11</v>
      </c>
      <c r="F982" s="92" t="s">
        <v>33</v>
      </c>
      <c r="G982" s="93">
        <v>95313.241415237804</v>
      </c>
      <c r="H982" s="93">
        <v>756152.19512416504</v>
      </c>
      <c r="I982" s="93">
        <v>2397.5457928860201</v>
      </c>
      <c r="J982" s="93">
        <v>12320.1340705575</v>
      </c>
      <c r="K982" s="93">
        <v>159.10903059895799</v>
      </c>
      <c r="L982" s="93">
        <v>103732.1025159085</v>
      </c>
      <c r="M982" s="93">
        <v>1352056.7882568107</v>
      </c>
      <c r="N982" s="95">
        <v>7.6352925247703277E-2</v>
      </c>
      <c r="O982" s="95">
        <v>0.60573359139763838</v>
      </c>
      <c r="P982" s="95">
        <v>0.30791669065825356</v>
      </c>
      <c r="Q982" s="95">
        <v>9.8693346460943278E-3</v>
      </c>
      <c r="R982" s="96">
        <v>1.2745805031046391E-4</v>
      </c>
    </row>
    <row r="983" spans="1:18" ht="15" hidden="1" customHeight="1" x14ac:dyDescent="0.3">
      <c r="A983" s="89">
        <v>2021</v>
      </c>
      <c r="B983" s="90">
        <v>7</v>
      </c>
      <c r="C983" s="90" t="s">
        <v>728</v>
      </c>
      <c r="D983" s="90" t="s">
        <v>722</v>
      </c>
      <c r="E983" s="91" t="s">
        <v>11</v>
      </c>
      <c r="F983" s="92" t="s">
        <v>34</v>
      </c>
      <c r="G983" s="93">
        <v>31904.018175055498</v>
      </c>
      <c r="H983" s="93">
        <v>240029.11228068499</v>
      </c>
      <c r="I983" s="93">
        <v>2397.5457928860201</v>
      </c>
      <c r="J983" s="93">
        <v>25368.630423669001</v>
      </c>
      <c r="K983" s="93">
        <v>993.93732926930204</v>
      </c>
      <c r="L983" s="93">
        <v>105771.78763050199</v>
      </c>
      <c r="M983" s="93">
        <v>713628.83042004483</v>
      </c>
      <c r="N983" s="95">
        <v>5.2486054991883288E-2</v>
      </c>
      <c r="O983" s="95">
        <v>0.39487757052078742</v>
      </c>
      <c r="P983" s="95">
        <v>0.50926669066832353</v>
      </c>
      <c r="Q983" s="95">
        <v>4.1734534006957841E-2</v>
      </c>
      <c r="R983" s="96">
        <v>1.6351498120478816E-3</v>
      </c>
    </row>
    <row r="984" spans="1:18" ht="15" hidden="1" customHeight="1" x14ac:dyDescent="0.3">
      <c r="A984" s="89">
        <v>2021</v>
      </c>
      <c r="B984" s="90">
        <v>7</v>
      </c>
      <c r="C984" s="90" t="s">
        <v>728</v>
      </c>
      <c r="D984" s="90" t="s">
        <v>722</v>
      </c>
      <c r="E984" s="91" t="s">
        <v>11</v>
      </c>
      <c r="F984" s="92" t="s">
        <v>35</v>
      </c>
      <c r="G984" s="93">
        <v>24787.100691622301</v>
      </c>
      <c r="H984" s="93">
        <v>86306.802531704903</v>
      </c>
      <c r="I984" s="93">
        <v>2397.5457928860201</v>
      </c>
      <c r="J984" s="93">
        <v>55223.940311009101</v>
      </c>
      <c r="K984" s="93">
        <v>10058.535863097401</v>
      </c>
      <c r="L984" s="93">
        <v>286094.60779218288</v>
      </c>
      <c r="M984" s="93">
        <v>605861.19629491353</v>
      </c>
      <c r="N984" s="95">
        <v>7.751623084727198E-2</v>
      </c>
      <c r="O984" s="95">
        <v>0.26990563002790979</v>
      </c>
      <c r="P984" s="95">
        <v>0.44842148698744516</v>
      </c>
      <c r="Q984" s="95">
        <v>0.17270078331069133</v>
      </c>
      <c r="R984" s="96">
        <v>3.1455868826681693E-2</v>
      </c>
    </row>
    <row r="985" spans="1:18" ht="15" hidden="1" customHeight="1" x14ac:dyDescent="0.3">
      <c r="A985" s="89">
        <v>2021</v>
      </c>
      <c r="B985" s="90">
        <v>7</v>
      </c>
      <c r="C985" s="90" t="s">
        <v>728</v>
      </c>
      <c r="D985" s="90" t="s">
        <v>722</v>
      </c>
      <c r="E985" s="91" t="s">
        <v>11</v>
      </c>
      <c r="F985" s="92" t="s">
        <v>36</v>
      </c>
      <c r="G985" s="93">
        <v>9748.6518364337498</v>
      </c>
      <c r="H985" s="93">
        <v>75795.923881627794</v>
      </c>
      <c r="I985" s="93">
        <v>2397.5457928860201</v>
      </c>
      <c r="J985" s="93">
        <v>26857.137599618702</v>
      </c>
      <c r="K985" s="93">
        <v>323.85770613510999</v>
      </c>
      <c r="L985" s="93">
        <v>43138.152636763502</v>
      </c>
      <c r="M985" s="93">
        <v>258886.87145458185</v>
      </c>
      <c r="N985" s="95">
        <v>4.5185213102774742E-2</v>
      </c>
      <c r="O985" s="95">
        <v>0.35131575425776257</v>
      </c>
      <c r="P985" s="95">
        <v>0.47751452874673794</v>
      </c>
      <c r="Q985" s="95">
        <v>0.12448341638727085</v>
      </c>
      <c r="R985" s="96">
        <v>1.5010875054538822E-3</v>
      </c>
    </row>
    <row r="986" spans="1:18" ht="15" hidden="1" customHeight="1" x14ac:dyDescent="0.3">
      <c r="A986" s="89">
        <v>2021</v>
      </c>
      <c r="B986" s="90">
        <v>7</v>
      </c>
      <c r="C986" s="90" t="s">
        <v>728</v>
      </c>
      <c r="D986" s="90" t="s">
        <v>722</v>
      </c>
      <c r="E986" s="91" t="s">
        <v>11</v>
      </c>
      <c r="F986" s="92" t="s">
        <v>37</v>
      </c>
      <c r="G986" s="93">
        <v>23507.5194772902</v>
      </c>
      <c r="H986" s="93">
        <v>115280.335168045</v>
      </c>
      <c r="I986" s="93">
        <v>2397.5457928860201</v>
      </c>
      <c r="J986" s="93">
        <v>26050.2821293017</v>
      </c>
      <c r="K986" s="93">
        <v>1319.5287062499899</v>
      </c>
      <c r="L986" s="93">
        <v>219890.72514634603</v>
      </c>
      <c r="M986" s="93">
        <v>524073.85777632293</v>
      </c>
      <c r="N986" s="95">
        <v>7.7280811970221519E-2</v>
      </c>
      <c r="O986" s="95">
        <v>0.37898332550962838</v>
      </c>
      <c r="P986" s="95">
        <v>0.45375779372024172</v>
      </c>
      <c r="Q986" s="95">
        <v>8.5640127064476407E-2</v>
      </c>
      <c r="R986" s="96">
        <v>4.3379417354318869E-3</v>
      </c>
    </row>
    <row r="987" spans="1:18" ht="15" hidden="1" customHeight="1" x14ac:dyDescent="0.3">
      <c r="A987" s="89">
        <v>2021</v>
      </c>
      <c r="B987" s="90">
        <v>7</v>
      </c>
      <c r="C987" s="90" t="s">
        <v>728</v>
      </c>
      <c r="D987" s="90" t="s">
        <v>722</v>
      </c>
      <c r="E987" s="91" t="s">
        <v>11</v>
      </c>
      <c r="F987" s="92" t="s">
        <v>720</v>
      </c>
      <c r="G987" s="93">
        <v>43951.1502946951</v>
      </c>
      <c r="H987" s="93">
        <v>120730.989789467</v>
      </c>
      <c r="I987" s="93">
        <v>2397.5457928860201</v>
      </c>
      <c r="J987" s="93">
        <v>148592.209684592</v>
      </c>
      <c r="K987" s="93">
        <v>5143.3818717539698</v>
      </c>
      <c r="L987" s="93">
        <v>254441.02613704262</v>
      </c>
      <c r="M987" s="93">
        <v>927958.42268835567</v>
      </c>
      <c r="N987" s="95">
        <v>6.5256147086538707E-2</v>
      </c>
      <c r="O987" s="95">
        <v>0.17925444896844459</v>
      </c>
      <c r="P987" s="95">
        <v>0.52723161529169371</v>
      </c>
      <c r="Q987" s="95">
        <v>0.22062119025498886</v>
      </c>
      <c r="R987" s="96">
        <v>7.6365983983341891E-3</v>
      </c>
    </row>
    <row r="988" spans="1:18" ht="15" hidden="1" customHeight="1" x14ac:dyDescent="0.3">
      <c r="A988" s="89">
        <v>2021</v>
      </c>
      <c r="B988" s="90">
        <v>7</v>
      </c>
      <c r="C988" s="90" t="s">
        <v>728</v>
      </c>
      <c r="D988" s="90" t="s">
        <v>722</v>
      </c>
      <c r="E988" s="91" t="s">
        <v>11</v>
      </c>
      <c r="F988" s="92" t="s">
        <v>39</v>
      </c>
      <c r="G988" s="93">
        <v>9955.1694934574007</v>
      </c>
      <c r="H988" s="93">
        <v>94930.014195597207</v>
      </c>
      <c r="I988" s="93">
        <v>2397.5457928860201</v>
      </c>
      <c r="J988" s="93">
        <v>24242.825488166302</v>
      </c>
      <c r="K988" s="93">
        <v>235.38399886182501</v>
      </c>
      <c r="L988" s="93">
        <v>58214.55138409057</v>
      </c>
      <c r="M988" s="93">
        <v>331195.16650097031</v>
      </c>
      <c r="N988" s="95">
        <v>3.6468411829151247E-2</v>
      </c>
      <c r="O988" s="95">
        <v>0.34775368263769146</v>
      </c>
      <c r="P988" s="95">
        <v>0.52610776732005549</v>
      </c>
      <c r="Q988" s="95">
        <v>8.8807864535679432E-2</v>
      </c>
      <c r="R988" s="96">
        <v>8.622736774222692E-4</v>
      </c>
    </row>
    <row r="989" spans="1:18" ht="15" hidden="1" customHeight="1" x14ac:dyDescent="0.3">
      <c r="A989" s="89">
        <v>2021</v>
      </c>
      <c r="B989" s="90">
        <v>7</v>
      </c>
      <c r="C989" s="90" t="s">
        <v>728</v>
      </c>
      <c r="D989" s="90" t="s">
        <v>722</v>
      </c>
      <c r="E989" s="91" t="s">
        <v>11</v>
      </c>
      <c r="F989" s="92" t="s">
        <v>40</v>
      </c>
      <c r="G989" s="93">
        <v>8101.2942647258196</v>
      </c>
      <c r="H989" s="93">
        <v>66757.6980658596</v>
      </c>
      <c r="I989" s="93">
        <v>2397.5457928860201</v>
      </c>
      <c r="J989" s="93">
        <v>46156.770051867301</v>
      </c>
      <c r="K989" s="93">
        <v>1183.2150316253001</v>
      </c>
      <c r="L989" s="93">
        <v>12310.36205686122</v>
      </c>
      <c r="M989" s="93">
        <v>326305.02470135625</v>
      </c>
      <c r="N989" s="95">
        <v>2.5800738765735361E-2</v>
      </c>
      <c r="O989" s="95">
        <v>0.21260774786303521</v>
      </c>
      <c r="P989" s="95">
        <v>0.61082466693890336</v>
      </c>
      <c r="Q989" s="95">
        <v>0.14699858164189888</v>
      </c>
      <c r="R989" s="96">
        <v>3.7682647904271446E-3</v>
      </c>
    </row>
    <row r="990" spans="1:18" ht="15" hidden="1" customHeight="1" x14ac:dyDescent="0.3">
      <c r="A990" s="89">
        <v>2021</v>
      </c>
      <c r="B990" s="90">
        <v>7</v>
      </c>
      <c r="C990" s="90" t="s">
        <v>728</v>
      </c>
      <c r="D990" s="90" t="s">
        <v>722</v>
      </c>
      <c r="E990" s="91" t="s">
        <v>11</v>
      </c>
      <c r="F990" s="92" t="s">
        <v>41</v>
      </c>
      <c r="G990" s="93">
        <v>510.10119809129799</v>
      </c>
      <c r="H990" s="93">
        <v>2828.2020469408599</v>
      </c>
      <c r="I990" s="93">
        <v>2397.5457928860201</v>
      </c>
      <c r="J990" s="93">
        <v>2057.7879631341898</v>
      </c>
      <c r="K990" s="93">
        <v>140.95324921874999</v>
      </c>
      <c r="L990" s="93">
        <v>8956.7238853661693</v>
      </c>
      <c r="M990" s="93">
        <v>18714.332738962948</v>
      </c>
      <c r="N990" s="95">
        <v>5.2277274662764155E-2</v>
      </c>
      <c r="O990" s="95">
        <v>0.28984581052337932</v>
      </c>
      <c r="P990" s="95">
        <v>0.4325408467932107</v>
      </c>
      <c r="Q990" s="95">
        <v>0.21089059768732821</v>
      </c>
      <c r="R990" s="96">
        <v>1.444547033331766E-2</v>
      </c>
    </row>
    <row r="991" spans="1:18" ht="15" hidden="1" customHeight="1" x14ac:dyDescent="0.3">
      <c r="A991" s="89">
        <v>2021</v>
      </c>
      <c r="B991" s="90">
        <v>7</v>
      </c>
      <c r="C991" s="90" t="s">
        <v>728</v>
      </c>
      <c r="D991" s="90" t="s">
        <v>722</v>
      </c>
      <c r="E991" s="91" t="s">
        <v>11</v>
      </c>
      <c r="F991" s="92" t="s">
        <v>42</v>
      </c>
      <c r="G991" s="93">
        <v>4883.8249689782397</v>
      </c>
      <c r="H991" s="93">
        <v>40831.671575758999</v>
      </c>
      <c r="I991" s="93">
        <v>2397.5457928860201</v>
      </c>
      <c r="J991" s="93">
        <v>168473.136904293</v>
      </c>
      <c r="K991" s="93">
        <v>24650.915688737899</v>
      </c>
      <c r="L991" s="93">
        <v>242836.7569009724</v>
      </c>
      <c r="M991" s="93">
        <v>620824.3397499756</v>
      </c>
      <c r="N991" s="95">
        <v>1.2920596312099514E-2</v>
      </c>
      <c r="O991" s="95">
        <v>0.1080238437146499</v>
      </c>
      <c r="P991" s="95">
        <v>0.36812858417844185</v>
      </c>
      <c r="Q991" s="95">
        <v>0.44571077079956334</v>
      </c>
      <c r="R991" s="96">
        <v>6.5216204995245414E-2</v>
      </c>
    </row>
    <row r="992" spans="1:18" ht="15" hidden="1" customHeight="1" x14ac:dyDescent="0.3">
      <c r="A992" s="89">
        <v>2021</v>
      </c>
      <c r="B992" s="90">
        <v>7</v>
      </c>
      <c r="C992" s="90" t="s">
        <v>728</v>
      </c>
      <c r="D992" s="90" t="s">
        <v>722</v>
      </c>
      <c r="E992" s="91" t="s">
        <v>11</v>
      </c>
      <c r="F992" s="92" t="s">
        <v>43</v>
      </c>
      <c r="G992" s="93">
        <v>1007.25895421415</v>
      </c>
      <c r="H992" s="93">
        <v>17382.7977443934</v>
      </c>
      <c r="I992" s="93">
        <v>2397.5457928860201</v>
      </c>
      <c r="J992" s="93">
        <v>17460.4483252955</v>
      </c>
      <c r="K992" s="93">
        <v>7210.91474894761</v>
      </c>
      <c r="L992" s="93">
        <v>116572.47434067602</v>
      </c>
      <c r="M992" s="93">
        <v>185575.48510012281</v>
      </c>
      <c r="N992" s="95">
        <v>1.4597318915917774E-2</v>
      </c>
      <c r="O992" s="95">
        <v>0.25191361294352843</v>
      </c>
      <c r="P992" s="95">
        <v>0.37594868254418307</v>
      </c>
      <c r="Q992" s="95">
        <v>0.25303893457873644</v>
      </c>
      <c r="R992" s="96">
        <v>0.10450145101763417</v>
      </c>
    </row>
    <row r="993" spans="1:18" ht="15" hidden="1" customHeight="1" x14ac:dyDescent="0.3">
      <c r="A993" s="89">
        <v>2021</v>
      </c>
      <c r="B993" s="90">
        <v>7</v>
      </c>
      <c r="C993" s="90" t="s">
        <v>728</v>
      </c>
      <c r="D993" s="90" t="s">
        <v>722</v>
      </c>
      <c r="E993" s="91" t="s">
        <v>11</v>
      </c>
      <c r="F993" s="92" t="s">
        <v>58</v>
      </c>
      <c r="G993" s="93">
        <v>7533.1693502512198</v>
      </c>
      <c r="H993" s="93">
        <v>105186.06548831001</v>
      </c>
      <c r="I993" s="93">
        <v>2397.5457928860201</v>
      </c>
      <c r="J993" s="93">
        <v>52247.4488984868</v>
      </c>
      <c r="K993" s="93">
        <v>816.38615331188805</v>
      </c>
      <c r="L993" s="93">
        <v>21056.242997896759</v>
      </c>
      <c r="M993" s="93">
        <v>371477.12559242063</v>
      </c>
      <c r="N993" s="95">
        <v>2.1497489802763663E-2</v>
      </c>
      <c r="O993" s="95">
        <v>0.30017065395620851</v>
      </c>
      <c r="P993" s="95">
        <v>0.52690299544108676</v>
      </c>
      <c r="Q993" s="95">
        <v>0.14909913048459197</v>
      </c>
      <c r="R993" s="96">
        <v>2.3297303153492085E-3</v>
      </c>
    </row>
    <row r="994" spans="1:18" ht="15" hidden="1" customHeight="1" x14ac:dyDescent="0.3">
      <c r="A994" s="89">
        <v>2021</v>
      </c>
      <c r="B994" s="90">
        <v>7</v>
      </c>
      <c r="C994" s="90" t="s">
        <v>728</v>
      </c>
      <c r="D994" s="90" t="s">
        <v>722</v>
      </c>
      <c r="E994" s="91" t="s">
        <v>11</v>
      </c>
      <c r="F994" s="92" t="s">
        <v>44</v>
      </c>
      <c r="G994" s="93">
        <v>5509.9329648131097</v>
      </c>
      <c r="H994" s="93">
        <v>38784.172537822298</v>
      </c>
      <c r="I994" s="93">
        <v>2397.5457928860201</v>
      </c>
      <c r="J994" s="93">
        <v>30456.866464556999</v>
      </c>
      <c r="K994" s="93">
        <v>1246.9074162025099</v>
      </c>
      <c r="L994" s="93">
        <v>48677.511702906108</v>
      </c>
      <c r="M994" s="93">
        <v>215729.28855108054</v>
      </c>
      <c r="N994" s="95">
        <v>3.2983384366038988E-2</v>
      </c>
      <c r="O994" s="95">
        <v>0.23216857234072658</v>
      </c>
      <c r="P994" s="95">
        <v>0.54506392678201887</v>
      </c>
      <c r="Q994" s="95">
        <v>0.18231991924418633</v>
      </c>
      <c r="R994" s="96">
        <v>7.4641972670291675E-3</v>
      </c>
    </row>
    <row r="995" spans="1:18" ht="15" hidden="1" customHeight="1" x14ac:dyDescent="0.3">
      <c r="A995" s="89">
        <v>2021</v>
      </c>
      <c r="B995" s="90">
        <v>7</v>
      </c>
      <c r="C995" s="90" t="s">
        <v>728</v>
      </c>
      <c r="D995" s="90" t="s">
        <v>722</v>
      </c>
      <c r="E995" s="91" t="s">
        <v>11</v>
      </c>
      <c r="F995" s="92" t="s">
        <v>51</v>
      </c>
      <c r="G995" s="93">
        <v>2051.10358077818</v>
      </c>
      <c r="H995" s="93">
        <v>24469.4574064997</v>
      </c>
      <c r="I995" s="93">
        <v>2397.5457928860201</v>
      </c>
      <c r="J995" s="93">
        <v>91184.590216426703</v>
      </c>
      <c r="K995" s="93">
        <v>33026.503735106096</v>
      </c>
      <c r="L995" s="93">
        <v>3225.3511641988298</v>
      </c>
      <c r="M995" s="93">
        <v>211202.4092354723</v>
      </c>
      <c r="N995" s="95">
        <v>9.86216268178613E-3</v>
      </c>
      <c r="O995" s="95">
        <v>0.11765459918234851</v>
      </c>
      <c r="P995" s="95">
        <v>0.27524864359243351</v>
      </c>
      <c r="Q995" s="95">
        <v>0.43843581144021115</v>
      </c>
      <c r="R995" s="96">
        <v>0.15879878310322074</v>
      </c>
    </row>
    <row r="996" spans="1:18" ht="15" hidden="1" customHeight="1" x14ac:dyDescent="0.3">
      <c r="A996" s="89">
        <v>2021</v>
      </c>
      <c r="B996" s="90">
        <v>7</v>
      </c>
      <c r="C996" s="90" t="s">
        <v>728</v>
      </c>
      <c r="D996" s="90" t="s">
        <v>722</v>
      </c>
      <c r="E996" s="91" t="s">
        <v>11</v>
      </c>
      <c r="F996" s="92" t="s">
        <v>45</v>
      </c>
      <c r="G996" s="93">
        <v>8464.1051534344297</v>
      </c>
      <c r="H996" s="93">
        <v>28986.6106070633</v>
      </c>
      <c r="I996" s="93">
        <v>2397.5457928860201</v>
      </c>
      <c r="J996" s="93">
        <v>13168.0063914905</v>
      </c>
      <c r="K996" s="93">
        <v>2229.5399743734602</v>
      </c>
      <c r="L996" s="93">
        <v>51706.255440553985</v>
      </c>
      <c r="M996" s="93">
        <v>134096.09203645907</v>
      </c>
      <c r="N996" s="95">
        <v>0.10273239398383648</v>
      </c>
      <c r="O996" s="95">
        <v>0.35182264954879133</v>
      </c>
      <c r="P996" s="95">
        <v>0.35855847869240304</v>
      </c>
      <c r="Q996" s="95">
        <v>0.15982561606567106</v>
      </c>
      <c r="R996" s="96">
        <v>2.706086170929816E-2</v>
      </c>
    </row>
    <row r="997" spans="1:18" ht="15" hidden="1" customHeight="1" x14ac:dyDescent="0.3">
      <c r="A997" s="89">
        <v>2021</v>
      </c>
      <c r="B997" s="90">
        <v>7</v>
      </c>
      <c r="C997" s="90" t="s">
        <v>728</v>
      </c>
      <c r="D997" s="90" t="s">
        <v>722</v>
      </c>
      <c r="E997" s="91" t="s">
        <v>11</v>
      </c>
      <c r="F997" s="92" t="s">
        <v>721</v>
      </c>
      <c r="G997" s="93">
        <v>6163.5430880499298</v>
      </c>
      <c r="H997" s="93">
        <v>94957.277471628098</v>
      </c>
      <c r="I997" s="93">
        <v>2397.5457928860201</v>
      </c>
      <c r="J997" s="93">
        <v>35345.040056463396</v>
      </c>
      <c r="K997" s="93">
        <v>1571.3634372931899</v>
      </c>
      <c r="L997" s="93">
        <v>1901.7290248881679</v>
      </c>
      <c r="M997" s="93">
        <v>309330.85090303182</v>
      </c>
      <c r="N997" s="95">
        <v>2.0048663738801514E-2</v>
      </c>
      <c r="O997" s="95">
        <v>0.30887534951638879</v>
      </c>
      <c r="P997" s="95">
        <v>0.55099496361913058</v>
      </c>
      <c r="Q997" s="95">
        <v>0.11496971998141799</v>
      </c>
      <c r="R997" s="96">
        <v>5.111303144261118E-3</v>
      </c>
    </row>
    <row r="998" spans="1:18" ht="15" hidden="1" customHeight="1" x14ac:dyDescent="0.3">
      <c r="A998" s="89">
        <v>2021</v>
      </c>
      <c r="B998" s="90">
        <v>7</v>
      </c>
      <c r="C998" s="90" t="s">
        <v>728</v>
      </c>
      <c r="D998" s="90" t="s">
        <v>722</v>
      </c>
      <c r="E998" s="91" t="s">
        <v>11</v>
      </c>
      <c r="F998" s="92" t="s">
        <v>46</v>
      </c>
      <c r="G998" s="93">
        <v>3321.9145878691802</v>
      </c>
      <c r="H998" s="93">
        <v>31800.748116233699</v>
      </c>
      <c r="I998" s="93">
        <v>2397.5457928860201</v>
      </c>
      <c r="J998" s="93">
        <v>40357.633472935297</v>
      </c>
      <c r="K998" s="93">
        <v>13912.8339957353</v>
      </c>
      <c r="L998" s="93">
        <v>4085.2779388755898</v>
      </c>
      <c r="M998" s="93">
        <v>149075.00300839008</v>
      </c>
      <c r="N998" s="95">
        <v>2.2911379315165317E-2</v>
      </c>
      <c r="O998" s="95">
        <v>0.21933104639647408</v>
      </c>
      <c r="P998" s="95">
        <v>0.38345196440703322</v>
      </c>
      <c r="Q998" s="95">
        <v>0.27834823090799066</v>
      </c>
      <c r="R998" s="96">
        <v>9.5957378973336713E-2</v>
      </c>
    </row>
    <row r="999" spans="1:18" ht="15" hidden="1" customHeight="1" x14ac:dyDescent="0.3">
      <c r="A999" s="89">
        <v>2021</v>
      </c>
      <c r="B999" s="90">
        <v>7</v>
      </c>
      <c r="C999" s="90" t="s">
        <v>728</v>
      </c>
      <c r="D999" s="90" t="s">
        <v>722</v>
      </c>
      <c r="E999" s="91" t="s">
        <v>11</v>
      </c>
      <c r="F999" s="92" t="s">
        <v>47</v>
      </c>
      <c r="G999" s="93">
        <v>42898.045192228201</v>
      </c>
      <c r="H999" s="93">
        <v>449602.15942609397</v>
      </c>
      <c r="I999" s="93">
        <v>2397.5457928860201</v>
      </c>
      <c r="J999" s="93">
        <v>140081.566708984</v>
      </c>
      <c r="K999" s="93">
        <v>16451.42150606</v>
      </c>
      <c r="L999" s="93">
        <v>293375.56659050001</v>
      </c>
      <c r="M999" s="93">
        <v>1461770.3581409075</v>
      </c>
      <c r="N999" s="95">
        <v>3.671536838614662E-2</v>
      </c>
      <c r="O999" s="95">
        <v>0.3848032896735975</v>
      </c>
      <c r="P999" s="95">
        <v>0.44450865621188834</v>
      </c>
      <c r="Q999" s="95">
        <v>0.11989232382926156</v>
      </c>
      <c r="R999" s="96">
        <v>1.4080361899105782E-2</v>
      </c>
    </row>
    <row r="1000" spans="1:18" ht="15" hidden="1" customHeight="1" x14ac:dyDescent="0.3">
      <c r="A1000" s="89">
        <v>2021</v>
      </c>
      <c r="B1000" s="90">
        <v>7</v>
      </c>
      <c r="C1000" s="90" t="s">
        <v>728</v>
      </c>
      <c r="D1000" s="90" t="s">
        <v>722</v>
      </c>
      <c r="E1000" s="91" t="s">
        <v>11</v>
      </c>
      <c r="F1000" s="92" t="s">
        <v>48</v>
      </c>
      <c r="G1000" s="93">
        <v>4854.3105560125696</v>
      </c>
      <c r="H1000" s="93">
        <v>31104.232883015899</v>
      </c>
      <c r="I1000" s="93">
        <v>2397.5457928860201</v>
      </c>
      <c r="J1000" s="93">
        <v>14171.1024445527</v>
      </c>
      <c r="K1000" s="93">
        <v>546.76273515624996</v>
      </c>
      <c r="L1000" s="93">
        <v>9389.5380117494096</v>
      </c>
      <c r="M1000" s="93">
        <v>110314.39779994042</v>
      </c>
      <c r="N1000" s="95">
        <v>4.8098264057044163E-2</v>
      </c>
      <c r="O1000" s="95">
        <v>0.3081919850896373</v>
      </c>
      <c r="P1000" s="95">
        <v>0.49787982143258874</v>
      </c>
      <c r="Q1000" s="95">
        <v>0.14041240655962575</v>
      </c>
      <c r="R1000" s="96">
        <v>5.4175228611040927E-3</v>
      </c>
    </row>
    <row r="1001" spans="1:18" ht="15" hidden="1" customHeight="1" x14ac:dyDescent="0.3">
      <c r="A1001" s="89">
        <v>2021</v>
      </c>
      <c r="B1001" s="90">
        <v>8</v>
      </c>
      <c r="C1001" s="90" t="s">
        <v>729</v>
      </c>
      <c r="D1001" s="90" t="s">
        <v>719</v>
      </c>
      <c r="E1001" s="91" t="s">
        <v>11</v>
      </c>
      <c r="F1001" s="92" t="s">
        <v>12</v>
      </c>
      <c r="G1001" s="93">
        <v>13963.955523832799</v>
      </c>
      <c r="H1001" s="93">
        <v>138294.60567716401</v>
      </c>
      <c r="I1001" s="93">
        <v>2397.5457928860201</v>
      </c>
      <c r="J1001" s="93">
        <v>13334.8240808884</v>
      </c>
      <c r="K1001" s="93">
        <v>700.20971511948301</v>
      </c>
      <c r="L1001" s="93">
        <v>86883.022858969111</v>
      </c>
      <c r="M1001" s="93">
        <v>433311.47680228582</v>
      </c>
      <c r="N1001" s="95">
        <v>4.0308338893310446E-2</v>
      </c>
      <c r="O1001" s="95">
        <v>0.39920105898631536</v>
      </c>
      <c r="P1001" s="95">
        <v>0.51997708876357485</v>
      </c>
      <c r="Q1001" s="95">
        <v>3.8492288751403397E-2</v>
      </c>
      <c r="R1001" s="96">
        <v>2.0212246053958739E-3</v>
      </c>
    </row>
    <row r="1002" spans="1:18" ht="15" hidden="1" customHeight="1" x14ac:dyDescent="0.3">
      <c r="A1002" s="89">
        <v>2021</v>
      </c>
      <c r="B1002" s="90">
        <v>8</v>
      </c>
      <c r="C1002" s="90" t="s">
        <v>729</v>
      </c>
      <c r="D1002" s="90" t="s">
        <v>719</v>
      </c>
      <c r="E1002" s="91" t="s">
        <v>11</v>
      </c>
      <c r="F1002" s="92" t="s">
        <v>26</v>
      </c>
      <c r="G1002" s="93">
        <v>103258.584018949</v>
      </c>
      <c r="H1002" s="93">
        <v>477054.65446713899</v>
      </c>
      <c r="I1002" s="93">
        <v>2397.5457928860201</v>
      </c>
      <c r="J1002" s="93">
        <v>32251.389036028198</v>
      </c>
      <c r="K1002" s="93">
        <v>1472.7207074448499</v>
      </c>
      <c r="L1002" s="93">
        <v>283910.94574551581</v>
      </c>
      <c r="M1002" s="93">
        <v>1302393.3163907118</v>
      </c>
      <c r="N1002" s="95">
        <v>0.10138475342831507</v>
      </c>
      <c r="O1002" s="95">
        <v>0.46839755720556137</v>
      </c>
      <c r="P1002" s="95">
        <v>0.39710557008406933</v>
      </c>
      <c r="Q1002" s="95">
        <v>3.1666123995447597E-2</v>
      </c>
      <c r="R1002" s="96">
        <v>1.4459952866065805E-3</v>
      </c>
    </row>
    <row r="1003" spans="1:18" ht="15" hidden="1" customHeight="1" x14ac:dyDescent="0.3">
      <c r="A1003" s="89">
        <v>2021</v>
      </c>
      <c r="B1003" s="90">
        <v>8</v>
      </c>
      <c r="C1003" s="90" t="s">
        <v>729</v>
      </c>
      <c r="D1003" s="90" t="s">
        <v>719</v>
      </c>
      <c r="E1003" s="91" t="s">
        <v>11</v>
      </c>
      <c r="F1003" s="92" t="s">
        <v>27</v>
      </c>
      <c r="G1003" s="93">
        <v>5096.0518536289601</v>
      </c>
      <c r="H1003" s="93">
        <v>117319.89445770399</v>
      </c>
      <c r="I1003" s="93">
        <v>2397.5457928860201</v>
      </c>
      <c r="J1003" s="93">
        <v>9762.5304054059397</v>
      </c>
      <c r="K1003" s="93">
        <v>374.89102304687401</v>
      </c>
      <c r="L1003" s="93">
        <v>12078.161330920491</v>
      </c>
      <c r="M1003" s="93">
        <v>226689.61699930145</v>
      </c>
      <c r="N1003" s="95">
        <v>2.3745479185898692E-2</v>
      </c>
      <c r="O1003" s="95">
        <v>0.54666184567047282</v>
      </c>
      <c r="P1003" s="95">
        <v>0.38235651341646876</v>
      </c>
      <c r="Q1003" s="95">
        <v>4.5489325697930433E-2</v>
      </c>
      <c r="R1003" s="96">
        <v>1.7468360292292977E-3</v>
      </c>
    </row>
    <row r="1004" spans="1:18" ht="15" hidden="1" customHeight="1" x14ac:dyDescent="0.3">
      <c r="A1004" s="89">
        <v>2021</v>
      </c>
      <c r="B1004" s="90">
        <v>8</v>
      </c>
      <c r="C1004" s="90" t="s">
        <v>729</v>
      </c>
      <c r="D1004" s="90" t="s">
        <v>719</v>
      </c>
      <c r="E1004" s="91" t="s">
        <v>11</v>
      </c>
      <c r="F1004" s="92" t="s">
        <v>28</v>
      </c>
      <c r="G1004" s="93">
        <v>17557.240086176502</v>
      </c>
      <c r="H1004" s="93">
        <v>182239.636223557</v>
      </c>
      <c r="I1004" s="93">
        <v>2397.5457928860201</v>
      </c>
      <c r="J1004" s="93">
        <v>6892.2121691758202</v>
      </c>
      <c r="K1004" s="93">
        <v>360.47812226868803</v>
      </c>
      <c r="L1004" s="93">
        <v>3259.8576611443004</v>
      </c>
      <c r="M1004" s="93">
        <v>373104.58101492724</v>
      </c>
      <c r="N1004" s="95">
        <v>4.7471922613809323E-2</v>
      </c>
      <c r="O1004" s="95">
        <v>0.49274634655050015</v>
      </c>
      <c r="P1004" s="95">
        <v>0.44017163548087118</v>
      </c>
      <c r="Q1004" s="95">
        <v>1.8635421121265872E-2</v>
      </c>
      <c r="R1004" s="96">
        <v>9.7467423355359023E-4</v>
      </c>
    </row>
    <row r="1005" spans="1:18" ht="15" customHeight="1" x14ac:dyDescent="0.3">
      <c r="A1005" s="89">
        <v>2021</v>
      </c>
      <c r="B1005" s="90">
        <v>8</v>
      </c>
      <c r="C1005" s="90" t="s">
        <v>729</v>
      </c>
      <c r="D1005" s="90" t="s">
        <v>719</v>
      </c>
      <c r="E1005" s="91" t="s">
        <v>11</v>
      </c>
      <c r="F1005" s="92" t="s">
        <v>29</v>
      </c>
      <c r="G1005" s="93">
        <v>30833.978533619898</v>
      </c>
      <c r="H1005" s="93">
        <v>108928.146919878</v>
      </c>
      <c r="I1005" s="93">
        <v>2397.5457928860201</v>
      </c>
      <c r="J1005" s="93">
        <v>12286.6333380836</v>
      </c>
      <c r="K1005" s="93">
        <v>888.96028487745104</v>
      </c>
      <c r="L1005" s="93">
        <v>120572.0308121072</v>
      </c>
      <c r="M1005" s="93">
        <v>354392.05486975808</v>
      </c>
      <c r="N1005" s="95">
        <v>0.13187056437055814</v>
      </c>
      <c r="O1005" s="95">
        <v>0.46586320978660317</v>
      </c>
      <c r="P1005" s="95">
        <v>0.34591693037055499</v>
      </c>
      <c r="Q1005" s="95">
        <v>5.2547395748510396E-2</v>
      </c>
      <c r="R1005" s="96">
        <v>3.8018997237733083E-3</v>
      </c>
    </row>
    <row r="1006" spans="1:18" ht="15" hidden="1" customHeight="1" x14ac:dyDescent="0.3">
      <c r="A1006" s="89">
        <v>2021</v>
      </c>
      <c r="B1006" s="90">
        <v>8</v>
      </c>
      <c r="C1006" s="90" t="s">
        <v>729</v>
      </c>
      <c r="D1006" s="90" t="s">
        <v>719</v>
      </c>
      <c r="E1006" s="91" t="s">
        <v>11</v>
      </c>
      <c r="F1006" s="92" t="s">
        <v>30</v>
      </c>
      <c r="G1006" s="93">
        <v>385.95104233915401</v>
      </c>
      <c r="H1006" s="93">
        <v>3646.30586609682</v>
      </c>
      <c r="I1006" s="93">
        <v>2397.5457928860201</v>
      </c>
      <c r="J1006" s="93">
        <v>1668.8039729120701</v>
      </c>
      <c r="K1006" s="93">
        <v>351.569145703125</v>
      </c>
      <c r="L1006" s="93">
        <v>218388.14670949525</v>
      </c>
      <c r="M1006" s="93">
        <v>230086.50016211631</v>
      </c>
      <c r="N1006" s="95">
        <v>3.2991911545695404E-2</v>
      </c>
      <c r="O1006" s="95">
        <v>0.3116939388833268</v>
      </c>
      <c r="P1006" s="95">
        <v>0.48260838146456764</v>
      </c>
      <c r="Q1006" s="95">
        <v>0.14265289381713545</v>
      </c>
      <c r="R1006" s="96">
        <v>3.0052874289274872E-2</v>
      </c>
    </row>
    <row r="1007" spans="1:18" ht="15" hidden="1" customHeight="1" x14ac:dyDescent="0.3">
      <c r="A1007" s="89">
        <v>2021</v>
      </c>
      <c r="B1007" s="90">
        <v>8</v>
      </c>
      <c r="C1007" s="90" t="s">
        <v>729</v>
      </c>
      <c r="D1007" s="90" t="s">
        <v>719</v>
      </c>
      <c r="E1007" s="91" t="s">
        <v>11</v>
      </c>
      <c r="F1007" s="92" t="s">
        <v>31</v>
      </c>
      <c r="G1007" s="93">
        <v>695.99900804993797</v>
      </c>
      <c r="H1007" s="93">
        <v>33337.306325694401</v>
      </c>
      <c r="I1007" s="93">
        <v>2397.5457928860201</v>
      </c>
      <c r="J1007" s="93">
        <v>46261.942991362499</v>
      </c>
      <c r="K1007" s="93">
        <v>14972.431109983199</v>
      </c>
      <c r="L1007" s="93">
        <v>64206.398029240794</v>
      </c>
      <c r="M1007" s="93">
        <v>251948.68865992117</v>
      </c>
      <c r="N1007" s="95">
        <v>3.7072041984354035E-3</v>
      </c>
      <c r="O1007" s="95">
        <v>0.17756950878624522</v>
      </c>
      <c r="P1007" s="95">
        <v>0.49256143027200466</v>
      </c>
      <c r="Q1007" s="95">
        <v>0.24641194499095181</v>
      </c>
      <c r="R1007" s="96">
        <v>7.9749911752362748E-2</v>
      </c>
    </row>
    <row r="1008" spans="1:18" ht="15" hidden="1" customHeight="1" x14ac:dyDescent="0.3">
      <c r="A1008" s="89">
        <v>2021</v>
      </c>
      <c r="B1008" s="90">
        <v>8</v>
      </c>
      <c r="C1008" s="90" t="s">
        <v>729</v>
      </c>
      <c r="D1008" s="90" t="s">
        <v>719</v>
      </c>
      <c r="E1008" s="91" t="s">
        <v>11</v>
      </c>
      <c r="F1008" s="92" t="s">
        <v>32</v>
      </c>
      <c r="G1008" s="93">
        <v>58931.032678040101</v>
      </c>
      <c r="H1008" s="93">
        <v>196356.037089077</v>
      </c>
      <c r="I1008" s="93">
        <v>2397.5457928860201</v>
      </c>
      <c r="J1008" s="93">
        <v>54825.079797064704</v>
      </c>
      <c r="K1008" s="93">
        <v>1242.68585496936</v>
      </c>
      <c r="L1008" s="93">
        <v>89657.037301276505</v>
      </c>
      <c r="M1008" s="93">
        <v>609521.81280337367</v>
      </c>
      <c r="N1008" s="95">
        <v>0.11335838751745235</v>
      </c>
      <c r="O1008" s="95">
        <v>0.37770598498317542</v>
      </c>
      <c r="P1008" s="95">
        <v>0.40108495498961699</v>
      </c>
      <c r="Q1008" s="95">
        <v>0.10546027040226642</v>
      </c>
      <c r="R1008" s="96">
        <v>2.3904021074887135E-3</v>
      </c>
    </row>
    <row r="1009" spans="1:18" ht="15" hidden="1" customHeight="1" x14ac:dyDescent="0.3">
      <c r="A1009" s="89">
        <v>2021</v>
      </c>
      <c r="B1009" s="90">
        <v>8</v>
      </c>
      <c r="C1009" s="90" t="s">
        <v>729</v>
      </c>
      <c r="D1009" s="90" t="s">
        <v>719</v>
      </c>
      <c r="E1009" s="91" t="s">
        <v>11</v>
      </c>
      <c r="F1009" s="92" t="s">
        <v>33</v>
      </c>
      <c r="G1009" s="93">
        <v>158996.834031551</v>
      </c>
      <c r="H1009" s="93">
        <v>690408.477971385</v>
      </c>
      <c r="I1009" s="93">
        <v>2397.5457928860201</v>
      </c>
      <c r="J1009" s="93">
        <v>13170.661054689001</v>
      </c>
      <c r="K1009" s="93">
        <v>81.694022265624994</v>
      </c>
      <c r="L1009" s="93">
        <v>43619.845458851079</v>
      </c>
      <c r="M1009" s="93">
        <v>1352056.7882567779</v>
      </c>
      <c r="N1009" s="95">
        <v>0.12151661943414438</v>
      </c>
      <c r="O1009" s="95">
        <v>0.52765896115332378</v>
      </c>
      <c r="P1009" s="95">
        <v>0.34069603290533318</v>
      </c>
      <c r="Q1009" s="95">
        <v>1.0065950160750743E-2</v>
      </c>
      <c r="R1009" s="96">
        <v>6.2436346447794928E-5</v>
      </c>
    </row>
    <row r="1010" spans="1:18" ht="15" hidden="1" customHeight="1" x14ac:dyDescent="0.3">
      <c r="A1010" s="89">
        <v>2021</v>
      </c>
      <c r="B1010" s="90">
        <v>8</v>
      </c>
      <c r="C1010" s="90" t="s">
        <v>729</v>
      </c>
      <c r="D1010" s="90" t="s">
        <v>719</v>
      </c>
      <c r="E1010" s="91" t="s">
        <v>11</v>
      </c>
      <c r="F1010" s="92" t="s">
        <v>34</v>
      </c>
      <c r="G1010" s="93">
        <v>48348.843058198698</v>
      </c>
      <c r="H1010" s="93">
        <v>325451.667636364</v>
      </c>
      <c r="I1010" s="93">
        <v>2397.5457928860201</v>
      </c>
      <c r="J1010" s="93">
        <v>9675.5477680376407</v>
      </c>
      <c r="K1010" s="93">
        <v>563.08121954963201</v>
      </c>
      <c r="L1010" s="93">
        <v>119088.18754423241</v>
      </c>
      <c r="M1010" s="93">
        <v>713628.83042003051</v>
      </c>
      <c r="N1010" s="95">
        <v>8.1321342178282283E-2</v>
      </c>
      <c r="O1010" s="95">
        <v>0.54740020137589174</v>
      </c>
      <c r="P1010" s="95">
        <v>0.35405738146924737</v>
      </c>
      <c r="Q1010" s="95">
        <v>1.6273988807959262E-2</v>
      </c>
      <c r="R1010" s="96">
        <v>9.4708616861919389E-4</v>
      </c>
    </row>
    <row r="1011" spans="1:18" ht="15" hidden="1" customHeight="1" x14ac:dyDescent="0.3">
      <c r="A1011" s="89">
        <v>2021</v>
      </c>
      <c r="B1011" s="90">
        <v>8</v>
      </c>
      <c r="C1011" s="90" t="s">
        <v>729</v>
      </c>
      <c r="D1011" s="90" t="s">
        <v>719</v>
      </c>
      <c r="E1011" s="91" t="s">
        <v>11</v>
      </c>
      <c r="F1011" s="92" t="s">
        <v>35</v>
      </c>
      <c r="G1011" s="93">
        <v>29593.810369080998</v>
      </c>
      <c r="H1011" s="93">
        <v>103527.63357201099</v>
      </c>
      <c r="I1011" s="93">
        <v>2397.5457928860201</v>
      </c>
      <c r="J1011" s="93">
        <v>41731.0311093485</v>
      </c>
      <c r="K1011" s="93">
        <v>10053.442227319199</v>
      </c>
      <c r="L1011" s="93">
        <v>293911.73924015625</v>
      </c>
      <c r="M1011" s="93">
        <v>605861.19629491097</v>
      </c>
      <c r="N1011" s="95">
        <v>9.4867324497014793E-2</v>
      </c>
      <c r="O1011" s="95">
        <v>0.33187310069220405</v>
      </c>
      <c r="P1011" s="95">
        <v>0.40725680684450039</v>
      </c>
      <c r="Q1011" s="95">
        <v>0.13377497593151344</v>
      </c>
      <c r="R1011" s="96">
        <v>3.2227792034767271E-2</v>
      </c>
    </row>
    <row r="1012" spans="1:18" ht="15" hidden="1" customHeight="1" x14ac:dyDescent="0.3">
      <c r="A1012" s="89">
        <v>2021</v>
      </c>
      <c r="B1012" s="90">
        <v>8</v>
      </c>
      <c r="C1012" s="90" t="s">
        <v>729</v>
      </c>
      <c r="D1012" s="90" t="s">
        <v>719</v>
      </c>
      <c r="E1012" s="91" t="s">
        <v>11</v>
      </c>
      <c r="F1012" s="92" t="s">
        <v>36</v>
      </c>
      <c r="G1012" s="93">
        <v>8651.1509353323709</v>
      </c>
      <c r="H1012" s="93">
        <v>89036.856771428298</v>
      </c>
      <c r="I1012" s="93">
        <v>2397.5457928860201</v>
      </c>
      <c r="J1012" s="93">
        <v>20296.615853471201</v>
      </c>
      <c r="K1012" s="93">
        <v>405.73295703125001</v>
      </c>
      <c r="L1012" s="93">
        <v>42398.308549248053</v>
      </c>
      <c r="M1012" s="93">
        <v>258886.87145458511</v>
      </c>
      <c r="N1012" s="95">
        <v>3.9961237763471227E-2</v>
      </c>
      <c r="O1012" s="95">
        <v>0.41127741612087393</v>
      </c>
      <c r="P1012" s="95">
        <v>0.45313343611121315</v>
      </c>
      <c r="Q1012" s="95">
        <v>9.3753755769288419E-2</v>
      </c>
      <c r="R1012" s="96">
        <v>1.8741542351531197E-3</v>
      </c>
    </row>
    <row r="1013" spans="1:18" ht="15" hidden="1" customHeight="1" x14ac:dyDescent="0.3">
      <c r="A1013" s="89">
        <v>2021</v>
      </c>
      <c r="B1013" s="90">
        <v>8</v>
      </c>
      <c r="C1013" s="90" t="s">
        <v>729</v>
      </c>
      <c r="D1013" s="90" t="s">
        <v>719</v>
      </c>
      <c r="E1013" s="91" t="s">
        <v>11</v>
      </c>
      <c r="F1013" s="92" t="s">
        <v>37</v>
      </c>
      <c r="G1013" s="93">
        <v>31022.081857045599</v>
      </c>
      <c r="H1013" s="93">
        <v>160427.99947392501</v>
      </c>
      <c r="I1013" s="93">
        <v>2397.5457928860201</v>
      </c>
      <c r="J1013" s="93">
        <v>11241.840762449399</v>
      </c>
      <c r="K1013" s="93">
        <v>842.972749999999</v>
      </c>
      <c r="L1013" s="93">
        <v>205446.0182179457</v>
      </c>
      <c r="M1013" s="93">
        <v>524073.85777630872</v>
      </c>
      <c r="N1013" s="95">
        <v>9.7361492015399648E-2</v>
      </c>
      <c r="O1013" s="95">
        <v>0.503496492008632</v>
      </c>
      <c r="P1013" s="95">
        <v>0.36121433982187062</v>
      </c>
      <c r="Q1013" s="95">
        <v>3.5282041826700562E-2</v>
      </c>
      <c r="R1013" s="96">
        <v>2.6456343273971571E-3</v>
      </c>
    </row>
    <row r="1014" spans="1:18" ht="15" hidden="1" customHeight="1" x14ac:dyDescent="0.3">
      <c r="A1014" s="89">
        <v>2021</v>
      </c>
      <c r="B1014" s="90">
        <v>8</v>
      </c>
      <c r="C1014" s="90" t="s">
        <v>729</v>
      </c>
      <c r="D1014" s="90" t="s">
        <v>719</v>
      </c>
      <c r="E1014" s="91" t="s">
        <v>11</v>
      </c>
      <c r="F1014" s="92" t="s">
        <v>720</v>
      </c>
      <c r="G1014" s="93">
        <v>60532.707629887002</v>
      </c>
      <c r="H1014" s="93">
        <v>218743.834940083</v>
      </c>
      <c r="I1014" s="93">
        <v>2397.5457928860201</v>
      </c>
      <c r="J1014" s="93">
        <v>71982.883147668806</v>
      </c>
      <c r="K1014" s="93">
        <v>4875.4386564966098</v>
      </c>
      <c r="L1014" s="93">
        <v>269976.19805842801</v>
      </c>
      <c r="M1014" s="93">
        <v>927958.42268839944</v>
      </c>
      <c r="N1014" s="95">
        <v>9.1997481640068157E-2</v>
      </c>
      <c r="O1014" s="95">
        <v>0.33244641990609652</v>
      </c>
      <c r="P1014" s="95">
        <v>0.45874698275562908</v>
      </c>
      <c r="Q1014" s="95">
        <v>0.10939943429041676</v>
      </c>
      <c r="R1014" s="96">
        <v>7.4096814077894025E-3</v>
      </c>
    </row>
    <row r="1015" spans="1:18" ht="15" hidden="1" customHeight="1" x14ac:dyDescent="0.3">
      <c r="A1015" s="89">
        <v>2021</v>
      </c>
      <c r="B1015" s="90">
        <v>8</v>
      </c>
      <c r="C1015" s="90" t="s">
        <v>729</v>
      </c>
      <c r="D1015" s="90" t="s">
        <v>719</v>
      </c>
      <c r="E1015" s="91" t="s">
        <v>11</v>
      </c>
      <c r="F1015" s="92" t="s">
        <v>39</v>
      </c>
      <c r="G1015" s="93">
        <v>15505.3273885004</v>
      </c>
      <c r="H1015" s="93">
        <v>128997.47127548901</v>
      </c>
      <c r="I1015" s="93">
        <v>2397.5457928860201</v>
      </c>
      <c r="J1015" s="93">
        <v>11183.262028786699</v>
      </c>
      <c r="K1015" s="93">
        <v>111.63245767156801</v>
      </c>
      <c r="L1015" s="93">
        <v>63859.003863148515</v>
      </c>
      <c r="M1015" s="93">
        <v>331195.16650097416</v>
      </c>
      <c r="N1015" s="95">
        <v>5.7999363930072871E-2</v>
      </c>
      <c r="O1015" s="95">
        <v>0.48252907501424963</v>
      </c>
      <c r="P1015" s="95">
        <v>0.41722177945108391</v>
      </c>
      <c r="Q1015" s="95">
        <v>4.1832208252114596E-2</v>
      </c>
      <c r="R1015" s="96">
        <v>4.175733524790747E-4</v>
      </c>
    </row>
    <row r="1016" spans="1:18" ht="15" hidden="1" customHeight="1" x14ac:dyDescent="0.3">
      <c r="A1016" s="89">
        <v>2021</v>
      </c>
      <c r="B1016" s="90">
        <v>8</v>
      </c>
      <c r="C1016" s="90" t="s">
        <v>729</v>
      </c>
      <c r="D1016" s="90" t="s">
        <v>719</v>
      </c>
      <c r="E1016" s="91" t="s">
        <v>11</v>
      </c>
      <c r="F1016" s="92" t="s">
        <v>40</v>
      </c>
      <c r="G1016" s="93">
        <v>8265.7526552971995</v>
      </c>
      <c r="H1016" s="93">
        <v>87497.939884194799</v>
      </c>
      <c r="I1016" s="93">
        <v>2397.5457928860201</v>
      </c>
      <c r="J1016" s="93">
        <v>40849.196294204798</v>
      </c>
      <c r="K1016" s="93">
        <v>3522.29150572456</v>
      </c>
      <c r="L1016" s="93">
        <v>51809.592113703315</v>
      </c>
      <c r="M1016" s="93">
        <v>326305.02470135468</v>
      </c>
      <c r="N1016" s="95">
        <v>3.0112532574318136E-2</v>
      </c>
      <c r="O1016" s="95">
        <v>0.31875918320154606</v>
      </c>
      <c r="P1016" s="95">
        <v>0.48948083026964884</v>
      </c>
      <c r="Q1016" s="95">
        <v>0.14881557740003892</v>
      </c>
      <c r="R1016" s="96">
        <v>1.2831876554448054E-2</v>
      </c>
    </row>
    <row r="1017" spans="1:18" ht="15" hidden="1" customHeight="1" x14ac:dyDescent="0.3">
      <c r="A1017" s="89">
        <v>2021</v>
      </c>
      <c r="B1017" s="90">
        <v>8</v>
      </c>
      <c r="C1017" s="90" t="s">
        <v>729</v>
      </c>
      <c r="D1017" s="90" t="s">
        <v>719</v>
      </c>
      <c r="E1017" s="91" t="s">
        <v>11</v>
      </c>
      <c r="F1017" s="92" t="s">
        <v>41</v>
      </c>
      <c r="G1017" s="93">
        <v>1692.4357373728501</v>
      </c>
      <c r="H1017" s="93">
        <v>7943.45886649974</v>
      </c>
      <c r="I1017" s="93">
        <v>2397.5457928860201</v>
      </c>
      <c r="J1017" s="93">
        <v>1291.54447313419</v>
      </c>
      <c r="K1017" s="93">
        <v>96.928446874999906</v>
      </c>
      <c r="L1017" s="93">
        <v>2213.1828826256101</v>
      </c>
      <c r="M1017" s="93">
        <v>18714.332738962989</v>
      </c>
      <c r="N1017" s="95">
        <v>0.10256471531423968</v>
      </c>
      <c r="O1017" s="95">
        <v>0.48138820237724222</v>
      </c>
      <c r="P1017" s="95">
        <v>0.33190307221846149</v>
      </c>
      <c r="Q1017" s="95">
        <v>7.8269968116080321E-2</v>
      </c>
      <c r="R1017" s="96">
        <v>5.87404197397637E-3</v>
      </c>
    </row>
    <row r="1018" spans="1:18" ht="15" hidden="1" customHeight="1" x14ac:dyDescent="0.3">
      <c r="A1018" s="89">
        <v>2021</v>
      </c>
      <c r="B1018" s="90">
        <v>8</v>
      </c>
      <c r="C1018" s="90" t="s">
        <v>729</v>
      </c>
      <c r="D1018" s="90" t="s">
        <v>719</v>
      </c>
      <c r="E1018" s="91" t="s">
        <v>11</v>
      </c>
      <c r="F1018" s="92" t="s">
        <v>42</v>
      </c>
      <c r="G1018" s="93">
        <v>11478.518832313201</v>
      </c>
      <c r="H1018" s="93">
        <v>72327.103352883598</v>
      </c>
      <c r="I1018" s="93">
        <v>2397.5457928860201</v>
      </c>
      <c r="J1018" s="93">
        <v>95518.2241150224</v>
      </c>
      <c r="K1018" s="93">
        <v>8410.2080784267891</v>
      </c>
      <c r="L1018" s="93">
        <v>191529.49540583589</v>
      </c>
      <c r="M1018" s="93">
        <v>620824.3397500189</v>
      </c>
      <c r="N1018" s="95">
        <v>2.6738077532350725E-2</v>
      </c>
      <c r="O1018" s="95">
        <v>0.16847885388275485</v>
      </c>
      <c r="P1018" s="95">
        <v>0.56269203590031469</v>
      </c>
      <c r="Q1018" s="95">
        <v>0.22250028243628658</v>
      </c>
      <c r="R1018" s="96">
        <v>1.9590750248293189E-2</v>
      </c>
    </row>
    <row r="1019" spans="1:18" ht="15" hidden="1" customHeight="1" x14ac:dyDescent="0.3">
      <c r="A1019" s="89">
        <v>2021</v>
      </c>
      <c r="B1019" s="90">
        <v>8</v>
      </c>
      <c r="C1019" s="90" t="s">
        <v>729</v>
      </c>
      <c r="D1019" s="90" t="s">
        <v>719</v>
      </c>
      <c r="E1019" s="91" t="s">
        <v>11</v>
      </c>
      <c r="F1019" s="92" t="s">
        <v>43</v>
      </c>
      <c r="G1019" s="93">
        <v>1161.7388767631701</v>
      </c>
      <c r="H1019" s="93">
        <v>17526.6489798699</v>
      </c>
      <c r="I1019" s="93">
        <v>2397.5457928860201</v>
      </c>
      <c r="J1019" s="93">
        <v>15949.9210643964</v>
      </c>
      <c r="K1019" s="93">
        <v>5293.3582713556998</v>
      </c>
      <c r="L1019" s="93">
        <v>120488.13011904183</v>
      </c>
      <c r="M1019" s="93">
        <v>185575.4851001233</v>
      </c>
      <c r="N1019" s="95">
        <v>1.7848918228446146E-2</v>
      </c>
      <c r="O1019" s="95">
        <v>0.26927886353600111</v>
      </c>
      <c r="P1019" s="95">
        <v>0.38649116707858455</v>
      </c>
      <c r="Q1019" s="95">
        <v>0.24505406724597215</v>
      </c>
      <c r="R1019" s="96">
        <v>8.132698391099602E-2</v>
      </c>
    </row>
    <row r="1020" spans="1:18" ht="15" hidden="1" customHeight="1" x14ac:dyDescent="0.3">
      <c r="A1020" s="89">
        <v>2021</v>
      </c>
      <c r="B1020" s="90">
        <v>8</v>
      </c>
      <c r="C1020" s="90" t="s">
        <v>729</v>
      </c>
      <c r="D1020" s="90" t="s">
        <v>719</v>
      </c>
      <c r="E1020" s="91" t="s">
        <v>11</v>
      </c>
      <c r="F1020" s="92" t="s">
        <v>58</v>
      </c>
      <c r="G1020" s="93">
        <v>15638.6856063221</v>
      </c>
      <c r="H1020" s="93">
        <v>174017.24736753301</v>
      </c>
      <c r="I1020" s="93">
        <v>2397.5457928860201</v>
      </c>
      <c r="J1020" s="93">
        <v>19694.566366565501</v>
      </c>
      <c r="K1020" s="93">
        <v>94.026058144914103</v>
      </c>
      <c r="L1020" s="93">
        <v>10982.53869639094</v>
      </c>
      <c r="M1020" s="93">
        <v>371477.12559239246</v>
      </c>
      <c r="N1020" s="95">
        <v>4.3381193989561008E-2</v>
      </c>
      <c r="O1020" s="95">
        <v>0.48271805928041561</v>
      </c>
      <c r="P1020" s="95">
        <v>0.41900784918307848</v>
      </c>
      <c r="Q1020" s="95">
        <v>5.4632072387392469E-2</v>
      </c>
      <c r="R1020" s="96">
        <v>2.6082515955236666E-4</v>
      </c>
    </row>
    <row r="1021" spans="1:18" ht="15" hidden="1" customHeight="1" x14ac:dyDescent="0.3">
      <c r="A1021" s="89">
        <v>2021</v>
      </c>
      <c r="B1021" s="90">
        <v>8</v>
      </c>
      <c r="C1021" s="90" t="s">
        <v>729</v>
      </c>
      <c r="D1021" s="90" t="s">
        <v>719</v>
      </c>
      <c r="E1021" s="91" t="s">
        <v>11</v>
      </c>
      <c r="F1021" s="92" t="s">
        <v>44</v>
      </c>
      <c r="G1021" s="93">
        <v>5245.7095914047204</v>
      </c>
      <c r="H1021" s="93">
        <v>35327.474710107803</v>
      </c>
      <c r="I1021" s="93">
        <v>2397.5457928860201</v>
      </c>
      <c r="J1021" s="93">
        <v>31033.927762192699</v>
      </c>
      <c r="K1021" s="93">
        <v>920.80502315563695</v>
      </c>
      <c r="L1021" s="93">
        <v>47585.736830108799</v>
      </c>
      <c r="M1021" s="93">
        <v>215729.28855107806</v>
      </c>
      <c r="N1021" s="95">
        <v>3.1197804124596266E-2</v>
      </c>
      <c r="O1021" s="95">
        <v>0.21010305984693969</v>
      </c>
      <c r="P1021" s="95">
        <v>0.56865478131912284</v>
      </c>
      <c r="Q1021" s="95">
        <v>0.18456805179001368</v>
      </c>
      <c r="R1021" s="96">
        <v>5.4763029193274906E-3</v>
      </c>
    </row>
    <row r="1022" spans="1:18" ht="15" hidden="1" customHeight="1" x14ac:dyDescent="0.3">
      <c r="A1022" s="89">
        <v>2021</v>
      </c>
      <c r="B1022" s="90">
        <v>8</v>
      </c>
      <c r="C1022" s="90" t="s">
        <v>729</v>
      </c>
      <c r="D1022" s="90" t="s">
        <v>719</v>
      </c>
      <c r="E1022" s="91" t="s">
        <v>11</v>
      </c>
      <c r="F1022" s="92" t="s">
        <v>51</v>
      </c>
      <c r="G1022" s="93">
        <v>1684.9695257261001</v>
      </c>
      <c r="H1022" s="93">
        <v>20160.8850156923</v>
      </c>
      <c r="I1022" s="93">
        <v>2397.5457928860201</v>
      </c>
      <c r="J1022" s="93">
        <v>72422.511415281799</v>
      </c>
      <c r="K1022" s="93">
        <v>65060.431199398801</v>
      </c>
      <c r="L1022" s="93">
        <v>4238.6651738036198</v>
      </c>
      <c r="M1022" s="93">
        <v>211202.4092354766</v>
      </c>
      <c r="N1022" s="95">
        <v>8.1413753571446656E-3</v>
      </c>
      <c r="O1022" s="95">
        <v>9.7412641557569485E-2</v>
      </c>
      <c r="P1022" s="95">
        <v>0.23016082899707929</v>
      </c>
      <c r="Q1022" s="95">
        <v>0.34992849469180781</v>
      </c>
      <c r="R1022" s="96">
        <v>0.3143566593963989</v>
      </c>
    </row>
    <row r="1023" spans="1:18" ht="15" hidden="1" customHeight="1" x14ac:dyDescent="0.3">
      <c r="A1023" s="89">
        <v>2021</v>
      </c>
      <c r="B1023" s="90">
        <v>8</v>
      </c>
      <c r="C1023" s="90" t="s">
        <v>729</v>
      </c>
      <c r="D1023" s="90" t="s">
        <v>719</v>
      </c>
      <c r="E1023" s="91" t="s">
        <v>11</v>
      </c>
      <c r="F1023" s="92" t="s">
        <v>45</v>
      </c>
      <c r="G1023" s="93">
        <v>10217.0430507245</v>
      </c>
      <c r="H1023" s="93">
        <v>35318.742569847003</v>
      </c>
      <c r="I1023" s="93">
        <v>2397.5457928860201</v>
      </c>
      <c r="J1023" s="93">
        <v>6180.8367298223102</v>
      </c>
      <c r="K1023" s="93">
        <v>1287.0763939552701</v>
      </c>
      <c r="L1023" s="93">
        <v>57538.79906697556</v>
      </c>
      <c r="M1023" s="93">
        <v>134096.09203645957</v>
      </c>
      <c r="N1023" s="95">
        <v>0.1334561692874518</v>
      </c>
      <c r="O1023" s="95">
        <v>0.46133740104845627</v>
      </c>
      <c r="P1023" s="95">
        <v>0.30765970571247137</v>
      </c>
      <c r="Q1023" s="95">
        <v>8.0734786851541535E-2</v>
      </c>
      <c r="R1023" s="96">
        <v>1.6811937100078802E-2</v>
      </c>
    </row>
    <row r="1024" spans="1:18" ht="15" hidden="1" customHeight="1" x14ac:dyDescent="0.3">
      <c r="A1024" s="89">
        <v>2021</v>
      </c>
      <c r="B1024" s="90">
        <v>8</v>
      </c>
      <c r="C1024" s="90" t="s">
        <v>729</v>
      </c>
      <c r="D1024" s="90" t="s">
        <v>719</v>
      </c>
      <c r="E1024" s="91" t="s">
        <v>11</v>
      </c>
      <c r="F1024" s="92" t="s">
        <v>721</v>
      </c>
      <c r="G1024" s="93">
        <v>9859.2485114920692</v>
      </c>
      <c r="H1024" s="93">
        <v>149637.80217964499</v>
      </c>
      <c r="I1024" s="93">
        <v>2397.5457928860201</v>
      </c>
      <c r="J1024" s="93">
        <v>24223.4137350003</v>
      </c>
      <c r="K1024" s="93">
        <v>3200.0276589966202</v>
      </c>
      <c r="L1024" s="93">
        <v>1410.3183268964381</v>
      </c>
      <c r="M1024" s="93">
        <v>309330.85090303147</v>
      </c>
      <c r="N1024" s="95">
        <v>3.2018808323716827E-2</v>
      </c>
      <c r="O1024" s="95">
        <v>0.48596240376612831</v>
      </c>
      <c r="P1024" s="95">
        <v>0.39295866202453739</v>
      </c>
      <c r="Q1024" s="95">
        <v>7.8667744344105825E-2</v>
      </c>
      <c r="R1024" s="96">
        <v>1.0392381541511514E-2</v>
      </c>
    </row>
    <row r="1025" spans="1:18" ht="15" hidden="1" customHeight="1" x14ac:dyDescent="0.3">
      <c r="A1025" s="89">
        <v>2021</v>
      </c>
      <c r="B1025" s="90">
        <v>8</v>
      </c>
      <c r="C1025" s="90" t="s">
        <v>729</v>
      </c>
      <c r="D1025" s="90" t="s">
        <v>719</v>
      </c>
      <c r="E1025" s="91" t="s">
        <v>11</v>
      </c>
      <c r="F1025" s="92" t="s">
        <v>46</v>
      </c>
      <c r="G1025" s="93">
        <v>4086.4250288786702</v>
      </c>
      <c r="H1025" s="93">
        <v>39993.6527954755</v>
      </c>
      <c r="I1025" s="93">
        <v>2397.5457928860201</v>
      </c>
      <c r="J1025" s="93">
        <v>30817.776250660099</v>
      </c>
      <c r="K1025" s="93">
        <v>11007.3686997028</v>
      </c>
      <c r="L1025" s="93">
        <v>6570.3791348023697</v>
      </c>
      <c r="M1025" s="93">
        <v>149075.00300839098</v>
      </c>
      <c r="N1025" s="95">
        <v>2.8675736392270404E-2</v>
      </c>
      <c r="O1025" s="95">
        <v>0.28064810606393109</v>
      </c>
      <c r="P1025" s="95">
        <v>0.3971758919842423</v>
      </c>
      <c r="Q1025" s="95">
        <v>0.21625807930272906</v>
      </c>
      <c r="R1025" s="96">
        <v>7.7242186256826953E-2</v>
      </c>
    </row>
    <row r="1026" spans="1:18" ht="15" hidden="1" customHeight="1" x14ac:dyDescent="0.3">
      <c r="A1026" s="89">
        <v>2021</v>
      </c>
      <c r="B1026" s="90">
        <v>8</v>
      </c>
      <c r="C1026" s="90" t="s">
        <v>729</v>
      </c>
      <c r="D1026" s="90" t="s">
        <v>719</v>
      </c>
      <c r="E1026" s="91" t="s">
        <v>11</v>
      </c>
      <c r="F1026" s="92" t="s">
        <v>47</v>
      </c>
      <c r="G1026" s="93">
        <v>29221.1292499909</v>
      </c>
      <c r="H1026" s="93">
        <v>277246.58430939697</v>
      </c>
      <c r="I1026" s="93">
        <v>2397.5457928860201</v>
      </c>
      <c r="J1026" s="93">
        <v>181460.655399685</v>
      </c>
      <c r="K1026" s="93">
        <v>35783.838573498797</v>
      </c>
      <c r="L1026" s="93">
        <v>564947.03978143097</v>
      </c>
      <c r="M1026" s="93">
        <v>1461770.3581409527</v>
      </c>
      <c r="N1026" s="95">
        <v>3.2582927597648206E-2</v>
      </c>
      <c r="O1026" s="95">
        <v>0.30914292551685568</v>
      </c>
      <c r="P1026" s="95">
        <v>0.41603636211137845</v>
      </c>
      <c r="Q1026" s="95">
        <v>0.20233712893595884</v>
      </c>
      <c r="R1026" s="96">
        <v>3.9900655838158799E-2</v>
      </c>
    </row>
    <row r="1027" spans="1:18" ht="15" hidden="1" customHeight="1" x14ac:dyDescent="0.3">
      <c r="A1027" s="89">
        <v>2021</v>
      </c>
      <c r="B1027" s="90">
        <v>8</v>
      </c>
      <c r="C1027" s="90" t="s">
        <v>729</v>
      </c>
      <c r="D1027" s="90" t="s">
        <v>719</v>
      </c>
      <c r="E1027" s="91" t="s">
        <v>11</v>
      </c>
      <c r="F1027" s="92" t="s">
        <v>48</v>
      </c>
      <c r="G1027" s="93">
        <v>7131.1773956755796</v>
      </c>
      <c r="H1027" s="93">
        <v>42571.187630677501</v>
      </c>
      <c r="I1027" s="93">
        <v>2397.5457928860201</v>
      </c>
      <c r="J1027" s="93">
        <v>8280.9615534865497</v>
      </c>
      <c r="K1027" s="93">
        <v>386.59260195312498</v>
      </c>
      <c r="L1027" s="93">
        <v>8356.1610455959108</v>
      </c>
      <c r="M1027" s="93">
        <v>110314.39779994206</v>
      </c>
      <c r="N1027" s="95">
        <v>6.9942141240213251E-2</v>
      </c>
      <c r="O1027" s="95">
        <v>0.41753554186354475</v>
      </c>
      <c r="P1027" s="95">
        <v>0.42751148862620336</v>
      </c>
      <c r="Q1027" s="95">
        <v>8.1219152244054085E-2</v>
      </c>
      <c r="R1027" s="96">
        <v>3.7916760259846865E-3</v>
      </c>
    </row>
    <row r="1028" spans="1:18" ht="15" hidden="1" customHeight="1" x14ac:dyDescent="0.3">
      <c r="A1028" s="89">
        <v>2021</v>
      </c>
      <c r="B1028" s="90">
        <v>8</v>
      </c>
      <c r="C1028" s="90" t="s">
        <v>729</v>
      </c>
      <c r="D1028" s="90" t="s">
        <v>722</v>
      </c>
      <c r="E1028" s="91" t="s">
        <v>11</v>
      </c>
      <c r="F1028" s="92" t="s">
        <v>12</v>
      </c>
      <c r="G1028" s="93">
        <v>9728.1606658410892</v>
      </c>
      <c r="H1028" s="93">
        <v>105928.84662232301</v>
      </c>
      <c r="I1028" s="93">
        <v>2397.5457928860201</v>
      </c>
      <c r="J1028" s="93">
        <v>46444.465202928499</v>
      </c>
      <c r="K1028" s="93">
        <v>1993.89584748315</v>
      </c>
      <c r="L1028" s="93">
        <v>57592.903778111446</v>
      </c>
      <c r="M1028" s="93">
        <v>433311.47680230817</v>
      </c>
      <c r="N1028" s="95">
        <v>2.5892147379189007E-2</v>
      </c>
      <c r="O1028" s="95">
        <v>0.2819366787478485</v>
      </c>
      <c r="P1028" s="95">
        <v>0.56324925058200992</v>
      </c>
      <c r="Q1028" s="95">
        <v>0.12361503672573945</v>
      </c>
      <c r="R1028" s="96">
        <v>5.3068865652131092E-3</v>
      </c>
    </row>
    <row r="1029" spans="1:18" ht="15" hidden="1" customHeight="1" x14ac:dyDescent="0.3">
      <c r="A1029" s="89">
        <v>2021</v>
      </c>
      <c r="B1029" s="90">
        <v>8</v>
      </c>
      <c r="C1029" s="90" t="s">
        <v>729</v>
      </c>
      <c r="D1029" s="90" t="s">
        <v>722</v>
      </c>
      <c r="E1029" s="91" t="s">
        <v>11</v>
      </c>
      <c r="F1029" s="92" t="s">
        <v>26</v>
      </c>
      <c r="G1029" s="93">
        <v>75750.431348508195</v>
      </c>
      <c r="H1029" s="93">
        <v>335185.66413252399</v>
      </c>
      <c r="I1029" s="93">
        <v>2397.5457928860201</v>
      </c>
      <c r="J1029" s="93">
        <v>85749.045481023102</v>
      </c>
      <c r="K1029" s="93">
        <v>2203.0178572089399</v>
      </c>
      <c r="L1029" s="93">
        <v>262371.34796266095</v>
      </c>
      <c r="M1029" s="93">
        <v>1302393.3163907982</v>
      </c>
      <c r="N1029" s="95">
        <v>7.2835414681668181E-2</v>
      </c>
      <c r="O1029" s="95">
        <v>0.32228709999185412</v>
      </c>
      <c r="P1029" s="95">
        <v>0.52030998001583451</v>
      </c>
      <c r="Q1029" s="95">
        <v>8.2449263654134186E-2</v>
      </c>
      <c r="R1029" s="96">
        <v>2.1182416565089725E-3</v>
      </c>
    </row>
    <row r="1030" spans="1:18" ht="15" hidden="1" customHeight="1" x14ac:dyDescent="0.3">
      <c r="A1030" s="89">
        <v>2021</v>
      </c>
      <c r="B1030" s="90">
        <v>8</v>
      </c>
      <c r="C1030" s="90" t="s">
        <v>729</v>
      </c>
      <c r="D1030" s="90" t="s">
        <v>722</v>
      </c>
      <c r="E1030" s="91" t="s">
        <v>11</v>
      </c>
      <c r="F1030" s="92" t="s">
        <v>27</v>
      </c>
      <c r="G1030" s="93">
        <v>1394.91103185049</v>
      </c>
      <c r="H1030" s="93">
        <v>49444.423440020197</v>
      </c>
      <c r="I1030" s="93">
        <v>2397.5457928860201</v>
      </c>
      <c r="J1030" s="93">
        <v>28726.336354123399</v>
      </c>
      <c r="K1030" s="93">
        <v>1501.6091551623699</v>
      </c>
      <c r="L1030" s="93">
        <v>5197.2465544010302</v>
      </c>
      <c r="M1030" s="93">
        <v>226689.6169992995</v>
      </c>
      <c r="N1030" s="95">
        <v>6.2977836620223791E-3</v>
      </c>
      <c r="O1030" s="95">
        <v>0.22323307724191196</v>
      </c>
      <c r="P1030" s="95">
        <v>0.63399515830580766</v>
      </c>
      <c r="Q1030" s="95">
        <v>0.12969447343230164</v>
      </c>
      <c r="R1030" s="96">
        <v>6.7795073579562919E-3</v>
      </c>
    </row>
    <row r="1031" spans="1:18" ht="15" hidden="1" customHeight="1" x14ac:dyDescent="0.3">
      <c r="A1031" s="89">
        <v>2021</v>
      </c>
      <c r="B1031" s="90">
        <v>8</v>
      </c>
      <c r="C1031" s="90" t="s">
        <v>729</v>
      </c>
      <c r="D1031" s="90" t="s">
        <v>722</v>
      </c>
      <c r="E1031" s="91" t="s">
        <v>11</v>
      </c>
      <c r="F1031" s="92" t="s">
        <v>28</v>
      </c>
      <c r="G1031" s="93">
        <v>9264.8712304764595</v>
      </c>
      <c r="H1031" s="93">
        <v>65636.305429886896</v>
      </c>
      <c r="I1031" s="93">
        <v>2397.5457928860201</v>
      </c>
      <c r="J1031" s="93">
        <v>62272.505341198397</v>
      </c>
      <c r="K1031" s="93">
        <v>2056.9808052910498</v>
      </c>
      <c r="L1031" s="93">
        <v>19514.536920686089</v>
      </c>
      <c r="M1031" s="93">
        <v>373104.58101494989</v>
      </c>
      <c r="N1031" s="95">
        <v>2.6202296657443589E-2</v>
      </c>
      <c r="O1031" s="95">
        <v>0.18562826223803086</v>
      </c>
      <c r="P1031" s="95">
        <v>0.60623703881850466</v>
      </c>
      <c r="Q1031" s="95">
        <v>0.1761149850831126</v>
      </c>
      <c r="R1031" s="96">
        <v>5.8174172029082302E-3</v>
      </c>
    </row>
    <row r="1032" spans="1:18" ht="15" customHeight="1" x14ac:dyDescent="0.3">
      <c r="A1032" s="89">
        <v>2021</v>
      </c>
      <c r="B1032" s="90">
        <v>8</v>
      </c>
      <c r="C1032" s="90" t="s">
        <v>729</v>
      </c>
      <c r="D1032" s="90" t="s">
        <v>722</v>
      </c>
      <c r="E1032" s="91" t="s">
        <v>11</v>
      </c>
      <c r="F1032" s="92" t="s">
        <v>29</v>
      </c>
      <c r="G1032" s="93">
        <v>9948.6286053722197</v>
      </c>
      <c r="H1032" s="93">
        <v>50325.287744795802</v>
      </c>
      <c r="I1032" s="93">
        <v>2397.5457928860201</v>
      </c>
      <c r="J1032" s="93">
        <v>77198.635742591796</v>
      </c>
      <c r="K1032" s="93">
        <v>8773.0229042998999</v>
      </c>
      <c r="L1032" s="93">
        <v>100626.8566520009</v>
      </c>
      <c r="M1032" s="93">
        <v>354392.05486975465</v>
      </c>
      <c r="N1032" s="95">
        <v>3.9204070042872415E-2</v>
      </c>
      <c r="O1032" s="95">
        <v>0.19831437919084596</v>
      </c>
      <c r="P1032" s="95">
        <v>0.42369727596938783</v>
      </c>
      <c r="Q1032" s="95">
        <v>0.30421285615511512</v>
      </c>
      <c r="R1032" s="96">
        <v>3.457141864177863E-2</v>
      </c>
    </row>
    <row r="1033" spans="1:18" ht="15" hidden="1" customHeight="1" x14ac:dyDescent="0.3">
      <c r="A1033" s="89">
        <v>2021</v>
      </c>
      <c r="B1033" s="90">
        <v>8</v>
      </c>
      <c r="C1033" s="90" t="s">
        <v>729</v>
      </c>
      <c r="D1033" s="90" t="s">
        <v>722</v>
      </c>
      <c r="E1033" s="91" t="s">
        <v>11</v>
      </c>
      <c r="F1033" s="92" t="s">
        <v>30</v>
      </c>
      <c r="G1033" s="93">
        <v>306.25827421568601</v>
      </c>
      <c r="H1033" s="93">
        <v>5968.2080475597604</v>
      </c>
      <c r="I1033" s="93">
        <v>2397.5457928860201</v>
      </c>
      <c r="J1033" s="93">
        <v>1450.88900462316</v>
      </c>
      <c r="K1033" s="93">
        <v>234.37944257812501</v>
      </c>
      <c r="L1033" s="93">
        <v>216800.64034446329</v>
      </c>
      <c r="M1033" s="93">
        <v>230086.50016211651</v>
      </c>
      <c r="N1033" s="95">
        <v>2.305144555332081E-2</v>
      </c>
      <c r="O1033" s="95">
        <v>0.44921503985987171</v>
      </c>
      <c r="P1033" s="95">
        <v>0.40088674137593616</v>
      </c>
      <c r="Q1033" s="95">
        <v>0.10920550303378415</v>
      </c>
      <c r="R1033" s="96">
        <v>1.764127017708705E-2</v>
      </c>
    </row>
    <row r="1034" spans="1:18" ht="15" hidden="1" customHeight="1" x14ac:dyDescent="0.3">
      <c r="A1034" s="89">
        <v>2021</v>
      </c>
      <c r="B1034" s="90">
        <v>8</v>
      </c>
      <c r="C1034" s="90" t="s">
        <v>729</v>
      </c>
      <c r="D1034" s="90" t="s">
        <v>722</v>
      </c>
      <c r="E1034" s="91" t="s">
        <v>11</v>
      </c>
      <c r="F1034" s="92" t="s">
        <v>31</v>
      </c>
      <c r="G1034" s="93">
        <v>1409.1741509160499</v>
      </c>
      <c r="H1034" s="93">
        <v>2919.6168993933802</v>
      </c>
      <c r="I1034" s="93">
        <v>2397.5457928860201</v>
      </c>
      <c r="J1034" s="93">
        <v>15876.8786374555</v>
      </c>
      <c r="K1034" s="93">
        <v>3868.4999845511602</v>
      </c>
      <c r="L1034" s="93">
        <v>213248.23742176231</v>
      </c>
      <c r="M1034" s="93">
        <v>251948.68865989341</v>
      </c>
      <c r="N1034" s="95">
        <v>3.6412344193227586E-2</v>
      </c>
      <c r="O1034" s="95">
        <v>7.5441417502561739E-2</v>
      </c>
      <c r="P1034" s="95">
        <v>0.37793568544761302</v>
      </c>
      <c r="Q1034" s="95">
        <v>0.41025047847018903</v>
      </c>
      <c r="R1034" s="96">
        <v>9.9960074386408526E-2</v>
      </c>
    </row>
    <row r="1035" spans="1:18" ht="15" hidden="1" customHeight="1" x14ac:dyDescent="0.3">
      <c r="A1035" s="89">
        <v>2021</v>
      </c>
      <c r="B1035" s="90">
        <v>8</v>
      </c>
      <c r="C1035" s="90" t="s">
        <v>729</v>
      </c>
      <c r="D1035" s="90" t="s">
        <v>722</v>
      </c>
      <c r="E1035" s="91" t="s">
        <v>11</v>
      </c>
      <c r="F1035" s="92" t="s">
        <v>32</v>
      </c>
      <c r="G1035" s="93">
        <v>21088.9327423914</v>
      </c>
      <c r="H1035" s="93">
        <v>167420.78969116099</v>
      </c>
      <c r="I1035" s="93">
        <v>2397.5457928860201</v>
      </c>
      <c r="J1035" s="93">
        <v>108350.489067267</v>
      </c>
      <c r="K1035" s="93">
        <v>6228.6792234022396</v>
      </c>
      <c r="L1035" s="93">
        <v>25533.280830458461</v>
      </c>
      <c r="M1035" s="93">
        <v>609521.81280336122</v>
      </c>
      <c r="N1035" s="95">
        <v>3.6111895333194546E-2</v>
      </c>
      <c r="O1035" s="95">
        <v>0.28668506404665045</v>
      </c>
      <c r="P1035" s="95">
        <v>0.48100198183637422</v>
      </c>
      <c r="Q1035" s="95">
        <v>0.18553530272456534</v>
      </c>
      <c r="R1035" s="96">
        <v>1.0665756059215308E-2</v>
      </c>
    </row>
    <row r="1036" spans="1:18" ht="15" hidden="1" customHeight="1" x14ac:dyDescent="0.3">
      <c r="A1036" s="89">
        <v>2021</v>
      </c>
      <c r="B1036" s="90">
        <v>8</v>
      </c>
      <c r="C1036" s="90" t="s">
        <v>729</v>
      </c>
      <c r="D1036" s="90" t="s">
        <v>722</v>
      </c>
      <c r="E1036" s="91" t="s">
        <v>11</v>
      </c>
      <c r="F1036" s="92" t="s">
        <v>33</v>
      </c>
      <c r="G1036" s="93">
        <v>60281.919463708502</v>
      </c>
      <c r="H1036" s="93">
        <v>447955.23180411698</v>
      </c>
      <c r="I1036" s="93">
        <v>2397.5457928860201</v>
      </c>
      <c r="J1036" s="93">
        <v>99234.920108452294</v>
      </c>
      <c r="K1036" s="93">
        <v>3105.8870231709502</v>
      </c>
      <c r="L1036" s="93">
        <v>38439.640212809398</v>
      </c>
      <c r="M1036" s="93">
        <v>1352056.788256716</v>
      </c>
      <c r="N1036" s="95">
        <v>4.5890021726249293E-2</v>
      </c>
      <c r="O1036" s="95">
        <v>0.34100897089472559</v>
      </c>
      <c r="P1036" s="95">
        <v>0.53519337098434372</v>
      </c>
      <c r="Q1036" s="95">
        <v>7.554325874644828E-2</v>
      </c>
      <c r="R1036" s="96">
        <v>2.3643776482332726E-3</v>
      </c>
    </row>
    <row r="1037" spans="1:18" ht="15" hidden="1" customHeight="1" x14ac:dyDescent="0.3">
      <c r="A1037" s="89">
        <v>2021</v>
      </c>
      <c r="B1037" s="90">
        <v>8</v>
      </c>
      <c r="C1037" s="90" t="s">
        <v>729</v>
      </c>
      <c r="D1037" s="90" t="s">
        <v>722</v>
      </c>
      <c r="E1037" s="91" t="s">
        <v>11</v>
      </c>
      <c r="F1037" s="92" t="s">
        <v>34</v>
      </c>
      <c r="G1037" s="93">
        <v>22004.762348313801</v>
      </c>
      <c r="H1037" s="93">
        <v>80268.214878040904</v>
      </c>
      <c r="I1037" s="93">
        <v>2397.5457928860201</v>
      </c>
      <c r="J1037" s="93">
        <v>159027.377201708</v>
      </c>
      <c r="K1037" s="93">
        <v>4043.0195559604799</v>
      </c>
      <c r="L1037" s="93">
        <v>80380.145315023299</v>
      </c>
      <c r="M1037" s="93">
        <v>713628.83042002236</v>
      </c>
      <c r="N1037" s="95">
        <v>3.4749005984379085E-2</v>
      </c>
      <c r="O1037" s="95">
        <v>0.12675622826556934</v>
      </c>
      <c r="P1037" s="95">
        <v>0.58098077386449454</v>
      </c>
      <c r="Q1037" s="95">
        <v>0.25112942346708489</v>
      </c>
      <c r="R1037" s="96">
        <v>6.3845684184722874E-3</v>
      </c>
    </row>
    <row r="1038" spans="1:18" ht="15" hidden="1" customHeight="1" x14ac:dyDescent="0.3">
      <c r="A1038" s="89">
        <v>2021</v>
      </c>
      <c r="B1038" s="90">
        <v>8</v>
      </c>
      <c r="C1038" s="90" t="s">
        <v>729</v>
      </c>
      <c r="D1038" s="90" t="s">
        <v>722</v>
      </c>
      <c r="E1038" s="91" t="s">
        <v>11</v>
      </c>
      <c r="F1038" s="92" t="s">
        <v>35</v>
      </c>
      <c r="G1038" s="93">
        <v>18319.972786116799</v>
      </c>
      <c r="H1038" s="93">
        <v>89077.370315556094</v>
      </c>
      <c r="I1038" s="93">
        <v>2397.5457928860201</v>
      </c>
      <c r="J1038" s="93">
        <v>90882.839812518607</v>
      </c>
      <c r="K1038" s="93">
        <v>17513.1917982921</v>
      </c>
      <c r="L1038" s="93">
        <v>252229.2186845589</v>
      </c>
      <c r="M1038" s="93">
        <v>605861.19629491447</v>
      </c>
      <c r="N1038" s="95">
        <v>5.1805192816308042E-2</v>
      </c>
      <c r="O1038" s="95">
        <v>0.25189286024835894</v>
      </c>
      <c r="P1038" s="95">
        <v>0.38977980393432499</v>
      </c>
      <c r="Q1038" s="95">
        <v>0.25699836430702139</v>
      </c>
      <c r="R1038" s="96">
        <v>4.9523778693986671E-2</v>
      </c>
    </row>
    <row r="1039" spans="1:18" ht="15" hidden="1" customHeight="1" x14ac:dyDescent="0.3">
      <c r="A1039" s="89">
        <v>2021</v>
      </c>
      <c r="B1039" s="90">
        <v>8</v>
      </c>
      <c r="C1039" s="90" t="s">
        <v>729</v>
      </c>
      <c r="D1039" s="90" t="s">
        <v>722</v>
      </c>
      <c r="E1039" s="91" t="s">
        <v>11</v>
      </c>
      <c r="F1039" s="92" t="s">
        <v>36</v>
      </c>
      <c r="G1039" s="93">
        <v>4904.6481285968102</v>
      </c>
      <c r="H1039" s="93">
        <v>66586.152959072395</v>
      </c>
      <c r="I1039" s="93">
        <v>2397.5457928860201</v>
      </c>
      <c r="J1039" s="93">
        <v>37004.953056061699</v>
      </c>
      <c r="K1039" s="93">
        <v>726.678253769913</v>
      </c>
      <c r="L1039" s="93">
        <v>34001.896234905231</v>
      </c>
      <c r="M1039" s="93">
        <v>258886.87145458002</v>
      </c>
      <c r="N1039" s="95">
        <v>2.1809585650645599E-2</v>
      </c>
      <c r="O1039" s="95">
        <v>0.29608982500511172</v>
      </c>
      <c r="P1039" s="95">
        <v>0.51431867651091923</v>
      </c>
      <c r="Q1039" s="95">
        <v>0.16455057977934759</v>
      </c>
      <c r="R1039" s="96">
        <v>3.2313330539760188E-3</v>
      </c>
    </row>
    <row r="1040" spans="1:18" ht="15" hidden="1" customHeight="1" x14ac:dyDescent="0.3">
      <c r="A1040" s="89">
        <v>2021</v>
      </c>
      <c r="B1040" s="90">
        <v>8</v>
      </c>
      <c r="C1040" s="90" t="s">
        <v>729</v>
      </c>
      <c r="D1040" s="90" t="s">
        <v>722</v>
      </c>
      <c r="E1040" s="91" t="s">
        <v>11</v>
      </c>
      <c r="F1040" s="92" t="s">
        <v>37</v>
      </c>
      <c r="G1040" s="93">
        <v>15253.571510457999</v>
      </c>
      <c r="H1040" s="93">
        <v>89189.237774216293</v>
      </c>
      <c r="I1040" s="93">
        <v>2397.5457928860201</v>
      </c>
      <c r="J1040" s="93">
        <v>60387.343375340599</v>
      </c>
      <c r="K1040" s="93">
        <v>3004.3927129059498</v>
      </c>
      <c r="L1040" s="93">
        <v>168455.88730718452</v>
      </c>
      <c r="M1040" s="93">
        <v>524073.85777628928</v>
      </c>
      <c r="N1040" s="95">
        <v>4.2893140327910376E-2</v>
      </c>
      <c r="O1040" s="95">
        <v>0.25080070519654696</v>
      </c>
      <c r="P1040" s="95">
        <v>0.52804818847729784</v>
      </c>
      <c r="Q1040" s="95">
        <v>0.16980959453674996</v>
      </c>
      <c r="R1040" s="96">
        <v>8.4483714614949808E-3</v>
      </c>
    </row>
    <row r="1041" spans="1:18" ht="15" hidden="1" customHeight="1" x14ac:dyDescent="0.3">
      <c r="A1041" s="89">
        <v>2021</v>
      </c>
      <c r="B1041" s="90">
        <v>8</v>
      </c>
      <c r="C1041" s="90" t="s">
        <v>729</v>
      </c>
      <c r="D1041" s="90" t="s">
        <v>722</v>
      </c>
      <c r="E1041" s="91" t="s">
        <v>11</v>
      </c>
      <c r="F1041" s="92" t="s">
        <v>720</v>
      </c>
      <c r="G1041" s="93">
        <v>33568.3834304993</v>
      </c>
      <c r="H1041" s="93">
        <v>98800.7093760883</v>
      </c>
      <c r="I1041" s="93">
        <v>2397.5457928860201</v>
      </c>
      <c r="J1041" s="93">
        <v>319105.40163352602</v>
      </c>
      <c r="K1041" s="93">
        <v>34330.013817005398</v>
      </c>
      <c r="L1041" s="93">
        <v>176251.5601309393</v>
      </c>
      <c r="M1041" s="93">
        <v>927958.42268837034</v>
      </c>
      <c r="N1041" s="95">
        <v>4.4656215211730417E-2</v>
      </c>
      <c r="O1041" s="95">
        <v>0.13143515683753629</v>
      </c>
      <c r="P1041" s="95">
        <v>0.35373144445651089</v>
      </c>
      <c r="Q1041" s="95">
        <v>0.42450776696101544</v>
      </c>
      <c r="R1041" s="96">
        <v>4.5669416533206858E-2</v>
      </c>
    </row>
    <row r="1042" spans="1:18" ht="15" hidden="1" customHeight="1" x14ac:dyDescent="0.3">
      <c r="A1042" s="89">
        <v>2021</v>
      </c>
      <c r="B1042" s="90">
        <v>8</v>
      </c>
      <c r="C1042" s="90" t="s">
        <v>729</v>
      </c>
      <c r="D1042" s="90" t="s">
        <v>722</v>
      </c>
      <c r="E1042" s="91" t="s">
        <v>11</v>
      </c>
      <c r="F1042" s="92" t="s">
        <v>39</v>
      </c>
      <c r="G1042" s="93">
        <v>5228.9016411074899</v>
      </c>
      <c r="H1042" s="93">
        <v>61432.805336999401</v>
      </c>
      <c r="I1042" s="93">
        <v>2397.5457928860201</v>
      </c>
      <c r="J1042" s="93">
        <v>46861.890271525503</v>
      </c>
      <c r="K1042" s="93">
        <v>1336.1159854779401</v>
      </c>
      <c r="L1042" s="93">
        <v>31160.17468583084</v>
      </c>
      <c r="M1042" s="93">
        <v>331195.16650096915</v>
      </c>
      <c r="N1042" s="95">
        <v>1.7427639387905772E-2</v>
      </c>
      <c r="O1042" s="95">
        <v>0.20475213562706787</v>
      </c>
      <c r="P1042" s="95">
        <v>0.61717894122869754</v>
      </c>
      <c r="Q1042" s="95">
        <v>0.15618808322330183</v>
      </c>
      <c r="R1042" s="96">
        <v>4.4532005330270488E-3</v>
      </c>
    </row>
    <row r="1043" spans="1:18" ht="15" hidden="1" customHeight="1" x14ac:dyDescent="0.3">
      <c r="A1043" s="89">
        <v>2021</v>
      </c>
      <c r="B1043" s="90">
        <v>8</v>
      </c>
      <c r="C1043" s="90" t="s">
        <v>729</v>
      </c>
      <c r="D1043" s="90" t="s">
        <v>722</v>
      </c>
      <c r="E1043" s="91" t="s">
        <v>11</v>
      </c>
      <c r="F1043" s="92" t="s">
        <v>40</v>
      </c>
      <c r="G1043" s="93">
        <v>5032.1091782322001</v>
      </c>
      <c r="H1043" s="93">
        <v>56092.8402649532</v>
      </c>
      <c r="I1043" s="93">
        <v>2397.5457928860201</v>
      </c>
      <c r="J1043" s="93">
        <v>79708.840320272895</v>
      </c>
      <c r="K1043" s="93">
        <v>28347.769041558098</v>
      </c>
      <c r="L1043" s="93">
        <v>13197.2171517678</v>
      </c>
      <c r="M1043" s="93">
        <v>326305.02470134519</v>
      </c>
      <c r="N1043" s="95">
        <v>1.6071490575767317E-2</v>
      </c>
      <c r="O1043" s="95">
        <v>0.17914864756629065</v>
      </c>
      <c r="P1043" s="95">
        <v>0.45966994522093402</v>
      </c>
      <c r="Q1043" s="95">
        <v>0.25457314828424338</v>
      </c>
      <c r="R1043" s="96">
        <v>9.0536768352764641E-2</v>
      </c>
    </row>
    <row r="1044" spans="1:18" ht="15" hidden="1" customHeight="1" x14ac:dyDescent="0.3">
      <c r="A1044" s="89">
        <v>2021</v>
      </c>
      <c r="B1044" s="90">
        <v>8</v>
      </c>
      <c r="C1044" s="90" t="s">
        <v>729</v>
      </c>
      <c r="D1044" s="90" t="s">
        <v>722</v>
      </c>
      <c r="E1044" s="91" t="s">
        <v>11</v>
      </c>
      <c r="F1044" s="92" t="s">
        <v>41</v>
      </c>
      <c r="G1044" s="93">
        <v>97.780872673100504</v>
      </c>
      <c r="H1044" s="93">
        <v>196.288676318933</v>
      </c>
      <c r="I1044" s="93">
        <v>2397.5457928860201</v>
      </c>
      <c r="J1044" s="93">
        <v>403.13718817861502</v>
      </c>
      <c r="K1044" s="93">
        <v>83.767099609374995</v>
      </c>
      <c r="L1044" s="93">
        <v>17740.4591000275</v>
      </c>
      <c r="M1044" s="93">
        <v>18714.332738962854</v>
      </c>
      <c r="N1044" s="95">
        <v>0.10040406554180412</v>
      </c>
      <c r="O1044" s="95">
        <v>0.20155456362235799</v>
      </c>
      <c r="P1044" s="95">
        <v>0.19807477525134537</v>
      </c>
      <c r="Q1044" s="95">
        <v>0.41395225423631737</v>
      </c>
      <c r="R1044" s="96">
        <v>8.6014341348175177E-2</v>
      </c>
    </row>
    <row r="1045" spans="1:18" ht="15" hidden="1" customHeight="1" x14ac:dyDescent="0.3">
      <c r="A1045" s="89">
        <v>2021</v>
      </c>
      <c r="B1045" s="90">
        <v>8</v>
      </c>
      <c r="C1045" s="90" t="s">
        <v>729</v>
      </c>
      <c r="D1045" s="90" t="s">
        <v>722</v>
      </c>
      <c r="E1045" s="91" t="s">
        <v>11</v>
      </c>
      <c r="F1045" s="92" t="s">
        <v>42</v>
      </c>
      <c r="G1045" s="93">
        <v>6377.9587532353398</v>
      </c>
      <c r="H1045" s="93">
        <v>62262.985703742997</v>
      </c>
      <c r="I1045" s="93">
        <v>2397.5457928860201</v>
      </c>
      <c r="J1045" s="93">
        <v>186973.53941740599</v>
      </c>
      <c r="K1045" s="93">
        <v>42412.519031921198</v>
      </c>
      <c r="L1045" s="93">
        <v>109101.4469837646</v>
      </c>
      <c r="M1045" s="93">
        <v>620824.33974999911</v>
      </c>
      <c r="N1045" s="95">
        <v>1.2463696354794357E-2</v>
      </c>
      <c r="O1045" s="95">
        <v>0.12167324656351852</v>
      </c>
      <c r="P1045" s="95">
        <v>0.41760080090368301</v>
      </c>
      <c r="Q1045" s="95">
        <v>0.36538044723127006</v>
      </c>
      <c r="R1045" s="96">
        <v>8.2881808946734206E-2</v>
      </c>
    </row>
    <row r="1046" spans="1:18" ht="15" hidden="1" customHeight="1" x14ac:dyDescent="0.3">
      <c r="A1046" s="89">
        <v>2021</v>
      </c>
      <c r="B1046" s="90">
        <v>8</v>
      </c>
      <c r="C1046" s="90" t="s">
        <v>729</v>
      </c>
      <c r="D1046" s="90" t="s">
        <v>722</v>
      </c>
      <c r="E1046" s="91" t="s">
        <v>11</v>
      </c>
      <c r="F1046" s="92" t="s">
        <v>43</v>
      </c>
      <c r="G1046" s="93">
        <v>2858.2197113924599</v>
      </c>
      <c r="H1046" s="93">
        <v>2671.9743190808799</v>
      </c>
      <c r="I1046" s="93">
        <v>2397.5457928860201</v>
      </c>
      <c r="J1046" s="93">
        <v>5344.9276115073599</v>
      </c>
      <c r="K1046" s="93">
        <v>1778.6126668290401</v>
      </c>
      <c r="L1046" s="93">
        <v>165783.79675155738</v>
      </c>
      <c r="M1046" s="93">
        <v>185575.48510012354</v>
      </c>
      <c r="N1046" s="95">
        <v>0.14441515352577428</v>
      </c>
      <c r="O1046" s="95">
        <v>0.1350048703285314</v>
      </c>
      <c r="P1046" s="95">
        <v>0.36065412480454401</v>
      </c>
      <c r="Q1046" s="95">
        <v>0.27005920451928406</v>
      </c>
      <c r="R1046" s="96">
        <v>8.9866646821866236E-2</v>
      </c>
    </row>
    <row r="1047" spans="1:18" ht="15" hidden="1" customHeight="1" x14ac:dyDescent="0.3">
      <c r="A1047" s="89">
        <v>2021</v>
      </c>
      <c r="B1047" s="90">
        <v>8</v>
      </c>
      <c r="C1047" s="90" t="s">
        <v>729</v>
      </c>
      <c r="D1047" s="90" t="s">
        <v>722</v>
      </c>
      <c r="E1047" s="91" t="s">
        <v>11</v>
      </c>
      <c r="F1047" s="92" t="s">
        <v>58</v>
      </c>
      <c r="G1047" s="93">
        <v>7169.4468408455796</v>
      </c>
      <c r="H1047" s="93">
        <v>113028.01513552001</v>
      </c>
      <c r="I1047" s="93">
        <v>2397.5457928860201</v>
      </c>
      <c r="J1047" s="93">
        <v>59226.333322042701</v>
      </c>
      <c r="K1047" s="93">
        <v>2134.8149051240798</v>
      </c>
      <c r="L1047" s="93">
        <v>4517.656082792575</v>
      </c>
      <c r="M1047" s="93">
        <v>371477.12559241994</v>
      </c>
      <c r="N1047" s="95">
        <v>1.9537435157147471E-2</v>
      </c>
      <c r="O1047" s="95">
        <v>0.30801225891938633</v>
      </c>
      <c r="P1047" s="95">
        <v>0.50523524996874591</v>
      </c>
      <c r="Q1047" s="95">
        <v>0.16139747913083591</v>
      </c>
      <c r="R1047" s="96">
        <v>5.8175768238842842E-3</v>
      </c>
    </row>
    <row r="1048" spans="1:18" ht="15" hidden="1" customHeight="1" x14ac:dyDescent="0.3">
      <c r="A1048" s="89">
        <v>2021</v>
      </c>
      <c r="B1048" s="90">
        <v>8</v>
      </c>
      <c r="C1048" s="90" t="s">
        <v>729</v>
      </c>
      <c r="D1048" s="90" t="s">
        <v>722</v>
      </c>
      <c r="E1048" s="91" t="s">
        <v>11</v>
      </c>
      <c r="F1048" s="92" t="s">
        <v>44</v>
      </c>
      <c r="G1048" s="93">
        <v>2461.1177583379299</v>
      </c>
      <c r="H1048" s="93">
        <v>12838.5921089935</v>
      </c>
      <c r="I1048" s="93">
        <v>2397.5457928860201</v>
      </c>
      <c r="J1048" s="93">
        <v>78718.658771625604</v>
      </c>
      <c r="K1048" s="93">
        <v>12111.656119675299</v>
      </c>
      <c r="L1048" s="93">
        <v>46631.892953042305</v>
      </c>
      <c r="M1048" s="93">
        <v>215729.28855108132</v>
      </c>
      <c r="N1048" s="95">
        <v>1.4554439171779126E-2</v>
      </c>
      <c r="O1048" s="95">
        <v>7.5924245099032076E-2</v>
      </c>
      <c r="P1048" s="95">
        <v>0.37237339236782974</v>
      </c>
      <c r="Q1048" s="95">
        <v>0.4655225971590215</v>
      </c>
      <c r="R1048" s="96">
        <v>7.1625326202337775E-2</v>
      </c>
    </row>
    <row r="1049" spans="1:18" ht="15" hidden="1" customHeight="1" x14ac:dyDescent="0.3">
      <c r="A1049" s="89">
        <v>2021</v>
      </c>
      <c r="B1049" s="90">
        <v>8</v>
      </c>
      <c r="C1049" s="90" t="s">
        <v>729</v>
      </c>
      <c r="D1049" s="90" t="s">
        <v>722</v>
      </c>
      <c r="E1049" s="91" t="s">
        <v>11</v>
      </c>
      <c r="F1049" s="92" t="s">
        <v>51</v>
      </c>
      <c r="G1049" s="93">
        <v>559.78774039675204</v>
      </c>
      <c r="H1049" s="93">
        <v>14366.486675718401</v>
      </c>
      <c r="I1049" s="93">
        <v>2397.5457928860201</v>
      </c>
      <c r="J1049" s="93">
        <v>51696.619858799</v>
      </c>
      <c r="K1049" s="93">
        <v>53262.620618614201</v>
      </c>
      <c r="L1049" s="93">
        <v>36319.369572717696</v>
      </c>
      <c r="M1049" s="93">
        <v>211202.40923547314</v>
      </c>
      <c r="N1049" s="95">
        <v>3.2009264104526491E-3</v>
      </c>
      <c r="O1049" s="95">
        <v>8.214911350707732E-2</v>
      </c>
      <c r="P1049" s="95">
        <v>0.31448175234879472</v>
      </c>
      <c r="Q1049" s="95">
        <v>0.29560682361474727</v>
      </c>
      <c r="R1049" s="96">
        <v>0.30456138411892814</v>
      </c>
    </row>
    <row r="1050" spans="1:18" ht="15" hidden="1" customHeight="1" x14ac:dyDescent="0.3">
      <c r="A1050" s="89">
        <v>2021</v>
      </c>
      <c r="B1050" s="90">
        <v>8</v>
      </c>
      <c r="C1050" s="90" t="s">
        <v>729</v>
      </c>
      <c r="D1050" s="90" t="s">
        <v>722</v>
      </c>
      <c r="E1050" s="91" t="s">
        <v>11</v>
      </c>
      <c r="F1050" s="92" t="s">
        <v>45</v>
      </c>
      <c r="G1050" s="93">
        <v>2748.6586344944799</v>
      </c>
      <c r="H1050" s="93">
        <v>17306.052145966602</v>
      </c>
      <c r="I1050" s="93">
        <v>2397.5457928860201</v>
      </c>
      <c r="J1050" s="93">
        <v>28867.1366134081</v>
      </c>
      <c r="K1050" s="93">
        <v>5668.7145748774601</v>
      </c>
      <c r="L1050" s="93">
        <v>49176.350902220613</v>
      </c>
      <c r="M1050" s="93">
        <v>134096.09203645887</v>
      </c>
      <c r="N1050" s="95">
        <v>3.2367722720085701E-2</v>
      </c>
      <c r="O1050" s="95">
        <v>0.20379303934299303</v>
      </c>
      <c r="P1050" s="95">
        <v>0.35715110244564052</v>
      </c>
      <c r="Q1050" s="95">
        <v>0.33993434539297412</v>
      </c>
      <c r="R1050" s="96">
        <v>6.675379009830644E-2</v>
      </c>
    </row>
    <row r="1051" spans="1:18" ht="15" hidden="1" customHeight="1" x14ac:dyDescent="0.3">
      <c r="A1051" s="89">
        <v>2021</v>
      </c>
      <c r="B1051" s="90">
        <v>8</v>
      </c>
      <c r="C1051" s="90" t="s">
        <v>729</v>
      </c>
      <c r="D1051" s="90" t="s">
        <v>722</v>
      </c>
      <c r="E1051" s="91" t="s">
        <v>11</v>
      </c>
      <c r="F1051" s="92" t="s">
        <v>721</v>
      </c>
      <c r="G1051" s="93">
        <v>3358.5422635707801</v>
      </c>
      <c r="H1051" s="93">
        <v>84185.148225906596</v>
      </c>
      <c r="I1051" s="93">
        <v>2397.5457928860201</v>
      </c>
      <c r="J1051" s="93">
        <v>42694.746838799299</v>
      </c>
      <c r="K1051" s="93">
        <v>8898.7908775138403</v>
      </c>
      <c r="L1051" s="93">
        <v>699.51517163143308</v>
      </c>
      <c r="M1051" s="93">
        <v>309330.85090303392</v>
      </c>
      <c r="N1051" s="95">
        <v>1.0882052062573686E-2</v>
      </c>
      <c r="O1051" s="95">
        <v>0.27276928321747518</v>
      </c>
      <c r="P1051" s="95">
        <v>0.54917983983687357</v>
      </c>
      <c r="Q1051" s="95">
        <v>0.13833574849948463</v>
      </c>
      <c r="R1051" s="96">
        <v>2.8833076383592924E-2</v>
      </c>
    </row>
    <row r="1052" spans="1:18" ht="15" hidden="1" customHeight="1" x14ac:dyDescent="0.3">
      <c r="A1052" s="89">
        <v>2021</v>
      </c>
      <c r="B1052" s="90">
        <v>8</v>
      </c>
      <c r="C1052" s="90" t="s">
        <v>729</v>
      </c>
      <c r="D1052" s="90" t="s">
        <v>722</v>
      </c>
      <c r="E1052" s="91" t="s">
        <v>11</v>
      </c>
      <c r="F1052" s="92" t="s">
        <v>46</v>
      </c>
      <c r="G1052" s="93">
        <v>1297.66253842677</v>
      </c>
      <c r="H1052" s="93">
        <v>17860.715654137399</v>
      </c>
      <c r="I1052" s="93">
        <v>2397.5457928860201</v>
      </c>
      <c r="J1052" s="93">
        <v>21430.1505874709</v>
      </c>
      <c r="K1052" s="93">
        <v>11400.5963831832</v>
      </c>
      <c r="L1052" s="93">
        <v>62086.657585843401</v>
      </c>
      <c r="M1052" s="93">
        <v>149075.00300839118</v>
      </c>
      <c r="N1052" s="95">
        <v>1.4917659740777297E-2</v>
      </c>
      <c r="O1052" s="95">
        <v>0.20532308744784816</v>
      </c>
      <c r="P1052" s="95">
        <v>0.40234378627757578</v>
      </c>
      <c r="Q1052" s="95">
        <v>0.24635657206000963</v>
      </c>
      <c r="R1052" s="96">
        <v>0.13105889447378904</v>
      </c>
    </row>
    <row r="1053" spans="1:18" ht="15" hidden="1" customHeight="1" x14ac:dyDescent="0.3">
      <c r="A1053" s="89">
        <v>2021</v>
      </c>
      <c r="B1053" s="90">
        <v>8</v>
      </c>
      <c r="C1053" s="90" t="s">
        <v>729</v>
      </c>
      <c r="D1053" s="90" t="s">
        <v>722</v>
      </c>
      <c r="E1053" s="91" t="s">
        <v>11</v>
      </c>
      <c r="F1053" s="92" t="s">
        <v>47</v>
      </c>
      <c r="G1053" s="93">
        <v>11925.927349362701</v>
      </c>
      <c r="H1053" s="93">
        <v>234740.60773821201</v>
      </c>
      <c r="I1053" s="93">
        <v>2397.5457928860201</v>
      </c>
      <c r="J1053" s="93">
        <v>382315.95403419097</v>
      </c>
      <c r="K1053" s="93">
        <v>77954.986771284704</v>
      </c>
      <c r="L1053" s="93">
        <v>139079.36209009599</v>
      </c>
      <c r="M1053" s="93">
        <v>1461770.3581409482</v>
      </c>
      <c r="N1053" s="95">
        <v>9.0164122875031616E-3</v>
      </c>
      <c r="O1053" s="95">
        <v>0.17747199341272837</v>
      </c>
      <c r="P1053" s="95">
        <v>0.46553089269999742</v>
      </c>
      <c r="Q1053" s="95">
        <v>0.2890440436773733</v>
      </c>
      <c r="R1053" s="96">
        <v>5.89366579223978E-2</v>
      </c>
    </row>
    <row r="1054" spans="1:18" ht="15" hidden="1" customHeight="1" x14ac:dyDescent="0.3">
      <c r="A1054" s="89">
        <v>2021</v>
      </c>
      <c r="B1054" s="90">
        <v>8</v>
      </c>
      <c r="C1054" s="90" t="s">
        <v>729</v>
      </c>
      <c r="D1054" s="90" t="s">
        <v>722</v>
      </c>
      <c r="E1054" s="91" t="s">
        <v>11</v>
      </c>
      <c r="F1054" s="92" t="s">
        <v>48</v>
      </c>
      <c r="G1054" s="93">
        <v>1807.1524872257901</v>
      </c>
      <c r="H1054" s="93">
        <v>10574.0275745771</v>
      </c>
      <c r="I1054" s="93">
        <v>2397.5457928860201</v>
      </c>
      <c r="J1054" s="93">
        <v>41296.272428263801</v>
      </c>
      <c r="K1054" s="93">
        <v>2186.7373381939301</v>
      </c>
      <c r="L1054" s="93">
        <v>8629.0719183394904</v>
      </c>
      <c r="M1054" s="93">
        <v>110314.39779994221</v>
      </c>
      <c r="N1054" s="95">
        <v>1.7772008611448498E-2</v>
      </c>
      <c r="O1054" s="95">
        <v>0.10398774339267956</v>
      </c>
      <c r="P1054" s="95">
        <v>0.45061699567835317</v>
      </c>
      <c r="Q1054" s="95">
        <v>0.40611830733912491</v>
      </c>
      <c r="R1054" s="96">
        <v>2.1504944978394006E-2</v>
      </c>
    </row>
    <row r="1055" spans="1:18" ht="15" hidden="1" customHeight="1" x14ac:dyDescent="0.3">
      <c r="A1055" s="89">
        <v>2021</v>
      </c>
      <c r="B1055" s="90">
        <v>9</v>
      </c>
      <c r="C1055" s="90" t="s">
        <v>730</v>
      </c>
      <c r="D1055" s="90" t="s">
        <v>719</v>
      </c>
      <c r="E1055" s="91" t="s">
        <v>11</v>
      </c>
      <c r="F1055" s="92" t="s">
        <v>12</v>
      </c>
      <c r="G1055" s="93">
        <v>8757.1356080898004</v>
      </c>
      <c r="H1055" s="93">
        <v>123731.801192577</v>
      </c>
      <c r="I1055" s="93">
        <v>2397.5457928860201</v>
      </c>
      <c r="J1055" s="93">
        <v>43543.136193605598</v>
      </c>
      <c r="K1055" s="93">
        <v>1438.6165138219901</v>
      </c>
      <c r="L1055" s="93">
        <v>52322.520869283457</v>
      </c>
      <c r="M1055" s="93">
        <v>433311.47680230183</v>
      </c>
      <c r="N1055" s="95">
        <v>2.2985274170596672E-2</v>
      </c>
      <c r="O1055" s="95">
        <v>0.32476479768177396</v>
      </c>
      <c r="P1055" s="95">
        <v>0.53418416270498015</v>
      </c>
      <c r="Q1055" s="95">
        <v>0.11428975962563312</v>
      </c>
      <c r="R1055" s="96">
        <v>3.7760058170161585E-3</v>
      </c>
    </row>
    <row r="1056" spans="1:18" ht="15" hidden="1" customHeight="1" x14ac:dyDescent="0.3">
      <c r="A1056" s="89">
        <v>2021</v>
      </c>
      <c r="B1056" s="90">
        <v>9</v>
      </c>
      <c r="C1056" s="90" t="s">
        <v>730</v>
      </c>
      <c r="D1056" s="90" t="s">
        <v>719</v>
      </c>
      <c r="E1056" s="91" t="s">
        <v>11</v>
      </c>
      <c r="F1056" s="92" t="s">
        <v>26</v>
      </c>
      <c r="G1056" s="93">
        <v>84708.872479129001</v>
      </c>
      <c r="H1056" s="93">
        <v>466779.99720486801</v>
      </c>
      <c r="I1056" s="93">
        <v>2397.5457928860201</v>
      </c>
      <c r="J1056" s="93">
        <v>35314.459853316999</v>
      </c>
      <c r="K1056" s="93">
        <v>1055.71870803155</v>
      </c>
      <c r="L1056" s="93">
        <v>289962.55115825863</v>
      </c>
      <c r="M1056" s="93">
        <v>1302393.3163906992</v>
      </c>
      <c r="N1056" s="95">
        <v>8.3668805204354851E-2</v>
      </c>
      <c r="O1056" s="95">
        <v>0.46104880771546042</v>
      </c>
      <c r="P1056" s="95">
        <v>0.41935876661118549</v>
      </c>
      <c r="Q1056" s="95">
        <v>3.48808640215603E-2</v>
      </c>
      <c r="R1056" s="96">
        <v>1.0427564474388242E-3</v>
      </c>
    </row>
    <row r="1057" spans="1:18" ht="15" hidden="1" customHeight="1" x14ac:dyDescent="0.3">
      <c r="A1057" s="89">
        <v>2021</v>
      </c>
      <c r="B1057" s="90">
        <v>9</v>
      </c>
      <c r="C1057" s="90" t="s">
        <v>730</v>
      </c>
      <c r="D1057" s="90" t="s">
        <v>719</v>
      </c>
      <c r="E1057" s="91" t="s">
        <v>11</v>
      </c>
      <c r="F1057" s="92" t="s">
        <v>27</v>
      </c>
      <c r="G1057" s="93">
        <v>1984.6785569469901</v>
      </c>
      <c r="H1057" s="93">
        <v>42859.760669576201</v>
      </c>
      <c r="I1057" s="93">
        <v>2397.5457928860201</v>
      </c>
      <c r="J1057" s="93">
        <v>33101.268596417998</v>
      </c>
      <c r="K1057" s="93">
        <v>1805.8073703508001</v>
      </c>
      <c r="L1057" s="93">
        <v>19688.608109497309</v>
      </c>
      <c r="M1057" s="93">
        <v>226689.61699929932</v>
      </c>
      <c r="N1057" s="95">
        <v>9.5877723861893995E-3</v>
      </c>
      <c r="O1057" s="95">
        <v>0.20705097477275003</v>
      </c>
      <c r="P1057" s="95">
        <v>0.61472885750161677</v>
      </c>
      <c r="Q1057" s="95">
        <v>0.1599087307542526</v>
      </c>
      <c r="R1057" s="96">
        <v>8.7236645851911307E-3</v>
      </c>
    </row>
    <row r="1058" spans="1:18" ht="15" hidden="1" customHeight="1" x14ac:dyDescent="0.3">
      <c r="A1058" s="89">
        <v>2021</v>
      </c>
      <c r="B1058" s="90">
        <v>9</v>
      </c>
      <c r="C1058" s="90" t="s">
        <v>730</v>
      </c>
      <c r="D1058" s="90" t="s">
        <v>719</v>
      </c>
      <c r="E1058" s="91" t="s">
        <v>11</v>
      </c>
      <c r="F1058" s="92" t="s">
        <v>28</v>
      </c>
      <c r="G1058" s="93">
        <v>6259.5956367034396</v>
      </c>
      <c r="H1058" s="93">
        <v>40230.259515198501</v>
      </c>
      <c r="I1058" s="93">
        <v>2397.5457928860201</v>
      </c>
      <c r="J1058" s="93">
        <v>91051.019906326401</v>
      </c>
      <c r="K1058" s="93">
        <v>3433.4570893474402</v>
      </c>
      <c r="L1058" s="93">
        <v>3241.1670607536698</v>
      </c>
      <c r="M1058" s="93">
        <v>373104.58101494238</v>
      </c>
      <c r="N1058" s="95">
        <v>1.6924073591876684E-2</v>
      </c>
      <c r="O1058" s="95">
        <v>0.10877058394367554</v>
      </c>
      <c r="P1058" s="95">
        <v>0.61884758851807709</v>
      </c>
      <c r="Q1058" s="95">
        <v>0.24617471334324509</v>
      </c>
      <c r="R1058" s="96">
        <v>9.2830406031257483E-3</v>
      </c>
    </row>
    <row r="1059" spans="1:18" ht="15" customHeight="1" x14ac:dyDescent="0.3">
      <c r="A1059" s="89">
        <v>2021</v>
      </c>
      <c r="B1059" s="90">
        <v>9</v>
      </c>
      <c r="C1059" s="90" t="s">
        <v>730</v>
      </c>
      <c r="D1059" s="90" t="s">
        <v>719</v>
      </c>
      <c r="E1059" s="91" t="s">
        <v>11</v>
      </c>
      <c r="F1059" s="92" t="s">
        <v>29</v>
      </c>
      <c r="G1059" s="93">
        <v>13525.217766452201</v>
      </c>
      <c r="H1059" s="93">
        <v>71279.864972004594</v>
      </c>
      <c r="I1059" s="93">
        <v>2397.5457928860201</v>
      </c>
      <c r="J1059" s="93">
        <v>57716.305653996002</v>
      </c>
      <c r="K1059" s="93">
        <v>12524.114867305399</v>
      </c>
      <c r="L1059" s="93">
        <v>95474.142037814105</v>
      </c>
      <c r="M1059" s="93">
        <v>354392.05486975331</v>
      </c>
      <c r="N1059" s="95">
        <v>5.2237474103351327E-2</v>
      </c>
      <c r="O1059" s="95">
        <v>0.275299086851019</v>
      </c>
      <c r="P1059" s="95">
        <v>0.40117892360581264</v>
      </c>
      <c r="Q1059" s="95">
        <v>0.22291352893555505</v>
      </c>
      <c r="R1059" s="96">
        <v>4.8370986504261936E-2</v>
      </c>
    </row>
    <row r="1060" spans="1:18" ht="15" hidden="1" customHeight="1" x14ac:dyDescent="0.3">
      <c r="A1060" s="89">
        <v>2021</v>
      </c>
      <c r="B1060" s="90">
        <v>9</v>
      </c>
      <c r="C1060" s="90" t="s">
        <v>730</v>
      </c>
      <c r="D1060" s="90" t="s">
        <v>719</v>
      </c>
      <c r="E1060" s="91" t="s">
        <v>11</v>
      </c>
      <c r="F1060" s="92" t="s">
        <v>30</v>
      </c>
      <c r="G1060" s="93">
        <v>190.09287865042799</v>
      </c>
      <c r="H1060" s="93">
        <v>1507.4029146476601</v>
      </c>
      <c r="I1060" s="93">
        <v>2397.5457928860201</v>
      </c>
      <c r="J1060" s="93">
        <v>5501.5306481449297</v>
      </c>
      <c r="K1060" s="93">
        <v>1417.7511798667199</v>
      </c>
      <c r="L1060" s="93">
        <v>216441.55830862274</v>
      </c>
      <c r="M1060" s="93">
        <v>230086.50016211692</v>
      </c>
      <c r="N1060" s="95">
        <v>1.3931380631112713E-2</v>
      </c>
      <c r="O1060" s="95">
        <v>0.11047338499736049</v>
      </c>
      <c r="P1060" s="95">
        <v>0.36850023152695477</v>
      </c>
      <c r="Q1060" s="95">
        <v>0.40319194520686841</v>
      </c>
      <c r="R1060" s="96">
        <v>0.10390305763770361</v>
      </c>
    </row>
    <row r="1061" spans="1:18" ht="15" hidden="1" customHeight="1" x14ac:dyDescent="0.3">
      <c r="A1061" s="89">
        <v>2021</v>
      </c>
      <c r="B1061" s="90">
        <v>9</v>
      </c>
      <c r="C1061" s="90" t="s">
        <v>730</v>
      </c>
      <c r="D1061" s="90" t="s">
        <v>719</v>
      </c>
      <c r="E1061" s="91" t="s">
        <v>11</v>
      </c>
      <c r="F1061" s="92" t="s">
        <v>31</v>
      </c>
      <c r="G1061" s="93">
        <v>331.59289062499897</v>
      </c>
      <c r="H1061" s="93">
        <v>15504.3362974143</v>
      </c>
      <c r="I1061" s="93">
        <v>2397.5457928860201</v>
      </c>
      <c r="J1061" s="93">
        <v>88097.572764933095</v>
      </c>
      <c r="K1061" s="93">
        <v>47023.5627894504</v>
      </c>
      <c r="L1061" s="93">
        <v>45010.574062200219</v>
      </c>
      <c r="M1061" s="93">
        <v>251948.68865992018</v>
      </c>
      <c r="N1061" s="95">
        <v>1.6023770742746124E-3</v>
      </c>
      <c r="O1061" s="95">
        <v>7.4922574449632712E-2</v>
      </c>
      <c r="P1061" s="95">
        <v>0.27052073014254663</v>
      </c>
      <c r="Q1061" s="95">
        <v>0.42571941344005915</v>
      </c>
      <c r="R1061" s="96">
        <v>0.22723490489348694</v>
      </c>
    </row>
    <row r="1062" spans="1:18" ht="15" hidden="1" customHeight="1" x14ac:dyDescent="0.3">
      <c r="A1062" s="89">
        <v>2021</v>
      </c>
      <c r="B1062" s="90">
        <v>9</v>
      </c>
      <c r="C1062" s="90" t="s">
        <v>730</v>
      </c>
      <c r="D1062" s="90" t="s">
        <v>719</v>
      </c>
      <c r="E1062" s="91" t="s">
        <v>11</v>
      </c>
      <c r="F1062" s="92" t="s">
        <v>32</v>
      </c>
      <c r="G1062" s="93">
        <v>17314.785156816801</v>
      </c>
      <c r="H1062" s="93">
        <v>193291.66306701399</v>
      </c>
      <c r="I1062" s="93">
        <v>2397.5457928860201</v>
      </c>
      <c r="J1062" s="93">
        <v>66186.817057490596</v>
      </c>
      <c r="K1062" s="93">
        <v>2728.8304169163598</v>
      </c>
      <c r="L1062" s="93">
        <v>54032.821681985995</v>
      </c>
      <c r="M1062" s="93">
        <v>609521.81280337274</v>
      </c>
      <c r="N1062" s="95">
        <v>3.1170347988108252E-2</v>
      </c>
      <c r="O1062" s="95">
        <v>0.34796668549057785</v>
      </c>
      <c r="P1062" s="95">
        <v>0.49679993633365105</v>
      </c>
      <c r="Q1062" s="95">
        <v>0.11915054684319981</v>
      </c>
      <c r="R1062" s="96">
        <v>4.9124833444629855E-3</v>
      </c>
    </row>
    <row r="1063" spans="1:18" ht="15" hidden="1" customHeight="1" x14ac:dyDescent="0.3">
      <c r="A1063" s="89">
        <v>2021</v>
      </c>
      <c r="B1063" s="90">
        <v>9</v>
      </c>
      <c r="C1063" s="90" t="s">
        <v>730</v>
      </c>
      <c r="D1063" s="90" t="s">
        <v>719</v>
      </c>
      <c r="E1063" s="91" t="s">
        <v>11</v>
      </c>
      <c r="F1063" s="92" t="s">
        <v>33</v>
      </c>
      <c r="G1063" s="93">
        <v>71678.465909439095</v>
      </c>
      <c r="H1063" s="93">
        <v>494071.01062937302</v>
      </c>
      <c r="I1063" s="93">
        <v>2397.5457928860201</v>
      </c>
      <c r="J1063" s="93">
        <v>54880.5515368837</v>
      </c>
      <c r="K1063" s="93">
        <v>2669.88396197763</v>
      </c>
      <c r="L1063" s="93">
        <v>168753.97204100611</v>
      </c>
      <c r="M1063" s="93">
        <v>1352056.7882566517</v>
      </c>
      <c r="N1063" s="95">
        <v>6.0574913646091064E-2</v>
      </c>
      <c r="O1063" s="95">
        <v>0.41753556558707061</v>
      </c>
      <c r="P1063" s="95">
        <v>0.47325409565822996</v>
      </c>
      <c r="Q1063" s="95">
        <v>4.6379126952810573E-2</v>
      </c>
      <c r="R1063" s="96">
        <v>2.2562981557977375E-3</v>
      </c>
    </row>
    <row r="1064" spans="1:18" ht="15" hidden="1" customHeight="1" x14ac:dyDescent="0.3">
      <c r="A1064" s="89">
        <v>2021</v>
      </c>
      <c r="B1064" s="90">
        <v>9</v>
      </c>
      <c r="C1064" s="90" t="s">
        <v>730</v>
      </c>
      <c r="D1064" s="90" t="s">
        <v>719</v>
      </c>
      <c r="E1064" s="91" t="s">
        <v>11</v>
      </c>
      <c r="F1064" s="92" t="s">
        <v>34</v>
      </c>
      <c r="G1064" s="93">
        <v>24748.690188022701</v>
      </c>
      <c r="H1064" s="93">
        <v>117931.54992333399</v>
      </c>
      <c r="I1064" s="93">
        <v>2397.5457928860201</v>
      </c>
      <c r="J1064" s="93">
        <v>124091.169064363</v>
      </c>
      <c r="K1064" s="93">
        <v>6541.0127996905503</v>
      </c>
      <c r="L1064" s="93">
        <v>73940.642933969197</v>
      </c>
      <c r="M1064" s="93">
        <v>713628.83042002644</v>
      </c>
      <c r="N1064" s="95">
        <v>3.8688677815489798E-2</v>
      </c>
      <c r="O1064" s="95">
        <v>0.18435786720839586</v>
      </c>
      <c r="P1064" s="95">
        <v>0.57274117715145789</v>
      </c>
      <c r="Q1064" s="95">
        <v>0.19398696347987152</v>
      </c>
      <c r="R1064" s="96">
        <v>1.0225314344784769E-2</v>
      </c>
    </row>
    <row r="1065" spans="1:18" ht="15" hidden="1" customHeight="1" x14ac:dyDescent="0.3">
      <c r="A1065" s="89">
        <v>2021</v>
      </c>
      <c r="B1065" s="90">
        <v>9</v>
      </c>
      <c r="C1065" s="90" t="s">
        <v>730</v>
      </c>
      <c r="D1065" s="90" t="s">
        <v>719</v>
      </c>
      <c r="E1065" s="91" t="s">
        <v>11</v>
      </c>
      <c r="F1065" s="92" t="s">
        <v>35</v>
      </c>
      <c r="G1065" s="93">
        <v>17095.715183197</v>
      </c>
      <c r="H1065" s="93">
        <v>77011.979424719597</v>
      </c>
      <c r="I1065" s="93">
        <v>2397.5457928860201</v>
      </c>
      <c r="J1065" s="93">
        <v>105645.08640554499</v>
      </c>
      <c r="K1065" s="93">
        <v>17772.730402650301</v>
      </c>
      <c r="L1065" s="93">
        <v>236646.03422963107</v>
      </c>
      <c r="M1065" s="93">
        <v>605861.196294914</v>
      </c>
      <c r="N1065" s="95">
        <v>4.6302852481920051E-2</v>
      </c>
      <c r="O1065" s="95">
        <v>0.20858292761851066</v>
      </c>
      <c r="P1065" s="95">
        <v>0.41084350328589686</v>
      </c>
      <c r="Q1065" s="95">
        <v>0.28613420373799631</v>
      </c>
      <c r="R1065" s="96">
        <v>4.8136512875676024E-2</v>
      </c>
    </row>
    <row r="1066" spans="1:18" ht="15" hidden="1" customHeight="1" x14ac:dyDescent="0.3">
      <c r="A1066" s="89">
        <v>2021</v>
      </c>
      <c r="B1066" s="90">
        <v>9</v>
      </c>
      <c r="C1066" s="90" t="s">
        <v>730</v>
      </c>
      <c r="D1066" s="90" t="s">
        <v>719</v>
      </c>
      <c r="E1066" s="91" t="s">
        <v>11</v>
      </c>
      <c r="F1066" s="92" t="s">
        <v>36</v>
      </c>
      <c r="G1066" s="93">
        <v>6313.2269854503602</v>
      </c>
      <c r="H1066" s="93">
        <v>85311.997321928706</v>
      </c>
      <c r="I1066" s="93">
        <v>2397.5457928860201</v>
      </c>
      <c r="J1066" s="93">
        <v>29761.970719643199</v>
      </c>
      <c r="K1066" s="93">
        <v>1057.0098724494401</v>
      </c>
      <c r="L1066" s="93">
        <v>35923.137943665926</v>
      </c>
      <c r="M1066" s="93">
        <v>258886.87145458162</v>
      </c>
      <c r="N1066" s="95">
        <v>2.8315039787137768E-2</v>
      </c>
      <c r="O1066" s="95">
        <v>0.38262723707823121</v>
      </c>
      <c r="P1066" s="95">
        <v>0.45083353704481649</v>
      </c>
      <c r="Q1066" s="95">
        <v>0.13348346052065968</v>
      </c>
      <c r="R1066" s="96">
        <v>4.7407255691549128E-3</v>
      </c>
    </row>
    <row r="1067" spans="1:18" ht="15" hidden="1" customHeight="1" x14ac:dyDescent="0.3">
      <c r="A1067" s="89">
        <v>2021</v>
      </c>
      <c r="B1067" s="90">
        <v>9</v>
      </c>
      <c r="C1067" s="90" t="s">
        <v>730</v>
      </c>
      <c r="D1067" s="90" t="s">
        <v>719</v>
      </c>
      <c r="E1067" s="91" t="s">
        <v>11</v>
      </c>
      <c r="F1067" s="92" t="s">
        <v>37</v>
      </c>
      <c r="G1067" s="93">
        <v>13463.8441233946</v>
      </c>
      <c r="H1067" s="93">
        <v>90611.703245251905</v>
      </c>
      <c r="I1067" s="93">
        <v>2397.5457928860201</v>
      </c>
      <c r="J1067" s="93">
        <v>66522.288612755307</v>
      </c>
      <c r="K1067" s="93">
        <v>5334.1155835294103</v>
      </c>
      <c r="L1067" s="93">
        <v>186011.09148486669</v>
      </c>
      <c r="M1067" s="93">
        <v>524073.85777629592</v>
      </c>
      <c r="N1067" s="95">
        <v>3.982646261548959E-2</v>
      </c>
      <c r="O1067" s="95">
        <v>0.26803218893126934</v>
      </c>
      <c r="P1067" s="95">
        <v>0.47958790760983144</v>
      </c>
      <c r="Q1067" s="95">
        <v>0.19677496384032228</v>
      </c>
      <c r="R1067" s="96">
        <v>1.5778477003087352E-2</v>
      </c>
    </row>
    <row r="1068" spans="1:18" ht="15" hidden="1" customHeight="1" x14ac:dyDescent="0.3">
      <c r="A1068" s="89">
        <v>2021</v>
      </c>
      <c r="B1068" s="90">
        <v>9</v>
      </c>
      <c r="C1068" s="90" t="s">
        <v>730</v>
      </c>
      <c r="D1068" s="90" t="s">
        <v>719</v>
      </c>
      <c r="E1068" s="91" t="s">
        <v>11</v>
      </c>
      <c r="F1068" s="92" t="s">
        <v>720</v>
      </c>
      <c r="G1068" s="93">
        <v>41505.026762198198</v>
      </c>
      <c r="H1068" s="93">
        <v>113893.42144035699</v>
      </c>
      <c r="I1068" s="93">
        <v>2397.5457928860201</v>
      </c>
      <c r="J1068" s="93">
        <v>191186.45397754601</v>
      </c>
      <c r="K1068" s="93">
        <v>10220.827503901601</v>
      </c>
      <c r="L1068" s="93">
        <v>183175.04746722092</v>
      </c>
      <c r="M1068" s="93">
        <v>927958.42268837173</v>
      </c>
      <c r="N1068" s="95">
        <v>5.5727649331423358E-2</v>
      </c>
      <c r="O1068" s="95">
        <v>0.15292154098705313</v>
      </c>
      <c r="P1068" s="95">
        <v>0.52092683382190774</v>
      </c>
      <c r="Q1068" s="95">
        <v>0.25670075398873726</v>
      </c>
      <c r="R1068" s="96">
        <v>1.3723221870878493E-2</v>
      </c>
    </row>
    <row r="1069" spans="1:18" ht="15" hidden="1" customHeight="1" x14ac:dyDescent="0.3">
      <c r="A1069" s="89">
        <v>2021</v>
      </c>
      <c r="B1069" s="90">
        <v>9</v>
      </c>
      <c r="C1069" s="90" t="s">
        <v>730</v>
      </c>
      <c r="D1069" s="90" t="s">
        <v>719</v>
      </c>
      <c r="E1069" s="91" t="s">
        <v>11</v>
      </c>
      <c r="F1069" s="92" t="s">
        <v>39</v>
      </c>
      <c r="G1069" s="93">
        <v>6989.5357626408604</v>
      </c>
      <c r="H1069" s="93">
        <v>79069.9596020069</v>
      </c>
      <c r="I1069" s="93">
        <v>2397.5457928860201</v>
      </c>
      <c r="J1069" s="93">
        <v>26714.1692704503</v>
      </c>
      <c r="K1069" s="93">
        <v>638.15239197916605</v>
      </c>
      <c r="L1069" s="93">
        <v>57730.288384621672</v>
      </c>
      <c r="M1069" s="93">
        <v>331195.16650096793</v>
      </c>
      <c r="N1069" s="95">
        <v>2.5559171659576507E-2</v>
      </c>
      <c r="O1069" s="95">
        <v>0.28914118751427526</v>
      </c>
      <c r="P1069" s="95">
        <v>0.58527830773637435</v>
      </c>
      <c r="Q1069" s="95">
        <v>9.7687752279050244E-2</v>
      </c>
      <c r="R1069" s="96">
        <v>2.3335808107235716E-3</v>
      </c>
    </row>
    <row r="1070" spans="1:18" ht="15" hidden="1" customHeight="1" x14ac:dyDescent="0.3">
      <c r="A1070" s="89">
        <v>2021</v>
      </c>
      <c r="B1070" s="90">
        <v>9</v>
      </c>
      <c r="C1070" s="90" t="s">
        <v>730</v>
      </c>
      <c r="D1070" s="90" t="s">
        <v>719</v>
      </c>
      <c r="E1070" s="91" t="s">
        <v>11</v>
      </c>
      <c r="F1070" s="92" t="s">
        <v>40</v>
      </c>
      <c r="G1070" s="93">
        <v>5101.5216442769497</v>
      </c>
      <c r="H1070" s="93">
        <v>68003.186437849698</v>
      </c>
      <c r="I1070" s="93">
        <v>2397.5457928860201</v>
      </c>
      <c r="J1070" s="93">
        <v>92959.351799025302</v>
      </c>
      <c r="K1070" s="93">
        <v>11204.390021916301</v>
      </c>
      <c r="L1070" s="93">
        <v>5275.8333370343298</v>
      </c>
      <c r="M1070" s="93">
        <v>326305.02470133861</v>
      </c>
      <c r="N1070" s="95">
        <v>1.5891145669951669E-2</v>
      </c>
      <c r="O1070" s="95">
        <v>0.21182866937692157</v>
      </c>
      <c r="P1070" s="95">
        <v>0.44781205363376492</v>
      </c>
      <c r="Q1070" s="95">
        <v>0.28956666340518217</v>
      </c>
      <c r="R1070" s="96">
        <v>3.490146791417964E-2</v>
      </c>
    </row>
    <row r="1071" spans="1:18" ht="15" hidden="1" customHeight="1" x14ac:dyDescent="0.3">
      <c r="A1071" s="89">
        <v>2021</v>
      </c>
      <c r="B1071" s="90">
        <v>9</v>
      </c>
      <c r="C1071" s="90" t="s">
        <v>730</v>
      </c>
      <c r="D1071" s="90" t="s">
        <v>719</v>
      </c>
      <c r="E1071" s="91" t="s">
        <v>11</v>
      </c>
      <c r="F1071" s="92" t="s">
        <v>41</v>
      </c>
      <c r="G1071" s="93">
        <v>1437.69034595741</v>
      </c>
      <c r="H1071" s="93">
        <v>4631.1706162944201</v>
      </c>
      <c r="I1071" s="93">
        <v>2397.5457928860201</v>
      </c>
      <c r="J1071" s="93">
        <v>3897.7193812331402</v>
      </c>
      <c r="K1071" s="93">
        <v>810.58285678002403</v>
      </c>
      <c r="L1071" s="93">
        <v>3322.1041941789199</v>
      </c>
      <c r="M1071" s="93">
        <v>18714.332738962905</v>
      </c>
      <c r="N1071" s="95">
        <v>9.3403651185039419E-2</v>
      </c>
      <c r="O1071" s="95">
        <v>0.30087719934900525</v>
      </c>
      <c r="P1071" s="95">
        <v>0.29983087446313372</v>
      </c>
      <c r="Q1071" s="95">
        <v>0.25322644930151933</v>
      </c>
      <c r="R1071" s="96">
        <v>5.2661825701302296E-2</v>
      </c>
    </row>
    <row r="1072" spans="1:18" ht="15" hidden="1" customHeight="1" x14ac:dyDescent="0.3">
      <c r="A1072" s="89">
        <v>2021</v>
      </c>
      <c r="B1072" s="90">
        <v>9</v>
      </c>
      <c r="C1072" s="90" t="s">
        <v>730</v>
      </c>
      <c r="D1072" s="90" t="s">
        <v>719</v>
      </c>
      <c r="E1072" s="91" t="s">
        <v>11</v>
      </c>
      <c r="F1072" s="92" t="s">
        <v>42</v>
      </c>
      <c r="G1072" s="93">
        <v>7573.8816208517501</v>
      </c>
      <c r="H1072" s="93">
        <v>61393.445086120897</v>
      </c>
      <c r="I1072" s="93">
        <v>2397.5457928860201</v>
      </c>
      <c r="J1072" s="93">
        <v>154589.243598289</v>
      </c>
      <c r="K1072" s="93">
        <v>30856.4576530792</v>
      </c>
      <c r="L1072" s="93">
        <v>165685.28433692321</v>
      </c>
      <c r="M1072" s="93">
        <v>620824.33974997094</v>
      </c>
      <c r="N1072" s="95">
        <v>1.6640807970167055E-2</v>
      </c>
      <c r="O1072" s="95">
        <v>0.13488942413523516</v>
      </c>
      <c r="P1072" s="95">
        <v>0.44102132099506186</v>
      </c>
      <c r="Q1072" s="95">
        <v>0.33965277591481613</v>
      </c>
      <c r="R1072" s="96">
        <v>6.7795670984719933E-2</v>
      </c>
    </row>
    <row r="1073" spans="1:18" ht="15" hidden="1" customHeight="1" x14ac:dyDescent="0.3">
      <c r="A1073" s="89">
        <v>2021</v>
      </c>
      <c r="B1073" s="90">
        <v>9</v>
      </c>
      <c r="C1073" s="90" t="s">
        <v>730</v>
      </c>
      <c r="D1073" s="90" t="s">
        <v>719</v>
      </c>
      <c r="E1073" s="91" t="s">
        <v>11</v>
      </c>
      <c r="F1073" s="92" t="s">
        <v>43</v>
      </c>
      <c r="G1073" s="93">
        <v>735.51926077512201</v>
      </c>
      <c r="H1073" s="93">
        <v>13234.3066475659</v>
      </c>
      <c r="I1073" s="93">
        <v>2397.5457928860201</v>
      </c>
      <c r="J1073" s="93">
        <v>17993.4764884988</v>
      </c>
      <c r="K1073" s="93">
        <v>19307.538112902799</v>
      </c>
      <c r="L1073" s="93">
        <v>117428.16858619373</v>
      </c>
      <c r="M1073" s="93">
        <v>185575.48510012293</v>
      </c>
      <c r="N1073" s="95">
        <v>1.0793077385883316E-2</v>
      </c>
      <c r="O1073" s="95">
        <v>0.19420143484095706</v>
      </c>
      <c r="P1073" s="95">
        <v>0.24764696348295787</v>
      </c>
      <c r="Q1073" s="95">
        <v>0.26403793148364046</v>
      </c>
      <c r="R1073" s="96">
        <v>0.28332059280656147</v>
      </c>
    </row>
    <row r="1074" spans="1:18" ht="15" hidden="1" customHeight="1" x14ac:dyDescent="0.3">
      <c r="A1074" s="89">
        <v>2021</v>
      </c>
      <c r="B1074" s="90">
        <v>9</v>
      </c>
      <c r="C1074" s="90" t="s">
        <v>730</v>
      </c>
      <c r="D1074" s="90" t="s">
        <v>719</v>
      </c>
      <c r="E1074" s="91" t="s">
        <v>11</v>
      </c>
      <c r="F1074" s="92" t="s">
        <v>58</v>
      </c>
      <c r="G1074" s="93">
        <v>6058.7082903845003</v>
      </c>
      <c r="H1074" s="93">
        <v>104466.309514084</v>
      </c>
      <c r="I1074" s="93">
        <v>2397.5457928860201</v>
      </c>
      <c r="J1074" s="93">
        <v>63833.0052335238</v>
      </c>
      <c r="K1074" s="93">
        <v>2261.8961381648301</v>
      </c>
      <c r="L1074" s="93">
        <v>4193.8794571583803</v>
      </c>
      <c r="M1074" s="93">
        <v>371477.12559242354</v>
      </c>
      <c r="N1074" s="95">
        <v>1.6496010515418841E-2</v>
      </c>
      <c r="O1074" s="95">
        <v>0.28442982524612775</v>
      </c>
      <c r="P1074" s="95">
        <v>0.5191179531474992</v>
      </c>
      <c r="Q1074" s="95">
        <v>0.17379775937292555</v>
      </c>
      <c r="R1074" s="96">
        <v>6.1584517180285599E-3</v>
      </c>
    </row>
    <row r="1075" spans="1:18" ht="15" hidden="1" customHeight="1" x14ac:dyDescent="0.3">
      <c r="A1075" s="89">
        <v>2021</v>
      </c>
      <c r="B1075" s="90">
        <v>9</v>
      </c>
      <c r="C1075" s="90" t="s">
        <v>730</v>
      </c>
      <c r="D1075" s="90" t="s">
        <v>719</v>
      </c>
      <c r="E1075" s="91" t="s">
        <v>11</v>
      </c>
      <c r="F1075" s="92" t="s">
        <v>44</v>
      </c>
      <c r="G1075" s="93">
        <v>2899.53193168198</v>
      </c>
      <c r="H1075" s="93">
        <v>18919.515366625401</v>
      </c>
      <c r="I1075" s="93">
        <v>2397.5457928860201</v>
      </c>
      <c r="J1075" s="93">
        <v>49160.836691651697</v>
      </c>
      <c r="K1075" s="93">
        <v>5018.4885541084404</v>
      </c>
      <c r="L1075" s="93">
        <v>52704.218920252897</v>
      </c>
      <c r="M1075" s="93">
        <v>215729.28855107905</v>
      </c>
      <c r="N1075" s="95">
        <v>1.7785803976333416E-2</v>
      </c>
      <c r="O1075" s="95">
        <v>0.11605279733644069</v>
      </c>
      <c r="P1075" s="95">
        <v>0.53382401420733927</v>
      </c>
      <c r="Q1075" s="95">
        <v>0.30155384569365612</v>
      </c>
      <c r="R1075" s="96">
        <v>3.0783538786230351E-2</v>
      </c>
    </row>
    <row r="1076" spans="1:18" ht="15" hidden="1" customHeight="1" x14ac:dyDescent="0.3">
      <c r="A1076" s="89">
        <v>2021</v>
      </c>
      <c r="B1076" s="90">
        <v>9</v>
      </c>
      <c r="C1076" s="90" t="s">
        <v>730</v>
      </c>
      <c r="D1076" s="90" t="s">
        <v>719</v>
      </c>
      <c r="E1076" s="91" t="s">
        <v>11</v>
      </c>
      <c r="F1076" s="92" t="s">
        <v>51</v>
      </c>
      <c r="G1076" s="93">
        <v>671.00896843596797</v>
      </c>
      <c r="H1076" s="93">
        <v>14590.225645402799</v>
      </c>
      <c r="I1076" s="93">
        <v>2397.5457928860201</v>
      </c>
      <c r="J1076" s="93">
        <v>89663.175918891793</v>
      </c>
      <c r="K1076" s="93">
        <v>37389.774062127603</v>
      </c>
      <c r="L1076" s="93">
        <v>1681.74157707261</v>
      </c>
      <c r="M1076" s="93">
        <v>211202.40923547148</v>
      </c>
      <c r="N1076" s="95">
        <v>3.2025908276026335E-3</v>
      </c>
      <c r="O1076" s="95">
        <v>6.9636212066633008E-2</v>
      </c>
      <c r="P1076" s="95">
        <v>0.32076302454855532</v>
      </c>
      <c r="Q1076" s="95">
        <v>0.42794430220639645</v>
      </c>
      <c r="R1076" s="96">
        <v>0.17845387035081259</v>
      </c>
    </row>
    <row r="1077" spans="1:18" ht="15" hidden="1" customHeight="1" x14ac:dyDescent="0.3">
      <c r="A1077" s="89">
        <v>2021</v>
      </c>
      <c r="B1077" s="90">
        <v>9</v>
      </c>
      <c r="C1077" s="90" t="s">
        <v>730</v>
      </c>
      <c r="D1077" s="90" t="s">
        <v>719</v>
      </c>
      <c r="E1077" s="91" t="s">
        <v>11</v>
      </c>
      <c r="F1077" s="92" t="s">
        <v>45</v>
      </c>
      <c r="G1077" s="93">
        <v>3333.2616412469301</v>
      </c>
      <c r="H1077" s="93">
        <v>17150.753597019</v>
      </c>
      <c r="I1077" s="93">
        <v>2397.5457928860201</v>
      </c>
      <c r="J1077" s="93">
        <v>28040.3269746644</v>
      </c>
      <c r="K1077" s="93">
        <v>7717.2423157919802</v>
      </c>
      <c r="L1077" s="93">
        <v>49391.974132154719</v>
      </c>
      <c r="M1077" s="93">
        <v>134096.09203645913</v>
      </c>
      <c r="N1077" s="95">
        <v>3.9351825197125906E-2</v>
      </c>
      <c r="O1077" s="95">
        <v>0.20247839209417526</v>
      </c>
      <c r="P1077" s="95">
        <v>0.3360230184763629</v>
      </c>
      <c r="Q1077" s="95">
        <v>0.33103853352611884</v>
      </c>
      <c r="R1077" s="96">
        <v>9.1108230706217097E-2</v>
      </c>
    </row>
    <row r="1078" spans="1:18" ht="15" hidden="1" customHeight="1" x14ac:dyDescent="0.3">
      <c r="A1078" s="89">
        <v>2021</v>
      </c>
      <c r="B1078" s="90">
        <v>9</v>
      </c>
      <c r="C1078" s="90" t="s">
        <v>730</v>
      </c>
      <c r="D1078" s="90" t="s">
        <v>719</v>
      </c>
      <c r="E1078" s="91" t="s">
        <v>11</v>
      </c>
      <c r="F1078" s="92" t="s">
        <v>721</v>
      </c>
      <c r="G1078" s="93">
        <v>4037.4310400444201</v>
      </c>
      <c r="H1078" s="93">
        <v>73677.800666768293</v>
      </c>
      <c r="I1078" s="93">
        <v>2397.5457928860201</v>
      </c>
      <c r="J1078" s="93">
        <v>48601.0021368913</v>
      </c>
      <c r="K1078" s="93">
        <v>4644.5844659895702</v>
      </c>
      <c r="L1078" s="93">
        <v>19.937670088848037</v>
      </c>
      <c r="M1078" s="93">
        <v>309330.85090303043</v>
      </c>
      <c r="N1078" s="95">
        <v>1.3052986064555171E-2</v>
      </c>
      <c r="O1078" s="95">
        <v>0.238199809688841</v>
      </c>
      <c r="P1078" s="95">
        <v>0.57660459845764578</v>
      </c>
      <c r="Q1078" s="95">
        <v>0.15712669698236595</v>
      </c>
      <c r="R1078" s="96">
        <v>1.5015908806592093E-2</v>
      </c>
    </row>
    <row r="1079" spans="1:18" ht="15" hidden="1" customHeight="1" x14ac:dyDescent="0.3">
      <c r="A1079" s="89">
        <v>2021</v>
      </c>
      <c r="B1079" s="90">
        <v>9</v>
      </c>
      <c r="C1079" s="90" t="s">
        <v>730</v>
      </c>
      <c r="D1079" s="90" t="s">
        <v>719</v>
      </c>
      <c r="E1079" s="91" t="s">
        <v>11</v>
      </c>
      <c r="F1079" s="92" t="s">
        <v>46</v>
      </c>
      <c r="G1079" s="93">
        <v>1320.6775271660499</v>
      </c>
      <c r="H1079" s="93">
        <v>34778.311496792398</v>
      </c>
      <c r="I1079" s="93">
        <v>2397.5457928860201</v>
      </c>
      <c r="J1079" s="93">
        <v>33082.256017481799</v>
      </c>
      <c r="K1079" s="93">
        <v>11177.539861617601</v>
      </c>
      <c r="L1079" s="93">
        <v>6710.5383028308397</v>
      </c>
      <c r="M1079" s="93">
        <v>149075.00300838999</v>
      </c>
      <c r="N1079" s="95">
        <v>9.276735805508066E-3</v>
      </c>
      <c r="O1079" s="95">
        <v>0.24429067723270376</v>
      </c>
      <c r="P1079" s="95">
        <v>0.43554183223139709</v>
      </c>
      <c r="Q1079" s="95">
        <v>0.23237720231592299</v>
      </c>
      <c r="R1079" s="96">
        <v>7.8513552414468016E-2</v>
      </c>
    </row>
    <row r="1080" spans="1:18" ht="15" hidden="1" customHeight="1" x14ac:dyDescent="0.3">
      <c r="A1080" s="89">
        <v>2021</v>
      </c>
      <c r="B1080" s="90">
        <v>9</v>
      </c>
      <c r="C1080" s="90" t="s">
        <v>730</v>
      </c>
      <c r="D1080" s="90" t="s">
        <v>719</v>
      </c>
      <c r="E1080" s="91" t="s">
        <v>11</v>
      </c>
      <c r="F1080" s="92" t="s">
        <v>47</v>
      </c>
      <c r="G1080" s="93">
        <v>27112.229266171998</v>
      </c>
      <c r="H1080" s="93">
        <v>372112.73083174101</v>
      </c>
      <c r="I1080" s="93">
        <v>2397.5457928860201</v>
      </c>
      <c r="J1080" s="93">
        <v>198183.15911884699</v>
      </c>
      <c r="K1080" s="93">
        <v>21579.461602542899</v>
      </c>
      <c r="L1080" s="93">
        <v>318312.01351405203</v>
      </c>
      <c r="M1080" s="93">
        <v>1461770.3581409692</v>
      </c>
      <c r="N1080" s="95">
        <v>2.371072754295922E-2</v>
      </c>
      <c r="O1080" s="95">
        <v>0.32542744786488259</v>
      </c>
      <c r="P1080" s="95">
        <v>0.45867063393440555</v>
      </c>
      <c r="Q1080" s="95">
        <v>0.17331908945359037</v>
      </c>
      <c r="R1080" s="96">
        <v>1.8872101204162148E-2</v>
      </c>
    </row>
    <row r="1081" spans="1:18" ht="15" hidden="1" customHeight="1" x14ac:dyDescent="0.3">
      <c r="A1081" s="89">
        <v>2021</v>
      </c>
      <c r="B1081" s="90">
        <v>9</v>
      </c>
      <c r="C1081" s="90" t="s">
        <v>730</v>
      </c>
      <c r="D1081" s="90" t="s">
        <v>719</v>
      </c>
      <c r="E1081" s="91" t="s">
        <v>11</v>
      </c>
      <c r="F1081" s="92" t="s">
        <v>48</v>
      </c>
      <c r="G1081" s="93">
        <v>3053.5266036381699</v>
      </c>
      <c r="H1081" s="93">
        <v>17446.685265211199</v>
      </c>
      <c r="I1081" s="93">
        <v>2397.5457928860201</v>
      </c>
      <c r="J1081" s="93">
        <v>28520.728727426202</v>
      </c>
      <c r="K1081" s="93">
        <v>1589.41446909313</v>
      </c>
      <c r="L1081" s="93">
        <v>9456.5637716391102</v>
      </c>
      <c r="M1081" s="93">
        <v>110314.3977999405</v>
      </c>
      <c r="N1081" s="95">
        <v>3.027555204865226E-2</v>
      </c>
      <c r="O1081" s="95">
        <v>0.17298294607750092</v>
      </c>
      <c r="P1081" s="95">
        <v>0.49820105148037297</v>
      </c>
      <c r="Q1081" s="95">
        <v>0.28278149141516457</v>
      </c>
      <c r="R1081" s="96">
        <v>1.5758958978309305E-2</v>
      </c>
    </row>
    <row r="1082" spans="1:18" ht="15" hidden="1" customHeight="1" x14ac:dyDescent="0.3">
      <c r="A1082" s="89">
        <v>2021</v>
      </c>
      <c r="B1082" s="90">
        <v>9</v>
      </c>
      <c r="C1082" s="90" t="s">
        <v>730</v>
      </c>
      <c r="D1082" s="90" t="s">
        <v>722</v>
      </c>
      <c r="E1082" s="91" t="s">
        <v>11</v>
      </c>
      <c r="F1082" s="92" t="s">
        <v>12</v>
      </c>
      <c r="G1082" s="93">
        <v>12113.7389400674</v>
      </c>
      <c r="H1082" s="93">
        <v>192290.61181019701</v>
      </c>
      <c r="I1082" s="93">
        <v>2397.5457928860201</v>
      </c>
      <c r="J1082" s="93">
        <v>15574.562821835199</v>
      </c>
      <c r="K1082" s="93">
        <v>246.95277109374999</v>
      </c>
      <c r="L1082" s="93">
        <v>62288.914359736802</v>
      </c>
      <c r="M1082" s="93">
        <v>433311.47680229921</v>
      </c>
      <c r="N1082" s="95">
        <v>3.264960184717261E-2</v>
      </c>
      <c r="O1082" s="95">
        <v>0.51827201705547299</v>
      </c>
      <c r="P1082" s="95">
        <v>0.40643537985028516</v>
      </c>
      <c r="Q1082" s="95">
        <v>4.1977400833261402E-2</v>
      </c>
      <c r="R1082" s="96">
        <v>6.6560041380766557E-4</v>
      </c>
    </row>
    <row r="1083" spans="1:18" ht="15" hidden="1" customHeight="1" x14ac:dyDescent="0.3">
      <c r="A1083" s="89">
        <v>2021</v>
      </c>
      <c r="B1083" s="90">
        <v>9</v>
      </c>
      <c r="C1083" s="90" t="s">
        <v>730</v>
      </c>
      <c r="D1083" s="90" t="s">
        <v>722</v>
      </c>
      <c r="E1083" s="91" t="s">
        <v>11</v>
      </c>
      <c r="F1083" s="92" t="s">
        <v>26</v>
      </c>
      <c r="G1083" s="93">
        <v>98796.933422690199</v>
      </c>
      <c r="H1083" s="93">
        <v>626134.75060181005</v>
      </c>
      <c r="I1083" s="93">
        <v>2397.5457928860201</v>
      </c>
      <c r="J1083" s="93">
        <v>10498.530741344999</v>
      </c>
      <c r="K1083" s="93">
        <v>178.80791002604099</v>
      </c>
      <c r="L1083" s="93">
        <v>355360.92795927729</v>
      </c>
      <c r="M1083" s="93">
        <v>1302393.3163907235</v>
      </c>
      <c r="N1083" s="95">
        <v>0.10432265530677984</v>
      </c>
      <c r="O1083" s="95">
        <v>0.66115452676213793</v>
      </c>
      <c r="P1083" s="95">
        <v>0.22324829471329058</v>
      </c>
      <c r="Q1083" s="95">
        <v>1.1085714564349312E-2</v>
      </c>
      <c r="R1083" s="96">
        <v>1.8880865344235746E-4</v>
      </c>
    </row>
    <row r="1084" spans="1:18" ht="15" hidden="1" customHeight="1" x14ac:dyDescent="0.3">
      <c r="A1084" s="89">
        <v>2021</v>
      </c>
      <c r="B1084" s="90">
        <v>9</v>
      </c>
      <c r="C1084" s="90" t="s">
        <v>730</v>
      </c>
      <c r="D1084" s="90" t="s">
        <v>722</v>
      </c>
      <c r="E1084" s="91" t="s">
        <v>11</v>
      </c>
      <c r="F1084" s="92" t="s">
        <v>27</v>
      </c>
      <c r="G1084" s="93">
        <v>2961.0412079243101</v>
      </c>
      <c r="H1084" s="93">
        <v>111269.03420172899</v>
      </c>
      <c r="I1084" s="93">
        <v>2397.5457928860201</v>
      </c>
      <c r="J1084" s="93">
        <v>12221.176319440799</v>
      </c>
      <c r="K1084" s="93">
        <v>646.92884570312401</v>
      </c>
      <c r="L1084" s="93">
        <v>2776.7193662515201</v>
      </c>
      <c r="M1084" s="93">
        <v>226689.61699930116</v>
      </c>
      <c r="N1084" s="95">
        <v>1.322407614400529E-2</v>
      </c>
      <c r="O1084" s="95">
        <v>0.49692999098282242</v>
      </c>
      <c r="P1084" s="95">
        <v>0.43237668790706812</v>
      </c>
      <c r="Q1084" s="95">
        <v>5.4580046297596344E-2</v>
      </c>
      <c r="R1084" s="96">
        <v>2.8891986685077716E-3</v>
      </c>
    </row>
    <row r="1085" spans="1:18" ht="15" hidden="1" customHeight="1" x14ac:dyDescent="0.3">
      <c r="A1085" s="89">
        <v>2021</v>
      </c>
      <c r="B1085" s="90">
        <v>9</v>
      </c>
      <c r="C1085" s="90" t="s">
        <v>730</v>
      </c>
      <c r="D1085" s="90" t="s">
        <v>722</v>
      </c>
      <c r="E1085" s="91" t="s">
        <v>11</v>
      </c>
      <c r="F1085" s="92" t="s">
        <v>28</v>
      </c>
      <c r="G1085" s="93">
        <v>7792.3143117846403</v>
      </c>
      <c r="H1085" s="93">
        <v>100370.271226425</v>
      </c>
      <c r="I1085" s="93">
        <v>2397.5457928860201</v>
      </c>
      <c r="J1085" s="93">
        <v>19664.2042962134</v>
      </c>
      <c r="K1085" s="93">
        <v>591.64966136335704</v>
      </c>
      <c r="L1085" s="93">
        <v>3958.2214555989522</v>
      </c>
      <c r="M1085" s="93">
        <v>373104.5810149443</v>
      </c>
      <c r="N1085" s="95">
        <v>2.1109010315275557E-2</v>
      </c>
      <c r="O1085" s="95">
        <v>0.27189830978216406</v>
      </c>
      <c r="P1085" s="95">
        <v>0.65212053113816137</v>
      </c>
      <c r="Q1085" s="95">
        <v>5.3269397860747719E-2</v>
      </c>
      <c r="R1085" s="96">
        <v>1.6027509036513775E-3</v>
      </c>
    </row>
    <row r="1086" spans="1:18" ht="15" customHeight="1" x14ac:dyDescent="0.3">
      <c r="A1086" s="89">
        <v>2021</v>
      </c>
      <c r="B1086" s="90">
        <v>9</v>
      </c>
      <c r="C1086" s="90" t="s">
        <v>730</v>
      </c>
      <c r="D1086" s="90" t="s">
        <v>722</v>
      </c>
      <c r="E1086" s="91" t="s">
        <v>11</v>
      </c>
      <c r="F1086" s="92" t="s">
        <v>29</v>
      </c>
      <c r="G1086" s="93">
        <v>13328.013035476401</v>
      </c>
      <c r="H1086" s="93">
        <v>73986.626140387496</v>
      </c>
      <c r="I1086" s="93">
        <v>2397.5457928860201</v>
      </c>
      <c r="J1086" s="93">
        <v>52095.063442802901</v>
      </c>
      <c r="K1086" s="93">
        <v>4551.0655877757399</v>
      </c>
      <c r="L1086" s="93">
        <v>100122.2416873828</v>
      </c>
      <c r="M1086" s="93">
        <v>354392.05486975634</v>
      </c>
      <c r="N1086" s="95">
        <v>5.241681215975473E-2</v>
      </c>
      <c r="O1086" s="95">
        <v>0.29097683761351972</v>
      </c>
      <c r="P1086" s="95">
        <v>0.43382674331385335</v>
      </c>
      <c r="Q1086" s="95">
        <v>0.2048810387312395</v>
      </c>
      <c r="R1086" s="96">
        <v>1.7898568181632771E-2</v>
      </c>
    </row>
    <row r="1087" spans="1:18" ht="15" hidden="1" customHeight="1" x14ac:dyDescent="0.3">
      <c r="A1087" s="89">
        <v>2021</v>
      </c>
      <c r="B1087" s="90">
        <v>9</v>
      </c>
      <c r="C1087" s="90" t="s">
        <v>730</v>
      </c>
      <c r="D1087" s="90" t="s">
        <v>722</v>
      </c>
      <c r="E1087" s="91" t="s">
        <v>11</v>
      </c>
      <c r="F1087" s="92" t="s">
        <v>30</v>
      </c>
      <c r="G1087" s="93">
        <v>373.60496600643302</v>
      </c>
      <c r="H1087" s="93">
        <v>2306.2763062454001</v>
      </c>
      <c r="I1087" s="93">
        <v>2397.5457928860201</v>
      </c>
      <c r="J1087" s="93">
        <v>2341.9588211197902</v>
      </c>
      <c r="K1087" s="93">
        <v>285.11226363204599</v>
      </c>
      <c r="L1087" s="93">
        <v>219651.21040403872</v>
      </c>
      <c r="M1087" s="93">
        <v>230086.50016211622</v>
      </c>
      <c r="N1087" s="95">
        <v>3.5802069196712194E-2</v>
      </c>
      <c r="O1087" s="95">
        <v>0.22100740465402133</v>
      </c>
      <c r="P1087" s="95">
        <v>0.49144178263993243</v>
      </c>
      <c r="Q1087" s="95">
        <v>0.22442681280670532</v>
      </c>
      <c r="R1087" s="96">
        <v>2.7321930702628824E-2</v>
      </c>
    </row>
    <row r="1088" spans="1:18" ht="15" hidden="1" customHeight="1" x14ac:dyDescent="0.3">
      <c r="A1088" s="89">
        <v>2021</v>
      </c>
      <c r="B1088" s="90">
        <v>9</v>
      </c>
      <c r="C1088" s="90" t="s">
        <v>730</v>
      </c>
      <c r="D1088" s="90" t="s">
        <v>722</v>
      </c>
      <c r="E1088" s="91" t="s">
        <v>11</v>
      </c>
      <c r="F1088" s="92" t="s">
        <v>31</v>
      </c>
      <c r="G1088" s="93">
        <v>762.040045778185</v>
      </c>
      <c r="H1088" s="93">
        <v>26737.901721132501</v>
      </c>
      <c r="I1088" s="93">
        <v>2397.5457928860201</v>
      </c>
      <c r="J1088" s="93">
        <v>80542.533253193702</v>
      </c>
      <c r="K1088" s="93">
        <v>34614.8765741549</v>
      </c>
      <c r="L1088" s="93">
        <v>45112.531403676949</v>
      </c>
      <c r="M1088" s="93">
        <v>251948.68865991791</v>
      </c>
      <c r="N1088" s="95">
        <v>3.6842690170177761E-3</v>
      </c>
      <c r="O1088" s="95">
        <v>0.12927092668816118</v>
      </c>
      <c r="P1088" s="95">
        <v>0.31028813585273279</v>
      </c>
      <c r="Q1088" s="95">
        <v>0.38940257990488969</v>
      </c>
      <c r="R1088" s="96">
        <v>0.16735408853719869</v>
      </c>
    </row>
    <row r="1089" spans="1:18" ht="15" hidden="1" customHeight="1" x14ac:dyDescent="0.3">
      <c r="A1089" s="89">
        <v>2021</v>
      </c>
      <c r="B1089" s="90">
        <v>9</v>
      </c>
      <c r="C1089" s="90" t="s">
        <v>730</v>
      </c>
      <c r="D1089" s="90" t="s">
        <v>722</v>
      </c>
      <c r="E1089" s="91" t="s">
        <v>11</v>
      </c>
      <c r="F1089" s="92" t="s">
        <v>32</v>
      </c>
      <c r="G1089" s="93">
        <v>22742.9591513175</v>
      </c>
      <c r="H1089" s="93">
        <v>243989.600232403</v>
      </c>
      <c r="I1089" s="93">
        <v>2397.5457928860201</v>
      </c>
      <c r="J1089" s="93">
        <v>67559.026025916406</v>
      </c>
      <c r="K1089" s="93">
        <v>2303.97601822763</v>
      </c>
      <c r="L1089" s="93">
        <v>33442.943352947797</v>
      </c>
      <c r="M1089" s="93">
        <v>609521.81280336541</v>
      </c>
      <c r="N1089" s="95">
        <v>3.9478898389407005E-2</v>
      </c>
      <c r="O1089" s="95">
        <v>0.42353506294228499</v>
      </c>
      <c r="P1089" s="95">
        <v>0.41571271005135357</v>
      </c>
      <c r="Q1089" s="95">
        <v>0.11727391787580768</v>
      </c>
      <c r="R1089" s="96">
        <v>3.9994107411466693E-3</v>
      </c>
    </row>
    <row r="1090" spans="1:18" ht="15" hidden="1" customHeight="1" x14ac:dyDescent="0.3">
      <c r="A1090" s="89">
        <v>2021</v>
      </c>
      <c r="B1090" s="90">
        <v>9</v>
      </c>
      <c r="C1090" s="90" t="s">
        <v>730</v>
      </c>
      <c r="D1090" s="90" t="s">
        <v>722</v>
      </c>
      <c r="E1090" s="91" t="s">
        <v>11</v>
      </c>
      <c r="F1090" s="92" t="s">
        <v>33</v>
      </c>
      <c r="G1090" s="93">
        <v>106615.12798750499</v>
      </c>
      <c r="H1090" s="93">
        <v>891277.89966679004</v>
      </c>
      <c r="I1090" s="93">
        <v>2397.5457928860201</v>
      </c>
      <c r="J1090" s="93">
        <v>8994.4916209711391</v>
      </c>
      <c r="K1090" s="93">
        <v>676.568491015625</v>
      </c>
      <c r="L1090" s="93">
        <v>47445.465007264094</v>
      </c>
      <c r="M1090" s="93">
        <v>1352056.788257201</v>
      </c>
      <c r="N1090" s="95">
        <v>8.1721755811466096E-2</v>
      </c>
      <c r="O1090" s="95">
        <v>0.68317504515177307</v>
      </c>
      <c r="P1090" s="95">
        <v>0.22769021714733872</v>
      </c>
      <c r="Q1090" s="95">
        <v>6.8943841439033553E-3</v>
      </c>
      <c r="R1090" s="96">
        <v>5.185977455187305E-4</v>
      </c>
    </row>
    <row r="1091" spans="1:18" ht="15" hidden="1" customHeight="1" x14ac:dyDescent="0.3">
      <c r="A1091" s="89">
        <v>2021</v>
      </c>
      <c r="B1091" s="90">
        <v>9</v>
      </c>
      <c r="C1091" s="90" t="s">
        <v>730</v>
      </c>
      <c r="D1091" s="90" t="s">
        <v>722</v>
      </c>
      <c r="E1091" s="91" t="s">
        <v>11</v>
      </c>
      <c r="F1091" s="92" t="s">
        <v>34</v>
      </c>
      <c r="G1091" s="93">
        <v>24873.737025634699</v>
      </c>
      <c r="H1091" s="93">
        <v>225885.23683500101</v>
      </c>
      <c r="I1091" s="93">
        <v>2397.5457928860201</v>
      </c>
      <c r="J1091" s="93">
        <v>50875.167598880798</v>
      </c>
      <c r="K1091" s="93">
        <v>2188.02477037377</v>
      </c>
      <c r="L1091" s="93">
        <v>83336.971145721705</v>
      </c>
      <c r="M1091" s="93">
        <v>713628.83042006614</v>
      </c>
      <c r="N1091" s="95">
        <v>3.9463839901520949E-2</v>
      </c>
      <c r="O1091" s="95">
        <v>0.35838196783163739</v>
      </c>
      <c r="P1091" s="95">
        <v>0.51796590458953229</v>
      </c>
      <c r="Q1091" s="95">
        <v>8.0716840698931799E-2</v>
      </c>
      <c r="R1091" s="96">
        <v>3.4714469783773583E-3</v>
      </c>
    </row>
    <row r="1092" spans="1:18" ht="15" hidden="1" customHeight="1" x14ac:dyDescent="0.3">
      <c r="A1092" s="89">
        <v>2021</v>
      </c>
      <c r="B1092" s="90">
        <v>9</v>
      </c>
      <c r="C1092" s="90" t="s">
        <v>730</v>
      </c>
      <c r="D1092" s="90" t="s">
        <v>722</v>
      </c>
      <c r="E1092" s="91" t="s">
        <v>11</v>
      </c>
      <c r="F1092" s="92" t="s">
        <v>35</v>
      </c>
      <c r="G1092" s="93">
        <v>18009.364047057501</v>
      </c>
      <c r="H1092" s="93">
        <v>89709.875435855894</v>
      </c>
      <c r="I1092" s="93">
        <v>2397.5457928860201</v>
      </c>
      <c r="J1092" s="93">
        <v>48587.428757672598</v>
      </c>
      <c r="K1092" s="93">
        <v>5509.3979114031499</v>
      </c>
      <c r="L1092" s="93">
        <v>287149.38955207932</v>
      </c>
      <c r="M1092" s="93">
        <v>605861.19629491842</v>
      </c>
      <c r="N1092" s="95">
        <v>5.6506736387048319E-2</v>
      </c>
      <c r="O1092" s="95">
        <v>0.28147647353472732</v>
      </c>
      <c r="P1092" s="95">
        <v>0.49228091734124357</v>
      </c>
      <c r="Q1092" s="95">
        <v>0.15244941583502936</v>
      </c>
      <c r="R1092" s="96">
        <v>1.7286456901951391E-2</v>
      </c>
    </row>
    <row r="1093" spans="1:18" ht="15" hidden="1" customHeight="1" x14ac:dyDescent="0.3">
      <c r="A1093" s="89">
        <v>2021</v>
      </c>
      <c r="B1093" s="90">
        <v>9</v>
      </c>
      <c r="C1093" s="90" t="s">
        <v>730</v>
      </c>
      <c r="D1093" s="90" t="s">
        <v>722</v>
      </c>
      <c r="E1093" s="91" t="s">
        <v>11</v>
      </c>
      <c r="F1093" s="92" t="s">
        <v>36</v>
      </c>
      <c r="G1093" s="93">
        <v>3418.7829149096201</v>
      </c>
      <c r="H1093" s="93">
        <v>80370.297923100094</v>
      </c>
      <c r="I1093" s="93">
        <v>2397.5457928860201</v>
      </c>
      <c r="J1093" s="93">
        <v>38671.78932987</v>
      </c>
      <c r="K1093" s="93">
        <v>766.50554688878594</v>
      </c>
      <c r="L1093" s="93">
        <v>33047.483820583926</v>
      </c>
      <c r="M1093" s="93">
        <v>258886.87145458441</v>
      </c>
      <c r="N1093" s="95">
        <v>1.5138116299049497E-2</v>
      </c>
      <c r="O1093" s="95">
        <v>0.35587369752060122</v>
      </c>
      <c r="P1093" s="95">
        <v>0.45435835172174188</v>
      </c>
      <c r="Q1093" s="95">
        <v>0.17123580494533674</v>
      </c>
      <c r="R1093" s="96">
        <v>3.3940295132707282E-3</v>
      </c>
    </row>
    <row r="1094" spans="1:18" ht="15" hidden="1" customHeight="1" x14ac:dyDescent="0.3">
      <c r="A1094" s="89">
        <v>2021</v>
      </c>
      <c r="B1094" s="90">
        <v>9</v>
      </c>
      <c r="C1094" s="90" t="s">
        <v>730</v>
      </c>
      <c r="D1094" s="90" t="s">
        <v>722</v>
      </c>
      <c r="E1094" s="91" t="s">
        <v>11</v>
      </c>
      <c r="F1094" s="92" t="s">
        <v>37</v>
      </c>
      <c r="G1094" s="93">
        <v>11106.018675736799</v>
      </c>
      <c r="H1094" s="93">
        <v>131361.646555935</v>
      </c>
      <c r="I1094" s="93">
        <v>2397.5457928860201</v>
      </c>
      <c r="J1094" s="93">
        <v>49886.593390604001</v>
      </c>
      <c r="K1094" s="93">
        <v>3087.15459717065</v>
      </c>
      <c r="L1094" s="93">
        <v>166213.22441037203</v>
      </c>
      <c r="M1094" s="93">
        <v>524073.8577763075</v>
      </c>
      <c r="N1094" s="95">
        <v>3.1034480018874225E-2</v>
      </c>
      <c r="O1094" s="95">
        <v>0.36707487303195285</v>
      </c>
      <c r="P1094" s="95">
        <v>0.45386165731284817</v>
      </c>
      <c r="Q1094" s="95">
        <v>0.13940229446694058</v>
      </c>
      <c r="R1094" s="96">
        <v>8.6266951693841007E-3</v>
      </c>
    </row>
    <row r="1095" spans="1:18" ht="15" hidden="1" customHeight="1" x14ac:dyDescent="0.3">
      <c r="A1095" s="89">
        <v>2021</v>
      </c>
      <c r="B1095" s="90">
        <v>9</v>
      </c>
      <c r="C1095" s="90" t="s">
        <v>730</v>
      </c>
      <c r="D1095" s="90" t="s">
        <v>722</v>
      </c>
      <c r="E1095" s="91" t="s">
        <v>11</v>
      </c>
      <c r="F1095" s="92" t="s">
        <v>720</v>
      </c>
      <c r="G1095" s="93">
        <v>40868.140981803997</v>
      </c>
      <c r="H1095" s="93">
        <v>167607.63943367699</v>
      </c>
      <c r="I1095" s="93">
        <v>2397.5457928860201</v>
      </c>
      <c r="J1095" s="93">
        <v>58621.561431346803</v>
      </c>
      <c r="K1095" s="93">
        <v>1811.6896916651301</v>
      </c>
      <c r="L1095" s="93">
        <v>288539.63178254303</v>
      </c>
      <c r="M1095" s="93">
        <v>927958.42268833693</v>
      </c>
      <c r="N1095" s="95">
        <v>6.3914513559901201E-2</v>
      </c>
      <c r="O1095" s="95">
        <v>0.26212498258965111</v>
      </c>
      <c r="P1095" s="95">
        <v>0.57944771820427865</v>
      </c>
      <c r="Q1095" s="95">
        <v>9.1679447437420666E-2</v>
      </c>
      <c r="R1095" s="96">
        <v>2.8333382087484629E-3</v>
      </c>
    </row>
    <row r="1096" spans="1:18" ht="15" hidden="1" customHeight="1" x14ac:dyDescent="0.3">
      <c r="A1096" s="89">
        <v>2021</v>
      </c>
      <c r="B1096" s="90">
        <v>9</v>
      </c>
      <c r="C1096" s="90" t="s">
        <v>730</v>
      </c>
      <c r="D1096" s="90" t="s">
        <v>722</v>
      </c>
      <c r="E1096" s="91" t="s">
        <v>11</v>
      </c>
      <c r="F1096" s="92" t="s">
        <v>39</v>
      </c>
      <c r="G1096" s="93">
        <v>7784.9138332689199</v>
      </c>
      <c r="H1096" s="93">
        <v>136531.71278779401</v>
      </c>
      <c r="I1096" s="93">
        <v>2397.5457928860201</v>
      </c>
      <c r="J1096" s="93">
        <v>22676.593357924499</v>
      </c>
      <c r="K1096" s="93">
        <v>451.52303492493797</v>
      </c>
      <c r="L1096" s="93">
        <v>33659.984751052281</v>
      </c>
      <c r="M1096" s="93">
        <v>331195.16650096665</v>
      </c>
      <c r="N1096" s="95">
        <v>2.6164683408136692E-2</v>
      </c>
      <c r="O1096" s="95">
        <v>0.45887586128403557</v>
      </c>
      <c r="P1096" s="95">
        <v>0.43722708007467237</v>
      </c>
      <c r="Q1096" s="95">
        <v>7.621483020782642E-2</v>
      </c>
      <c r="R1096" s="96">
        <v>1.5175450253289851E-3</v>
      </c>
    </row>
    <row r="1097" spans="1:18" ht="15" hidden="1" customHeight="1" x14ac:dyDescent="0.3">
      <c r="A1097" s="89">
        <v>2021</v>
      </c>
      <c r="B1097" s="90">
        <v>9</v>
      </c>
      <c r="C1097" s="90" t="s">
        <v>730</v>
      </c>
      <c r="D1097" s="90" t="s">
        <v>722</v>
      </c>
      <c r="E1097" s="91" t="s">
        <v>11</v>
      </c>
      <c r="F1097" s="92" t="s">
        <v>40</v>
      </c>
      <c r="G1097" s="93">
        <v>5487.1642156326698</v>
      </c>
      <c r="H1097" s="93">
        <v>98980.967599767697</v>
      </c>
      <c r="I1097" s="93">
        <v>2397.5457928860201</v>
      </c>
      <c r="J1097" s="93">
        <v>47611.707453227304</v>
      </c>
      <c r="K1097" s="93">
        <v>1071.4195994791601</v>
      </c>
      <c r="L1097" s="93">
        <v>10862.716629401029</v>
      </c>
      <c r="M1097" s="93">
        <v>326305.02470134886</v>
      </c>
      <c r="N1097" s="95">
        <v>1.7395143502377388E-2</v>
      </c>
      <c r="O1097" s="95">
        <v>0.31378469237294437</v>
      </c>
      <c r="P1097" s="95">
        <v>0.51448726138164302</v>
      </c>
      <c r="Q1097" s="95">
        <v>0.15093633997367201</v>
      </c>
      <c r="R1097" s="96">
        <v>3.3965627693631532E-3</v>
      </c>
    </row>
    <row r="1098" spans="1:18" ht="15" hidden="1" customHeight="1" x14ac:dyDescent="0.3">
      <c r="A1098" s="89">
        <v>2021</v>
      </c>
      <c r="B1098" s="90">
        <v>9</v>
      </c>
      <c r="C1098" s="90" t="s">
        <v>730</v>
      </c>
      <c r="D1098" s="90" t="s">
        <v>722</v>
      </c>
      <c r="E1098" s="91" t="s">
        <v>11</v>
      </c>
      <c r="F1098" s="92" t="s">
        <v>41</v>
      </c>
      <c r="G1098" s="93">
        <v>1762.6708626531799</v>
      </c>
      <c r="H1098" s="93">
        <v>4766.3863906372699</v>
      </c>
      <c r="I1098" s="93">
        <v>2397.5457928860201</v>
      </c>
      <c r="J1098" s="93">
        <v>3019.54126587163</v>
      </c>
      <c r="K1098" s="93">
        <v>346.38703132199697</v>
      </c>
      <c r="L1098" s="93">
        <v>3351.65741998774</v>
      </c>
      <c r="M1098" s="93">
        <v>18714.332738962938</v>
      </c>
      <c r="N1098" s="95">
        <v>0.11473723333044852</v>
      </c>
      <c r="O1098" s="95">
        <v>0.31025757504293999</v>
      </c>
      <c r="P1098" s="95">
        <v>0.35590739600788845</v>
      </c>
      <c r="Q1098" s="95">
        <v>0.19655048376515813</v>
      </c>
      <c r="R1098" s="96">
        <v>2.2547311853564806E-2</v>
      </c>
    </row>
    <row r="1099" spans="1:18" ht="15" hidden="1" customHeight="1" x14ac:dyDescent="0.3">
      <c r="A1099" s="89">
        <v>2021</v>
      </c>
      <c r="B1099" s="90">
        <v>9</v>
      </c>
      <c r="C1099" s="90" t="s">
        <v>730</v>
      </c>
      <c r="D1099" s="90" t="s">
        <v>722</v>
      </c>
      <c r="E1099" s="91" t="s">
        <v>11</v>
      </c>
      <c r="F1099" s="92" t="s">
        <v>42</v>
      </c>
      <c r="G1099" s="93">
        <v>5414.8735285370703</v>
      </c>
      <c r="H1099" s="93">
        <v>97024.501278928801</v>
      </c>
      <c r="I1099" s="93">
        <v>2397.5457928860201</v>
      </c>
      <c r="J1099" s="93">
        <v>97081.579160949303</v>
      </c>
      <c r="K1099" s="93">
        <v>4696.2081181724798</v>
      </c>
      <c r="L1099" s="93">
        <v>158368.67566642418</v>
      </c>
      <c r="M1099" s="93">
        <v>620824.33975002181</v>
      </c>
      <c r="N1099" s="95">
        <v>1.1708957093794464E-2</v>
      </c>
      <c r="O1099" s="95">
        <v>0.20980281746833529</v>
      </c>
      <c r="P1099" s="95">
        <v>0.55840704753554171</v>
      </c>
      <c r="Q1099" s="95">
        <v>0.20992624093668788</v>
      </c>
      <c r="R1099" s="96">
        <v>1.0154936965640779E-2</v>
      </c>
    </row>
    <row r="1100" spans="1:18" ht="15" hidden="1" customHeight="1" x14ac:dyDescent="0.3">
      <c r="A1100" s="89">
        <v>2021</v>
      </c>
      <c r="B1100" s="90">
        <v>9</v>
      </c>
      <c r="C1100" s="90" t="s">
        <v>730</v>
      </c>
      <c r="D1100" s="90" t="s">
        <v>722</v>
      </c>
      <c r="E1100" s="91" t="s">
        <v>11</v>
      </c>
      <c r="F1100" s="92" t="s">
        <v>43</v>
      </c>
      <c r="G1100" s="93">
        <v>1709.12077222732</v>
      </c>
      <c r="H1100" s="93">
        <v>20938.307287454001</v>
      </c>
      <c r="I1100" s="93">
        <v>2397.5457928860201</v>
      </c>
      <c r="J1100" s="93">
        <v>15402.5208667233</v>
      </c>
      <c r="K1100" s="93">
        <v>10767.8444245665</v>
      </c>
      <c r="L1100" s="93">
        <v>117766.00321063142</v>
      </c>
      <c r="M1100" s="93">
        <v>185575.48510012263</v>
      </c>
      <c r="N1100" s="95">
        <v>2.5204746070950163E-2</v>
      </c>
      <c r="O1100" s="95">
        <v>0.30878140790954661</v>
      </c>
      <c r="P1100" s="95">
        <v>0.28007423164611051</v>
      </c>
      <c r="Q1100" s="95">
        <v>0.22714405769719218</v>
      </c>
      <c r="R1100" s="96">
        <v>0.15879555667620057</v>
      </c>
    </row>
    <row r="1101" spans="1:18" ht="15" hidden="1" customHeight="1" x14ac:dyDescent="0.3">
      <c r="A1101" s="89">
        <v>2021</v>
      </c>
      <c r="B1101" s="90">
        <v>9</v>
      </c>
      <c r="C1101" s="90" t="s">
        <v>730</v>
      </c>
      <c r="D1101" s="90" t="s">
        <v>722</v>
      </c>
      <c r="E1101" s="91" t="s">
        <v>11</v>
      </c>
      <c r="F1101" s="92" t="s">
        <v>58</v>
      </c>
      <c r="G1101" s="93">
        <v>5010.5214294561601</v>
      </c>
      <c r="H1101" s="93">
        <v>141129.431749821</v>
      </c>
      <c r="I1101" s="93">
        <v>2397.5457928860201</v>
      </c>
      <c r="J1101" s="93">
        <v>26034.225106646601</v>
      </c>
      <c r="K1101" s="93">
        <v>218.909941179534</v>
      </c>
      <c r="L1101" s="93">
        <v>4097.2806017309904</v>
      </c>
      <c r="M1101" s="93">
        <v>371477.12559242628</v>
      </c>
      <c r="N1101" s="95">
        <v>1.3638531067438016E-2</v>
      </c>
      <c r="O1101" s="95">
        <v>0.38415126380543663</v>
      </c>
      <c r="P1101" s="95">
        <v>0.53074973878474596</v>
      </c>
      <c r="Q1101" s="95">
        <v>7.086459821252844E-2</v>
      </c>
      <c r="R1101" s="96">
        <v>5.9586812985094049E-4</v>
      </c>
    </row>
    <row r="1102" spans="1:18" ht="15" hidden="1" customHeight="1" x14ac:dyDescent="0.3">
      <c r="A1102" s="89">
        <v>2021</v>
      </c>
      <c r="B1102" s="90">
        <v>9</v>
      </c>
      <c r="C1102" s="90" t="s">
        <v>730</v>
      </c>
      <c r="D1102" s="90" t="s">
        <v>722</v>
      </c>
      <c r="E1102" s="91" t="s">
        <v>11</v>
      </c>
      <c r="F1102" s="92" t="s">
        <v>44</v>
      </c>
      <c r="G1102" s="93">
        <v>2852.3416791099799</v>
      </c>
      <c r="H1102" s="93">
        <v>11629.3579250566</v>
      </c>
      <c r="I1102" s="93">
        <v>2397.5457928860201</v>
      </c>
      <c r="J1102" s="93">
        <v>79188.202285052903</v>
      </c>
      <c r="K1102" s="93">
        <v>8431.3644918274695</v>
      </c>
      <c r="L1102" s="93">
        <v>44421.649867424974</v>
      </c>
      <c r="M1102" s="93">
        <v>215729.28855108103</v>
      </c>
      <c r="N1102" s="95">
        <v>1.6650405673837083E-2</v>
      </c>
      <c r="O1102" s="95">
        <v>6.7885810664472843E-2</v>
      </c>
      <c r="P1102" s="95">
        <v>0.40398882872005798</v>
      </c>
      <c r="Q1102" s="95">
        <v>0.46225727523619187</v>
      </c>
      <c r="R1102" s="96">
        <v>4.9217679705440248E-2</v>
      </c>
    </row>
    <row r="1103" spans="1:18" ht="15" hidden="1" customHeight="1" x14ac:dyDescent="0.3">
      <c r="A1103" s="89">
        <v>2021</v>
      </c>
      <c r="B1103" s="90">
        <v>9</v>
      </c>
      <c r="C1103" s="90" t="s">
        <v>730</v>
      </c>
      <c r="D1103" s="90" t="s">
        <v>722</v>
      </c>
      <c r="E1103" s="91" t="s">
        <v>11</v>
      </c>
      <c r="F1103" s="92" t="s">
        <v>51</v>
      </c>
      <c r="G1103" s="93">
        <v>913.24266895220603</v>
      </c>
      <c r="H1103" s="93">
        <v>23463.182938743699</v>
      </c>
      <c r="I1103" s="93">
        <v>2397.5457928860201</v>
      </c>
      <c r="J1103" s="93">
        <v>75221.110603985202</v>
      </c>
      <c r="K1103" s="93">
        <v>7960.5747721645103</v>
      </c>
      <c r="L1103" s="93">
        <v>4189.5364864920302</v>
      </c>
      <c r="M1103" s="93">
        <v>211202.40923547314</v>
      </c>
      <c r="N1103" s="95">
        <v>4.4115259926834714E-3</v>
      </c>
      <c r="O1103" s="95">
        <v>0.1133416614492114</v>
      </c>
      <c r="P1103" s="95">
        <v>0.48042790984178058</v>
      </c>
      <c r="Q1103" s="95">
        <v>0.36336441113590329</v>
      </c>
      <c r="R1103" s="96">
        <v>3.8454491580421253E-2</v>
      </c>
    </row>
    <row r="1104" spans="1:18" ht="15" hidden="1" customHeight="1" x14ac:dyDescent="0.3">
      <c r="A1104" s="89">
        <v>2021</v>
      </c>
      <c r="B1104" s="90">
        <v>9</v>
      </c>
      <c r="C1104" s="90" t="s">
        <v>730</v>
      </c>
      <c r="D1104" s="90" t="s">
        <v>722</v>
      </c>
      <c r="E1104" s="91" t="s">
        <v>11</v>
      </c>
      <c r="F1104" s="92" t="s">
        <v>45</v>
      </c>
      <c r="G1104" s="93">
        <v>5605.92108129597</v>
      </c>
      <c r="H1104" s="93">
        <v>24119.459420689302</v>
      </c>
      <c r="I1104" s="93">
        <v>2397.5457928860201</v>
      </c>
      <c r="J1104" s="93">
        <v>17181.275906606901</v>
      </c>
      <c r="K1104" s="93">
        <v>2339.3462303400702</v>
      </c>
      <c r="L1104" s="93">
        <v>51963.555282402907</v>
      </c>
      <c r="M1104" s="93">
        <v>134096.09203645945</v>
      </c>
      <c r="N1104" s="95">
        <v>6.8254571243583223E-2</v>
      </c>
      <c r="O1104" s="95">
        <v>0.29366509758385168</v>
      </c>
      <c r="P1104" s="95">
        <v>0.40040811370044554</v>
      </c>
      <c r="Q1104" s="95">
        <v>0.20918964134829687</v>
      </c>
      <c r="R1104" s="96">
        <v>2.8482576123822562E-2</v>
      </c>
    </row>
    <row r="1105" spans="1:18" ht="15" hidden="1" customHeight="1" x14ac:dyDescent="0.3">
      <c r="A1105" s="89">
        <v>2021</v>
      </c>
      <c r="B1105" s="90">
        <v>9</v>
      </c>
      <c r="C1105" s="90" t="s">
        <v>730</v>
      </c>
      <c r="D1105" s="90" t="s">
        <v>722</v>
      </c>
      <c r="E1105" s="91" t="s">
        <v>11</v>
      </c>
      <c r="F1105" s="92" t="s">
        <v>721</v>
      </c>
      <c r="G1105" s="93">
        <v>4297.6352304871298</v>
      </c>
      <c r="H1105" s="93">
        <v>130804.151886254</v>
      </c>
      <c r="I1105" s="93">
        <v>2397.5457928860201</v>
      </c>
      <c r="J1105" s="93">
        <v>27856.995577826499</v>
      </c>
      <c r="K1105" s="93">
        <v>982.69718203125001</v>
      </c>
      <c r="L1105" s="93">
        <v>4.3379583700980398</v>
      </c>
      <c r="M1105" s="93">
        <v>309330.85090303398</v>
      </c>
      <c r="N1105" s="95">
        <v>1.3893523673659178E-2</v>
      </c>
      <c r="O1105" s="95">
        <v>0.42286757329997721</v>
      </c>
      <c r="P1105" s="95">
        <v>0.47000508195711393</v>
      </c>
      <c r="Q1105" s="95">
        <v>9.005692823624821E-2</v>
      </c>
      <c r="R1105" s="96">
        <v>3.1768928330015052E-3</v>
      </c>
    </row>
    <row r="1106" spans="1:18" ht="15" hidden="1" customHeight="1" x14ac:dyDescent="0.3">
      <c r="A1106" s="89">
        <v>2021</v>
      </c>
      <c r="B1106" s="90">
        <v>9</v>
      </c>
      <c r="C1106" s="90" t="s">
        <v>730</v>
      </c>
      <c r="D1106" s="90" t="s">
        <v>722</v>
      </c>
      <c r="E1106" s="91" t="s">
        <v>11</v>
      </c>
      <c r="F1106" s="92" t="s">
        <v>46</v>
      </c>
      <c r="G1106" s="93">
        <v>1329.5991698973601</v>
      </c>
      <c r="H1106" s="93">
        <v>42269.679175188998</v>
      </c>
      <c r="I1106" s="93">
        <v>2397.5457928860201</v>
      </c>
      <c r="J1106" s="93">
        <v>30071.850070385899</v>
      </c>
      <c r="K1106" s="93">
        <v>9246.4289826577497</v>
      </c>
      <c r="L1106" s="93">
        <v>8477.8761780330497</v>
      </c>
      <c r="M1106" s="93">
        <v>149075.00300838985</v>
      </c>
      <c r="N1106" s="95">
        <v>9.4568018555716438E-3</v>
      </c>
      <c r="O1106" s="95">
        <v>0.30064397564959633</v>
      </c>
      <c r="P1106" s="95">
        <v>0.41024714183400374</v>
      </c>
      <c r="Q1106" s="95">
        <v>0.21388666147260829</v>
      </c>
      <c r="R1106" s="96">
        <v>6.5765419188220015E-2</v>
      </c>
    </row>
    <row r="1107" spans="1:18" ht="15" hidden="1" customHeight="1" x14ac:dyDescent="0.3">
      <c r="A1107" s="89">
        <v>2021</v>
      </c>
      <c r="B1107" s="90">
        <v>9</v>
      </c>
      <c r="C1107" s="90" t="s">
        <v>730</v>
      </c>
      <c r="D1107" s="90" t="s">
        <v>722</v>
      </c>
      <c r="E1107" s="91" t="s">
        <v>11</v>
      </c>
      <c r="F1107" s="92" t="s">
        <v>47</v>
      </c>
      <c r="G1107" s="93">
        <v>29774.257970753799</v>
      </c>
      <c r="H1107" s="93">
        <v>389496.25918573502</v>
      </c>
      <c r="I1107" s="93">
        <v>2397.5457928860201</v>
      </c>
      <c r="J1107" s="93">
        <v>228647.29147225199</v>
      </c>
      <c r="K1107" s="93">
        <v>29729.833209583601</v>
      </c>
      <c r="L1107" s="93">
        <v>161143.87927654601</v>
      </c>
      <c r="M1107" s="93">
        <v>1461770.3581409534</v>
      </c>
      <c r="N1107" s="95">
        <v>2.2892243433910449E-2</v>
      </c>
      <c r="O1107" s="95">
        <v>0.29946819130255514</v>
      </c>
      <c r="P1107" s="95">
        <v>0.47898366452604696</v>
      </c>
      <c r="Q1107" s="95">
        <v>0.17579781373656692</v>
      </c>
      <c r="R1107" s="96">
        <v>2.2858087000920568E-2</v>
      </c>
    </row>
    <row r="1108" spans="1:18" ht="15" hidden="1" customHeight="1" x14ac:dyDescent="0.3">
      <c r="A1108" s="89">
        <v>2021</v>
      </c>
      <c r="B1108" s="90">
        <v>9</v>
      </c>
      <c r="C1108" s="90" t="s">
        <v>730</v>
      </c>
      <c r="D1108" s="90" t="s">
        <v>722</v>
      </c>
      <c r="E1108" s="91" t="s">
        <v>11</v>
      </c>
      <c r="F1108" s="92" t="s">
        <v>48</v>
      </c>
      <c r="G1108" s="93">
        <v>3201.7957116084599</v>
      </c>
      <c r="H1108" s="93">
        <v>23230.564785413801</v>
      </c>
      <c r="I1108" s="93">
        <v>2397.5457928860201</v>
      </c>
      <c r="J1108" s="93">
        <v>26397.452075247998</v>
      </c>
      <c r="K1108" s="93">
        <v>2025.0255925674001</v>
      </c>
      <c r="L1108" s="93">
        <v>8475.1158621093891</v>
      </c>
      <c r="M1108" s="93">
        <v>110314.39779994036</v>
      </c>
      <c r="N1108" s="95">
        <v>3.1439692530069438E-2</v>
      </c>
      <c r="O1108" s="95">
        <v>0.22811006070913956</v>
      </c>
      <c r="P1108" s="95">
        <v>0.46135874958029971</v>
      </c>
      <c r="Q1108" s="95">
        <v>0.25920697370355228</v>
      </c>
      <c r="R1108" s="96">
        <v>1.9884523476938906E-2</v>
      </c>
    </row>
    <row r="1109" spans="1:18" ht="15" hidden="1" customHeight="1" x14ac:dyDescent="0.3">
      <c r="A1109" s="89">
        <v>2021</v>
      </c>
      <c r="B1109" s="90">
        <v>10</v>
      </c>
      <c r="C1109" s="90" t="s">
        <v>731</v>
      </c>
      <c r="D1109" s="90" t="s">
        <v>719</v>
      </c>
      <c r="E1109" s="91" t="s">
        <v>11</v>
      </c>
      <c r="F1109" s="92" t="s">
        <v>12</v>
      </c>
      <c r="G1109" s="93">
        <v>29408.381741604</v>
      </c>
      <c r="H1109" s="93">
        <v>261002.40950156801</v>
      </c>
      <c r="I1109" s="93">
        <v>2397.5457928860201</v>
      </c>
      <c r="J1109" s="93">
        <v>2845.5578297472398</v>
      </c>
      <c r="K1109" s="93">
        <v>102.53349726562401</v>
      </c>
      <c r="L1109" s="93">
        <v>52397.506110349532</v>
      </c>
      <c r="M1109" s="93">
        <v>433311.47680230543</v>
      </c>
      <c r="N1109" s="95">
        <v>7.7204786393583025E-2</v>
      </c>
      <c r="O1109" s="95">
        <v>0.68520041159802969</v>
      </c>
      <c r="P1109" s="95">
        <v>0.22985528192290056</v>
      </c>
      <c r="Q1109" s="95">
        <v>7.4703425148153332E-3</v>
      </c>
      <c r="R1109" s="96">
        <v>2.6917757067131196E-4</v>
      </c>
    </row>
    <row r="1110" spans="1:18" ht="15" hidden="1" customHeight="1" x14ac:dyDescent="0.3">
      <c r="A1110" s="89">
        <v>2021</v>
      </c>
      <c r="B1110" s="90">
        <v>10</v>
      </c>
      <c r="C1110" s="90" t="s">
        <v>731</v>
      </c>
      <c r="D1110" s="90" t="s">
        <v>719</v>
      </c>
      <c r="E1110" s="91" t="s">
        <v>11</v>
      </c>
      <c r="F1110" s="92" t="s">
        <v>26</v>
      </c>
      <c r="G1110" s="93">
        <v>101870.16746313201</v>
      </c>
      <c r="H1110" s="93">
        <v>624943.40152599895</v>
      </c>
      <c r="I1110" s="93">
        <v>2397.5457928860201</v>
      </c>
      <c r="J1110" s="93">
        <v>8203.4064268550901</v>
      </c>
      <c r="K1110" s="93">
        <v>190.14930833333301</v>
      </c>
      <c r="L1110" s="93">
        <v>273365.44946033007</v>
      </c>
      <c r="M1110" s="93">
        <v>1302393.3163906694</v>
      </c>
      <c r="N1110" s="95">
        <v>9.8996509945855696E-2</v>
      </c>
      <c r="O1110" s="95">
        <v>0.60731436106803205</v>
      </c>
      <c r="P1110" s="95">
        <v>0.2855323472264239</v>
      </c>
      <c r="Q1110" s="95">
        <v>7.9719963768584944E-3</v>
      </c>
      <c r="R1110" s="96">
        <v>1.8478538282987558E-4</v>
      </c>
    </row>
    <row r="1111" spans="1:18" ht="15" hidden="1" customHeight="1" x14ac:dyDescent="0.3">
      <c r="A1111" s="89">
        <v>2021</v>
      </c>
      <c r="B1111" s="90">
        <v>10</v>
      </c>
      <c r="C1111" s="90" t="s">
        <v>731</v>
      </c>
      <c r="D1111" s="90" t="s">
        <v>719</v>
      </c>
      <c r="E1111" s="91" t="s">
        <v>11</v>
      </c>
      <c r="F1111" s="92" t="s">
        <v>27</v>
      </c>
      <c r="G1111" s="93">
        <v>1599.2921233731599</v>
      </c>
      <c r="H1111" s="93">
        <v>111708.421642678</v>
      </c>
      <c r="I1111" s="93">
        <v>2397.5457928860201</v>
      </c>
      <c r="J1111" s="93">
        <v>11937.280351130399</v>
      </c>
      <c r="K1111" s="93">
        <v>431.21056679687501</v>
      </c>
      <c r="L1111" s="93">
        <v>3687.4908444944699</v>
      </c>
      <c r="M1111" s="93">
        <v>226689.61699930011</v>
      </c>
      <c r="N1111" s="95">
        <v>7.1716451809206013E-3</v>
      </c>
      <c r="O1111" s="95">
        <v>0.50092985017161329</v>
      </c>
      <c r="P1111" s="95">
        <v>0.43643494862136251</v>
      </c>
      <c r="Q1111" s="95">
        <v>5.3529894790526208E-2</v>
      </c>
      <c r="R1111" s="96">
        <v>1.9336612355773386E-3</v>
      </c>
    </row>
    <row r="1112" spans="1:18" ht="15" hidden="1" customHeight="1" x14ac:dyDescent="0.3">
      <c r="A1112" s="89">
        <v>2021</v>
      </c>
      <c r="B1112" s="90">
        <v>10</v>
      </c>
      <c r="C1112" s="90" t="s">
        <v>731</v>
      </c>
      <c r="D1112" s="90" t="s">
        <v>719</v>
      </c>
      <c r="E1112" s="91" t="s">
        <v>11</v>
      </c>
      <c r="F1112" s="92" t="s">
        <v>28</v>
      </c>
      <c r="G1112" s="93">
        <v>9369.5402555790697</v>
      </c>
      <c r="H1112" s="93">
        <v>204048.56851527601</v>
      </c>
      <c r="I1112" s="93">
        <v>2397.5457928860201</v>
      </c>
      <c r="J1112" s="93">
        <v>6107.4773116926699</v>
      </c>
      <c r="K1112" s="93">
        <v>46.988198046874999</v>
      </c>
      <c r="L1112" s="93">
        <v>4218.6878290471705</v>
      </c>
      <c r="M1112" s="93">
        <v>373104.58101494075</v>
      </c>
      <c r="N1112" s="95">
        <v>2.5399562381360714E-2</v>
      </c>
      <c r="O1112" s="95">
        <v>0.55314820188162983</v>
      </c>
      <c r="P1112" s="95">
        <v>0.40476830820433451</v>
      </c>
      <c r="Q1112" s="95">
        <v>1.6556548852940042E-2</v>
      </c>
      <c r="R1112" s="96">
        <v>1.2737867973497191E-4</v>
      </c>
    </row>
    <row r="1113" spans="1:18" ht="15" customHeight="1" x14ac:dyDescent="0.3">
      <c r="A1113" s="89">
        <v>2021</v>
      </c>
      <c r="B1113" s="90">
        <v>10</v>
      </c>
      <c r="C1113" s="90" t="s">
        <v>731</v>
      </c>
      <c r="D1113" s="90" t="s">
        <v>719</v>
      </c>
      <c r="E1113" s="91" t="s">
        <v>11</v>
      </c>
      <c r="F1113" s="92" t="s">
        <v>29</v>
      </c>
      <c r="G1113" s="93">
        <v>14349.5519433915</v>
      </c>
      <c r="H1113" s="93">
        <v>108066.86687887899</v>
      </c>
      <c r="I1113" s="93">
        <v>2397.5457928860201</v>
      </c>
      <c r="J1113" s="93">
        <v>26460.241671485899</v>
      </c>
      <c r="K1113" s="93">
        <v>1630.56034140778</v>
      </c>
      <c r="L1113" s="93">
        <v>76909.381314383601</v>
      </c>
      <c r="M1113" s="93">
        <v>354392.05486976373</v>
      </c>
      <c r="N1113" s="95">
        <v>5.1713325951242173E-2</v>
      </c>
      <c r="O1113" s="95">
        <v>0.38945446753204555</v>
      </c>
      <c r="P1113" s="95">
        <v>0.45759777031582538</v>
      </c>
      <c r="Q1113" s="95">
        <v>9.5358176178899148E-2</v>
      </c>
      <c r="R1113" s="96">
        <v>5.8762600219878303E-3</v>
      </c>
    </row>
    <row r="1114" spans="1:18" ht="15" hidden="1" customHeight="1" x14ac:dyDescent="0.3">
      <c r="A1114" s="89">
        <v>2021</v>
      </c>
      <c r="B1114" s="90">
        <v>10</v>
      </c>
      <c r="C1114" s="90" t="s">
        <v>731</v>
      </c>
      <c r="D1114" s="90" t="s">
        <v>719</v>
      </c>
      <c r="E1114" s="91" t="s">
        <v>11</v>
      </c>
      <c r="F1114" s="92" t="s">
        <v>30</v>
      </c>
      <c r="G1114" s="93">
        <v>141.33538714001199</v>
      </c>
      <c r="H1114" s="93">
        <v>2096.6313992279402</v>
      </c>
      <c r="I1114" s="93">
        <v>2397.5457928860201</v>
      </c>
      <c r="J1114" s="93">
        <v>3924.4160712959701</v>
      </c>
      <c r="K1114" s="93">
        <v>810.11927090226698</v>
      </c>
      <c r="L1114" s="93">
        <v>216393.64799287199</v>
      </c>
      <c r="M1114" s="93">
        <v>230086.5001621168</v>
      </c>
      <c r="N1114" s="95">
        <v>1.032183692579856E-2</v>
      </c>
      <c r="O1114" s="95">
        <v>0.15311867632202544</v>
      </c>
      <c r="P1114" s="95">
        <v>0.49079256517302056</v>
      </c>
      <c r="Q1114" s="95">
        <v>0.28660326006516801</v>
      </c>
      <c r="R1114" s="96">
        <v>5.9163661513987317E-2</v>
      </c>
    </row>
    <row r="1115" spans="1:18" ht="15" hidden="1" customHeight="1" x14ac:dyDescent="0.3">
      <c r="A1115" s="89">
        <v>2021</v>
      </c>
      <c r="B1115" s="90">
        <v>10</v>
      </c>
      <c r="C1115" s="90" t="s">
        <v>731</v>
      </c>
      <c r="D1115" s="90" t="s">
        <v>719</v>
      </c>
      <c r="E1115" s="91" t="s">
        <v>11</v>
      </c>
      <c r="F1115" s="92" t="s">
        <v>31</v>
      </c>
      <c r="G1115" s="93">
        <v>2498.59294546721</v>
      </c>
      <c r="H1115" s="93">
        <v>47990.143115848303</v>
      </c>
      <c r="I1115" s="93">
        <v>2397.5457928860201</v>
      </c>
      <c r="J1115" s="93">
        <v>55768.825654761502</v>
      </c>
      <c r="K1115" s="93">
        <v>18346.513307806501</v>
      </c>
      <c r="L1115" s="93">
        <v>45077.79328634838</v>
      </c>
      <c r="M1115" s="93">
        <v>251948.68865991742</v>
      </c>
      <c r="N1115" s="95">
        <v>1.2078030314294486E-2</v>
      </c>
      <c r="O1115" s="95">
        <v>0.23198112537381024</v>
      </c>
      <c r="P1115" s="95">
        <v>0.39767227865054405</v>
      </c>
      <c r="Q1115" s="95">
        <v>0.26958275379460089</v>
      </c>
      <c r="R1115" s="96">
        <v>8.8685811866750161E-2</v>
      </c>
    </row>
    <row r="1116" spans="1:18" ht="15" hidden="1" customHeight="1" x14ac:dyDescent="0.3">
      <c r="A1116" s="89">
        <v>2021</v>
      </c>
      <c r="B1116" s="90">
        <v>10</v>
      </c>
      <c r="C1116" s="90" t="s">
        <v>731</v>
      </c>
      <c r="D1116" s="90" t="s">
        <v>719</v>
      </c>
      <c r="E1116" s="91" t="s">
        <v>11</v>
      </c>
      <c r="F1116" s="92" t="s">
        <v>32</v>
      </c>
      <c r="G1116" s="93">
        <v>25633.340539222001</v>
      </c>
      <c r="H1116" s="93">
        <v>316701.57155172498</v>
      </c>
      <c r="I1116" s="93">
        <v>2397.5457928860201</v>
      </c>
      <c r="J1116" s="93">
        <v>25206.1068413791</v>
      </c>
      <c r="K1116" s="93">
        <v>626.122019142157</v>
      </c>
      <c r="L1116" s="93">
        <v>50993.024658466995</v>
      </c>
      <c r="M1116" s="93">
        <v>609521.81280334818</v>
      </c>
      <c r="N1116" s="95">
        <v>4.5894394493722623E-2</v>
      </c>
      <c r="O1116" s="95">
        <v>0.56702819670876714</v>
      </c>
      <c r="P1116" s="95">
        <v>0.34082692107185281</v>
      </c>
      <c r="Q1116" s="95">
        <v>4.5129467587695211E-2</v>
      </c>
      <c r="R1116" s="96">
        <v>1.1210201379624183E-3</v>
      </c>
    </row>
    <row r="1117" spans="1:18" ht="15" hidden="1" customHeight="1" x14ac:dyDescent="0.3">
      <c r="A1117" s="89">
        <v>2021</v>
      </c>
      <c r="B1117" s="90">
        <v>10</v>
      </c>
      <c r="C1117" s="90" t="s">
        <v>731</v>
      </c>
      <c r="D1117" s="90" t="s">
        <v>719</v>
      </c>
      <c r="E1117" s="91" t="s">
        <v>11</v>
      </c>
      <c r="F1117" s="92" t="s">
        <v>33</v>
      </c>
      <c r="G1117" s="93">
        <v>67267.618345963696</v>
      </c>
      <c r="H1117" s="93">
        <v>695858.73162153305</v>
      </c>
      <c r="I1117" s="93">
        <v>2397.5457928860201</v>
      </c>
      <c r="J1117" s="93">
        <v>20153.9963359391</v>
      </c>
      <c r="K1117" s="93">
        <v>578.46795585937502</v>
      </c>
      <c r="L1117" s="93">
        <v>38513.190539292314</v>
      </c>
      <c r="M1117" s="93">
        <v>1352056.7882568825</v>
      </c>
      <c r="N1117" s="95">
        <v>5.1210799902529101E-2</v>
      </c>
      <c r="O1117" s="95">
        <v>0.52975685986415322</v>
      </c>
      <c r="P1117" s="95">
        <v>0.40324872686271995</v>
      </c>
      <c r="Q1117" s="95">
        <v>1.5343226042103688E-2</v>
      </c>
      <c r="R1117" s="96">
        <v>4.4038732849409747E-4</v>
      </c>
    </row>
    <row r="1118" spans="1:18" ht="15" hidden="1" customHeight="1" x14ac:dyDescent="0.3">
      <c r="A1118" s="89">
        <v>2021</v>
      </c>
      <c r="B1118" s="90">
        <v>10</v>
      </c>
      <c r="C1118" s="90" t="s">
        <v>731</v>
      </c>
      <c r="D1118" s="90" t="s">
        <v>719</v>
      </c>
      <c r="E1118" s="91" t="s">
        <v>11</v>
      </c>
      <c r="F1118" s="92" t="s">
        <v>34</v>
      </c>
      <c r="G1118" s="93">
        <v>21617.2993557308</v>
      </c>
      <c r="H1118" s="93">
        <v>231986.88515295999</v>
      </c>
      <c r="I1118" s="93">
        <v>2397.5457928860201</v>
      </c>
      <c r="J1118" s="93">
        <v>50226.2242423102</v>
      </c>
      <c r="K1118" s="93">
        <v>2074.7641852236502</v>
      </c>
      <c r="L1118" s="93">
        <v>57225.7118954451</v>
      </c>
      <c r="M1118" s="93">
        <v>713628.83042007475</v>
      </c>
      <c r="N1118" s="95">
        <v>3.2932962604320222E-2</v>
      </c>
      <c r="O1118" s="95">
        <v>0.35342136349746084</v>
      </c>
      <c r="P1118" s="95">
        <v>0.53396752041063555</v>
      </c>
      <c r="Q1118" s="95">
        <v>7.6517345553143656E-2</v>
      </c>
      <c r="R1118" s="96">
        <v>3.1608079344397581E-3</v>
      </c>
    </row>
    <row r="1119" spans="1:18" ht="15" hidden="1" customHeight="1" x14ac:dyDescent="0.3">
      <c r="A1119" s="89">
        <v>2021</v>
      </c>
      <c r="B1119" s="90">
        <v>10</v>
      </c>
      <c r="C1119" s="90" t="s">
        <v>731</v>
      </c>
      <c r="D1119" s="90" t="s">
        <v>719</v>
      </c>
      <c r="E1119" s="91" t="s">
        <v>11</v>
      </c>
      <c r="F1119" s="92" t="s">
        <v>35</v>
      </c>
      <c r="G1119" s="93">
        <v>25270.960367400399</v>
      </c>
      <c r="H1119" s="93">
        <v>157735.35815817799</v>
      </c>
      <c r="I1119" s="93">
        <v>2397.5457928860201</v>
      </c>
      <c r="J1119" s="93">
        <v>22205.4512960584</v>
      </c>
      <c r="K1119" s="93">
        <v>2815.5412465869999</v>
      </c>
      <c r="L1119" s="93">
        <v>238375.36962822179</v>
      </c>
      <c r="M1119" s="93">
        <v>605861.19629491866</v>
      </c>
      <c r="N1119" s="95">
        <v>6.8767170142648021E-2</v>
      </c>
      <c r="O1119" s="95">
        <v>0.42922841294023889</v>
      </c>
      <c r="P1119" s="95">
        <v>0.43391745756523847</v>
      </c>
      <c r="Q1119" s="95">
        <v>6.042532714111544E-2</v>
      </c>
      <c r="R1119" s="96">
        <v>7.661632210759101E-3</v>
      </c>
    </row>
    <row r="1120" spans="1:18" ht="15" hidden="1" customHeight="1" x14ac:dyDescent="0.3">
      <c r="A1120" s="89">
        <v>2021</v>
      </c>
      <c r="B1120" s="90">
        <v>10</v>
      </c>
      <c r="C1120" s="90" t="s">
        <v>731</v>
      </c>
      <c r="D1120" s="90" t="s">
        <v>719</v>
      </c>
      <c r="E1120" s="91" t="s">
        <v>11</v>
      </c>
      <c r="F1120" s="92" t="s">
        <v>36</v>
      </c>
      <c r="G1120" s="93">
        <v>9551.8906855268997</v>
      </c>
      <c r="H1120" s="93">
        <v>126973.60261524</v>
      </c>
      <c r="I1120" s="93">
        <v>2397.5457928860201</v>
      </c>
      <c r="J1120" s="93">
        <v>10494.877560942001</v>
      </c>
      <c r="K1120" s="93">
        <v>60.114669041053901</v>
      </c>
      <c r="L1120" s="93">
        <v>33253.371404333826</v>
      </c>
      <c r="M1120" s="93">
        <v>258886.87145457539</v>
      </c>
      <c r="N1120" s="95">
        <v>4.2333654725029708E-2</v>
      </c>
      <c r="O1120" s="95">
        <v>0.56274268930352511</v>
      </c>
      <c r="P1120" s="95">
        <v>0.34814428930987767</v>
      </c>
      <c r="Q1120" s="95">
        <v>4.6512940492458424E-2</v>
      </c>
      <c r="R1120" s="96">
        <v>2.6642616910905619E-4</v>
      </c>
    </row>
    <row r="1121" spans="1:18" ht="15" hidden="1" customHeight="1" x14ac:dyDescent="0.3">
      <c r="A1121" s="89">
        <v>2021</v>
      </c>
      <c r="B1121" s="90">
        <v>10</v>
      </c>
      <c r="C1121" s="90" t="s">
        <v>731</v>
      </c>
      <c r="D1121" s="90" t="s">
        <v>719</v>
      </c>
      <c r="E1121" s="91" t="s">
        <v>11</v>
      </c>
      <c r="F1121" s="92" t="s">
        <v>37</v>
      </c>
      <c r="G1121" s="93">
        <v>13306.6781053999</v>
      </c>
      <c r="H1121" s="93">
        <v>180929.22533201799</v>
      </c>
      <c r="I1121" s="93">
        <v>2397.5457928860201</v>
      </c>
      <c r="J1121" s="93">
        <v>25395.601183928102</v>
      </c>
      <c r="K1121" s="93">
        <v>553.58478895986502</v>
      </c>
      <c r="L1121" s="93">
        <v>150019.26819818275</v>
      </c>
      <c r="M1121" s="93">
        <v>524073.85777629656</v>
      </c>
      <c r="N1121" s="95">
        <v>3.5574160767304436E-2</v>
      </c>
      <c r="O1121" s="95">
        <v>0.48369738100549237</v>
      </c>
      <c r="P1121" s="95">
        <v>0.41135573377499074</v>
      </c>
      <c r="Q1121" s="95">
        <v>6.7892767236384197E-2</v>
      </c>
      <c r="R1121" s="96">
        <v>1.4799572158284129E-3</v>
      </c>
    </row>
    <row r="1122" spans="1:18" ht="15" hidden="1" customHeight="1" x14ac:dyDescent="0.3">
      <c r="A1122" s="89">
        <v>2021</v>
      </c>
      <c r="B1122" s="90">
        <v>10</v>
      </c>
      <c r="C1122" s="90" t="s">
        <v>731</v>
      </c>
      <c r="D1122" s="90" t="s">
        <v>719</v>
      </c>
      <c r="E1122" s="91" t="s">
        <v>11</v>
      </c>
      <c r="F1122" s="92" t="s">
        <v>720</v>
      </c>
      <c r="G1122" s="93">
        <v>50777.531644350798</v>
      </c>
      <c r="H1122" s="93">
        <v>253931.25939110899</v>
      </c>
      <c r="I1122" s="93">
        <v>2397.5457928860201</v>
      </c>
      <c r="J1122" s="93">
        <v>31855.564730487</v>
      </c>
      <c r="K1122" s="93">
        <v>556.79187226562499</v>
      </c>
      <c r="L1122" s="93">
        <v>185876.91213736028</v>
      </c>
      <c r="M1122" s="93">
        <v>927958.42268840969</v>
      </c>
      <c r="N1122" s="95">
        <v>6.8425814310674307E-2</v>
      </c>
      <c r="O1122" s="95">
        <v>0.34218782678272985</v>
      </c>
      <c r="P1122" s="95">
        <v>0.54570873570495582</v>
      </c>
      <c r="Q1122" s="95">
        <v>4.2927312266319545E-2</v>
      </c>
      <c r="R1122" s="96">
        <v>7.5031093532052374E-4</v>
      </c>
    </row>
    <row r="1123" spans="1:18" ht="15" hidden="1" customHeight="1" x14ac:dyDescent="0.3">
      <c r="A1123" s="89">
        <v>2021</v>
      </c>
      <c r="B1123" s="90">
        <v>10</v>
      </c>
      <c r="C1123" s="90" t="s">
        <v>731</v>
      </c>
      <c r="D1123" s="90" t="s">
        <v>719</v>
      </c>
      <c r="E1123" s="91" t="s">
        <v>11</v>
      </c>
      <c r="F1123" s="92" t="s">
        <v>39</v>
      </c>
      <c r="G1123" s="93">
        <v>6952.8742688923903</v>
      </c>
      <c r="H1123" s="93">
        <v>114602.40000703299</v>
      </c>
      <c r="I1123" s="93">
        <v>2397.5457928860201</v>
      </c>
      <c r="J1123" s="93">
        <v>19833.3699436077</v>
      </c>
      <c r="K1123" s="93">
        <v>287.05978832567399</v>
      </c>
      <c r="L1123" s="93">
        <v>35552.536071062779</v>
      </c>
      <c r="M1123" s="93">
        <v>331195.1665009656</v>
      </c>
      <c r="N1123" s="95">
        <v>2.351783387525002E-2</v>
      </c>
      <c r="O1123" s="95">
        <v>0.38763827747164276</v>
      </c>
      <c r="P1123" s="95">
        <v>0.52078729714370375</v>
      </c>
      <c r="Q1123" s="95">
        <v>6.7085622647746715E-2</v>
      </c>
      <c r="R1123" s="96">
        <v>9.7096886165656067E-4</v>
      </c>
    </row>
    <row r="1124" spans="1:18" ht="15" hidden="1" customHeight="1" x14ac:dyDescent="0.3">
      <c r="A1124" s="89">
        <v>2021</v>
      </c>
      <c r="B1124" s="90">
        <v>10</v>
      </c>
      <c r="C1124" s="90" t="s">
        <v>731</v>
      </c>
      <c r="D1124" s="90" t="s">
        <v>719</v>
      </c>
      <c r="E1124" s="91" t="s">
        <v>11</v>
      </c>
      <c r="F1124" s="92" t="s">
        <v>40</v>
      </c>
      <c r="G1124" s="93">
        <v>13843.7283326822</v>
      </c>
      <c r="H1124" s="93">
        <v>173031.70224155401</v>
      </c>
      <c r="I1124" s="93">
        <v>2397.5457928860201</v>
      </c>
      <c r="J1124" s="93">
        <v>6033.2519977175398</v>
      </c>
      <c r="K1124" s="93">
        <v>148.58303984374999</v>
      </c>
      <c r="L1124" s="93">
        <v>5065.8510109773497</v>
      </c>
      <c r="M1124" s="93">
        <v>326305.0247013449</v>
      </c>
      <c r="N1124" s="95">
        <v>4.3094770085623929E-2</v>
      </c>
      <c r="O1124" s="95">
        <v>0.53863823721677817</v>
      </c>
      <c r="P1124" s="95">
        <v>0.39902327790856718</v>
      </c>
      <c r="Q1124" s="95">
        <v>1.8781183902349355E-2</v>
      </c>
      <c r="R1124" s="96">
        <v>4.6253088668122573E-4</v>
      </c>
    </row>
    <row r="1125" spans="1:18" ht="15" hidden="1" customHeight="1" x14ac:dyDescent="0.3">
      <c r="A1125" s="89">
        <v>2021</v>
      </c>
      <c r="B1125" s="90">
        <v>10</v>
      </c>
      <c r="C1125" s="90" t="s">
        <v>731</v>
      </c>
      <c r="D1125" s="90" t="s">
        <v>719</v>
      </c>
      <c r="E1125" s="91" t="s">
        <v>11</v>
      </c>
      <c r="F1125" s="92" t="s">
        <v>41</v>
      </c>
      <c r="G1125" s="93">
        <v>3866.8547072962501</v>
      </c>
      <c r="H1125" s="93">
        <v>4917.4985457460198</v>
      </c>
      <c r="I1125" s="93">
        <v>2397.5457928860201</v>
      </c>
      <c r="J1125" s="93">
        <v>2074.81739404564</v>
      </c>
      <c r="K1125" s="93">
        <v>289.40870767769599</v>
      </c>
      <c r="L1125" s="93">
        <v>3747.9630800628001</v>
      </c>
      <c r="M1125" s="93">
        <v>18714.332738962898</v>
      </c>
      <c r="N1125" s="95">
        <v>0.25836958430308016</v>
      </c>
      <c r="O1125" s="95">
        <v>0.32856989756508626</v>
      </c>
      <c r="P1125" s="95">
        <v>0.2550912740461514</v>
      </c>
      <c r="Q1125" s="95">
        <v>0.13863197564492882</v>
      </c>
      <c r="R1125" s="96">
        <v>1.9337268440753261E-2</v>
      </c>
    </row>
    <row r="1126" spans="1:18" ht="15" hidden="1" customHeight="1" x14ac:dyDescent="0.3">
      <c r="A1126" s="89">
        <v>2021</v>
      </c>
      <c r="B1126" s="90">
        <v>10</v>
      </c>
      <c r="C1126" s="90" t="s">
        <v>731</v>
      </c>
      <c r="D1126" s="90" t="s">
        <v>719</v>
      </c>
      <c r="E1126" s="91" t="s">
        <v>11</v>
      </c>
      <c r="F1126" s="92" t="s">
        <v>42</v>
      </c>
      <c r="G1126" s="93">
        <v>5310.8983262224201</v>
      </c>
      <c r="H1126" s="93">
        <v>165377.47014557201</v>
      </c>
      <c r="I1126" s="93">
        <v>2397.5457928860201</v>
      </c>
      <c r="J1126" s="93">
        <v>16548.377691842899</v>
      </c>
      <c r="K1126" s="93">
        <v>80.271146469056305</v>
      </c>
      <c r="L1126" s="93">
        <v>193665.13598671558</v>
      </c>
      <c r="M1126" s="93">
        <v>620824.33974999096</v>
      </c>
      <c r="N1126" s="95">
        <v>1.2433065422524838E-2</v>
      </c>
      <c r="O1126" s="95">
        <v>0.38715651843292953</v>
      </c>
      <c r="P1126" s="95">
        <v>0.56148195881104235</v>
      </c>
      <c r="Q1126" s="95">
        <v>3.8740538764122569E-2</v>
      </c>
      <c r="R1126" s="96">
        <v>1.8791856938084672E-4</v>
      </c>
    </row>
    <row r="1127" spans="1:18" ht="15" hidden="1" customHeight="1" x14ac:dyDescent="0.3">
      <c r="A1127" s="89">
        <v>2021</v>
      </c>
      <c r="B1127" s="90">
        <v>10</v>
      </c>
      <c r="C1127" s="90" t="s">
        <v>731</v>
      </c>
      <c r="D1127" s="90" t="s">
        <v>719</v>
      </c>
      <c r="E1127" s="91" t="s">
        <v>11</v>
      </c>
      <c r="F1127" s="92" t="s">
        <v>43</v>
      </c>
      <c r="G1127" s="93">
        <v>2383.4559346645201</v>
      </c>
      <c r="H1127" s="93">
        <v>25488.460271955999</v>
      </c>
      <c r="I1127" s="93">
        <v>2397.5457928860201</v>
      </c>
      <c r="J1127" s="93">
        <v>13852.846925317101</v>
      </c>
      <c r="K1127" s="93">
        <v>6194.3855003400704</v>
      </c>
      <c r="L1127" s="93">
        <v>116491.53722077138</v>
      </c>
      <c r="M1127" s="93">
        <v>185575.48510012316</v>
      </c>
      <c r="N1127" s="95">
        <v>3.4500864641189698E-2</v>
      </c>
      <c r="O1127" s="95">
        <v>0.36894909822566951</v>
      </c>
      <c r="P1127" s="95">
        <v>0.30636348814396519</v>
      </c>
      <c r="Q1127" s="95">
        <v>0.20052193527662479</v>
      </c>
      <c r="R1127" s="96">
        <v>8.9664613712550786E-2</v>
      </c>
    </row>
    <row r="1128" spans="1:18" ht="15" hidden="1" customHeight="1" x14ac:dyDescent="0.3">
      <c r="A1128" s="89">
        <v>2021</v>
      </c>
      <c r="B1128" s="90">
        <v>10</v>
      </c>
      <c r="C1128" s="90" t="s">
        <v>731</v>
      </c>
      <c r="D1128" s="90" t="s">
        <v>719</v>
      </c>
      <c r="E1128" s="91" t="s">
        <v>11</v>
      </c>
      <c r="F1128" s="92" t="s">
        <v>58</v>
      </c>
      <c r="G1128" s="93">
        <v>7961.3957162407796</v>
      </c>
      <c r="H1128" s="93">
        <v>231475.18740958799</v>
      </c>
      <c r="I1128" s="93">
        <v>2397.5457928860201</v>
      </c>
      <c r="J1128" s="93">
        <v>3268.9766259619901</v>
      </c>
      <c r="K1128" s="93">
        <v>14.000318359374999</v>
      </c>
      <c r="L1128" s="93">
        <v>7874.2570013526201</v>
      </c>
      <c r="M1128" s="93">
        <v>371477.12559243274</v>
      </c>
      <c r="N1128" s="95">
        <v>2.1895855076969787E-2</v>
      </c>
      <c r="O1128" s="95">
        <v>0.63661540489635871</v>
      </c>
      <c r="P1128" s="95">
        <v>0.33245972175450406</v>
      </c>
      <c r="Q1128" s="95">
        <v>8.9905138499839221E-3</v>
      </c>
      <c r="R1128" s="96">
        <v>3.8504422183534046E-5</v>
      </c>
    </row>
    <row r="1129" spans="1:18" ht="15" hidden="1" customHeight="1" x14ac:dyDescent="0.3">
      <c r="A1129" s="89">
        <v>2021</v>
      </c>
      <c r="B1129" s="90">
        <v>10</v>
      </c>
      <c r="C1129" s="90" t="s">
        <v>731</v>
      </c>
      <c r="D1129" s="90" t="s">
        <v>719</v>
      </c>
      <c r="E1129" s="91" t="s">
        <v>11</v>
      </c>
      <c r="F1129" s="92" t="s">
        <v>44</v>
      </c>
      <c r="G1129" s="93">
        <v>4915.9433201945503</v>
      </c>
      <c r="H1129" s="93">
        <v>43777.048708320799</v>
      </c>
      <c r="I1129" s="93">
        <v>2397.5457928860201</v>
      </c>
      <c r="J1129" s="93">
        <v>27326.864439503799</v>
      </c>
      <c r="K1129" s="93">
        <v>668.07900859375002</v>
      </c>
      <c r="L1129" s="93">
        <v>40359.112080226783</v>
      </c>
      <c r="M1129" s="93">
        <v>215729.28855107946</v>
      </c>
      <c r="N1129" s="95">
        <v>2.803180916574833E-2</v>
      </c>
      <c r="O1129" s="95">
        <v>0.249626530515562</v>
      </c>
      <c r="P1129" s="95">
        <v>0.56270822656463038</v>
      </c>
      <c r="Q1129" s="95">
        <v>0.15582389770843189</v>
      </c>
      <c r="R1129" s="96">
        <v>3.8095360456273917E-3</v>
      </c>
    </row>
    <row r="1130" spans="1:18" ht="15" hidden="1" customHeight="1" x14ac:dyDescent="0.3">
      <c r="A1130" s="89">
        <v>2021</v>
      </c>
      <c r="B1130" s="90">
        <v>10</v>
      </c>
      <c r="C1130" s="90" t="s">
        <v>731</v>
      </c>
      <c r="D1130" s="90" t="s">
        <v>719</v>
      </c>
      <c r="E1130" s="91" t="s">
        <v>11</v>
      </c>
      <c r="F1130" s="92" t="s">
        <v>51</v>
      </c>
      <c r="G1130" s="93">
        <v>3817.20303033548</v>
      </c>
      <c r="H1130" s="93">
        <v>34455.120926154799</v>
      </c>
      <c r="I1130" s="93">
        <v>2397.5457928860201</v>
      </c>
      <c r="J1130" s="93">
        <v>56982.909923222098</v>
      </c>
      <c r="K1130" s="93">
        <v>3093.1757096737001</v>
      </c>
      <c r="L1130" s="93">
        <v>12071.9209808869</v>
      </c>
      <c r="M1130" s="93">
        <v>211202.40923547096</v>
      </c>
      <c r="N1130" s="95">
        <v>1.9169355048511045E-2</v>
      </c>
      <c r="O1130" s="95">
        <v>0.17302785338478488</v>
      </c>
      <c r="P1130" s="95">
        <v>0.50611073948832119</v>
      </c>
      <c r="Q1130" s="95">
        <v>0.28615864111361328</v>
      </c>
      <c r="R1130" s="96">
        <v>1.5533410964769701E-2</v>
      </c>
    </row>
    <row r="1131" spans="1:18" ht="15" hidden="1" customHeight="1" x14ac:dyDescent="0.3">
      <c r="A1131" s="89">
        <v>2021</v>
      </c>
      <c r="B1131" s="90">
        <v>10</v>
      </c>
      <c r="C1131" s="90" t="s">
        <v>731</v>
      </c>
      <c r="D1131" s="90" t="s">
        <v>719</v>
      </c>
      <c r="E1131" s="91" t="s">
        <v>11</v>
      </c>
      <c r="F1131" s="92" t="s">
        <v>45</v>
      </c>
      <c r="G1131" s="93">
        <v>6392.6842051409603</v>
      </c>
      <c r="H1131" s="93">
        <v>28937.223055134898</v>
      </c>
      <c r="I1131" s="93">
        <v>2397.5457928860201</v>
      </c>
      <c r="J1131" s="93">
        <v>10749.579648164699</v>
      </c>
      <c r="K1131" s="93">
        <v>1050.9269124279999</v>
      </c>
      <c r="L1131" s="93">
        <v>54362.818691356777</v>
      </c>
      <c r="M1131" s="93">
        <v>134096.09203645971</v>
      </c>
      <c r="N1131" s="95">
        <v>8.0175865569597687E-2</v>
      </c>
      <c r="O1131" s="95">
        <v>0.36292531136766837</v>
      </c>
      <c r="P1131" s="95">
        <v>0.40889904749203176</v>
      </c>
      <c r="Q1131" s="95">
        <v>0.13481924417724808</v>
      </c>
      <c r="R1131" s="96">
        <v>1.318053139345427E-2</v>
      </c>
    </row>
    <row r="1132" spans="1:18" ht="15" hidden="1" customHeight="1" x14ac:dyDescent="0.3">
      <c r="A1132" s="89">
        <v>2021</v>
      </c>
      <c r="B1132" s="90">
        <v>10</v>
      </c>
      <c r="C1132" s="90" t="s">
        <v>731</v>
      </c>
      <c r="D1132" s="90" t="s">
        <v>719</v>
      </c>
      <c r="E1132" s="91" t="s">
        <v>11</v>
      </c>
      <c r="F1132" s="92" t="s">
        <v>721</v>
      </c>
      <c r="G1132" s="93">
        <v>4323.1221544699702</v>
      </c>
      <c r="H1132" s="93">
        <v>180415.26005857199</v>
      </c>
      <c r="I1132" s="93">
        <v>2397.5457928860201</v>
      </c>
      <c r="J1132" s="93">
        <v>6349.3391539062104</v>
      </c>
      <c r="K1132" s="93">
        <v>149.76048437499901</v>
      </c>
      <c r="L1132" s="93">
        <v>113.47262586856604</v>
      </c>
      <c r="M1132" s="93">
        <v>309330.85090302478</v>
      </c>
      <c r="N1132" s="95">
        <v>1.3980851201044368E-2</v>
      </c>
      <c r="O1132" s="95">
        <v>0.58345769912344014</v>
      </c>
      <c r="P1132" s="95">
        <v>0.38154355063474416</v>
      </c>
      <c r="Q1132" s="95">
        <v>2.0533577993844841E-2</v>
      </c>
      <c r="R1132" s="96">
        <v>4.8432104692630319E-4</v>
      </c>
    </row>
    <row r="1133" spans="1:18" ht="15" hidden="1" customHeight="1" x14ac:dyDescent="0.3">
      <c r="A1133" s="89">
        <v>2021</v>
      </c>
      <c r="B1133" s="90">
        <v>10</v>
      </c>
      <c r="C1133" s="90" t="s">
        <v>731</v>
      </c>
      <c r="D1133" s="90" t="s">
        <v>719</v>
      </c>
      <c r="E1133" s="91" t="s">
        <v>11</v>
      </c>
      <c r="F1133" s="92" t="s">
        <v>46</v>
      </c>
      <c r="G1133" s="93">
        <v>5095.4622130560401</v>
      </c>
      <c r="H1133" s="93">
        <v>41922.640759240698</v>
      </c>
      <c r="I1133" s="93">
        <v>2397.5457928860201</v>
      </c>
      <c r="J1133" s="93">
        <v>15469.6709029994</v>
      </c>
      <c r="K1133" s="93">
        <v>2459.1131850612701</v>
      </c>
      <c r="L1133" s="93">
        <v>56090.398213994798</v>
      </c>
      <c r="M1133" s="93">
        <v>149075.00300839051</v>
      </c>
      <c r="N1133" s="95">
        <v>5.4798987685358742E-2</v>
      </c>
      <c r="O1133" s="95">
        <v>0.45085571801846736</v>
      </c>
      <c r="P1133" s="95">
        <v>0.30153075120375372</v>
      </c>
      <c r="Q1133" s="95">
        <v>0.1663680878915966</v>
      </c>
      <c r="R1133" s="96">
        <v>2.6446455200823563E-2</v>
      </c>
    </row>
    <row r="1134" spans="1:18" ht="15" hidden="1" customHeight="1" x14ac:dyDescent="0.3">
      <c r="A1134" s="89">
        <v>2021</v>
      </c>
      <c r="B1134" s="90">
        <v>10</v>
      </c>
      <c r="C1134" s="90" t="s">
        <v>731</v>
      </c>
      <c r="D1134" s="90" t="s">
        <v>719</v>
      </c>
      <c r="E1134" s="91" t="s">
        <v>11</v>
      </c>
      <c r="F1134" s="92" t="s">
        <v>47</v>
      </c>
      <c r="G1134" s="93">
        <v>21883.8734648545</v>
      </c>
      <c r="H1134" s="93">
        <v>353609.14235169702</v>
      </c>
      <c r="I1134" s="93">
        <v>2397.5457928860201</v>
      </c>
      <c r="J1134" s="93">
        <v>161448.00318344001</v>
      </c>
      <c r="K1134" s="93">
        <v>17876.1709758914</v>
      </c>
      <c r="L1134" s="93">
        <v>296806.37161582999</v>
      </c>
      <c r="M1134" s="93">
        <v>1461770.3581409347</v>
      </c>
      <c r="N1134" s="95">
        <v>1.8785021440989331E-2</v>
      </c>
      <c r="O1134" s="95">
        <v>0.30353654399777169</v>
      </c>
      <c r="P1134" s="95">
        <v>0.52374734636148634</v>
      </c>
      <c r="Q1134" s="95">
        <v>0.13858626107834693</v>
      </c>
      <c r="R1134" s="96">
        <v>1.5344827121405757E-2</v>
      </c>
    </row>
    <row r="1135" spans="1:18" ht="15" hidden="1" customHeight="1" x14ac:dyDescent="0.3">
      <c r="A1135" s="89">
        <v>2021</v>
      </c>
      <c r="B1135" s="90">
        <v>10</v>
      </c>
      <c r="C1135" s="90" t="s">
        <v>731</v>
      </c>
      <c r="D1135" s="90" t="s">
        <v>719</v>
      </c>
      <c r="E1135" s="91" t="s">
        <v>11</v>
      </c>
      <c r="F1135" s="92" t="s">
        <v>48</v>
      </c>
      <c r="G1135" s="93">
        <v>2461.5252281234598</v>
      </c>
      <c r="H1135" s="93">
        <v>20647.0400169042</v>
      </c>
      <c r="I1135" s="93">
        <v>2397.5457928860201</v>
      </c>
      <c r="J1135" s="93">
        <v>20316.4379252406</v>
      </c>
      <c r="K1135" s="93">
        <v>752.38622543198505</v>
      </c>
      <c r="L1135" s="93">
        <v>8774.5564994791894</v>
      </c>
      <c r="M1135" s="93">
        <v>110314.39779994465</v>
      </c>
      <c r="N1135" s="95">
        <v>2.4241964499822161E-2</v>
      </c>
      <c r="O1135" s="95">
        <v>0.20333929768323908</v>
      </c>
      <c r="P1135" s="95">
        <v>0.5649255619281951</v>
      </c>
      <c r="Q1135" s="95">
        <v>0.20008341223542436</v>
      </c>
      <c r="R1135" s="96">
        <v>7.4097636533191642E-3</v>
      </c>
    </row>
    <row r="1136" spans="1:18" ht="15" hidden="1" customHeight="1" x14ac:dyDescent="0.3">
      <c r="A1136" s="89">
        <v>2021</v>
      </c>
      <c r="B1136" s="90">
        <v>11</v>
      </c>
      <c r="C1136" s="90" t="s">
        <v>732</v>
      </c>
      <c r="D1136" s="90" t="s">
        <v>719</v>
      </c>
      <c r="E1136" s="91" t="s">
        <v>11</v>
      </c>
      <c r="F1136" s="92" t="s">
        <v>12</v>
      </c>
      <c r="G1136" s="93">
        <v>9982.1046082981902</v>
      </c>
      <c r="H1136" s="93">
        <v>76564.612893179496</v>
      </c>
      <c r="I1136" s="93">
        <v>2397.5457928860201</v>
      </c>
      <c r="J1136" s="93">
        <v>19815.955324407299</v>
      </c>
      <c r="K1136" s="93">
        <v>410.57088085937397</v>
      </c>
      <c r="L1136" s="93">
        <v>190037.00123167952</v>
      </c>
      <c r="M1136" s="93">
        <v>433311.47680227587</v>
      </c>
      <c r="N1136" s="95">
        <v>4.1032272641366607E-2</v>
      </c>
      <c r="O1136" s="95">
        <v>0.31472522020075649</v>
      </c>
      <c r="P1136" s="95">
        <v>0.56109968603853966</v>
      </c>
      <c r="Q1136" s="95">
        <v>8.1455135307266807E-2</v>
      </c>
      <c r="R1136" s="96">
        <v>1.6876858120704469E-3</v>
      </c>
    </row>
    <row r="1137" spans="1:18" ht="15" hidden="1" customHeight="1" x14ac:dyDescent="0.3">
      <c r="A1137" s="89">
        <v>2021</v>
      </c>
      <c r="B1137" s="90">
        <v>11</v>
      </c>
      <c r="C1137" s="90" t="s">
        <v>732</v>
      </c>
      <c r="D1137" s="90" t="s">
        <v>719</v>
      </c>
      <c r="E1137" s="91" t="s">
        <v>11</v>
      </c>
      <c r="F1137" s="92" t="s">
        <v>26</v>
      </c>
      <c r="G1137" s="93">
        <v>119786.88870928901</v>
      </c>
      <c r="H1137" s="93">
        <v>345475.88752480102</v>
      </c>
      <c r="I1137" s="93">
        <v>2397.5457928860201</v>
      </c>
      <c r="J1137" s="93">
        <v>11550.890938893899</v>
      </c>
      <c r="K1137" s="93">
        <v>95.569851953124996</v>
      </c>
      <c r="L1137" s="93">
        <v>673046.734608531</v>
      </c>
      <c r="M1137" s="93">
        <v>1302393.3163907551</v>
      </c>
      <c r="N1137" s="95">
        <v>0.19033532901707167</v>
      </c>
      <c r="O1137" s="95">
        <v>0.54894377363019953</v>
      </c>
      <c r="P1137" s="95">
        <v>0.24221525812630165</v>
      </c>
      <c r="Q1137" s="95">
        <v>1.8353783548300757E-2</v>
      </c>
      <c r="R1137" s="96">
        <v>1.5185567812648503E-4</v>
      </c>
    </row>
    <row r="1138" spans="1:18" ht="15" hidden="1" customHeight="1" x14ac:dyDescent="0.3">
      <c r="A1138" s="89">
        <v>2021</v>
      </c>
      <c r="B1138" s="90">
        <v>11</v>
      </c>
      <c r="C1138" s="90" t="s">
        <v>732</v>
      </c>
      <c r="D1138" s="90" t="s">
        <v>719</v>
      </c>
      <c r="E1138" s="91" t="s">
        <v>11</v>
      </c>
      <c r="F1138" s="92" t="s">
        <v>27</v>
      </c>
      <c r="G1138" s="93">
        <v>187.63355468750001</v>
      </c>
      <c r="H1138" s="93">
        <v>3197.64743897365</v>
      </c>
      <c r="I1138" s="93">
        <v>2397.5457928860201</v>
      </c>
      <c r="J1138" s="93">
        <v>53572.895811923401</v>
      </c>
      <c r="K1138" s="93">
        <v>7651.6193788725104</v>
      </c>
      <c r="L1138" s="93">
        <v>111217.89705335011</v>
      </c>
      <c r="M1138" s="93">
        <v>226689.61699929927</v>
      </c>
      <c r="N1138" s="95">
        <v>1.6249308036229901E-3</v>
      </c>
      <c r="O1138" s="95">
        <v>2.7692039578785421E-2</v>
      </c>
      <c r="P1138" s="95">
        <v>0.44047082511025143</v>
      </c>
      <c r="Q1138" s="95">
        <v>0.46394819300344875</v>
      </c>
      <c r="R1138" s="96">
        <v>6.6264011503891482E-2</v>
      </c>
    </row>
    <row r="1139" spans="1:18" ht="15" hidden="1" customHeight="1" x14ac:dyDescent="0.3">
      <c r="A1139" s="89">
        <v>2021</v>
      </c>
      <c r="B1139" s="90">
        <v>11</v>
      </c>
      <c r="C1139" s="90" t="s">
        <v>732</v>
      </c>
      <c r="D1139" s="90" t="s">
        <v>719</v>
      </c>
      <c r="E1139" s="91" t="s">
        <v>11</v>
      </c>
      <c r="F1139" s="92" t="s">
        <v>28</v>
      </c>
      <c r="G1139" s="93">
        <v>2265.40384443014</v>
      </c>
      <c r="H1139" s="93">
        <v>14792.035448189399</v>
      </c>
      <c r="I1139" s="93">
        <v>2397.5457928860201</v>
      </c>
      <c r="J1139" s="93">
        <v>107634.914596998</v>
      </c>
      <c r="K1139" s="93">
        <v>2488.7423214598698</v>
      </c>
      <c r="L1139" s="93">
        <v>60958.589492907617</v>
      </c>
      <c r="M1139" s="93">
        <v>373104.58101494901</v>
      </c>
      <c r="N1139" s="95">
        <v>7.2575138107137099E-3</v>
      </c>
      <c r="O1139" s="95">
        <v>4.7388196068328808E-2</v>
      </c>
      <c r="P1139" s="95">
        <v>0.59255893182886887</v>
      </c>
      <c r="Q1139" s="95">
        <v>0.34482235082425411</v>
      </c>
      <c r="R1139" s="96">
        <v>7.9730074678345947E-3</v>
      </c>
    </row>
    <row r="1140" spans="1:18" ht="15" customHeight="1" x14ac:dyDescent="0.3">
      <c r="A1140" s="89">
        <v>2021</v>
      </c>
      <c r="B1140" s="90">
        <v>11</v>
      </c>
      <c r="C1140" s="90" t="s">
        <v>732</v>
      </c>
      <c r="D1140" s="90" t="s">
        <v>719</v>
      </c>
      <c r="E1140" s="91" t="s">
        <v>11</v>
      </c>
      <c r="F1140" s="92" t="s">
        <v>29</v>
      </c>
      <c r="G1140" s="93">
        <v>5884.7163467601004</v>
      </c>
      <c r="H1140" s="93">
        <v>19496.332505799601</v>
      </c>
      <c r="I1140" s="93">
        <v>2397.5457928860201</v>
      </c>
      <c r="J1140" s="93">
        <v>9631.6145890533207</v>
      </c>
      <c r="K1140" s="93">
        <v>725.15881872702198</v>
      </c>
      <c r="L1140" s="93">
        <v>287059.32463678689</v>
      </c>
      <c r="M1140" s="93">
        <v>354392.05486976163</v>
      </c>
      <c r="N1140" s="95">
        <v>8.739756024148547E-2</v>
      </c>
      <c r="O1140" s="95">
        <v>0.28955208615989991</v>
      </c>
      <c r="P1140" s="95">
        <v>0.46923550943671344</v>
      </c>
      <c r="Q1140" s="95">
        <v>0.14304506227101491</v>
      </c>
      <c r="R1140" s="96">
        <v>1.0769781890886272E-2</v>
      </c>
    </row>
    <row r="1141" spans="1:18" ht="15" hidden="1" customHeight="1" x14ac:dyDescent="0.3">
      <c r="A1141" s="89">
        <v>2021</v>
      </c>
      <c r="B1141" s="90">
        <v>11</v>
      </c>
      <c r="C1141" s="90" t="s">
        <v>732</v>
      </c>
      <c r="D1141" s="90" t="s">
        <v>719</v>
      </c>
      <c r="E1141" s="91" t="s">
        <v>11</v>
      </c>
      <c r="F1141" s="92" t="s">
        <v>30</v>
      </c>
      <c r="G1141" s="93">
        <v>329.00688664062397</v>
      </c>
      <c r="H1141" s="93">
        <v>1370.5452254105401</v>
      </c>
      <c r="I1141" s="93">
        <v>2397.5457928860201</v>
      </c>
      <c r="J1141" s="93">
        <v>3268.9015602864602</v>
      </c>
      <c r="K1141" s="93">
        <v>653.41084532015896</v>
      </c>
      <c r="L1141" s="93">
        <v>220231.11105499225</v>
      </c>
      <c r="M1141" s="93">
        <v>230086.50016211695</v>
      </c>
      <c r="N1141" s="95">
        <v>3.3383449711059797E-2</v>
      </c>
      <c r="O1141" s="95">
        <v>0.13906556205068954</v>
      </c>
      <c r="P1141" s="95">
        <v>0.42956442850200621</v>
      </c>
      <c r="Q1141" s="95">
        <v>0.33168670711573339</v>
      </c>
      <c r="R1141" s="96">
        <v>6.6299852620511177E-2</v>
      </c>
    </row>
    <row r="1142" spans="1:18" ht="15" hidden="1" customHeight="1" x14ac:dyDescent="0.3">
      <c r="A1142" s="89">
        <v>2021</v>
      </c>
      <c r="B1142" s="90">
        <v>11</v>
      </c>
      <c r="C1142" s="90" t="s">
        <v>732</v>
      </c>
      <c r="D1142" s="90" t="s">
        <v>719</v>
      </c>
      <c r="E1142" s="91" t="s">
        <v>11</v>
      </c>
      <c r="F1142" s="92" t="s">
        <v>31</v>
      </c>
      <c r="G1142" s="93">
        <v>1565.6004096966899</v>
      </c>
      <c r="H1142" s="93">
        <v>39652.916717196102</v>
      </c>
      <c r="I1142" s="93">
        <v>2397.5457928860201</v>
      </c>
      <c r="J1142" s="93">
        <v>74454.467255679803</v>
      </c>
      <c r="K1142" s="93">
        <v>20696.544291921098</v>
      </c>
      <c r="L1142" s="93">
        <v>45520.037582999787</v>
      </c>
      <c r="M1142" s="93">
        <v>251948.6886599198</v>
      </c>
      <c r="N1142" s="95">
        <v>7.5842205116832912E-3</v>
      </c>
      <c r="O1142" s="95">
        <v>0.19209017987731036</v>
      </c>
      <c r="P1142" s="95">
        <v>0.339386621173631</v>
      </c>
      <c r="Q1142" s="95">
        <v>0.36067894096704811</v>
      </c>
      <c r="R1142" s="96">
        <v>0.10026003747032719</v>
      </c>
    </row>
    <row r="1143" spans="1:18" ht="15" hidden="1" customHeight="1" x14ac:dyDescent="0.3">
      <c r="A1143" s="89">
        <v>2021</v>
      </c>
      <c r="B1143" s="90">
        <v>11</v>
      </c>
      <c r="C1143" s="90" t="s">
        <v>732</v>
      </c>
      <c r="D1143" s="90" t="s">
        <v>719</v>
      </c>
      <c r="E1143" s="91" t="s">
        <v>11</v>
      </c>
      <c r="F1143" s="92" t="s">
        <v>32</v>
      </c>
      <c r="G1143" s="93">
        <v>4177.9371326102701</v>
      </c>
      <c r="H1143" s="93">
        <v>80427.5021858908</v>
      </c>
      <c r="I1143" s="93">
        <v>2397.5457928860201</v>
      </c>
      <c r="J1143" s="93">
        <v>43590.0624488588</v>
      </c>
      <c r="K1143" s="93">
        <v>1620.6218087928901</v>
      </c>
      <c r="L1143" s="93">
        <v>333838.87788564805</v>
      </c>
      <c r="M1143" s="93">
        <v>609521.81280335574</v>
      </c>
      <c r="N1143" s="95">
        <v>1.5154863081595521E-2</v>
      </c>
      <c r="O1143" s="95">
        <v>0.29173913942079394</v>
      </c>
      <c r="P1143" s="95">
        <v>0.52911077497450731</v>
      </c>
      <c r="Q1143" s="95">
        <v>0.1581166511516956</v>
      </c>
      <c r="R1143" s="96">
        <v>5.878571371407704E-3</v>
      </c>
    </row>
    <row r="1144" spans="1:18" ht="15" hidden="1" customHeight="1" x14ac:dyDescent="0.3">
      <c r="A1144" s="89">
        <v>2021</v>
      </c>
      <c r="B1144" s="90">
        <v>11</v>
      </c>
      <c r="C1144" s="90" t="s">
        <v>732</v>
      </c>
      <c r="D1144" s="90" t="s">
        <v>719</v>
      </c>
      <c r="E1144" s="91" t="s">
        <v>11</v>
      </c>
      <c r="F1144" s="92" t="s">
        <v>33</v>
      </c>
      <c r="G1144" s="93">
        <v>96053.806203171</v>
      </c>
      <c r="H1144" s="93">
        <v>281500.80872854398</v>
      </c>
      <c r="I1144" s="93">
        <v>2397.5457928860201</v>
      </c>
      <c r="J1144" s="93">
        <v>125393.31840400799</v>
      </c>
      <c r="K1144" s="93">
        <v>7549.4590772166102</v>
      </c>
      <c r="L1144" s="93">
        <v>588986.68944957736</v>
      </c>
      <c r="M1144" s="93">
        <v>1352056.7882567947</v>
      </c>
      <c r="N1144" s="95">
        <v>0.12587808951407767</v>
      </c>
      <c r="O1144" s="95">
        <v>0.36890556866081914</v>
      </c>
      <c r="P1144" s="95">
        <v>0.33099541809996691</v>
      </c>
      <c r="Q1144" s="95">
        <v>0.16432739089110535</v>
      </c>
      <c r="R1144" s="96">
        <v>9.8935328340311636E-3</v>
      </c>
    </row>
    <row r="1145" spans="1:18" ht="15" hidden="1" customHeight="1" x14ac:dyDescent="0.3">
      <c r="A1145" s="89">
        <v>2021</v>
      </c>
      <c r="B1145" s="90">
        <v>11</v>
      </c>
      <c r="C1145" s="90" t="s">
        <v>732</v>
      </c>
      <c r="D1145" s="90" t="s">
        <v>719</v>
      </c>
      <c r="E1145" s="91" t="s">
        <v>11</v>
      </c>
      <c r="F1145" s="92" t="s">
        <v>34</v>
      </c>
      <c r="G1145" s="93">
        <v>9497.9890994822908</v>
      </c>
      <c r="H1145" s="93">
        <v>56569.019136262599</v>
      </c>
      <c r="I1145" s="93">
        <v>2397.5457928860201</v>
      </c>
      <c r="J1145" s="93">
        <v>69225.961789455498</v>
      </c>
      <c r="K1145" s="93">
        <v>4810.7802782337403</v>
      </c>
      <c r="L1145" s="93">
        <v>416287.43049573322</v>
      </c>
      <c r="M1145" s="93">
        <v>713628.83042002027</v>
      </c>
      <c r="N1145" s="95">
        <v>3.1943042919353952E-2</v>
      </c>
      <c r="O1145" s="95">
        <v>0.19024938723859822</v>
      </c>
      <c r="P1145" s="95">
        <v>0.52881182930090076</v>
      </c>
      <c r="Q1145" s="95">
        <v>0.23281642518358595</v>
      </c>
      <c r="R1145" s="96">
        <v>1.6179315357561116E-2</v>
      </c>
    </row>
    <row r="1146" spans="1:18" ht="15" hidden="1" customHeight="1" x14ac:dyDescent="0.3">
      <c r="A1146" s="89">
        <v>2021</v>
      </c>
      <c r="B1146" s="90">
        <v>11</v>
      </c>
      <c r="C1146" s="90" t="s">
        <v>732</v>
      </c>
      <c r="D1146" s="90" t="s">
        <v>719</v>
      </c>
      <c r="E1146" s="91" t="s">
        <v>11</v>
      </c>
      <c r="F1146" s="92" t="s">
        <v>35</v>
      </c>
      <c r="G1146" s="93">
        <v>18296.178154775</v>
      </c>
      <c r="H1146" s="93">
        <v>92326.996792486694</v>
      </c>
      <c r="I1146" s="93">
        <v>2397.5457928860201</v>
      </c>
      <c r="J1146" s="93">
        <v>35933.162841247402</v>
      </c>
      <c r="K1146" s="93">
        <v>2904.96866771139</v>
      </c>
      <c r="L1146" s="93">
        <v>349803.52666762297</v>
      </c>
      <c r="M1146" s="93">
        <v>605861.19629491144</v>
      </c>
      <c r="N1146" s="95">
        <v>7.1453349479460956E-2</v>
      </c>
      <c r="O1146" s="95">
        <v>0.3605711046533997</v>
      </c>
      <c r="P1146" s="95">
        <v>0.41629826330227543</v>
      </c>
      <c r="Q1146" s="95">
        <v>0.1403323044123258</v>
      </c>
      <c r="R1146" s="96">
        <v>1.1344978152538035E-2</v>
      </c>
    </row>
    <row r="1147" spans="1:18" ht="15" hidden="1" customHeight="1" x14ac:dyDescent="0.3">
      <c r="A1147" s="89">
        <v>2021</v>
      </c>
      <c r="B1147" s="90">
        <v>11</v>
      </c>
      <c r="C1147" s="90" t="s">
        <v>732</v>
      </c>
      <c r="D1147" s="90" t="s">
        <v>719</v>
      </c>
      <c r="E1147" s="91" t="s">
        <v>11</v>
      </c>
      <c r="F1147" s="92" t="s">
        <v>36</v>
      </c>
      <c r="G1147" s="93">
        <v>1969.5991507674601</v>
      </c>
      <c r="H1147" s="93">
        <v>22348.498429058</v>
      </c>
      <c r="I1147" s="93">
        <v>2397.5457928860201</v>
      </c>
      <c r="J1147" s="93">
        <v>10440.9096454917</v>
      </c>
      <c r="K1147" s="93">
        <v>51.936967968749997</v>
      </c>
      <c r="L1147" s="93">
        <v>176826.1197998382</v>
      </c>
      <c r="M1147" s="93">
        <v>258886.87145458441</v>
      </c>
      <c r="N1147" s="95">
        <v>2.4001719592505619E-2</v>
      </c>
      <c r="O1147" s="95">
        <v>0.27234089352586877</v>
      </c>
      <c r="P1147" s="95">
        <v>0.57579057599001993</v>
      </c>
      <c r="Q1147" s="95">
        <v>0.12723390213898705</v>
      </c>
      <c r="R1147" s="96">
        <v>6.3290875261859825E-4</v>
      </c>
    </row>
    <row r="1148" spans="1:18" ht="15" hidden="1" customHeight="1" x14ac:dyDescent="0.3">
      <c r="A1148" s="89">
        <v>2021</v>
      </c>
      <c r="B1148" s="90">
        <v>11</v>
      </c>
      <c r="C1148" s="90" t="s">
        <v>732</v>
      </c>
      <c r="D1148" s="90" t="s">
        <v>719</v>
      </c>
      <c r="E1148" s="91" t="s">
        <v>11</v>
      </c>
      <c r="F1148" s="92" t="s">
        <v>37</v>
      </c>
      <c r="G1148" s="93">
        <v>8226.8732407107509</v>
      </c>
      <c r="H1148" s="93">
        <v>75267.679633673601</v>
      </c>
      <c r="I1148" s="93">
        <v>2397.5457928860201</v>
      </c>
      <c r="J1148" s="93">
        <v>27920.4364680537</v>
      </c>
      <c r="K1148" s="93">
        <v>1288.02416257812</v>
      </c>
      <c r="L1148" s="93">
        <v>312609.42528611299</v>
      </c>
      <c r="M1148" s="93">
        <v>524073.85777628457</v>
      </c>
      <c r="N1148" s="95">
        <v>3.8904288271235016E-2</v>
      </c>
      <c r="O1148" s="95">
        <v>0.35593541073235513</v>
      </c>
      <c r="P1148" s="95">
        <v>0.46703560415411999</v>
      </c>
      <c r="Q1148" s="95">
        <v>0.13203372377693531</v>
      </c>
      <c r="R1148" s="96">
        <v>6.0909730653545468E-3</v>
      </c>
    </row>
    <row r="1149" spans="1:18" ht="15" hidden="1" customHeight="1" x14ac:dyDescent="0.3">
      <c r="A1149" s="89">
        <v>2021</v>
      </c>
      <c r="B1149" s="90">
        <v>11</v>
      </c>
      <c r="C1149" s="90" t="s">
        <v>732</v>
      </c>
      <c r="D1149" s="90" t="s">
        <v>719</v>
      </c>
      <c r="E1149" s="91" t="s">
        <v>11</v>
      </c>
      <c r="F1149" s="92" t="s">
        <v>720</v>
      </c>
      <c r="G1149" s="93">
        <v>52999.372334332598</v>
      </c>
      <c r="H1149" s="93">
        <v>161442.11676511299</v>
      </c>
      <c r="I1149" s="93">
        <v>2397.5457928860201</v>
      </c>
      <c r="J1149" s="93">
        <v>42568.997987139897</v>
      </c>
      <c r="K1149" s="93">
        <v>958.72327215226699</v>
      </c>
      <c r="L1149" s="93">
        <v>331247.05662839604</v>
      </c>
      <c r="M1149" s="93">
        <v>927958.4226883637</v>
      </c>
      <c r="N1149" s="95">
        <v>8.8819109788846093E-2</v>
      </c>
      <c r="O1149" s="95">
        <v>0.27055311151704886</v>
      </c>
      <c r="P1149" s="95">
        <v>0.56768175531482579</v>
      </c>
      <c r="Q1149" s="95">
        <v>7.1339344963745582E-2</v>
      </c>
      <c r="R1149" s="96">
        <v>1.6066784155338483E-3</v>
      </c>
    </row>
    <row r="1150" spans="1:18" ht="15" hidden="1" customHeight="1" x14ac:dyDescent="0.3">
      <c r="A1150" s="89">
        <v>2021</v>
      </c>
      <c r="B1150" s="90">
        <v>11</v>
      </c>
      <c r="C1150" s="90" t="s">
        <v>732</v>
      </c>
      <c r="D1150" s="90" t="s">
        <v>719</v>
      </c>
      <c r="E1150" s="91" t="s">
        <v>11</v>
      </c>
      <c r="F1150" s="92" t="s">
        <v>39</v>
      </c>
      <c r="G1150" s="93">
        <v>2843.4301803614999</v>
      </c>
      <c r="H1150" s="93">
        <v>19122.208185494899</v>
      </c>
      <c r="I1150" s="93">
        <v>2397.5457928860201</v>
      </c>
      <c r="J1150" s="93">
        <v>60310.596506066497</v>
      </c>
      <c r="K1150" s="93">
        <v>10488.846581416899</v>
      </c>
      <c r="L1150" s="93">
        <v>165501.50988442235</v>
      </c>
      <c r="M1150" s="93">
        <v>331195.16650096636</v>
      </c>
      <c r="N1150" s="95">
        <v>1.7160766672811734E-2</v>
      </c>
      <c r="O1150" s="95">
        <v>0.11540700215065207</v>
      </c>
      <c r="P1150" s="95">
        <v>0.44014102079948003</v>
      </c>
      <c r="Q1150" s="95">
        <v>0.36398856623485648</v>
      </c>
      <c r="R1150" s="96">
        <v>6.3302644142199591E-2</v>
      </c>
    </row>
    <row r="1151" spans="1:18" ht="15" hidden="1" customHeight="1" x14ac:dyDescent="0.3">
      <c r="A1151" s="89">
        <v>2021</v>
      </c>
      <c r="B1151" s="90">
        <v>11</v>
      </c>
      <c r="C1151" s="90" t="s">
        <v>732</v>
      </c>
      <c r="D1151" s="90" t="s">
        <v>719</v>
      </c>
      <c r="E1151" s="91" t="s">
        <v>11</v>
      </c>
      <c r="F1151" s="92" t="s">
        <v>40</v>
      </c>
      <c r="G1151" s="93">
        <v>4092.3032958762301</v>
      </c>
      <c r="H1151" s="93">
        <v>61318.331608083703</v>
      </c>
      <c r="I1151" s="93">
        <v>2397.5457928860201</v>
      </c>
      <c r="J1151" s="93">
        <v>37460.534865581802</v>
      </c>
      <c r="K1151" s="93">
        <v>680.40986600336998</v>
      </c>
      <c r="L1151" s="93">
        <v>56162.996318537291</v>
      </c>
      <c r="M1151" s="93">
        <v>326305.0247013534</v>
      </c>
      <c r="N1151" s="95">
        <v>1.5148710181730996E-2</v>
      </c>
      <c r="O1151" s="95">
        <v>0.22698553044545139</v>
      </c>
      <c r="P1151" s="95">
        <v>0.61667727063630762</v>
      </c>
      <c r="Q1151" s="95">
        <v>0.13866977711626854</v>
      </c>
      <c r="R1151" s="96">
        <v>2.518711620241359E-3</v>
      </c>
    </row>
    <row r="1152" spans="1:18" ht="15" hidden="1" customHeight="1" x14ac:dyDescent="0.3">
      <c r="A1152" s="89">
        <v>2021</v>
      </c>
      <c r="B1152" s="90">
        <v>11</v>
      </c>
      <c r="C1152" s="90" t="s">
        <v>732</v>
      </c>
      <c r="D1152" s="90" t="s">
        <v>719</v>
      </c>
      <c r="E1152" s="91" t="s">
        <v>11</v>
      </c>
      <c r="F1152" s="92" t="s">
        <v>41</v>
      </c>
      <c r="G1152" s="93">
        <v>4642.1898447457197</v>
      </c>
      <c r="H1152" s="93">
        <v>5268.6889603722402</v>
      </c>
      <c r="I1152" s="93">
        <v>2397.5457928860201</v>
      </c>
      <c r="J1152" s="93">
        <v>1003.49893767616</v>
      </c>
      <c r="K1152" s="93">
        <v>75.796433984375</v>
      </c>
      <c r="L1152" s="93">
        <v>4834.2920593796098</v>
      </c>
      <c r="M1152" s="93">
        <v>18714.332738962945</v>
      </c>
      <c r="N1152" s="95">
        <v>0.33445073771102762</v>
      </c>
      <c r="O1152" s="95">
        <v>0.37958742931655448</v>
      </c>
      <c r="P1152" s="95">
        <v>0.2082030283279826</v>
      </c>
      <c r="Q1152" s="95">
        <v>7.2297982465731797E-2</v>
      </c>
      <c r="R1152" s="96">
        <v>5.4608221787034658E-3</v>
      </c>
    </row>
    <row r="1153" spans="1:18" ht="15" hidden="1" customHeight="1" x14ac:dyDescent="0.3">
      <c r="A1153" s="89">
        <v>2021</v>
      </c>
      <c r="B1153" s="90">
        <v>11</v>
      </c>
      <c r="C1153" s="90" t="s">
        <v>732</v>
      </c>
      <c r="D1153" s="90" t="s">
        <v>719</v>
      </c>
      <c r="E1153" s="91" t="s">
        <v>11</v>
      </c>
      <c r="F1153" s="92" t="s">
        <v>42</v>
      </c>
      <c r="G1153" s="93">
        <v>4596.2708343750201</v>
      </c>
      <c r="H1153" s="93">
        <v>15341.476805779699</v>
      </c>
      <c r="I1153" s="93">
        <v>2397.5457928860201</v>
      </c>
      <c r="J1153" s="93">
        <v>144503.821304365</v>
      </c>
      <c r="K1153" s="93">
        <v>26221.626843151</v>
      </c>
      <c r="L1153" s="93">
        <v>289288.52275421401</v>
      </c>
      <c r="M1153" s="93">
        <v>620824.33974999073</v>
      </c>
      <c r="N1153" s="95">
        <v>1.3863572497307491E-2</v>
      </c>
      <c r="O1153" s="95">
        <v>4.6273965041837777E-2</v>
      </c>
      <c r="P1153" s="95">
        <v>0.42490920735089233</v>
      </c>
      <c r="Q1153" s="95">
        <v>0.43586187041204594</v>
      </c>
      <c r="R1153" s="96">
        <v>7.9091384697916434E-2</v>
      </c>
    </row>
    <row r="1154" spans="1:18" ht="15" hidden="1" customHeight="1" x14ac:dyDescent="0.3">
      <c r="A1154" s="89">
        <v>2021</v>
      </c>
      <c r="B1154" s="90">
        <v>11</v>
      </c>
      <c r="C1154" s="90" t="s">
        <v>732</v>
      </c>
      <c r="D1154" s="90" t="s">
        <v>719</v>
      </c>
      <c r="E1154" s="91" t="s">
        <v>11</v>
      </c>
      <c r="F1154" s="92" t="s">
        <v>43</v>
      </c>
      <c r="G1154" s="93">
        <v>3202.7762153921599</v>
      </c>
      <c r="H1154" s="93">
        <v>26994.156959661301</v>
      </c>
      <c r="I1154" s="93">
        <v>2397.5457928860201</v>
      </c>
      <c r="J1154" s="93">
        <v>14348.8584652068</v>
      </c>
      <c r="K1154" s="93">
        <v>4456.6451597120104</v>
      </c>
      <c r="L1154" s="93">
        <v>116300.47209950337</v>
      </c>
      <c r="M1154" s="93">
        <v>185575.48510012357</v>
      </c>
      <c r="N1154" s="95">
        <v>4.623277682190384E-2</v>
      </c>
      <c r="O1154" s="95">
        <v>0.38966657370991237</v>
      </c>
      <c r="P1154" s="95">
        <v>0.29263908186442944</v>
      </c>
      <c r="Q1154" s="95">
        <v>0.20712891768173819</v>
      </c>
      <c r="R1154" s="96">
        <v>6.433264992201608E-2</v>
      </c>
    </row>
    <row r="1155" spans="1:18" ht="15" hidden="1" customHeight="1" x14ac:dyDescent="0.3">
      <c r="A1155" s="89">
        <v>2021</v>
      </c>
      <c r="B1155" s="90">
        <v>11</v>
      </c>
      <c r="C1155" s="90" t="s">
        <v>732</v>
      </c>
      <c r="D1155" s="90" t="s">
        <v>719</v>
      </c>
      <c r="E1155" s="91" t="s">
        <v>11</v>
      </c>
      <c r="F1155" s="92" t="s">
        <v>58</v>
      </c>
      <c r="G1155" s="93">
        <v>1008.56733430453</v>
      </c>
      <c r="H1155" s="93">
        <v>43954.952244046399</v>
      </c>
      <c r="I1155" s="93">
        <v>2397.5457928860201</v>
      </c>
      <c r="J1155" s="93">
        <v>57419.958658343203</v>
      </c>
      <c r="K1155" s="93">
        <v>1371.9161792677601</v>
      </c>
      <c r="L1155" s="93">
        <v>103240.7360021644</v>
      </c>
      <c r="M1155" s="93">
        <v>371477.12559240521</v>
      </c>
      <c r="N1155" s="95">
        <v>3.7599944431298909E-3</v>
      </c>
      <c r="O1155" s="95">
        <v>0.16386647729337614</v>
      </c>
      <c r="P1155" s="95">
        <v>0.61319418825141858</v>
      </c>
      <c r="Q1155" s="95">
        <v>0.21406476110887937</v>
      </c>
      <c r="R1155" s="96">
        <v>5.1145789031961904E-3</v>
      </c>
    </row>
    <row r="1156" spans="1:18" ht="15" hidden="1" customHeight="1" x14ac:dyDescent="0.3">
      <c r="A1156" s="89">
        <v>2021</v>
      </c>
      <c r="B1156" s="90">
        <v>11</v>
      </c>
      <c r="C1156" s="90" t="s">
        <v>732</v>
      </c>
      <c r="D1156" s="90" t="s">
        <v>719</v>
      </c>
      <c r="E1156" s="91" t="s">
        <v>11</v>
      </c>
      <c r="F1156" s="92" t="s">
        <v>44</v>
      </c>
      <c r="G1156" s="93">
        <v>1416.9571902175201</v>
      </c>
      <c r="H1156" s="93">
        <v>8719.67131804989</v>
      </c>
      <c r="I1156" s="93">
        <v>2397.5457928860201</v>
      </c>
      <c r="J1156" s="93">
        <v>30399.5624724878</v>
      </c>
      <c r="K1156" s="93">
        <v>536.99588231770804</v>
      </c>
      <c r="L1156" s="93">
        <v>136891.7809825766</v>
      </c>
      <c r="M1156" s="93">
        <v>215729.28855107853</v>
      </c>
      <c r="N1156" s="95">
        <v>1.797313529967098E-2</v>
      </c>
      <c r="O1156" s="95">
        <v>0.11060308204788648</v>
      </c>
      <c r="P1156" s="95">
        <v>0.47901464506111607</v>
      </c>
      <c r="Q1156" s="95">
        <v>0.3855977111665233</v>
      </c>
      <c r="R1156" s="96">
        <v>6.8114264248030952E-3</v>
      </c>
    </row>
    <row r="1157" spans="1:18" ht="15" hidden="1" customHeight="1" x14ac:dyDescent="0.3">
      <c r="A1157" s="89">
        <v>2021</v>
      </c>
      <c r="B1157" s="90">
        <v>11</v>
      </c>
      <c r="C1157" s="90" t="s">
        <v>732</v>
      </c>
      <c r="D1157" s="90" t="s">
        <v>719</v>
      </c>
      <c r="E1157" s="91" t="s">
        <v>11</v>
      </c>
      <c r="F1157" s="92" t="s">
        <v>51</v>
      </c>
      <c r="G1157" s="93">
        <v>4030.4650081816899</v>
      </c>
      <c r="H1157" s="93">
        <v>20116.192539688898</v>
      </c>
      <c r="I1157" s="93">
        <v>2397.5457928860201</v>
      </c>
      <c r="J1157" s="93">
        <v>83097.932487933998</v>
      </c>
      <c r="K1157" s="93">
        <v>5600.1456957705304</v>
      </c>
      <c r="L1157" s="93">
        <v>1817.8435672426399</v>
      </c>
      <c r="M1157" s="93">
        <v>211202.40923547378</v>
      </c>
      <c r="N1157" s="95">
        <v>1.9249102699231149E-2</v>
      </c>
      <c r="O1157" s="95">
        <v>9.6072948239952466E-2</v>
      </c>
      <c r="P1157" s="95">
        <v>0.46106469036319947</v>
      </c>
      <c r="Q1157" s="95">
        <v>0.3968675161071914</v>
      </c>
      <c r="R1157" s="96">
        <v>2.6745742590425385E-2</v>
      </c>
    </row>
    <row r="1158" spans="1:18" ht="15" hidden="1" customHeight="1" x14ac:dyDescent="0.3">
      <c r="A1158" s="89">
        <v>2021</v>
      </c>
      <c r="B1158" s="90">
        <v>11</v>
      </c>
      <c r="C1158" s="90" t="s">
        <v>732</v>
      </c>
      <c r="D1158" s="90" t="s">
        <v>719</v>
      </c>
      <c r="E1158" s="91" t="s">
        <v>11</v>
      </c>
      <c r="F1158" s="92" t="s">
        <v>45</v>
      </c>
      <c r="G1158" s="93">
        <v>2860.4735474402601</v>
      </c>
      <c r="H1158" s="93">
        <v>5236.1778059221897</v>
      </c>
      <c r="I1158" s="93">
        <v>2397.5457928860201</v>
      </c>
      <c r="J1158" s="93">
        <v>9078.4434757812305</v>
      </c>
      <c r="K1158" s="93">
        <v>2004.03438965992</v>
      </c>
      <c r="L1158" s="93">
        <v>104273.81295531261</v>
      </c>
      <c r="M1158" s="93">
        <v>134096.09203645831</v>
      </c>
      <c r="N1158" s="95">
        <v>9.5917335481201182E-2</v>
      </c>
      <c r="O1158" s="95">
        <v>0.17557939792846405</v>
      </c>
      <c r="P1158" s="95">
        <v>0.35688586487244472</v>
      </c>
      <c r="Q1158" s="95">
        <v>0.30441816505971947</v>
      </c>
      <c r="R1158" s="96">
        <v>6.7199236658170597E-2</v>
      </c>
    </row>
    <row r="1159" spans="1:18" ht="15" hidden="1" customHeight="1" x14ac:dyDescent="0.3">
      <c r="A1159" s="89">
        <v>2021</v>
      </c>
      <c r="B1159" s="90">
        <v>11</v>
      </c>
      <c r="C1159" s="90" t="s">
        <v>732</v>
      </c>
      <c r="D1159" s="90" t="s">
        <v>719</v>
      </c>
      <c r="E1159" s="91" t="s">
        <v>11</v>
      </c>
      <c r="F1159" s="92" t="s">
        <v>721</v>
      </c>
      <c r="G1159" s="93">
        <v>687.19024041973</v>
      </c>
      <c r="H1159" s="93">
        <v>12942.427196176401</v>
      </c>
      <c r="I1159" s="93">
        <v>2397.5457928860201</v>
      </c>
      <c r="J1159" s="93">
        <v>72782.2972355534</v>
      </c>
      <c r="K1159" s="93">
        <v>2894.6471368612001</v>
      </c>
      <c r="L1159" s="93">
        <v>64203.353077605592</v>
      </c>
      <c r="M1159" s="93">
        <v>309330.85090303828</v>
      </c>
      <c r="N1159" s="95">
        <v>2.8033992371966029E-3</v>
      </c>
      <c r="O1159" s="95">
        <v>5.2798757018249078E-2</v>
      </c>
      <c r="P1159" s="95">
        <v>0.63567301669023568</v>
      </c>
      <c r="Q1159" s="95">
        <v>0.29691608604182479</v>
      </c>
      <c r="R1159" s="96">
        <v>1.1808741012493915E-2</v>
      </c>
    </row>
    <row r="1160" spans="1:18" ht="15" hidden="1" customHeight="1" x14ac:dyDescent="0.3">
      <c r="A1160" s="89">
        <v>2021</v>
      </c>
      <c r="B1160" s="90">
        <v>11</v>
      </c>
      <c r="C1160" s="90" t="s">
        <v>732</v>
      </c>
      <c r="D1160" s="90" t="s">
        <v>719</v>
      </c>
      <c r="E1160" s="91" t="s">
        <v>11</v>
      </c>
      <c r="F1160" s="92" t="s">
        <v>46</v>
      </c>
      <c r="G1160" s="93">
        <v>5754.7486924463801</v>
      </c>
      <c r="H1160" s="93">
        <v>39576.3857648872</v>
      </c>
      <c r="I1160" s="93">
        <v>2397.5457928860201</v>
      </c>
      <c r="J1160" s="93">
        <v>26788.566923803501</v>
      </c>
      <c r="K1160" s="93">
        <v>9845.6092281280999</v>
      </c>
      <c r="L1160" s="93">
        <v>13104.5670755683</v>
      </c>
      <c r="M1160" s="93">
        <v>149075.0030083904</v>
      </c>
      <c r="N1160" s="95">
        <v>4.2323529030160546E-2</v>
      </c>
      <c r="O1160" s="95">
        <v>0.29106610928599519</v>
      </c>
      <c r="P1160" s="95">
        <v>0.39718285047080981</v>
      </c>
      <c r="Q1160" s="95">
        <v>0.19701758503619662</v>
      </c>
      <c r="R1160" s="96">
        <v>7.2409926176837794E-2</v>
      </c>
    </row>
    <row r="1161" spans="1:18" ht="15" hidden="1" customHeight="1" x14ac:dyDescent="0.3">
      <c r="A1161" s="89">
        <v>2021</v>
      </c>
      <c r="B1161" s="90">
        <v>11</v>
      </c>
      <c r="C1161" s="90" t="s">
        <v>732</v>
      </c>
      <c r="D1161" s="90" t="s">
        <v>719</v>
      </c>
      <c r="E1161" s="91" t="s">
        <v>11</v>
      </c>
      <c r="F1161" s="92" t="s">
        <v>47</v>
      </c>
      <c r="G1161" s="93">
        <v>56868.941521787303</v>
      </c>
      <c r="H1161" s="93">
        <v>575441.22054723604</v>
      </c>
      <c r="I1161" s="93">
        <v>2397.5457928860201</v>
      </c>
      <c r="J1161" s="93">
        <v>75788.127955068601</v>
      </c>
      <c r="K1161" s="93">
        <v>12177.9404635216</v>
      </c>
      <c r="L1161" s="93">
        <v>329984.018228003</v>
      </c>
      <c r="M1161" s="93">
        <v>1461770.3581409336</v>
      </c>
      <c r="N1161" s="95">
        <v>5.0247064765035321E-2</v>
      </c>
      <c r="O1161" s="95">
        <v>0.50843626597534775</v>
      </c>
      <c r="P1161" s="95">
        <v>0.36359345833505541</v>
      </c>
      <c r="Q1161" s="95">
        <v>6.6963282098721086E-2</v>
      </c>
      <c r="R1161" s="96">
        <v>1.075992882584045E-2</v>
      </c>
    </row>
    <row r="1162" spans="1:18" ht="15" hidden="1" customHeight="1" x14ac:dyDescent="0.3">
      <c r="A1162" s="89">
        <v>2021</v>
      </c>
      <c r="B1162" s="90">
        <v>11</v>
      </c>
      <c r="C1162" s="90" t="s">
        <v>732</v>
      </c>
      <c r="D1162" s="90" t="s">
        <v>719</v>
      </c>
      <c r="E1162" s="91" t="s">
        <v>11</v>
      </c>
      <c r="F1162" s="92" t="s">
        <v>48</v>
      </c>
      <c r="G1162" s="93">
        <v>847.21726837928895</v>
      </c>
      <c r="H1162" s="93">
        <v>2729.81770049939</v>
      </c>
      <c r="I1162" s="93">
        <v>2397.5457928860201</v>
      </c>
      <c r="J1162" s="93">
        <v>23092.214754198601</v>
      </c>
      <c r="K1162" s="93">
        <v>1501.50713771905</v>
      </c>
      <c r="L1162" s="93">
        <v>60316.997869493956</v>
      </c>
      <c r="M1162" s="93">
        <v>110314.39779994119</v>
      </c>
      <c r="N1162" s="95">
        <v>1.6945226542937761E-2</v>
      </c>
      <c r="O1162" s="95">
        <v>5.4599193243986995E-2</v>
      </c>
      <c r="P1162" s="95">
        <v>0.43655556288956132</v>
      </c>
      <c r="Q1162" s="95">
        <v>0.46186831287872621</v>
      </c>
      <c r="R1162" s="96">
        <v>3.0031704444787897E-2</v>
      </c>
    </row>
    <row r="1163" spans="1:18" ht="15" hidden="1" customHeight="1" x14ac:dyDescent="0.3">
      <c r="A1163" s="89">
        <v>2021</v>
      </c>
      <c r="B1163" s="90">
        <v>11</v>
      </c>
      <c r="C1163" s="90" t="s">
        <v>732</v>
      </c>
      <c r="D1163" s="90" t="s">
        <v>722</v>
      </c>
      <c r="E1163" s="91" t="s">
        <v>11</v>
      </c>
      <c r="F1163" s="92" t="s">
        <v>12</v>
      </c>
      <c r="G1163" s="93">
        <v>10344.581353523299</v>
      </c>
      <c r="H1163" s="93">
        <v>49812.830082314402</v>
      </c>
      <c r="I1163" s="93">
        <v>2397.5457928860201</v>
      </c>
      <c r="J1163" s="93">
        <v>145386.77816357001</v>
      </c>
      <c r="K1163" s="93">
        <v>13248.2143472059</v>
      </c>
      <c r="L1163" s="93">
        <v>91199.679787083296</v>
      </c>
      <c r="M1163" s="93">
        <v>433311.47680229385</v>
      </c>
      <c r="N1163" s="95">
        <v>3.023742952969076E-2</v>
      </c>
      <c r="O1163" s="95">
        <v>0.1456039532015895</v>
      </c>
      <c r="P1163" s="95">
        <v>0.36046518753375267</v>
      </c>
      <c r="Q1163" s="95">
        <v>0.4249686197085627</v>
      </c>
      <c r="R1163" s="96">
        <v>3.8724810026404537E-2</v>
      </c>
    </row>
    <row r="1164" spans="1:18" ht="15" hidden="1" customHeight="1" x14ac:dyDescent="0.3">
      <c r="A1164" s="89">
        <v>2021</v>
      </c>
      <c r="B1164" s="90">
        <v>11</v>
      </c>
      <c r="C1164" s="90" t="s">
        <v>732</v>
      </c>
      <c r="D1164" s="90" t="s">
        <v>722</v>
      </c>
      <c r="E1164" s="91" t="s">
        <v>11</v>
      </c>
      <c r="F1164" s="92" t="s">
        <v>26</v>
      </c>
      <c r="G1164" s="93">
        <v>41585.717092900399</v>
      </c>
      <c r="H1164" s="93">
        <v>116907.11099802201</v>
      </c>
      <c r="I1164" s="93">
        <v>2397.5457928860201</v>
      </c>
      <c r="J1164" s="93">
        <v>317268.30463038699</v>
      </c>
      <c r="K1164" s="93">
        <v>11692.845324776299</v>
      </c>
      <c r="L1164" s="93">
        <v>324843.80524281779</v>
      </c>
      <c r="M1164" s="93">
        <v>1302393.3163907356</v>
      </c>
      <c r="N1164" s="95">
        <v>4.2540778363304672E-2</v>
      </c>
      <c r="O1164" s="95">
        <v>0.11959201008728471</v>
      </c>
      <c r="P1164" s="95">
        <v>0.50135111062182647</v>
      </c>
      <c r="Q1164" s="95">
        <v>0.32455471667908142</v>
      </c>
      <c r="R1164" s="96">
        <v>1.1961384248502783E-2</v>
      </c>
    </row>
    <row r="1165" spans="1:18" ht="15" hidden="1" customHeight="1" x14ac:dyDescent="0.3">
      <c r="A1165" s="89">
        <v>2021</v>
      </c>
      <c r="B1165" s="90">
        <v>11</v>
      </c>
      <c r="C1165" s="90" t="s">
        <v>732</v>
      </c>
      <c r="D1165" s="90" t="s">
        <v>722</v>
      </c>
      <c r="E1165" s="91" t="s">
        <v>11</v>
      </c>
      <c r="F1165" s="92" t="s">
        <v>27</v>
      </c>
      <c r="G1165" s="93">
        <v>70.297083203124998</v>
      </c>
      <c r="H1165" s="93">
        <v>1099.8581945818</v>
      </c>
      <c r="I1165" s="93">
        <v>2397.5457928860201</v>
      </c>
      <c r="J1165" s="93">
        <v>109060.245189026</v>
      </c>
      <c r="K1165" s="93">
        <v>62567.883366700902</v>
      </c>
      <c r="L1165" s="93">
        <v>15996.926841813611</v>
      </c>
      <c r="M1165" s="93">
        <v>226689.61699930043</v>
      </c>
      <c r="N1165" s="95">
        <v>3.3364747087608933E-4</v>
      </c>
      <c r="O1165" s="95">
        <v>5.2202010129525E-3</v>
      </c>
      <c r="P1165" s="95">
        <v>0.17985629352233343</v>
      </c>
      <c r="Q1165" s="95">
        <v>0.51762709521391825</v>
      </c>
      <c r="R1165" s="96">
        <v>0.29696276277991979</v>
      </c>
    </row>
    <row r="1166" spans="1:18" ht="15" hidden="1" customHeight="1" x14ac:dyDescent="0.3">
      <c r="A1166" s="89">
        <v>2021</v>
      </c>
      <c r="B1166" s="90">
        <v>11</v>
      </c>
      <c r="C1166" s="90" t="s">
        <v>732</v>
      </c>
      <c r="D1166" s="90" t="s">
        <v>722</v>
      </c>
      <c r="E1166" s="91" t="s">
        <v>11</v>
      </c>
      <c r="F1166" s="92" t="s">
        <v>28</v>
      </c>
      <c r="G1166" s="93">
        <v>2087.22762376532</v>
      </c>
      <c r="H1166" s="93">
        <v>4415.0110366896397</v>
      </c>
      <c r="I1166" s="93">
        <v>2397.5457928860201</v>
      </c>
      <c r="J1166" s="93">
        <v>239454.64091950801</v>
      </c>
      <c r="K1166" s="93">
        <v>103473.564371641</v>
      </c>
      <c r="L1166" s="93">
        <v>4468.7995862775606</v>
      </c>
      <c r="M1166" s="93">
        <v>373104.5810149404</v>
      </c>
      <c r="N1166" s="95">
        <v>5.6620320894411966E-3</v>
      </c>
      <c r="O1166" s="95">
        <v>1.1976620987737779E-2</v>
      </c>
      <c r="P1166" s="95">
        <v>5.2098408360218972E-2</v>
      </c>
      <c r="Q1166" s="95">
        <v>0.64956971890111126</v>
      </c>
      <c r="R1166" s="96">
        <v>0.28069321966149091</v>
      </c>
    </row>
    <row r="1167" spans="1:18" ht="15" customHeight="1" x14ac:dyDescent="0.3">
      <c r="A1167" s="89">
        <v>2021</v>
      </c>
      <c r="B1167" s="90">
        <v>11</v>
      </c>
      <c r="C1167" s="90" t="s">
        <v>732</v>
      </c>
      <c r="D1167" s="90" t="s">
        <v>722</v>
      </c>
      <c r="E1167" s="91" t="s">
        <v>11</v>
      </c>
      <c r="F1167" s="92" t="s">
        <v>29</v>
      </c>
      <c r="G1167" s="93">
        <v>10923.111637620899</v>
      </c>
      <c r="H1167" s="93">
        <v>62055.337817009</v>
      </c>
      <c r="I1167" s="93">
        <v>2397.5457928860201</v>
      </c>
      <c r="J1167" s="93">
        <v>52141.316470793303</v>
      </c>
      <c r="K1167" s="93">
        <v>2498.0807831617599</v>
      </c>
      <c r="L1167" s="93">
        <v>95656.313269347505</v>
      </c>
      <c r="M1167" s="93">
        <v>354392.05486976146</v>
      </c>
      <c r="N1167" s="95">
        <v>4.2217250581832337E-2</v>
      </c>
      <c r="O1167" s="95">
        <v>0.2398406089284949</v>
      </c>
      <c r="P1167" s="95">
        <v>0.50676375084786196</v>
      </c>
      <c r="Q1167" s="95">
        <v>0.20152343912082796</v>
      </c>
      <c r="R1167" s="96">
        <v>9.6549505209826917E-3</v>
      </c>
    </row>
    <row r="1168" spans="1:18" ht="15" hidden="1" customHeight="1" x14ac:dyDescent="0.3">
      <c r="A1168" s="89">
        <v>2021</v>
      </c>
      <c r="B1168" s="90">
        <v>11</v>
      </c>
      <c r="C1168" s="90" t="s">
        <v>732</v>
      </c>
      <c r="D1168" s="90" t="s">
        <v>722</v>
      </c>
      <c r="E1168" s="91" t="s">
        <v>11</v>
      </c>
      <c r="F1168" s="92" t="s">
        <v>30</v>
      </c>
      <c r="G1168" s="93">
        <v>150.95478711397001</v>
      </c>
      <c r="H1168" s="93">
        <v>1273.3539236182601</v>
      </c>
      <c r="I1168" s="93">
        <v>2397.5457928860201</v>
      </c>
      <c r="J1168" s="93">
        <v>5369.3577905974398</v>
      </c>
      <c r="K1168" s="93">
        <v>1117.2296382245599</v>
      </c>
      <c r="L1168" s="93">
        <v>216384.68101163869</v>
      </c>
      <c r="M1168" s="93">
        <v>230086.50016211663</v>
      </c>
      <c r="N1168" s="95">
        <v>1.1017134692564132E-2</v>
      </c>
      <c r="O1168" s="95">
        <v>9.2933201762033513E-2</v>
      </c>
      <c r="P1168" s="95">
        <v>0.42263899029215457</v>
      </c>
      <c r="Q1168" s="95">
        <v>0.39187189172688452</v>
      </c>
      <c r="R1168" s="96">
        <v>8.1538781526363249E-2</v>
      </c>
    </row>
    <row r="1169" spans="1:18" ht="15" hidden="1" customHeight="1" x14ac:dyDescent="0.3">
      <c r="A1169" s="89">
        <v>2021</v>
      </c>
      <c r="B1169" s="90">
        <v>11</v>
      </c>
      <c r="C1169" s="90" t="s">
        <v>732</v>
      </c>
      <c r="D1169" s="90" t="s">
        <v>722</v>
      </c>
      <c r="E1169" s="91" t="s">
        <v>11</v>
      </c>
      <c r="F1169" s="92" t="s">
        <v>31</v>
      </c>
      <c r="G1169" s="93">
        <v>1223.9573296415399</v>
      </c>
      <c r="H1169" s="93">
        <v>35558.889717443897</v>
      </c>
      <c r="I1169" s="93">
        <v>2397.5457928860201</v>
      </c>
      <c r="J1169" s="93">
        <v>69958.572074227995</v>
      </c>
      <c r="K1169" s="93">
        <v>28035.074235661799</v>
      </c>
      <c r="L1169" s="93">
        <v>44190.151761618086</v>
      </c>
      <c r="M1169" s="93">
        <v>251948.68865991832</v>
      </c>
      <c r="N1169" s="95">
        <v>5.8912492738658366E-3</v>
      </c>
      <c r="O1169" s="95">
        <v>0.17115489090515837</v>
      </c>
      <c r="P1169" s="95">
        <v>0.35128300685449282</v>
      </c>
      <c r="Q1169" s="95">
        <v>0.33673019226388456</v>
      </c>
      <c r="R1169" s="96">
        <v>0.13494066070259839</v>
      </c>
    </row>
    <row r="1170" spans="1:18" ht="15" hidden="1" customHeight="1" x14ac:dyDescent="0.3">
      <c r="A1170" s="89">
        <v>2021</v>
      </c>
      <c r="B1170" s="90">
        <v>11</v>
      </c>
      <c r="C1170" s="90" t="s">
        <v>732</v>
      </c>
      <c r="D1170" s="90" t="s">
        <v>722</v>
      </c>
      <c r="E1170" s="91" t="s">
        <v>11</v>
      </c>
      <c r="F1170" s="92" t="s">
        <v>32</v>
      </c>
      <c r="G1170" s="93">
        <v>3907.8202254763901</v>
      </c>
      <c r="H1170" s="93">
        <v>42702.0067470699</v>
      </c>
      <c r="I1170" s="93">
        <v>2397.5457928860201</v>
      </c>
      <c r="J1170" s="93">
        <v>286655.48467239499</v>
      </c>
      <c r="K1170" s="93">
        <v>48757.290119383098</v>
      </c>
      <c r="L1170" s="93">
        <v>29053.438749413788</v>
      </c>
      <c r="M1170" s="93">
        <v>609521.81280336226</v>
      </c>
      <c r="N1170" s="95">
        <v>6.7321845601758818E-3</v>
      </c>
      <c r="O1170" s="95">
        <v>7.3564742983053877E-2</v>
      </c>
      <c r="P1170" s="95">
        <v>0.3418718075951207</v>
      </c>
      <c r="Q1170" s="95">
        <v>0.49383480217951264</v>
      </c>
      <c r="R1170" s="96">
        <v>8.3996462682136785E-2</v>
      </c>
    </row>
    <row r="1171" spans="1:18" ht="15" hidden="1" customHeight="1" x14ac:dyDescent="0.3">
      <c r="A1171" s="89">
        <v>2021</v>
      </c>
      <c r="B1171" s="90">
        <v>11</v>
      </c>
      <c r="C1171" s="90" t="s">
        <v>732</v>
      </c>
      <c r="D1171" s="90" t="s">
        <v>722</v>
      </c>
      <c r="E1171" s="91" t="s">
        <v>11</v>
      </c>
      <c r="F1171" s="92" t="s">
        <v>33</v>
      </c>
      <c r="G1171" s="93">
        <v>17448.559233563101</v>
      </c>
      <c r="H1171" s="93">
        <v>87117.942139106002</v>
      </c>
      <c r="I1171" s="93">
        <v>2397.5457928860201</v>
      </c>
      <c r="J1171" s="93">
        <v>535529.76763102505</v>
      </c>
      <c r="K1171" s="93">
        <v>58769.962598212202</v>
      </c>
      <c r="L1171" s="93">
        <v>44939.264622257906</v>
      </c>
      <c r="M1171" s="93">
        <v>1352056.7882566121</v>
      </c>
      <c r="N1171" s="95">
        <v>1.3348883262653023E-2</v>
      </c>
      <c r="O1171" s="95">
        <v>6.6648897718760813E-2</v>
      </c>
      <c r="P1171" s="95">
        <v>0.46533787592507003</v>
      </c>
      <c r="Q1171" s="95">
        <v>0.40970284457821338</v>
      </c>
      <c r="R1171" s="96">
        <v>4.4961498515302727E-2</v>
      </c>
    </row>
    <row r="1172" spans="1:18" ht="15" hidden="1" customHeight="1" x14ac:dyDescent="0.3">
      <c r="A1172" s="89">
        <v>2021</v>
      </c>
      <c r="B1172" s="90">
        <v>11</v>
      </c>
      <c r="C1172" s="90" t="s">
        <v>732</v>
      </c>
      <c r="D1172" s="90" t="s">
        <v>722</v>
      </c>
      <c r="E1172" s="91" t="s">
        <v>11</v>
      </c>
      <c r="F1172" s="92" t="s">
        <v>34</v>
      </c>
      <c r="G1172" s="93">
        <v>8895.0457339751702</v>
      </c>
      <c r="H1172" s="93">
        <v>61696.522728260003</v>
      </c>
      <c r="I1172" s="93">
        <v>2397.5457928860201</v>
      </c>
      <c r="J1172" s="93">
        <v>275868.13820549101</v>
      </c>
      <c r="K1172" s="93">
        <v>39971.113183052999</v>
      </c>
      <c r="L1172" s="93">
        <v>63206.904622148708</v>
      </c>
      <c r="M1172" s="93">
        <v>713628.8304200538</v>
      </c>
      <c r="N1172" s="95">
        <v>1.3675808550062597E-2</v>
      </c>
      <c r="O1172" s="95">
        <v>9.4856154568549941E-2</v>
      </c>
      <c r="P1172" s="95">
        <v>0.40587670168602469</v>
      </c>
      <c r="Q1172" s="95">
        <v>0.42413720581001291</v>
      </c>
      <c r="R1172" s="96">
        <v>6.145412938535004E-2</v>
      </c>
    </row>
    <row r="1173" spans="1:18" ht="15" hidden="1" customHeight="1" x14ac:dyDescent="0.3">
      <c r="A1173" s="89">
        <v>2021</v>
      </c>
      <c r="B1173" s="90">
        <v>11</v>
      </c>
      <c r="C1173" s="90" t="s">
        <v>732</v>
      </c>
      <c r="D1173" s="90" t="s">
        <v>722</v>
      </c>
      <c r="E1173" s="91" t="s">
        <v>11</v>
      </c>
      <c r="F1173" s="92" t="s">
        <v>35</v>
      </c>
      <c r="G1173" s="93">
        <v>10973.196669770299</v>
      </c>
      <c r="H1173" s="93">
        <v>63950.2090571917</v>
      </c>
      <c r="I1173" s="93">
        <v>2397.5457928860201</v>
      </c>
      <c r="J1173" s="93">
        <v>142432.68570157501</v>
      </c>
      <c r="K1173" s="93">
        <v>44806.081437152701</v>
      </c>
      <c r="L1173" s="93">
        <v>279602.88988603343</v>
      </c>
      <c r="M1173" s="93">
        <v>605861.19629491935</v>
      </c>
      <c r="N1173" s="95">
        <v>3.3633462977699785E-2</v>
      </c>
      <c r="O1173" s="95">
        <v>0.19601097596897826</v>
      </c>
      <c r="P1173" s="95">
        <v>0.19645824269947407</v>
      </c>
      <c r="Q1173" s="95">
        <v>0.436564166807971</v>
      </c>
      <c r="R1173" s="96">
        <v>0.13733315154587697</v>
      </c>
    </row>
    <row r="1174" spans="1:18" ht="15" hidden="1" customHeight="1" x14ac:dyDescent="0.3">
      <c r="A1174" s="89">
        <v>2021</v>
      </c>
      <c r="B1174" s="90">
        <v>11</v>
      </c>
      <c r="C1174" s="90" t="s">
        <v>732</v>
      </c>
      <c r="D1174" s="90" t="s">
        <v>722</v>
      </c>
      <c r="E1174" s="91" t="s">
        <v>11</v>
      </c>
      <c r="F1174" s="92" t="s">
        <v>36</v>
      </c>
      <c r="G1174" s="93">
        <v>1162.1830985677</v>
      </c>
      <c r="H1174" s="93">
        <v>25285.112282923001</v>
      </c>
      <c r="I1174" s="93">
        <v>2397.5457928860201</v>
      </c>
      <c r="J1174" s="93">
        <v>72077.147323630299</v>
      </c>
      <c r="K1174" s="93">
        <v>623.290044479166</v>
      </c>
      <c r="L1174" s="93">
        <v>46932.530385879494</v>
      </c>
      <c r="M1174" s="93">
        <v>258886.87145458267</v>
      </c>
      <c r="N1174" s="95">
        <v>5.4831766724277109E-3</v>
      </c>
      <c r="O1174" s="95">
        <v>0.11929509042104049</v>
      </c>
      <c r="P1174" s="95">
        <v>0.53222126874267561</v>
      </c>
      <c r="Q1174" s="95">
        <v>0.34005978344301574</v>
      </c>
      <c r="R1174" s="96">
        <v>2.9406807208403997E-3</v>
      </c>
    </row>
    <row r="1175" spans="1:18" ht="15" hidden="1" customHeight="1" x14ac:dyDescent="0.3">
      <c r="A1175" s="89">
        <v>2021</v>
      </c>
      <c r="B1175" s="90">
        <v>11</v>
      </c>
      <c r="C1175" s="90" t="s">
        <v>732</v>
      </c>
      <c r="D1175" s="90" t="s">
        <v>722</v>
      </c>
      <c r="E1175" s="91" t="s">
        <v>11</v>
      </c>
      <c r="F1175" s="92" t="s">
        <v>37</v>
      </c>
      <c r="G1175" s="93">
        <v>14667.7372099678</v>
      </c>
      <c r="H1175" s="93">
        <v>97750.613523511798</v>
      </c>
      <c r="I1175" s="93">
        <v>2397.5457928860201</v>
      </c>
      <c r="J1175" s="93">
        <v>78573.059865849194</v>
      </c>
      <c r="K1175" s="93">
        <v>4782.3421552282598</v>
      </c>
      <c r="L1175" s="93">
        <v>195725.37103223661</v>
      </c>
      <c r="M1175" s="93">
        <v>524073.85777630768</v>
      </c>
      <c r="N1175" s="95">
        <v>4.4671249608652729E-2</v>
      </c>
      <c r="O1175" s="95">
        <v>0.29770386485655659</v>
      </c>
      <c r="P1175" s="95">
        <v>0.40376228105734641</v>
      </c>
      <c r="Q1175" s="95">
        <v>0.23929776757915264</v>
      </c>
      <c r="R1175" s="96">
        <v>1.4564836898291611E-2</v>
      </c>
    </row>
    <row r="1176" spans="1:18" ht="15" hidden="1" customHeight="1" x14ac:dyDescent="0.3">
      <c r="A1176" s="89">
        <v>2021</v>
      </c>
      <c r="B1176" s="90">
        <v>11</v>
      </c>
      <c r="C1176" s="90" t="s">
        <v>732</v>
      </c>
      <c r="D1176" s="90" t="s">
        <v>722</v>
      </c>
      <c r="E1176" s="91" t="s">
        <v>11</v>
      </c>
      <c r="F1176" s="92" t="s">
        <v>720</v>
      </c>
      <c r="G1176" s="93">
        <v>33650.511264670698</v>
      </c>
      <c r="H1176" s="93">
        <v>67195.150619584005</v>
      </c>
      <c r="I1176" s="93">
        <v>2397.5457928860201</v>
      </c>
      <c r="J1176" s="93">
        <v>426504.02200684801</v>
      </c>
      <c r="K1176" s="93">
        <v>36259.474328319498</v>
      </c>
      <c r="L1176" s="93">
        <v>169363.9829990695</v>
      </c>
      <c r="M1176" s="93">
        <v>927958.42268835369</v>
      </c>
      <c r="N1176" s="95">
        <v>4.4359027042768395E-2</v>
      </c>
      <c r="O1176" s="95">
        <v>8.857849082983886E-2</v>
      </c>
      <c r="P1176" s="95">
        <v>0.25703494682840916</v>
      </c>
      <c r="Q1176" s="95">
        <v>0.56222930157719264</v>
      </c>
      <c r="R1176" s="96">
        <v>4.7798233721791004E-2</v>
      </c>
    </row>
    <row r="1177" spans="1:18" ht="15" hidden="1" customHeight="1" x14ac:dyDescent="0.3">
      <c r="A1177" s="89">
        <v>2021</v>
      </c>
      <c r="B1177" s="90">
        <v>11</v>
      </c>
      <c r="C1177" s="90" t="s">
        <v>732</v>
      </c>
      <c r="D1177" s="90" t="s">
        <v>722</v>
      </c>
      <c r="E1177" s="91" t="s">
        <v>11</v>
      </c>
      <c r="F1177" s="92" t="s">
        <v>39</v>
      </c>
      <c r="G1177" s="93">
        <v>1719.77617133578</v>
      </c>
      <c r="H1177" s="93">
        <v>7845.8357246201704</v>
      </c>
      <c r="I1177" s="93">
        <v>2397.5457928860201</v>
      </c>
      <c r="J1177" s="93">
        <v>163171.85677701799</v>
      </c>
      <c r="K1177" s="93">
        <v>81341.549234302103</v>
      </c>
      <c r="L1177" s="93">
        <v>27125.881472585832</v>
      </c>
      <c r="M1177" s="93">
        <v>331195.16650096211</v>
      </c>
      <c r="N1177" s="95">
        <v>5.6558694219157567E-3</v>
      </c>
      <c r="O1177" s="95">
        <v>2.580278940008026E-2</v>
      </c>
      <c r="P1177" s="95">
        <v>0.16440419859057789</v>
      </c>
      <c r="Q1177" s="95">
        <v>0.53662722547524166</v>
      </c>
      <c r="R1177" s="96">
        <v>0.26750991711218436</v>
      </c>
    </row>
    <row r="1178" spans="1:18" ht="15" hidden="1" customHeight="1" x14ac:dyDescent="0.3">
      <c r="A1178" s="89">
        <v>2021</v>
      </c>
      <c r="B1178" s="90">
        <v>11</v>
      </c>
      <c r="C1178" s="90" t="s">
        <v>732</v>
      </c>
      <c r="D1178" s="90" t="s">
        <v>722</v>
      </c>
      <c r="E1178" s="91" t="s">
        <v>11</v>
      </c>
      <c r="F1178" s="92" t="s">
        <v>40</v>
      </c>
      <c r="G1178" s="93">
        <v>4260.2734056204099</v>
      </c>
      <c r="H1178" s="93">
        <v>46296.356929196001</v>
      </c>
      <c r="I1178" s="93">
        <v>2397.5457928860201</v>
      </c>
      <c r="J1178" s="93">
        <v>88696.206348706299</v>
      </c>
      <c r="K1178" s="93">
        <v>4883.5907371170197</v>
      </c>
      <c r="L1178" s="93">
        <v>15177.42557039665</v>
      </c>
      <c r="M1178" s="93">
        <v>326305.02470135037</v>
      </c>
      <c r="N1178" s="95">
        <v>1.3693010255343047E-2</v>
      </c>
      <c r="O1178" s="95">
        <v>0.14880183261951585</v>
      </c>
      <c r="P1178" s="95">
        <v>0.53672889250827072</v>
      </c>
      <c r="Q1178" s="95">
        <v>0.28507984054276725</v>
      </c>
      <c r="R1178" s="96">
        <v>1.5696424074103162E-2</v>
      </c>
    </row>
    <row r="1179" spans="1:18" ht="15" hidden="1" customHeight="1" x14ac:dyDescent="0.3">
      <c r="A1179" s="89">
        <v>2021</v>
      </c>
      <c r="B1179" s="90">
        <v>11</v>
      </c>
      <c r="C1179" s="90" t="s">
        <v>732</v>
      </c>
      <c r="D1179" s="90" t="s">
        <v>722</v>
      </c>
      <c r="E1179" s="91" t="s">
        <v>11</v>
      </c>
      <c r="F1179" s="92" t="s">
        <v>41</v>
      </c>
      <c r="G1179" s="93">
        <v>3375.8961073023802</v>
      </c>
      <c r="H1179" s="93">
        <v>4540.1622381985198</v>
      </c>
      <c r="I1179" s="93">
        <v>2397.5457928860201</v>
      </c>
      <c r="J1179" s="93">
        <v>1321.84204566636</v>
      </c>
      <c r="K1179" s="93">
        <v>66.086017968749999</v>
      </c>
      <c r="L1179" s="93">
        <v>5711.4696216222801</v>
      </c>
      <c r="M1179" s="93">
        <v>18714.332738962941</v>
      </c>
      <c r="N1179" s="95">
        <v>0.2596271357190767</v>
      </c>
      <c r="O1179" s="95">
        <v>0.34916634876696845</v>
      </c>
      <c r="P1179" s="95">
        <v>0.28446632674859246</v>
      </c>
      <c r="Q1179" s="95">
        <v>0.10165776827286194</v>
      </c>
      <c r="R1179" s="96">
        <v>5.0824204925004144E-3</v>
      </c>
    </row>
    <row r="1180" spans="1:18" ht="15" hidden="1" customHeight="1" x14ac:dyDescent="0.3">
      <c r="A1180" s="89">
        <v>2021</v>
      </c>
      <c r="B1180" s="90">
        <v>11</v>
      </c>
      <c r="C1180" s="90" t="s">
        <v>732</v>
      </c>
      <c r="D1180" s="90" t="s">
        <v>722</v>
      </c>
      <c r="E1180" s="91" t="s">
        <v>11</v>
      </c>
      <c r="F1180" s="92" t="s">
        <v>42</v>
      </c>
      <c r="G1180" s="93">
        <v>7123.79570767316</v>
      </c>
      <c r="H1180" s="93">
        <v>9922.5011797151292</v>
      </c>
      <c r="I1180" s="93">
        <v>2397.5457928860201</v>
      </c>
      <c r="J1180" s="93">
        <v>218822.15296712</v>
      </c>
      <c r="K1180" s="93">
        <v>264189.64745225903</v>
      </c>
      <c r="L1180" s="93">
        <v>38947.318534358303</v>
      </c>
      <c r="M1180" s="93">
        <v>620824.33975002274</v>
      </c>
      <c r="N1180" s="95">
        <v>1.2242785757014499E-2</v>
      </c>
      <c r="O1180" s="95">
        <v>1.7052574372132655E-2</v>
      </c>
      <c r="P1180" s="95">
        <v>0.14061205534110974</v>
      </c>
      <c r="Q1180" s="95">
        <v>0.37606254412651341</v>
      </c>
      <c r="R1180" s="96">
        <v>0.45403004040322964</v>
      </c>
    </row>
    <row r="1181" spans="1:18" ht="15" hidden="1" customHeight="1" x14ac:dyDescent="0.3">
      <c r="A1181" s="89">
        <v>2021</v>
      </c>
      <c r="B1181" s="90">
        <v>11</v>
      </c>
      <c r="C1181" s="90" t="s">
        <v>732</v>
      </c>
      <c r="D1181" s="90" t="s">
        <v>722</v>
      </c>
      <c r="E1181" s="91" t="s">
        <v>11</v>
      </c>
      <c r="F1181" s="92" t="s">
        <v>43</v>
      </c>
      <c r="G1181" s="93">
        <v>1883.21810858149</v>
      </c>
      <c r="H1181" s="93">
        <v>16910.340425121001</v>
      </c>
      <c r="I1181" s="93">
        <v>2397.5457928860201</v>
      </c>
      <c r="J1181" s="93">
        <v>19292.968399364199</v>
      </c>
      <c r="K1181" s="93">
        <v>9796.5239443689297</v>
      </c>
      <c r="L1181" s="93">
        <v>116639.87898713262</v>
      </c>
      <c r="M1181" s="93">
        <v>185575.48510012275</v>
      </c>
      <c r="N1181" s="95">
        <v>2.7318510923002085E-2</v>
      </c>
      <c r="O1181" s="95">
        <v>0.24530632830592378</v>
      </c>
      <c r="P1181" s="95">
        <v>0.30539450398170054</v>
      </c>
      <c r="Q1181" s="95">
        <v>0.27986942433989365</v>
      </c>
      <c r="R1181" s="96">
        <v>0.14211123244947996</v>
      </c>
    </row>
    <row r="1182" spans="1:18" ht="15" hidden="1" customHeight="1" x14ac:dyDescent="0.3">
      <c r="A1182" s="89">
        <v>2021</v>
      </c>
      <c r="B1182" s="90">
        <v>11</v>
      </c>
      <c r="C1182" s="90" t="s">
        <v>732</v>
      </c>
      <c r="D1182" s="90" t="s">
        <v>722</v>
      </c>
      <c r="E1182" s="91" t="s">
        <v>11</v>
      </c>
      <c r="F1182" s="92" t="s">
        <v>58</v>
      </c>
      <c r="G1182" s="93">
        <v>364.16326801011002</v>
      </c>
      <c r="H1182" s="93">
        <v>3860.1956710248101</v>
      </c>
      <c r="I1182" s="93">
        <v>2397.5457928860201</v>
      </c>
      <c r="J1182" s="93">
        <v>248385.63205950701</v>
      </c>
      <c r="K1182" s="93">
        <v>36529.655686730301</v>
      </c>
      <c r="L1182" s="93">
        <v>5124.2104814184959</v>
      </c>
      <c r="M1182" s="93">
        <v>371477.12559243367</v>
      </c>
      <c r="N1182" s="95">
        <v>9.9402312084717094E-4</v>
      </c>
      <c r="O1182" s="95">
        <v>1.0536822587736371E-2</v>
      </c>
      <c r="P1182" s="95">
        <v>0.21076198725577278</v>
      </c>
      <c r="Q1182" s="95">
        <v>0.67799551147078818</v>
      </c>
      <c r="R1182" s="96">
        <v>9.971165556485552E-2</v>
      </c>
    </row>
    <row r="1183" spans="1:18" ht="15" hidden="1" customHeight="1" x14ac:dyDescent="0.3">
      <c r="A1183" s="89">
        <v>2021</v>
      </c>
      <c r="B1183" s="90">
        <v>11</v>
      </c>
      <c r="C1183" s="90" t="s">
        <v>732</v>
      </c>
      <c r="D1183" s="90" t="s">
        <v>722</v>
      </c>
      <c r="E1183" s="91" t="s">
        <v>11</v>
      </c>
      <c r="F1183" s="92" t="s">
        <v>44</v>
      </c>
      <c r="G1183" s="93">
        <v>3008.1187957169</v>
      </c>
      <c r="H1183" s="93">
        <v>6249.8785668565997</v>
      </c>
      <c r="I1183" s="93">
        <v>2397.5457928860201</v>
      </c>
      <c r="J1183" s="93">
        <v>95794.125454478402</v>
      </c>
      <c r="K1183" s="93">
        <v>5116.9448836871998</v>
      </c>
      <c r="L1183" s="93">
        <v>57267.386412133899</v>
      </c>
      <c r="M1183" s="93">
        <v>215729.2885510776</v>
      </c>
      <c r="N1183" s="95">
        <v>1.898323038606024E-2</v>
      </c>
      <c r="O1183" s="95">
        <v>3.9440890728274461E-2</v>
      </c>
      <c r="P1183" s="95">
        <v>0.30475990623828386</v>
      </c>
      <c r="Q1183" s="95">
        <v>0.60452464700621544</v>
      </c>
      <c r="R1183" s="96">
        <v>3.2291325641165936E-2</v>
      </c>
    </row>
    <row r="1184" spans="1:18" ht="15" hidden="1" customHeight="1" x14ac:dyDescent="0.3">
      <c r="A1184" s="89">
        <v>2021</v>
      </c>
      <c r="B1184" s="90">
        <v>11</v>
      </c>
      <c r="C1184" s="90" t="s">
        <v>732</v>
      </c>
      <c r="D1184" s="90" t="s">
        <v>722</v>
      </c>
      <c r="E1184" s="91" t="s">
        <v>11</v>
      </c>
      <c r="F1184" s="92" t="s">
        <v>51</v>
      </c>
      <c r="G1184" s="93">
        <v>6352.4103396890596</v>
      </c>
      <c r="H1184" s="93">
        <v>26936.902646145601</v>
      </c>
      <c r="I1184" s="93">
        <v>2397.5457928860201</v>
      </c>
      <c r="J1184" s="93">
        <v>50759.1205899782</v>
      </c>
      <c r="K1184" s="93">
        <v>3804.0583138036</v>
      </c>
      <c r="L1184" s="93">
        <v>1761.9638324877401</v>
      </c>
      <c r="M1184" s="93">
        <v>211202.40923546921</v>
      </c>
      <c r="N1184" s="95">
        <v>3.0330389755744046E-2</v>
      </c>
      <c r="O1184" s="95">
        <v>0.1286136619615981</v>
      </c>
      <c r="P1184" s="95">
        <v>0.5805371225190975</v>
      </c>
      <c r="Q1184" s="95">
        <v>0.24235586632903341</v>
      </c>
      <c r="R1184" s="96">
        <v>1.8162959434526907E-2</v>
      </c>
    </row>
    <row r="1185" spans="1:18" ht="15" hidden="1" customHeight="1" x14ac:dyDescent="0.3">
      <c r="A1185" s="89">
        <v>2021</v>
      </c>
      <c r="B1185" s="90">
        <v>11</v>
      </c>
      <c r="C1185" s="90" t="s">
        <v>732</v>
      </c>
      <c r="D1185" s="90" t="s">
        <v>722</v>
      </c>
      <c r="E1185" s="91" t="s">
        <v>11</v>
      </c>
      <c r="F1185" s="92" t="s">
        <v>45</v>
      </c>
      <c r="G1185" s="93">
        <v>2535.1285450076598</v>
      </c>
      <c r="H1185" s="93">
        <v>5787.17285159315</v>
      </c>
      <c r="I1185" s="93">
        <v>2397.5457928860201</v>
      </c>
      <c r="J1185" s="93">
        <v>27308.8500314798</v>
      </c>
      <c r="K1185" s="93">
        <v>6922.4920554764003</v>
      </c>
      <c r="L1185" s="93">
        <v>76610.335259493702</v>
      </c>
      <c r="M1185" s="93">
        <v>134096.09203645901</v>
      </c>
      <c r="N1185" s="95">
        <v>4.4100116048632974E-2</v>
      </c>
      <c r="O1185" s="95">
        <v>0.10067142151483487</v>
      </c>
      <c r="P1185" s="95">
        <v>0.25975326986373842</v>
      </c>
      <c r="Q1185" s="95">
        <v>0.47505419711935543</v>
      </c>
      <c r="R1185" s="96">
        <v>0.12042099545343832</v>
      </c>
    </row>
    <row r="1186" spans="1:18" ht="15" hidden="1" customHeight="1" x14ac:dyDescent="0.3">
      <c r="A1186" s="89">
        <v>2021</v>
      </c>
      <c r="B1186" s="90">
        <v>11</v>
      </c>
      <c r="C1186" s="90" t="s">
        <v>732</v>
      </c>
      <c r="D1186" s="90" t="s">
        <v>722</v>
      </c>
      <c r="E1186" s="91" t="s">
        <v>11</v>
      </c>
      <c r="F1186" s="92" t="s">
        <v>721</v>
      </c>
      <c r="G1186" s="93">
        <v>945.208481640625</v>
      </c>
      <c r="H1186" s="93">
        <v>2789.48632749541</v>
      </c>
      <c r="I1186" s="93">
        <v>2397.5457928860201</v>
      </c>
      <c r="J1186" s="93">
        <v>198333.72637663799</v>
      </c>
      <c r="K1186" s="93">
        <v>27374.783765321601</v>
      </c>
      <c r="L1186" s="93">
        <v>1997.622482844658</v>
      </c>
      <c r="M1186" s="93">
        <v>309330.8509030327</v>
      </c>
      <c r="N1186" s="95">
        <v>3.0755167168202515E-3</v>
      </c>
      <c r="O1186" s="95">
        <v>9.0764228190828942E-3</v>
      </c>
      <c r="P1186" s="95">
        <v>0.25343834075305599</v>
      </c>
      <c r="Q1186" s="95">
        <v>0.64533772477564588</v>
      </c>
      <c r="R1186" s="96">
        <v>8.9071994935395069E-2</v>
      </c>
    </row>
    <row r="1187" spans="1:18" ht="15" hidden="1" customHeight="1" x14ac:dyDescent="0.3">
      <c r="A1187" s="89">
        <v>2021</v>
      </c>
      <c r="B1187" s="90">
        <v>11</v>
      </c>
      <c r="C1187" s="90" t="s">
        <v>732</v>
      </c>
      <c r="D1187" s="90" t="s">
        <v>722</v>
      </c>
      <c r="E1187" s="91" t="s">
        <v>11</v>
      </c>
      <c r="F1187" s="92" t="s">
        <v>46</v>
      </c>
      <c r="G1187" s="93">
        <v>8619.7474447747609</v>
      </c>
      <c r="H1187" s="93">
        <v>47629.384269357797</v>
      </c>
      <c r="I1187" s="93">
        <v>2397.5457928860201</v>
      </c>
      <c r="J1187" s="93">
        <v>28542.855071697199</v>
      </c>
      <c r="K1187" s="93">
        <v>3508.6108443489502</v>
      </c>
      <c r="L1187" s="93">
        <v>10700.6189490242</v>
      </c>
      <c r="M1187" s="93">
        <v>149075.00300839011</v>
      </c>
      <c r="N1187" s="95">
        <v>6.2292941741852195E-2</v>
      </c>
      <c r="O1187" s="95">
        <v>0.34420665785167043</v>
      </c>
      <c r="P1187" s="95">
        <v>0.36187179274239339</v>
      </c>
      <c r="Q1187" s="95">
        <v>0.20627268020540301</v>
      </c>
      <c r="R1187" s="96">
        <v>2.5355927458681028E-2</v>
      </c>
    </row>
    <row r="1188" spans="1:18" ht="15" hidden="1" customHeight="1" x14ac:dyDescent="0.3">
      <c r="A1188" s="89">
        <v>2021</v>
      </c>
      <c r="B1188" s="90">
        <v>11</v>
      </c>
      <c r="C1188" s="90" t="s">
        <v>732</v>
      </c>
      <c r="D1188" s="90" t="s">
        <v>722</v>
      </c>
      <c r="E1188" s="91" t="s">
        <v>11</v>
      </c>
      <c r="F1188" s="92" t="s">
        <v>47</v>
      </c>
      <c r="G1188" s="93">
        <v>29141.393140237298</v>
      </c>
      <c r="H1188" s="93">
        <v>477966.22733672801</v>
      </c>
      <c r="I1188" s="93">
        <v>2397.5457928860201</v>
      </c>
      <c r="J1188" s="93">
        <v>91579.974088320203</v>
      </c>
      <c r="K1188" s="93">
        <v>13618.574911547001</v>
      </c>
      <c r="L1188" s="93">
        <v>346470.14781694103</v>
      </c>
      <c r="M1188" s="93">
        <v>1461770.3581408877</v>
      </c>
      <c r="N1188" s="95">
        <v>2.6128743517203304E-2</v>
      </c>
      <c r="O1188" s="95">
        <v>0.42855387537127737</v>
      </c>
      <c r="P1188" s="95">
        <v>0.45099430287116682</v>
      </c>
      <c r="Q1188" s="95">
        <v>8.2112397398114156E-2</v>
      </c>
      <c r="R1188" s="96">
        <v>1.2210680842238336E-2</v>
      </c>
    </row>
    <row r="1189" spans="1:18" ht="15" hidden="1" customHeight="1" x14ac:dyDescent="0.3">
      <c r="A1189" s="89">
        <v>2021</v>
      </c>
      <c r="B1189" s="90">
        <v>11</v>
      </c>
      <c r="C1189" s="90" t="s">
        <v>732</v>
      </c>
      <c r="D1189" s="90" t="s">
        <v>722</v>
      </c>
      <c r="E1189" s="91" t="s">
        <v>11</v>
      </c>
      <c r="F1189" s="92" t="s">
        <v>48</v>
      </c>
      <c r="G1189" s="93">
        <v>503.13975869791602</v>
      </c>
      <c r="H1189" s="93">
        <v>1963.8586862729701</v>
      </c>
      <c r="I1189" s="93">
        <v>2397.5457928860201</v>
      </c>
      <c r="J1189" s="93">
        <v>69662.709747946807</v>
      </c>
      <c r="K1189" s="93">
        <v>16665.655307119901</v>
      </c>
      <c r="L1189" s="93">
        <v>9888.2844385294393</v>
      </c>
      <c r="M1189" s="93">
        <v>110314.39779994424</v>
      </c>
      <c r="N1189" s="95">
        <v>5.0100490983576171E-3</v>
      </c>
      <c r="O1189" s="95">
        <v>1.955525929003555E-2</v>
      </c>
      <c r="P1189" s="95">
        <v>0.115813999686718</v>
      </c>
      <c r="Q1189" s="95">
        <v>0.69367127150727959</v>
      </c>
      <c r="R1189" s="96">
        <v>0.16594942041760916</v>
      </c>
    </row>
    <row r="1190" spans="1:18" ht="15" hidden="1" customHeight="1" x14ac:dyDescent="0.3">
      <c r="A1190" s="89">
        <v>2021</v>
      </c>
      <c r="B1190" s="90">
        <v>12</v>
      </c>
      <c r="C1190" s="90" t="s">
        <v>733</v>
      </c>
      <c r="D1190" s="90" t="s">
        <v>719</v>
      </c>
      <c r="E1190" s="91" t="s">
        <v>11</v>
      </c>
      <c r="F1190" s="92" t="s">
        <v>12</v>
      </c>
      <c r="G1190" s="93" t="s">
        <v>734</v>
      </c>
      <c r="H1190" s="93" t="s">
        <v>735</v>
      </c>
      <c r="I1190" s="93">
        <v>2397.5457928860201</v>
      </c>
      <c r="J1190" s="93" t="s">
        <v>736</v>
      </c>
      <c r="K1190" s="93" t="s">
        <v>737</v>
      </c>
      <c r="L1190" s="93" t="s">
        <v>738</v>
      </c>
      <c r="M1190" s="93" t="s">
        <v>739</v>
      </c>
      <c r="N1190" s="95">
        <v>0.04</v>
      </c>
      <c r="O1190" s="95">
        <v>0.15</v>
      </c>
      <c r="P1190" s="95">
        <v>0.37</v>
      </c>
      <c r="Q1190" s="95">
        <v>0.39</v>
      </c>
      <c r="R1190" s="96">
        <v>0.05</v>
      </c>
    </row>
    <row r="1191" spans="1:18" ht="15" hidden="1" customHeight="1" x14ac:dyDescent="0.3">
      <c r="A1191" s="89">
        <v>2021</v>
      </c>
      <c r="B1191" s="90">
        <v>12</v>
      </c>
      <c r="C1191" s="90" t="s">
        <v>733</v>
      </c>
      <c r="D1191" s="90" t="s">
        <v>719</v>
      </c>
      <c r="E1191" s="91" t="s">
        <v>11</v>
      </c>
      <c r="F1191" s="92" t="s">
        <v>26</v>
      </c>
      <c r="G1191" s="93" t="s">
        <v>740</v>
      </c>
      <c r="H1191" s="93" t="s">
        <v>741</v>
      </c>
      <c r="I1191" s="93">
        <v>2397.5457928860201</v>
      </c>
      <c r="J1191" s="93" t="s">
        <v>742</v>
      </c>
      <c r="K1191" s="93" t="s">
        <v>743</v>
      </c>
      <c r="L1191" s="93" t="s">
        <v>744</v>
      </c>
      <c r="M1191" s="93" t="s">
        <v>745</v>
      </c>
      <c r="N1191" s="95">
        <v>0.05</v>
      </c>
      <c r="O1191" s="95">
        <v>0.08</v>
      </c>
      <c r="P1191" s="95">
        <v>0.33</v>
      </c>
      <c r="Q1191" s="95">
        <v>0.49</v>
      </c>
      <c r="R1191" s="96">
        <v>0.06</v>
      </c>
    </row>
    <row r="1192" spans="1:18" ht="15" hidden="1" customHeight="1" x14ac:dyDescent="0.3">
      <c r="A1192" s="89">
        <v>2021</v>
      </c>
      <c r="B1192" s="90">
        <v>12</v>
      </c>
      <c r="C1192" s="90" t="s">
        <v>733</v>
      </c>
      <c r="D1192" s="90" t="s">
        <v>719</v>
      </c>
      <c r="E1192" s="91" t="s">
        <v>11</v>
      </c>
      <c r="F1192" s="92" t="s">
        <v>27</v>
      </c>
      <c r="G1192" s="93" t="s">
        <v>746</v>
      </c>
      <c r="H1192" s="93" t="s">
        <v>747</v>
      </c>
      <c r="I1192" s="93">
        <v>2397.5457928860201</v>
      </c>
      <c r="J1192" s="93" t="s">
        <v>748</v>
      </c>
      <c r="K1192" s="93" t="s">
        <v>749</v>
      </c>
      <c r="L1192" s="93" t="s">
        <v>750</v>
      </c>
      <c r="M1192" s="93" t="s">
        <v>751</v>
      </c>
      <c r="N1192" s="95">
        <v>0</v>
      </c>
      <c r="O1192" s="95">
        <v>0.01</v>
      </c>
      <c r="P1192" s="95">
        <v>0.36</v>
      </c>
      <c r="Q1192" s="95">
        <v>0.57999999999999996</v>
      </c>
      <c r="R1192" s="96">
        <v>0.04</v>
      </c>
    </row>
    <row r="1193" spans="1:18" ht="15" hidden="1" customHeight="1" x14ac:dyDescent="0.3">
      <c r="A1193" s="89">
        <v>2021</v>
      </c>
      <c r="B1193" s="90">
        <v>12</v>
      </c>
      <c r="C1193" s="90" t="s">
        <v>733</v>
      </c>
      <c r="D1193" s="90" t="s">
        <v>719</v>
      </c>
      <c r="E1193" s="91" t="s">
        <v>11</v>
      </c>
      <c r="F1193" s="92" t="s">
        <v>28</v>
      </c>
      <c r="G1193" s="93" t="s">
        <v>752</v>
      </c>
      <c r="H1193" s="93" t="s">
        <v>753</v>
      </c>
      <c r="I1193" s="93">
        <v>2397.5457928860201</v>
      </c>
      <c r="J1193" s="93" t="s">
        <v>754</v>
      </c>
      <c r="K1193" s="93" t="s">
        <v>755</v>
      </c>
      <c r="L1193" s="93" t="s">
        <v>756</v>
      </c>
      <c r="M1193" s="93" t="s">
        <v>757</v>
      </c>
      <c r="N1193" s="95">
        <v>0.01</v>
      </c>
      <c r="O1193" s="95">
        <v>0.02</v>
      </c>
      <c r="P1193" s="95">
        <v>0.14000000000000001</v>
      </c>
      <c r="Q1193" s="95">
        <v>0.62</v>
      </c>
      <c r="R1193" s="96">
        <v>0.22</v>
      </c>
    </row>
    <row r="1194" spans="1:18" ht="15" customHeight="1" x14ac:dyDescent="0.3">
      <c r="A1194" s="89">
        <v>2021</v>
      </c>
      <c r="B1194" s="90">
        <v>12</v>
      </c>
      <c r="C1194" s="90" t="s">
        <v>733</v>
      </c>
      <c r="D1194" s="90" t="s">
        <v>719</v>
      </c>
      <c r="E1194" s="91" t="s">
        <v>11</v>
      </c>
      <c r="F1194" s="92" t="s">
        <v>29</v>
      </c>
      <c r="G1194" s="93" t="s">
        <v>758</v>
      </c>
      <c r="H1194" s="93" t="s">
        <v>759</v>
      </c>
      <c r="I1194" s="93">
        <v>2397.5457928860201</v>
      </c>
      <c r="J1194" s="93" t="s">
        <v>760</v>
      </c>
      <c r="K1194" s="93" t="s">
        <v>761</v>
      </c>
      <c r="L1194" s="93" t="s">
        <v>762</v>
      </c>
      <c r="M1194" s="93" t="s">
        <v>763</v>
      </c>
      <c r="N1194" s="95">
        <v>7.0000000000000007E-2</v>
      </c>
      <c r="O1194" s="95">
        <v>0.28999999999999998</v>
      </c>
      <c r="P1194" s="95">
        <v>0.41</v>
      </c>
      <c r="Q1194" s="95">
        <v>0.21</v>
      </c>
      <c r="R1194" s="96">
        <v>0.01</v>
      </c>
    </row>
    <row r="1195" spans="1:18" ht="15" hidden="1" customHeight="1" x14ac:dyDescent="0.3">
      <c r="A1195" s="89">
        <v>2021</v>
      </c>
      <c r="B1195" s="90">
        <v>12</v>
      </c>
      <c r="C1195" s="90" t="s">
        <v>733</v>
      </c>
      <c r="D1195" s="90" t="s">
        <v>719</v>
      </c>
      <c r="E1195" s="91" t="s">
        <v>11</v>
      </c>
      <c r="F1195" s="92" t="s">
        <v>30</v>
      </c>
      <c r="G1195" s="93" t="s">
        <v>764</v>
      </c>
      <c r="H1195" s="93" t="s">
        <v>765</v>
      </c>
      <c r="I1195" s="93">
        <v>2397.5457928860201</v>
      </c>
      <c r="J1195" s="93" t="s">
        <v>766</v>
      </c>
      <c r="K1195" s="93" t="s">
        <v>767</v>
      </c>
      <c r="L1195" s="93" t="s">
        <v>768</v>
      </c>
      <c r="M1195" s="93" t="s">
        <v>769</v>
      </c>
      <c r="N1195" s="95">
        <v>0.02</v>
      </c>
      <c r="O1195" s="95">
        <v>0.12</v>
      </c>
      <c r="P1195" s="95">
        <v>0.38</v>
      </c>
      <c r="Q1195" s="95">
        <v>0.36</v>
      </c>
      <c r="R1195" s="96">
        <v>0.12</v>
      </c>
    </row>
    <row r="1196" spans="1:18" ht="15" hidden="1" customHeight="1" x14ac:dyDescent="0.3">
      <c r="A1196" s="89">
        <v>2021</v>
      </c>
      <c r="B1196" s="90">
        <v>12</v>
      </c>
      <c r="C1196" s="90" t="s">
        <v>733</v>
      </c>
      <c r="D1196" s="90" t="s">
        <v>719</v>
      </c>
      <c r="E1196" s="91" t="s">
        <v>11</v>
      </c>
      <c r="F1196" s="92" t="s">
        <v>31</v>
      </c>
      <c r="G1196" s="93" t="s">
        <v>770</v>
      </c>
      <c r="H1196" s="93" t="s">
        <v>771</v>
      </c>
      <c r="I1196" s="93">
        <v>2397.5457928860201</v>
      </c>
      <c r="J1196" s="93" t="s">
        <v>772</v>
      </c>
      <c r="K1196" s="93" t="s">
        <v>773</v>
      </c>
      <c r="L1196" s="93" t="s">
        <v>774</v>
      </c>
      <c r="M1196" s="93" t="s">
        <v>775</v>
      </c>
      <c r="N1196" s="95">
        <v>0</v>
      </c>
      <c r="O1196" s="95">
        <v>0.12</v>
      </c>
      <c r="P1196" s="95">
        <v>0.27</v>
      </c>
      <c r="Q1196" s="95">
        <v>0.34</v>
      </c>
      <c r="R1196" s="96">
        <v>0.26</v>
      </c>
    </row>
    <row r="1197" spans="1:18" ht="15" hidden="1" customHeight="1" x14ac:dyDescent="0.3">
      <c r="A1197" s="89">
        <v>2021</v>
      </c>
      <c r="B1197" s="90">
        <v>12</v>
      </c>
      <c r="C1197" s="90" t="s">
        <v>733</v>
      </c>
      <c r="D1197" s="90" t="s">
        <v>719</v>
      </c>
      <c r="E1197" s="91" t="s">
        <v>11</v>
      </c>
      <c r="F1197" s="92" t="s">
        <v>32</v>
      </c>
      <c r="G1197" s="93" t="s">
        <v>776</v>
      </c>
      <c r="H1197" s="93" t="s">
        <v>777</v>
      </c>
      <c r="I1197" s="93">
        <v>2397.5457928860201</v>
      </c>
      <c r="J1197" s="93" t="s">
        <v>778</v>
      </c>
      <c r="K1197" s="93" t="s">
        <v>779</v>
      </c>
      <c r="L1197" s="93" t="s">
        <v>780</v>
      </c>
      <c r="M1197" s="93" t="s">
        <v>781</v>
      </c>
      <c r="N1197" s="95">
        <v>0.01</v>
      </c>
      <c r="O1197" s="95">
        <v>0.06</v>
      </c>
      <c r="P1197" s="95">
        <v>0.38</v>
      </c>
      <c r="Q1197" s="95">
        <v>0.5</v>
      </c>
      <c r="R1197" s="96">
        <v>0.05</v>
      </c>
    </row>
    <row r="1198" spans="1:18" ht="15" hidden="1" customHeight="1" x14ac:dyDescent="0.3">
      <c r="A1198" s="89">
        <v>2021</v>
      </c>
      <c r="B1198" s="90">
        <v>12</v>
      </c>
      <c r="C1198" s="90" t="s">
        <v>733</v>
      </c>
      <c r="D1198" s="90" t="s">
        <v>719</v>
      </c>
      <c r="E1198" s="91" t="s">
        <v>11</v>
      </c>
      <c r="F1198" s="92" t="s">
        <v>33</v>
      </c>
      <c r="G1198" s="93" t="s">
        <v>782</v>
      </c>
      <c r="H1198" s="93" t="s">
        <v>783</v>
      </c>
      <c r="I1198" s="93">
        <v>2397.5457928860201</v>
      </c>
      <c r="J1198" s="93" t="s">
        <v>784</v>
      </c>
      <c r="K1198" s="93" t="s">
        <v>785</v>
      </c>
      <c r="L1198" s="93" t="s">
        <v>786</v>
      </c>
      <c r="M1198" s="93" t="s">
        <v>787</v>
      </c>
      <c r="N1198" s="95">
        <v>0.02</v>
      </c>
      <c r="O1198" s="95">
        <v>7.0000000000000007E-2</v>
      </c>
      <c r="P1198" s="95">
        <v>0.31</v>
      </c>
      <c r="Q1198" s="95">
        <v>0.54</v>
      </c>
      <c r="R1198" s="96">
        <v>0.06</v>
      </c>
    </row>
    <row r="1199" spans="1:18" ht="15" hidden="1" customHeight="1" x14ac:dyDescent="0.3">
      <c r="A1199" s="89">
        <v>2021</v>
      </c>
      <c r="B1199" s="90">
        <v>12</v>
      </c>
      <c r="C1199" s="90" t="s">
        <v>733</v>
      </c>
      <c r="D1199" s="90" t="s">
        <v>719</v>
      </c>
      <c r="E1199" s="91" t="s">
        <v>11</v>
      </c>
      <c r="F1199" s="92" t="s">
        <v>34</v>
      </c>
      <c r="G1199" s="93" t="s">
        <v>788</v>
      </c>
      <c r="H1199" s="93" t="s">
        <v>789</v>
      </c>
      <c r="I1199" s="93">
        <v>2397.5457928860201</v>
      </c>
      <c r="J1199" s="93" t="s">
        <v>790</v>
      </c>
      <c r="K1199" s="93" t="s">
        <v>791</v>
      </c>
      <c r="L1199" s="93" t="s">
        <v>792</v>
      </c>
      <c r="M1199" s="93" t="s">
        <v>793</v>
      </c>
      <c r="N1199" s="95">
        <v>0.02</v>
      </c>
      <c r="O1199" s="95">
        <v>0.11</v>
      </c>
      <c r="P1199" s="95">
        <v>0.3</v>
      </c>
      <c r="Q1199" s="95">
        <v>0.53</v>
      </c>
      <c r="R1199" s="96">
        <v>0.04</v>
      </c>
    </row>
    <row r="1200" spans="1:18" ht="15" hidden="1" customHeight="1" x14ac:dyDescent="0.3">
      <c r="A1200" s="89">
        <v>2021</v>
      </c>
      <c r="B1200" s="90">
        <v>12</v>
      </c>
      <c r="C1200" s="90" t="s">
        <v>733</v>
      </c>
      <c r="D1200" s="90" t="s">
        <v>719</v>
      </c>
      <c r="E1200" s="91" t="s">
        <v>11</v>
      </c>
      <c r="F1200" s="92" t="s">
        <v>35</v>
      </c>
      <c r="G1200" s="93" t="s">
        <v>794</v>
      </c>
      <c r="H1200" s="93" t="s">
        <v>795</v>
      </c>
      <c r="I1200" s="93">
        <v>2397.5457928860201</v>
      </c>
      <c r="J1200" s="93" t="s">
        <v>796</v>
      </c>
      <c r="K1200" s="93" t="s">
        <v>797</v>
      </c>
      <c r="L1200" s="93" t="s">
        <v>798</v>
      </c>
      <c r="M1200" s="93" t="s">
        <v>799</v>
      </c>
      <c r="N1200" s="95">
        <v>0.05</v>
      </c>
      <c r="O1200" s="95">
        <v>0.22</v>
      </c>
      <c r="P1200" s="95">
        <v>0.21</v>
      </c>
      <c r="Q1200" s="95">
        <v>0.36</v>
      </c>
      <c r="R1200" s="96">
        <v>0.15</v>
      </c>
    </row>
    <row r="1201" spans="1:18" ht="15" hidden="1" customHeight="1" x14ac:dyDescent="0.3">
      <c r="A1201" s="89">
        <v>2021</v>
      </c>
      <c r="B1201" s="90">
        <v>12</v>
      </c>
      <c r="C1201" s="90" t="s">
        <v>733</v>
      </c>
      <c r="D1201" s="90" t="s">
        <v>719</v>
      </c>
      <c r="E1201" s="91" t="s">
        <v>11</v>
      </c>
      <c r="F1201" s="92" t="s">
        <v>36</v>
      </c>
      <c r="G1201" s="93" t="s">
        <v>800</v>
      </c>
      <c r="H1201" s="93" t="s">
        <v>801</v>
      </c>
      <c r="I1201" s="93">
        <v>2397.5457928860201</v>
      </c>
      <c r="J1201" s="93" t="s">
        <v>802</v>
      </c>
      <c r="K1201" s="93" t="s">
        <v>803</v>
      </c>
      <c r="L1201" s="93" t="s">
        <v>804</v>
      </c>
      <c r="M1201" s="93" t="s">
        <v>805</v>
      </c>
      <c r="N1201" s="95">
        <v>0.01</v>
      </c>
      <c r="O1201" s="95">
        <v>0.03</v>
      </c>
      <c r="P1201" s="95">
        <v>0.41</v>
      </c>
      <c r="Q1201" s="95">
        <v>0.54</v>
      </c>
      <c r="R1201" s="96">
        <v>0.01</v>
      </c>
    </row>
    <row r="1202" spans="1:18" ht="15" hidden="1" customHeight="1" x14ac:dyDescent="0.3">
      <c r="A1202" s="89">
        <v>2021</v>
      </c>
      <c r="B1202" s="90">
        <v>12</v>
      </c>
      <c r="C1202" s="90" t="s">
        <v>733</v>
      </c>
      <c r="D1202" s="90" t="s">
        <v>719</v>
      </c>
      <c r="E1202" s="91" t="s">
        <v>11</v>
      </c>
      <c r="F1202" s="92" t="s">
        <v>37</v>
      </c>
      <c r="G1202" s="93" t="s">
        <v>806</v>
      </c>
      <c r="H1202" s="93" t="s">
        <v>807</v>
      </c>
      <c r="I1202" s="93">
        <v>2397.5457928860201</v>
      </c>
      <c r="J1202" s="93" t="s">
        <v>808</v>
      </c>
      <c r="K1202" s="93" t="s">
        <v>809</v>
      </c>
      <c r="L1202" s="93" t="s">
        <v>810</v>
      </c>
      <c r="M1202" s="93" t="s">
        <v>811</v>
      </c>
      <c r="N1202" s="95">
        <v>0.05</v>
      </c>
      <c r="O1202" s="95">
        <v>0.28999999999999998</v>
      </c>
      <c r="P1202" s="95">
        <v>0.46</v>
      </c>
      <c r="Q1202" s="95">
        <v>0.19</v>
      </c>
      <c r="R1202" s="96">
        <v>0</v>
      </c>
    </row>
    <row r="1203" spans="1:18" ht="15" hidden="1" customHeight="1" x14ac:dyDescent="0.3">
      <c r="A1203" s="89">
        <v>2021</v>
      </c>
      <c r="B1203" s="90">
        <v>12</v>
      </c>
      <c r="C1203" s="90" t="s">
        <v>733</v>
      </c>
      <c r="D1203" s="90" t="s">
        <v>719</v>
      </c>
      <c r="E1203" s="91" t="s">
        <v>11</v>
      </c>
      <c r="F1203" s="92" t="s">
        <v>720</v>
      </c>
      <c r="G1203" s="93" t="s">
        <v>812</v>
      </c>
      <c r="H1203" s="93" t="s">
        <v>813</v>
      </c>
      <c r="I1203" s="93">
        <v>2397.5457928860201</v>
      </c>
      <c r="J1203" s="93" t="s">
        <v>814</v>
      </c>
      <c r="K1203" s="93" t="s">
        <v>815</v>
      </c>
      <c r="L1203" s="93" t="s">
        <v>816</v>
      </c>
      <c r="M1203" s="93" t="s">
        <v>817</v>
      </c>
      <c r="N1203" s="95">
        <v>0.06</v>
      </c>
      <c r="O1203" s="95">
        <v>0.08</v>
      </c>
      <c r="P1203" s="95">
        <v>0.15</v>
      </c>
      <c r="Q1203" s="95">
        <v>0.56999999999999995</v>
      </c>
      <c r="R1203" s="96">
        <v>0.13</v>
      </c>
    </row>
    <row r="1204" spans="1:18" ht="15" hidden="1" customHeight="1" x14ac:dyDescent="0.3">
      <c r="A1204" s="89">
        <v>2021</v>
      </c>
      <c r="B1204" s="90">
        <v>12</v>
      </c>
      <c r="C1204" s="90" t="s">
        <v>733</v>
      </c>
      <c r="D1204" s="90" t="s">
        <v>719</v>
      </c>
      <c r="E1204" s="91" t="s">
        <v>11</v>
      </c>
      <c r="F1204" s="92" t="s">
        <v>39</v>
      </c>
      <c r="G1204" s="93" t="s">
        <v>818</v>
      </c>
      <c r="H1204" s="93" t="s">
        <v>819</v>
      </c>
      <c r="I1204" s="93">
        <v>2397.5457928860201</v>
      </c>
      <c r="J1204" s="93" t="s">
        <v>820</v>
      </c>
      <c r="K1204" s="93" t="s">
        <v>821</v>
      </c>
      <c r="L1204" s="93" t="s">
        <v>822</v>
      </c>
      <c r="M1204" s="93" t="s">
        <v>823</v>
      </c>
      <c r="N1204" s="95">
        <v>0.01</v>
      </c>
      <c r="O1204" s="95">
        <v>0.02</v>
      </c>
      <c r="P1204" s="95">
        <v>0.17</v>
      </c>
      <c r="Q1204" s="95">
        <v>0.7</v>
      </c>
      <c r="R1204" s="96">
        <v>0.1</v>
      </c>
    </row>
    <row r="1205" spans="1:18" ht="15" hidden="1" customHeight="1" x14ac:dyDescent="0.3">
      <c r="A1205" s="89">
        <v>2021</v>
      </c>
      <c r="B1205" s="90">
        <v>12</v>
      </c>
      <c r="C1205" s="90" t="s">
        <v>733</v>
      </c>
      <c r="D1205" s="90" t="s">
        <v>719</v>
      </c>
      <c r="E1205" s="91" t="s">
        <v>11</v>
      </c>
      <c r="F1205" s="92" t="s">
        <v>40</v>
      </c>
      <c r="G1205" s="93" t="s">
        <v>824</v>
      </c>
      <c r="H1205" s="93" t="s">
        <v>825</v>
      </c>
      <c r="I1205" s="93">
        <v>2397.5457928860201</v>
      </c>
      <c r="J1205" s="93" t="s">
        <v>826</v>
      </c>
      <c r="K1205" s="93" t="s">
        <v>827</v>
      </c>
      <c r="L1205" s="93" t="s">
        <v>828</v>
      </c>
      <c r="M1205" s="93" t="s">
        <v>829</v>
      </c>
      <c r="N1205" s="95">
        <v>0.01</v>
      </c>
      <c r="O1205" s="95">
        <v>0.08</v>
      </c>
      <c r="P1205" s="95">
        <v>0.54</v>
      </c>
      <c r="Q1205" s="95">
        <v>0.35</v>
      </c>
      <c r="R1205" s="96">
        <v>0.02</v>
      </c>
    </row>
    <row r="1206" spans="1:18" ht="15" hidden="1" customHeight="1" x14ac:dyDescent="0.3">
      <c r="A1206" s="89">
        <v>2021</v>
      </c>
      <c r="B1206" s="90">
        <v>12</v>
      </c>
      <c r="C1206" s="90" t="s">
        <v>733</v>
      </c>
      <c r="D1206" s="90" t="s">
        <v>719</v>
      </c>
      <c r="E1206" s="91" t="s">
        <v>11</v>
      </c>
      <c r="F1206" s="92" t="s">
        <v>41</v>
      </c>
      <c r="G1206" s="93" t="s">
        <v>830</v>
      </c>
      <c r="H1206" s="93" t="s">
        <v>831</v>
      </c>
      <c r="I1206" s="93">
        <v>2397.5457928860201</v>
      </c>
      <c r="J1206" s="93" t="s">
        <v>832</v>
      </c>
      <c r="K1206" s="93" t="s">
        <v>833</v>
      </c>
      <c r="L1206" s="93" t="s">
        <v>834</v>
      </c>
      <c r="M1206" s="93" t="s">
        <v>835</v>
      </c>
      <c r="N1206" s="95">
        <v>0.09</v>
      </c>
      <c r="O1206" s="95">
        <v>0.37</v>
      </c>
      <c r="P1206" s="95">
        <v>0.39</v>
      </c>
      <c r="Q1206" s="95">
        <v>0.14000000000000001</v>
      </c>
      <c r="R1206" s="96">
        <v>0.01</v>
      </c>
    </row>
    <row r="1207" spans="1:18" ht="15" hidden="1" customHeight="1" x14ac:dyDescent="0.3">
      <c r="A1207" s="89">
        <v>2021</v>
      </c>
      <c r="B1207" s="90">
        <v>12</v>
      </c>
      <c r="C1207" s="90" t="s">
        <v>733</v>
      </c>
      <c r="D1207" s="90" t="s">
        <v>719</v>
      </c>
      <c r="E1207" s="91" t="s">
        <v>11</v>
      </c>
      <c r="F1207" s="92" t="s">
        <v>42</v>
      </c>
      <c r="G1207" s="93" t="s">
        <v>836</v>
      </c>
      <c r="H1207" s="93" t="s">
        <v>837</v>
      </c>
      <c r="I1207" s="93">
        <v>2397.5457928860201</v>
      </c>
      <c r="J1207" s="93" t="s">
        <v>838</v>
      </c>
      <c r="K1207" s="93" t="s">
        <v>839</v>
      </c>
      <c r="L1207" s="93" t="s">
        <v>840</v>
      </c>
      <c r="M1207" s="93" t="s">
        <v>841</v>
      </c>
      <c r="N1207" s="95">
        <v>0.01</v>
      </c>
      <c r="O1207" s="95">
        <v>7.0000000000000007E-2</v>
      </c>
      <c r="P1207" s="95">
        <v>0.1</v>
      </c>
      <c r="Q1207" s="95">
        <v>0.36</v>
      </c>
      <c r="R1207" s="96">
        <v>0.45</v>
      </c>
    </row>
    <row r="1208" spans="1:18" ht="15" hidden="1" customHeight="1" x14ac:dyDescent="0.3">
      <c r="A1208" s="89">
        <v>2021</v>
      </c>
      <c r="B1208" s="90">
        <v>12</v>
      </c>
      <c r="C1208" s="90" t="s">
        <v>733</v>
      </c>
      <c r="D1208" s="90" t="s">
        <v>719</v>
      </c>
      <c r="E1208" s="91" t="s">
        <v>11</v>
      </c>
      <c r="F1208" s="92" t="s">
        <v>43</v>
      </c>
      <c r="G1208" s="93" t="s">
        <v>842</v>
      </c>
      <c r="H1208" s="93" t="s">
        <v>843</v>
      </c>
      <c r="I1208" s="93">
        <v>2397.5457928860201</v>
      </c>
      <c r="J1208" s="93" t="s">
        <v>844</v>
      </c>
      <c r="K1208" s="93" t="s">
        <v>845</v>
      </c>
      <c r="L1208" s="93" t="s">
        <v>846</v>
      </c>
      <c r="M1208" s="93" t="s">
        <v>847</v>
      </c>
      <c r="N1208" s="95">
        <v>0.02</v>
      </c>
      <c r="O1208" s="95">
        <v>0.18</v>
      </c>
      <c r="P1208" s="95">
        <v>0.24</v>
      </c>
      <c r="Q1208" s="95">
        <v>0.32</v>
      </c>
      <c r="R1208" s="96">
        <v>0.25</v>
      </c>
    </row>
    <row r="1209" spans="1:18" ht="15" hidden="1" customHeight="1" x14ac:dyDescent="0.3">
      <c r="A1209" s="89">
        <v>2021</v>
      </c>
      <c r="B1209" s="90">
        <v>12</v>
      </c>
      <c r="C1209" s="90" t="s">
        <v>733</v>
      </c>
      <c r="D1209" s="90" t="s">
        <v>719</v>
      </c>
      <c r="E1209" s="91" t="s">
        <v>11</v>
      </c>
      <c r="F1209" s="92" t="s">
        <v>58</v>
      </c>
      <c r="G1209" s="93" t="s">
        <v>848</v>
      </c>
      <c r="H1209" s="93" t="s">
        <v>849</v>
      </c>
      <c r="I1209" s="93">
        <v>2397.5457928860201</v>
      </c>
      <c r="J1209" s="93" t="s">
        <v>850</v>
      </c>
      <c r="K1209" s="93" t="s">
        <v>851</v>
      </c>
      <c r="L1209" s="93" t="s">
        <v>852</v>
      </c>
      <c r="M1209" s="93" t="s">
        <v>853</v>
      </c>
      <c r="N1209" s="95">
        <v>0</v>
      </c>
      <c r="O1209" s="95">
        <v>0.01</v>
      </c>
      <c r="P1209" s="95">
        <v>0.11</v>
      </c>
      <c r="Q1209" s="95">
        <v>0.62</v>
      </c>
      <c r="R1209" s="96">
        <v>0.26</v>
      </c>
    </row>
    <row r="1210" spans="1:18" ht="15" hidden="1" customHeight="1" x14ac:dyDescent="0.3">
      <c r="A1210" s="89">
        <v>2021</v>
      </c>
      <c r="B1210" s="90">
        <v>12</v>
      </c>
      <c r="C1210" s="90" t="s">
        <v>733</v>
      </c>
      <c r="D1210" s="90" t="s">
        <v>719</v>
      </c>
      <c r="E1210" s="91" t="s">
        <v>11</v>
      </c>
      <c r="F1210" s="92" t="s">
        <v>44</v>
      </c>
      <c r="G1210" s="93" t="s">
        <v>854</v>
      </c>
      <c r="H1210" s="93" t="s">
        <v>855</v>
      </c>
      <c r="I1210" s="93">
        <v>2397.5457928860201</v>
      </c>
      <c r="J1210" s="93" t="s">
        <v>856</v>
      </c>
      <c r="K1210" s="93" t="s">
        <v>857</v>
      </c>
      <c r="L1210" s="93" t="s">
        <v>858</v>
      </c>
      <c r="M1210" s="93" t="s">
        <v>859</v>
      </c>
      <c r="N1210" s="95">
        <v>0.02</v>
      </c>
      <c r="O1210" s="95">
        <v>0.03</v>
      </c>
      <c r="P1210" s="95">
        <v>0.21</v>
      </c>
      <c r="Q1210" s="95">
        <v>0.68</v>
      </c>
      <c r="R1210" s="96">
        <v>0.06</v>
      </c>
    </row>
    <row r="1211" spans="1:18" ht="15" hidden="1" customHeight="1" x14ac:dyDescent="0.3">
      <c r="A1211" s="89">
        <v>2021</v>
      </c>
      <c r="B1211" s="90">
        <v>12</v>
      </c>
      <c r="C1211" s="90" t="s">
        <v>733</v>
      </c>
      <c r="D1211" s="90" t="s">
        <v>719</v>
      </c>
      <c r="E1211" s="91" t="s">
        <v>11</v>
      </c>
      <c r="F1211" s="92" t="s">
        <v>51</v>
      </c>
      <c r="G1211" s="93" t="s">
        <v>860</v>
      </c>
      <c r="H1211" s="93" t="s">
        <v>861</v>
      </c>
      <c r="I1211" s="93">
        <v>2397.5457928860201</v>
      </c>
      <c r="J1211" s="93" t="s">
        <v>862</v>
      </c>
      <c r="K1211" s="93" t="s">
        <v>863</v>
      </c>
      <c r="L1211" s="93" t="s">
        <v>864</v>
      </c>
      <c r="M1211" s="93" t="s">
        <v>865</v>
      </c>
      <c r="N1211" s="95">
        <v>0.01</v>
      </c>
      <c r="O1211" s="95">
        <v>0.05</v>
      </c>
      <c r="P1211" s="95">
        <v>0.31</v>
      </c>
      <c r="Q1211" s="95">
        <v>0.48</v>
      </c>
      <c r="R1211" s="96">
        <v>0.15</v>
      </c>
    </row>
    <row r="1212" spans="1:18" ht="15" hidden="1" customHeight="1" x14ac:dyDescent="0.3">
      <c r="A1212" s="89">
        <v>2021</v>
      </c>
      <c r="B1212" s="90">
        <v>12</v>
      </c>
      <c r="C1212" s="90" t="s">
        <v>733</v>
      </c>
      <c r="D1212" s="90" t="s">
        <v>719</v>
      </c>
      <c r="E1212" s="91" t="s">
        <v>11</v>
      </c>
      <c r="F1212" s="92" t="s">
        <v>45</v>
      </c>
      <c r="G1212" s="93" t="s">
        <v>866</v>
      </c>
      <c r="H1212" s="93" t="s">
        <v>867</v>
      </c>
      <c r="I1212" s="93">
        <v>2397.5457928860201</v>
      </c>
      <c r="J1212" s="93" t="s">
        <v>868</v>
      </c>
      <c r="K1212" s="93" t="s">
        <v>869</v>
      </c>
      <c r="L1212" s="93" t="s">
        <v>870</v>
      </c>
      <c r="M1212" s="93" t="s">
        <v>871</v>
      </c>
      <c r="N1212" s="95">
        <v>0.04</v>
      </c>
      <c r="O1212" s="95">
        <v>0.1</v>
      </c>
      <c r="P1212" s="95">
        <v>0.26</v>
      </c>
      <c r="Q1212" s="95">
        <v>0.54</v>
      </c>
      <c r="R1212" s="96">
        <v>0.06</v>
      </c>
    </row>
    <row r="1213" spans="1:18" ht="15" hidden="1" customHeight="1" x14ac:dyDescent="0.3">
      <c r="A1213" s="89">
        <v>2021</v>
      </c>
      <c r="B1213" s="90">
        <v>12</v>
      </c>
      <c r="C1213" s="90" t="s">
        <v>733</v>
      </c>
      <c r="D1213" s="90" t="s">
        <v>719</v>
      </c>
      <c r="E1213" s="91" t="s">
        <v>11</v>
      </c>
      <c r="F1213" s="92" t="s">
        <v>721</v>
      </c>
      <c r="G1213" s="93" t="s">
        <v>872</v>
      </c>
      <c r="H1213" s="93" t="s">
        <v>873</v>
      </c>
      <c r="I1213" s="93">
        <v>2397.5457928860201</v>
      </c>
      <c r="J1213" s="93" t="s">
        <v>874</v>
      </c>
      <c r="K1213" s="93" t="s">
        <v>875</v>
      </c>
      <c r="L1213" s="93" t="s">
        <v>876</v>
      </c>
      <c r="M1213" s="93" t="s">
        <v>877</v>
      </c>
      <c r="N1213" s="95">
        <v>0</v>
      </c>
      <c r="O1213" s="95">
        <v>0.02</v>
      </c>
      <c r="P1213" s="95">
        <v>0.28000000000000003</v>
      </c>
      <c r="Q1213" s="95">
        <v>0.54</v>
      </c>
      <c r="R1213" s="96">
        <v>0.16</v>
      </c>
    </row>
    <row r="1214" spans="1:18" ht="15" hidden="1" customHeight="1" x14ac:dyDescent="0.3">
      <c r="A1214" s="89">
        <v>2021</v>
      </c>
      <c r="B1214" s="90">
        <v>12</v>
      </c>
      <c r="C1214" s="90" t="s">
        <v>733</v>
      </c>
      <c r="D1214" s="90" t="s">
        <v>719</v>
      </c>
      <c r="E1214" s="91" t="s">
        <v>11</v>
      </c>
      <c r="F1214" s="92" t="s">
        <v>46</v>
      </c>
      <c r="G1214" s="93" t="s">
        <v>878</v>
      </c>
      <c r="H1214" s="93" t="s">
        <v>879</v>
      </c>
      <c r="I1214" s="93">
        <v>2397.5457928860201</v>
      </c>
      <c r="J1214" s="93" t="s">
        <v>880</v>
      </c>
      <c r="K1214" s="93" t="s">
        <v>881</v>
      </c>
      <c r="L1214" s="93" t="s">
        <v>882</v>
      </c>
      <c r="M1214" s="93" t="s">
        <v>883</v>
      </c>
      <c r="N1214" s="95">
        <v>0.04</v>
      </c>
      <c r="O1214" s="95">
        <v>0.19</v>
      </c>
      <c r="P1214" s="95">
        <v>0.43</v>
      </c>
      <c r="Q1214" s="95">
        <v>0.27</v>
      </c>
      <c r="R1214" s="96">
        <v>0.06</v>
      </c>
    </row>
    <row r="1215" spans="1:18" ht="15" hidden="1" customHeight="1" x14ac:dyDescent="0.3">
      <c r="A1215" s="89">
        <v>2021</v>
      </c>
      <c r="B1215" s="90">
        <v>12</v>
      </c>
      <c r="C1215" s="90" t="s">
        <v>733</v>
      </c>
      <c r="D1215" s="90" t="s">
        <v>719</v>
      </c>
      <c r="E1215" s="91" t="s">
        <v>11</v>
      </c>
      <c r="F1215" s="92" t="s">
        <v>47</v>
      </c>
      <c r="G1215" s="93" t="s">
        <v>884</v>
      </c>
      <c r="H1215" s="93" t="s">
        <v>885</v>
      </c>
      <c r="I1215" s="93">
        <v>2397.5457928860201</v>
      </c>
      <c r="J1215" s="93" t="s">
        <v>886</v>
      </c>
      <c r="K1215" s="93" t="s">
        <v>887</v>
      </c>
      <c r="L1215" s="93" t="s">
        <v>888</v>
      </c>
      <c r="M1215" s="93" t="s">
        <v>889</v>
      </c>
      <c r="N1215" s="95">
        <v>0.09</v>
      </c>
      <c r="O1215" s="95">
        <v>0.63</v>
      </c>
      <c r="P1215" s="95">
        <v>0.23</v>
      </c>
      <c r="Q1215" s="95">
        <v>0.04</v>
      </c>
      <c r="R1215" s="96">
        <v>0.01</v>
      </c>
    </row>
    <row r="1216" spans="1:18" ht="15" hidden="1" customHeight="1" x14ac:dyDescent="0.3">
      <c r="A1216" s="89">
        <v>2021</v>
      </c>
      <c r="B1216" s="90">
        <v>12</v>
      </c>
      <c r="C1216" s="90" t="s">
        <v>733</v>
      </c>
      <c r="D1216" s="90" t="s">
        <v>719</v>
      </c>
      <c r="E1216" s="91" t="s">
        <v>11</v>
      </c>
      <c r="F1216" s="92" t="s">
        <v>48</v>
      </c>
      <c r="G1216" s="93" t="s">
        <v>890</v>
      </c>
      <c r="H1216" s="93" t="s">
        <v>891</v>
      </c>
      <c r="I1216" s="93">
        <v>2397.5457928860201</v>
      </c>
      <c r="J1216" s="93" t="s">
        <v>892</v>
      </c>
      <c r="K1216" s="93" t="s">
        <v>893</v>
      </c>
      <c r="L1216" s="93" t="s">
        <v>894</v>
      </c>
      <c r="M1216" s="93" t="s">
        <v>895</v>
      </c>
      <c r="N1216" s="95">
        <v>0.01</v>
      </c>
      <c r="O1216" s="95">
        <v>0.01</v>
      </c>
      <c r="P1216" s="95">
        <v>0.2</v>
      </c>
      <c r="Q1216" s="95">
        <v>0.74</v>
      </c>
      <c r="R1216" s="96">
        <v>0.03</v>
      </c>
    </row>
    <row r="1217" spans="1:18" ht="15" hidden="1" customHeight="1" x14ac:dyDescent="0.3">
      <c r="A1217" s="89">
        <v>2021</v>
      </c>
      <c r="B1217" s="90">
        <v>12</v>
      </c>
      <c r="C1217" s="90" t="s">
        <v>733</v>
      </c>
      <c r="D1217" s="90" t="s">
        <v>722</v>
      </c>
      <c r="E1217" s="91" t="s">
        <v>11</v>
      </c>
      <c r="F1217" s="92" t="s">
        <v>26</v>
      </c>
      <c r="G1217" s="93" t="s">
        <v>896</v>
      </c>
      <c r="H1217" s="93" t="s">
        <v>897</v>
      </c>
      <c r="I1217" s="93">
        <v>2397.5457928860201</v>
      </c>
      <c r="J1217" s="93" t="s">
        <v>898</v>
      </c>
      <c r="K1217" s="93" t="s">
        <v>899</v>
      </c>
      <c r="L1217" s="93" t="s">
        <v>900</v>
      </c>
      <c r="M1217" s="93" t="s">
        <v>745</v>
      </c>
      <c r="N1217" s="95">
        <v>0.13</v>
      </c>
      <c r="O1217" s="95">
        <v>0.38</v>
      </c>
      <c r="P1217" s="95">
        <v>0.38</v>
      </c>
      <c r="Q1217" s="95">
        <v>0.11</v>
      </c>
      <c r="R1217" s="96">
        <v>0</v>
      </c>
    </row>
    <row r="1218" spans="1:18" ht="15" hidden="1" customHeight="1" x14ac:dyDescent="0.3">
      <c r="A1218" s="89">
        <v>2021</v>
      </c>
      <c r="B1218" s="90">
        <v>12</v>
      </c>
      <c r="C1218" s="90" t="s">
        <v>733</v>
      </c>
      <c r="D1218" s="90" t="s">
        <v>722</v>
      </c>
      <c r="E1218" s="91" t="s">
        <v>11</v>
      </c>
      <c r="F1218" s="92" t="s">
        <v>12</v>
      </c>
      <c r="G1218" s="93" t="s">
        <v>901</v>
      </c>
      <c r="H1218" s="93" t="s">
        <v>902</v>
      </c>
      <c r="I1218" s="93">
        <v>2397.5457928860201</v>
      </c>
      <c r="J1218" s="93" t="s">
        <v>903</v>
      </c>
      <c r="K1218" s="93" t="s">
        <v>904</v>
      </c>
      <c r="L1218" s="93" t="s">
        <v>905</v>
      </c>
      <c r="M1218" s="93" t="s">
        <v>739</v>
      </c>
      <c r="N1218" s="95">
        <v>0.08</v>
      </c>
      <c r="O1218" s="95">
        <v>0.41</v>
      </c>
      <c r="P1218" s="95">
        <v>0.44</v>
      </c>
      <c r="Q1218" s="95">
        <v>7.0000000000000007E-2</v>
      </c>
      <c r="R1218" s="96">
        <v>0</v>
      </c>
    </row>
    <row r="1219" spans="1:18" ht="15" hidden="1" customHeight="1" x14ac:dyDescent="0.3">
      <c r="A1219" s="89">
        <v>2021</v>
      </c>
      <c r="B1219" s="90">
        <v>12</v>
      </c>
      <c r="C1219" s="90" t="s">
        <v>733</v>
      </c>
      <c r="D1219" s="90" t="s">
        <v>722</v>
      </c>
      <c r="E1219" s="91" t="s">
        <v>11</v>
      </c>
      <c r="F1219" s="92" t="s">
        <v>27</v>
      </c>
      <c r="G1219" s="93" t="s">
        <v>906</v>
      </c>
      <c r="H1219" s="93" t="s">
        <v>907</v>
      </c>
      <c r="I1219" s="93">
        <v>2397.5457928860201</v>
      </c>
      <c r="J1219" s="93" t="s">
        <v>908</v>
      </c>
      <c r="K1219" s="93" t="s">
        <v>909</v>
      </c>
      <c r="L1219" s="93" t="s">
        <v>910</v>
      </c>
      <c r="M1219" s="93" t="s">
        <v>751</v>
      </c>
      <c r="N1219" s="95">
        <v>0</v>
      </c>
      <c r="O1219" s="95">
        <v>0.3</v>
      </c>
      <c r="P1219" s="95">
        <v>0.61</v>
      </c>
      <c r="Q1219" s="95">
        <v>0.08</v>
      </c>
      <c r="R1219" s="96">
        <v>0</v>
      </c>
    </row>
    <row r="1220" spans="1:18" ht="15" hidden="1" customHeight="1" x14ac:dyDescent="0.3">
      <c r="A1220" s="89">
        <v>2021</v>
      </c>
      <c r="B1220" s="90">
        <v>12</v>
      </c>
      <c r="C1220" s="90" t="s">
        <v>733</v>
      </c>
      <c r="D1220" s="90" t="s">
        <v>722</v>
      </c>
      <c r="E1220" s="91" t="s">
        <v>11</v>
      </c>
      <c r="F1220" s="92" t="s">
        <v>28</v>
      </c>
      <c r="G1220" s="93" t="s">
        <v>911</v>
      </c>
      <c r="H1220" s="93" t="s">
        <v>912</v>
      </c>
      <c r="I1220" s="93">
        <v>2397.5457928860201</v>
      </c>
      <c r="J1220" s="93" t="s">
        <v>913</v>
      </c>
      <c r="K1220" s="93" t="s">
        <v>914</v>
      </c>
      <c r="L1220" s="93" t="s">
        <v>915</v>
      </c>
      <c r="M1220" s="93" t="s">
        <v>757</v>
      </c>
      <c r="N1220" s="95">
        <v>0.01</v>
      </c>
      <c r="O1220" s="95">
        <v>0.06</v>
      </c>
      <c r="P1220" s="95">
        <v>0.46</v>
      </c>
      <c r="Q1220" s="95">
        <v>0.42</v>
      </c>
      <c r="R1220" s="96">
        <v>0.04</v>
      </c>
    </row>
    <row r="1221" spans="1:18" ht="15" customHeight="1" x14ac:dyDescent="0.3">
      <c r="A1221" s="89">
        <v>2021</v>
      </c>
      <c r="B1221" s="90">
        <v>12</v>
      </c>
      <c r="C1221" s="90" t="s">
        <v>733</v>
      </c>
      <c r="D1221" s="90" t="s">
        <v>722</v>
      </c>
      <c r="E1221" s="91" t="s">
        <v>11</v>
      </c>
      <c r="F1221" s="92" t="s">
        <v>29</v>
      </c>
      <c r="G1221" s="93" t="s">
        <v>916</v>
      </c>
      <c r="H1221" s="93" t="s">
        <v>917</v>
      </c>
      <c r="I1221" s="93">
        <v>2397.5457928860201</v>
      </c>
      <c r="J1221" s="93" t="s">
        <v>918</v>
      </c>
      <c r="K1221" s="93" t="s">
        <v>919</v>
      </c>
      <c r="L1221" s="93" t="s">
        <v>920</v>
      </c>
      <c r="M1221" s="93" t="s">
        <v>763</v>
      </c>
      <c r="N1221" s="95">
        <v>0.14000000000000001</v>
      </c>
      <c r="O1221" s="95">
        <v>0.4</v>
      </c>
      <c r="P1221" s="95">
        <v>0.36</v>
      </c>
      <c r="Q1221" s="95">
        <v>0.09</v>
      </c>
      <c r="R1221" s="96">
        <v>0</v>
      </c>
    </row>
    <row r="1222" spans="1:18" ht="15" hidden="1" customHeight="1" x14ac:dyDescent="0.3">
      <c r="A1222" s="89">
        <v>2021</v>
      </c>
      <c r="B1222" s="90">
        <v>12</v>
      </c>
      <c r="C1222" s="90" t="s">
        <v>733</v>
      </c>
      <c r="D1222" s="90" t="s">
        <v>722</v>
      </c>
      <c r="E1222" s="91" t="s">
        <v>11</v>
      </c>
      <c r="F1222" s="92" t="s">
        <v>30</v>
      </c>
      <c r="G1222" s="93" t="s">
        <v>921</v>
      </c>
      <c r="H1222" s="93" t="s">
        <v>922</v>
      </c>
      <c r="I1222" s="93">
        <v>2397.5457928860201</v>
      </c>
      <c r="J1222" s="93" t="s">
        <v>923</v>
      </c>
      <c r="K1222" s="93" t="s">
        <v>924</v>
      </c>
      <c r="L1222" s="93" t="s">
        <v>925</v>
      </c>
      <c r="M1222" s="93" t="s">
        <v>769</v>
      </c>
      <c r="N1222" s="95">
        <v>0.11</v>
      </c>
      <c r="O1222" s="95">
        <v>0.4</v>
      </c>
      <c r="P1222" s="95">
        <v>0.35</v>
      </c>
      <c r="Q1222" s="95">
        <v>0.12</v>
      </c>
      <c r="R1222" s="96">
        <v>0.02</v>
      </c>
    </row>
    <row r="1223" spans="1:18" ht="15" hidden="1" customHeight="1" x14ac:dyDescent="0.3">
      <c r="A1223" s="89">
        <v>2021</v>
      </c>
      <c r="B1223" s="90">
        <v>12</v>
      </c>
      <c r="C1223" s="90" t="s">
        <v>733</v>
      </c>
      <c r="D1223" s="90" t="s">
        <v>722</v>
      </c>
      <c r="E1223" s="91" t="s">
        <v>11</v>
      </c>
      <c r="F1223" s="92" t="s">
        <v>31</v>
      </c>
      <c r="G1223" s="93" t="s">
        <v>926</v>
      </c>
      <c r="H1223" s="93" t="s">
        <v>927</v>
      </c>
      <c r="I1223" s="93">
        <v>2397.5457928860201</v>
      </c>
      <c r="J1223" s="93" t="s">
        <v>928</v>
      </c>
      <c r="K1223" s="93" t="s">
        <v>929</v>
      </c>
      <c r="L1223" s="93" t="s">
        <v>930</v>
      </c>
      <c r="M1223" s="93" t="s">
        <v>775</v>
      </c>
      <c r="N1223" s="95">
        <v>0</v>
      </c>
      <c r="O1223" s="95">
        <v>0.12</v>
      </c>
      <c r="P1223" s="95">
        <v>0.28000000000000003</v>
      </c>
      <c r="Q1223" s="95">
        <v>0.37</v>
      </c>
      <c r="R1223" s="96">
        <v>0.23</v>
      </c>
    </row>
    <row r="1224" spans="1:18" ht="15" hidden="1" customHeight="1" x14ac:dyDescent="0.3">
      <c r="A1224" s="89">
        <v>2021</v>
      </c>
      <c r="B1224" s="90">
        <v>12</v>
      </c>
      <c r="C1224" s="90" t="s">
        <v>733</v>
      </c>
      <c r="D1224" s="90" t="s">
        <v>722</v>
      </c>
      <c r="E1224" s="91" t="s">
        <v>11</v>
      </c>
      <c r="F1224" s="92" t="s">
        <v>32</v>
      </c>
      <c r="G1224" s="93" t="s">
        <v>931</v>
      </c>
      <c r="H1224" s="93" t="s">
        <v>932</v>
      </c>
      <c r="I1224" s="93">
        <v>2397.5457928860201</v>
      </c>
      <c r="J1224" s="93" t="s">
        <v>933</v>
      </c>
      <c r="K1224" s="93" t="s">
        <v>934</v>
      </c>
      <c r="L1224" s="93" t="s">
        <v>935</v>
      </c>
      <c r="M1224" s="93" t="s">
        <v>781</v>
      </c>
      <c r="N1224" s="95">
        <v>0.03</v>
      </c>
      <c r="O1224" s="95">
        <v>0.35</v>
      </c>
      <c r="P1224" s="95">
        <v>0.55000000000000004</v>
      </c>
      <c r="Q1224" s="95">
        <v>7.0000000000000007E-2</v>
      </c>
      <c r="R1224" s="96">
        <v>0</v>
      </c>
    </row>
    <row r="1225" spans="1:18" ht="15" hidden="1" customHeight="1" x14ac:dyDescent="0.3">
      <c r="A1225" s="89">
        <v>2021</v>
      </c>
      <c r="B1225" s="90">
        <v>12</v>
      </c>
      <c r="C1225" s="90" t="s">
        <v>733</v>
      </c>
      <c r="D1225" s="90" t="s">
        <v>722</v>
      </c>
      <c r="E1225" s="91" t="s">
        <v>11</v>
      </c>
      <c r="F1225" s="92" t="s">
        <v>33</v>
      </c>
      <c r="G1225" s="93" t="s">
        <v>936</v>
      </c>
      <c r="H1225" s="93" t="s">
        <v>937</v>
      </c>
      <c r="I1225" s="93">
        <v>2397.5457928860201</v>
      </c>
      <c r="J1225" s="93" t="s">
        <v>938</v>
      </c>
      <c r="K1225" s="93" t="s">
        <v>939</v>
      </c>
      <c r="L1225" s="93" t="s">
        <v>940</v>
      </c>
      <c r="M1225" s="93" t="s">
        <v>787</v>
      </c>
      <c r="N1225" s="95">
        <v>0.08</v>
      </c>
      <c r="O1225" s="95">
        <v>0.28000000000000003</v>
      </c>
      <c r="P1225" s="95">
        <v>0.53</v>
      </c>
      <c r="Q1225" s="95">
        <v>0.12</v>
      </c>
      <c r="R1225" s="96">
        <v>0</v>
      </c>
    </row>
    <row r="1226" spans="1:18" ht="15" hidden="1" customHeight="1" x14ac:dyDescent="0.3">
      <c r="A1226" s="89">
        <v>2021</v>
      </c>
      <c r="B1226" s="90">
        <v>12</v>
      </c>
      <c r="C1226" s="90" t="s">
        <v>733</v>
      </c>
      <c r="D1226" s="90" t="s">
        <v>722</v>
      </c>
      <c r="E1226" s="91" t="s">
        <v>11</v>
      </c>
      <c r="F1226" s="92" t="s">
        <v>34</v>
      </c>
      <c r="G1226" s="93" t="s">
        <v>941</v>
      </c>
      <c r="H1226" s="93" t="s">
        <v>942</v>
      </c>
      <c r="I1226" s="93">
        <v>2397.5457928860201</v>
      </c>
      <c r="J1226" s="93" t="s">
        <v>943</v>
      </c>
      <c r="K1226" s="93" t="s">
        <v>944</v>
      </c>
      <c r="L1226" s="93" t="s">
        <v>945</v>
      </c>
      <c r="M1226" s="93" t="s">
        <v>793</v>
      </c>
      <c r="N1226" s="95">
        <v>0.04</v>
      </c>
      <c r="O1226" s="95">
        <v>0.28000000000000003</v>
      </c>
      <c r="P1226" s="95">
        <v>0.56000000000000005</v>
      </c>
      <c r="Q1226" s="95">
        <v>0.11</v>
      </c>
      <c r="R1226" s="96">
        <v>0</v>
      </c>
    </row>
    <row r="1227" spans="1:18" ht="15" hidden="1" customHeight="1" x14ac:dyDescent="0.3">
      <c r="A1227" s="89">
        <v>2021</v>
      </c>
      <c r="B1227" s="90">
        <v>12</v>
      </c>
      <c r="C1227" s="90" t="s">
        <v>733</v>
      </c>
      <c r="D1227" s="90" t="s">
        <v>722</v>
      </c>
      <c r="E1227" s="91" t="s">
        <v>11</v>
      </c>
      <c r="F1227" s="92" t="s">
        <v>35</v>
      </c>
      <c r="G1227" s="93" t="s">
        <v>946</v>
      </c>
      <c r="H1227" s="93" t="s">
        <v>947</v>
      </c>
      <c r="I1227" s="93">
        <v>2397.5457928860201</v>
      </c>
      <c r="J1227" s="93" t="s">
        <v>948</v>
      </c>
      <c r="K1227" s="93" t="s">
        <v>949</v>
      </c>
      <c r="L1227" s="93" t="s">
        <v>950</v>
      </c>
      <c r="M1227" s="93" t="s">
        <v>799</v>
      </c>
      <c r="N1227" s="95">
        <v>0.1</v>
      </c>
      <c r="O1227" s="95">
        <v>0.32</v>
      </c>
      <c r="P1227" s="95">
        <v>0.27</v>
      </c>
      <c r="Q1227" s="95">
        <v>0.27</v>
      </c>
      <c r="R1227" s="96">
        <v>0.03</v>
      </c>
    </row>
    <row r="1228" spans="1:18" ht="15" hidden="1" customHeight="1" x14ac:dyDescent="0.3">
      <c r="A1228" s="89">
        <v>2021</v>
      </c>
      <c r="B1228" s="90">
        <v>12</v>
      </c>
      <c r="C1228" s="90" t="s">
        <v>733</v>
      </c>
      <c r="D1228" s="90" t="s">
        <v>722</v>
      </c>
      <c r="E1228" s="91" t="s">
        <v>11</v>
      </c>
      <c r="F1228" s="92" t="s">
        <v>36</v>
      </c>
      <c r="G1228" s="93" t="s">
        <v>951</v>
      </c>
      <c r="H1228" s="93" t="s">
        <v>952</v>
      </c>
      <c r="I1228" s="93">
        <v>2397.5457928860201</v>
      </c>
      <c r="J1228" s="93" t="s">
        <v>953</v>
      </c>
      <c r="K1228" s="93" t="s">
        <v>954</v>
      </c>
      <c r="L1228" s="93" t="s">
        <v>955</v>
      </c>
      <c r="M1228" s="93" t="s">
        <v>805</v>
      </c>
      <c r="N1228" s="95">
        <v>0.02</v>
      </c>
      <c r="O1228" s="95">
        <v>0.06</v>
      </c>
      <c r="P1228" s="95">
        <v>0.41</v>
      </c>
      <c r="Q1228" s="95">
        <v>0.5</v>
      </c>
      <c r="R1228" s="96">
        <v>0</v>
      </c>
    </row>
    <row r="1229" spans="1:18" ht="15" hidden="1" customHeight="1" x14ac:dyDescent="0.3">
      <c r="A1229" s="89">
        <v>2021</v>
      </c>
      <c r="B1229" s="90">
        <v>12</v>
      </c>
      <c r="C1229" s="90" t="s">
        <v>733</v>
      </c>
      <c r="D1229" s="90" t="s">
        <v>722</v>
      </c>
      <c r="E1229" s="91" t="s">
        <v>11</v>
      </c>
      <c r="F1229" s="92" t="s">
        <v>37</v>
      </c>
      <c r="G1229" s="93" t="s">
        <v>956</v>
      </c>
      <c r="H1229" s="93" t="s">
        <v>957</v>
      </c>
      <c r="I1229" s="93">
        <v>2397.5457928860201</v>
      </c>
      <c r="J1229" s="93" t="s">
        <v>958</v>
      </c>
      <c r="K1229" s="93" t="s">
        <v>959</v>
      </c>
      <c r="L1229" s="93" t="s">
        <v>960</v>
      </c>
      <c r="M1229" s="93" t="s">
        <v>811</v>
      </c>
      <c r="N1229" s="95">
        <v>0.11</v>
      </c>
      <c r="O1229" s="95">
        <v>0.43</v>
      </c>
      <c r="P1229" s="95">
        <v>0.38</v>
      </c>
      <c r="Q1229" s="95">
        <v>7.0000000000000007E-2</v>
      </c>
      <c r="R1229" s="96">
        <v>0</v>
      </c>
    </row>
    <row r="1230" spans="1:18" ht="15" hidden="1" customHeight="1" x14ac:dyDescent="0.3">
      <c r="A1230" s="89">
        <v>2021</v>
      </c>
      <c r="B1230" s="90">
        <v>12</v>
      </c>
      <c r="C1230" s="90" t="s">
        <v>733</v>
      </c>
      <c r="D1230" s="90" t="s">
        <v>722</v>
      </c>
      <c r="E1230" s="91" t="s">
        <v>11</v>
      </c>
      <c r="F1230" s="92" t="s">
        <v>720</v>
      </c>
      <c r="G1230" s="93" t="s">
        <v>961</v>
      </c>
      <c r="H1230" s="93" t="s">
        <v>962</v>
      </c>
      <c r="I1230" s="93">
        <v>2397.5457928860201</v>
      </c>
      <c r="J1230" s="93" t="s">
        <v>963</v>
      </c>
      <c r="K1230" s="93" t="s">
        <v>964</v>
      </c>
      <c r="L1230" s="93" t="s">
        <v>965</v>
      </c>
      <c r="M1230" s="93" t="s">
        <v>817</v>
      </c>
      <c r="N1230" s="95">
        <v>0.1</v>
      </c>
      <c r="O1230" s="95">
        <v>0.17</v>
      </c>
      <c r="P1230" s="95">
        <v>0.47</v>
      </c>
      <c r="Q1230" s="95">
        <v>0.25</v>
      </c>
      <c r="R1230" s="96">
        <v>0.02</v>
      </c>
    </row>
    <row r="1231" spans="1:18" ht="15" hidden="1" customHeight="1" x14ac:dyDescent="0.3">
      <c r="A1231" s="89">
        <v>2021</v>
      </c>
      <c r="B1231" s="90">
        <v>12</v>
      </c>
      <c r="C1231" s="90" t="s">
        <v>733</v>
      </c>
      <c r="D1231" s="90" t="s">
        <v>722</v>
      </c>
      <c r="E1231" s="91" t="s">
        <v>11</v>
      </c>
      <c r="F1231" s="92" t="s">
        <v>39</v>
      </c>
      <c r="G1231" s="93" t="s">
        <v>966</v>
      </c>
      <c r="H1231" s="93" t="s">
        <v>967</v>
      </c>
      <c r="I1231" s="93">
        <v>2397.5457928860201</v>
      </c>
      <c r="J1231" s="93" t="s">
        <v>968</v>
      </c>
      <c r="K1231" s="93" t="s">
        <v>969</v>
      </c>
      <c r="L1231" s="93" t="s">
        <v>970</v>
      </c>
      <c r="M1231" s="93" t="s">
        <v>823</v>
      </c>
      <c r="N1231" s="95">
        <v>0.01</v>
      </c>
      <c r="O1231" s="95">
        <v>0.19</v>
      </c>
      <c r="P1231" s="95">
        <v>0.72</v>
      </c>
      <c r="Q1231" s="95">
        <v>0.08</v>
      </c>
      <c r="R1231" s="96">
        <v>0</v>
      </c>
    </row>
    <row r="1232" spans="1:18" ht="15" hidden="1" customHeight="1" x14ac:dyDescent="0.3">
      <c r="A1232" s="89">
        <v>2021</v>
      </c>
      <c r="B1232" s="90">
        <v>12</v>
      </c>
      <c r="C1232" s="90" t="s">
        <v>733</v>
      </c>
      <c r="D1232" s="90" t="s">
        <v>722</v>
      </c>
      <c r="E1232" s="91" t="s">
        <v>11</v>
      </c>
      <c r="F1232" s="92" t="s">
        <v>41</v>
      </c>
      <c r="G1232" s="93" t="s">
        <v>971</v>
      </c>
      <c r="H1232" s="93" t="s">
        <v>972</v>
      </c>
      <c r="I1232" s="93">
        <v>2397.5457928860201</v>
      </c>
      <c r="J1232" s="93" t="s">
        <v>973</v>
      </c>
      <c r="K1232" s="93" t="s">
        <v>974</v>
      </c>
      <c r="L1232" s="93" t="s">
        <v>975</v>
      </c>
      <c r="M1232" s="93" t="s">
        <v>835</v>
      </c>
      <c r="N1232" s="95">
        <v>0.35</v>
      </c>
      <c r="O1232" s="95">
        <v>0.52</v>
      </c>
      <c r="P1232" s="95">
        <v>0.11</v>
      </c>
      <c r="Q1232" s="95">
        <v>0.02</v>
      </c>
      <c r="R1232" s="96">
        <v>0</v>
      </c>
    </row>
    <row r="1233" spans="1:18" ht="15" hidden="1" customHeight="1" x14ac:dyDescent="0.3">
      <c r="A1233" s="89">
        <v>2021</v>
      </c>
      <c r="B1233" s="90">
        <v>12</v>
      </c>
      <c r="C1233" s="90" t="s">
        <v>733</v>
      </c>
      <c r="D1233" s="90" t="s">
        <v>722</v>
      </c>
      <c r="E1233" s="91" t="s">
        <v>11</v>
      </c>
      <c r="F1233" s="92" t="s">
        <v>42</v>
      </c>
      <c r="G1233" s="93" t="s">
        <v>976</v>
      </c>
      <c r="H1233" s="93" t="s">
        <v>977</v>
      </c>
      <c r="I1233" s="93">
        <v>2397.5457928860201</v>
      </c>
      <c r="J1233" s="93" t="s">
        <v>978</v>
      </c>
      <c r="K1233" s="93" t="s">
        <v>979</v>
      </c>
      <c r="L1233" s="93" t="s">
        <v>980</v>
      </c>
      <c r="M1233" s="93" t="s">
        <v>841</v>
      </c>
      <c r="N1233" s="95">
        <v>0.03</v>
      </c>
      <c r="O1233" s="95">
        <v>0.17</v>
      </c>
      <c r="P1233" s="95">
        <v>0.38</v>
      </c>
      <c r="Q1233" s="95">
        <v>0.36</v>
      </c>
      <c r="R1233" s="96">
        <v>0.06</v>
      </c>
    </row>
    <row r="1234" spans="1:18" ht="15" hidden="1" customHeight="1" x14ac:dyDescent="0.3">
      <c r="A1234" s="89">
        <v>2021</v>
      </c>
      <c r="B1234" s="90">
        <v>12</v>
      </c>
      <c r="C1234" s="90" t="s">
        <v>733</v>
      </c>
      <c r="D1234" s="90" t="s">
        <v>722</v>
      </c>
      <c r="E1234" s="91" t="s">
        <v>11</v>
      </c>
      <c r="F1234" s="92" t="s">
        <v>43</v>
      </c>
      <c r="G1234" s="93" t="s">
        <v>981</v>
      </c>
      <c r="H1234" s="93" t="s">
        <v>982</v>
      </c>
      <c r="I1234" s="93">
        <v>2397.5457928860201</v>
      </c>
      <c r="J1234" s="93" t="s">
        <v>983</v>
      </c>
      <c r="K1234" s="93" t="s">
        <v>984</v>
      </c>
      <c r="L1234" s="93" t="s">
        <v>985</v>
      </c>
      <c r="M1234" s="93" t="s">
        <v>847</v>
      </c>
      <c r="N1234" s="95">
        <v>0.08</v>
      </c>
      <c r="O1234" s="95">
        <v>0.22</v>
      </c>
      <c r="P1234" s="95">
        <v>0.26</v>
      </c>
      <c r="Q1234" s="95">
        <v>0.33</v>
      </c>
      <c r="R1234" s="96">
        <v>0.11</v>
      </c>
    </row>
    <row r="1235" spans="1:18" ht="15" hidden="1" customHeight="1" x14ac:dyDescent="0.3">
      <c r="A1235" s="89">
        <v>2021</v>
      </c>
      <c r="B1235" s="90">
        <v>12</v>
      </c>
      <c r="C1235" s="90" t="s">
        <v>733</v>
      </c>
      <c r="D1235" s="90" t="s">
        <v>722</v>
      </c>
      <c r="E1235" s="91" t="s">
        <v>11</v>
      </c>
      <c r="F1235" s="92" t="s">
        <v>58</v>
      </c>
      <c r="G1235" s="93" t="s">
        <v>986</v>
      </c>
      <c r="H1235" s="93" t="s">
        <v>987</v>
      </c>
      <c r="I1235" s="93">
        <v>2397.5457928860201</v>
      </c>
      <c r="J1235" s="93" t="s">
        <v>988</v>
      </c>
      <c r="K1235" s="93" t="s">
        <v>989</v>
      </c>
      <c r="L1235" s="93" t="s">
        <v>990</v>
      </c>
      <c r="M1235" s="93" t="s">
        <v>853</v>
      </c>
      <c r="N1235" s="95">
        <v>0.01</v>
      </c>
      <c r="O1235" s="95">
        <v>0.19</v>
      </c>
      <c r="P1235" s="95">
        <v>0.67</v>
      </c>
      <c r="Q1235" s="95">
        <v>0.14000000000000001</v>
      </c>
      <c r="R1235" s="96">
        <v>0</v>
      </c>
    </row>
    <row r="1236" spans="1:18" ht="15" hidden="1" customHeight="1" x14ac:dyDescent="0.3">
      <c r="A1236" s="89">
        <v>2021</v>
      </c>
      <c r="B1236" s="90">
        <v>12</v>
      </c>
      <c r="C1236" s="90" t="s">
        <v>733</v>
      </c>
      <c r="D1236" s="90" t="s">
        <v>722</v>
      </c>
      <c r="E1236" s="91" t="s">
        <v>11</v>
      </c>
      <c r="F1236" s="92" t="s">
        <v>44</v>
      </c>
      <c r="G1236" s="93" t="s">
        <v>991</v>
      </c>
      <c r="H1236" s="93" t="s">
        <v>992</v>
      </c>
      <c r="I1236" s="93">
        <v>2397.5457928860201</v>
      </c>
      <c r="J1236" s="93" t="s">
        <v>993</v>
      </c>
      <c r="K1236" s="93" t="s">
        <v>994</v>
      </c>
      <c r="L1236" s="93" t="s">
        <v>995</v>
      </c>
      <c r="M1236" s="93" t="s">
        <v>859</v>
      </c>
      <c r="N1236" s="95">
        <v>0.02</v>
      </c>
      <c r="O1236" s="95">
        <v>0.04</v>
      </c>
      <c r="P1236" s="95">
        <v>0.16</v>
      </c>
      <c r="Q1236" s="95">
        <v>0.6</v>
      </c>
      <c r="R1236" s="96">
        <v>0.19</v>
      </c>
    </row>
    <row r="1237" spans="1:18" ht="15" hidden="1" customHeight="1" x14ac:dyDescent="0.3">
      <c r="A1237" s="89">
        <v>2021</v>
      </c>
      <c r="B1237" s="90">
        <v>12</v>
      </c>
      <c r="C1237" s="90" t="s">
        <v>733</v>
      </c>
      <c r="D1237" s="90" t="s">
        <v>722</v>
      </c>
      <c r="E1237" s="91" t="s">
        <v>11</v>
      </c>
      <c r="F1237" s="92" t="s">
        <v>51</v>
      </c>
      <c r="G1237" s="93" t="s">
        <v>996</v>
      </c>
      <c r="H1237" s="93" t="s">
        <v>997</v>
      </c>
      <c r="I1237" s="93">
        <v>2397.5457928860201</v>
      </c>
      <c r="J1237" s="93" t="s">
        <v>998</v>
      </c>
      <c r="K1237" s="93" t="s">
        <v>999</v>
      </c>
      <c r="L1237" s="93" t="s">
        <v>1000</v>
      </c>
      <c r="M1237" s="93" t="s">
        <v>865</v>
      </c>
      <c r="N1237" s="95">
        <v>0.02</v>
      </c>
      <c r="O1237" s="95">
        <v>0.09</v>
      </c>
      <c r="P1237" s="95">
        <v>0.41</v>
      </c>
      <c r="Q1237" s="95">
        <v>0.34</v>
      </c>
      <c r="R1237" s="96">
        <v>0.15</v>
      </c>
    </row>
    <row r="1238" spans="1:18" ht="15" hidden="1" customHeight="1" x14ac:dyDescent="0.3">
      <c r="A1238" s="89">
        <v>2021</v>
      </c>
      <c r="B1238" s="90">
        <v>12</v>
      </c>
      <c r="C1238" s="90" t="s">
        <v>733</v>
      </c>
      <c r="D1238" s="90" t="s">
        <v>722</v>
      </c>
      <c r="E1238" s="91" t="s">
        <v>11</v>
      </c>
      <c r="F1238" s="92" t="s">
        <v>45</v>
      </c>
      <c r="G1238" s="93" t="s">
        <v>1001</v>
      </c>
      <c r="H1238" s="93" t="s">
        <v>1002</v>
      </c>
      <c r="I1238" s="93">
        <v>2397.5457928860201</v>
      </c>
      <c r="J1238" s="93" t="s">
        <v>1003</v>
      </c>
      <c r="K1238" s="93" t="s">
        <v>1004</v>
      </c>
      <c r="L1238" s="93" t="s">
        <v>1005</v>
      </c>
      <c r="M1238" s="93" t="s">
        <v>871</v>
      </c>
      <c r="N1238" s="95">
        <v>0.12</v>
      </c>
      <c r="O1238" s="95">
        <v>0.28000000000000003</v>
      </c>
      <c r="P1238" s="95">
        <v>0.48</v>
      </c>
      <c r="Q1238" s="95">
        <v>0.11</v>
      </c>
      <c r="R1238" s="96">
        <v>0</v>
      </c>
    </row>
    <row r="1239" spans="1:18" ht="15" hidden="1" customHeight="1" x14ac:dyDescent="0.3">
      <c r="A1239" s="89">
        <v>2021</v>
      </c>
      <c r="B1239" s="90">
        <v>12</v>
      </c>
      <c r="C1239" s="90" t="s">
        <v>733</v>
      </c>
      <c r="D1239" s="90" t="s">
        <v>722</v>
      </c>
      <c r="E1239" s="91" t="s">
        <v>11</v>
      </c>
      <c r="F1239" s="92" t="s">
        <v>721</v>
      </c>
      <c r="G1239" s="93" t="s">
        <v>1006</v>
      </c>
      <c r="H1239" s="93" t="s">
        <v>1007</v>
      </c>
      <c r="I1239" s="93">
        <v>2397.5457928860201</v>
      </c>
      <c r="J1239" s="93" t="s">
        <v>1008</v>
      </c>
      <c r="K1239" s="93" t="s">
        <v>1009</v>
      </c>
      <c r="L1239" s="93" t="s">
        <v>1010</v>
      </c>
      <c r="M1239" s="93" t="s">
        <v>877</v>
      </c>
      <c r="N1239" s="95">
        <v>0.01</v>
      </c>
      <c r="O1239" s="95">
        <v>0.27</v>
      </c>
      <c r="P1239" s="95">
        <v>0.6</v>
      </c>
      <c r="Q1239" s="95">
        <v>0.12</v>
      </c>
      <c r="R1239" s="96">
        <v>0.01</v>
      </c>
    </row>
    <row r="1240" spans="1:18" ht="15" hidden="1" customHeight="1" x14ac:dyDescent="0.3">
      <c r="A1240" s="89">
        <v>2021</v>
      </c>
      <c r="B1240" s="90">
        <v>12</v>
      </c>
      <c r="C1240" s="90" t="s">
        <v>733</v>
      </c>
      <c r="D1240" s="90" t="s">
        <v>722</v>
      </c>
      <c r="E1240" s="91" t="s">
        <v>11</v>
      </c>
      <c r="F1240" s="92" t="s">
        <v>46</v>
      </c>
      <c r="G1240" s="93" t="s">
        <v>1011</v>
      </c>
      <c r="H1240" s="93" t="s">
        <v>1012</v>
      </c>
      <c r="I1240" s="93">
        <v>2397.5457928860201</v>
      </c>
      <c r="J1240" s="93" t="s">
        <v>1013</v>
      </c>
      <c r="K1240" s="93" t="s">
        <v>1014</v>
      </c>
      <c r="L1240" s="93" t="s">
        <v>1015</v>
      </c>
      <c r="M1240" s="93" t="s">
        <v>883</v>
      </c>
      <c r="N1240" s="95">
        <v>0.05</v>
      </c>
      <c r="O1240" s="95">
        <v>0.21</v>
      </c>
      <c r="P1240" s="95">
        <v>0.44</v>
      </c>
      <c r="Q1240" s="95">
        <v>0.24</v>
      </c>
      <c r="R1240" s="96">
        <v>0.06</v>
      </c>
    </row>
    <row r="1241" spans="1:18" ht="15" hidden="1" customHeight="1" x14ac:dyDescent="0.3">
      <c r="A1241" s="89">
        <v>2021</v>
      </c>
      <c r="B1241" s="90">
        <v>12</v>
      </c>
      <c r="C1241" s="90" t="s">
        <v>733</v>
      </c>
      <c r="D1241" s="90" t="s">
        <v>722</v>
      </c>
      <c r="E1241" s="91" t="s">
        <v>11</v>
      </c>
      <c r="F1241" s="92" t="s">
        <v>47</v>
      </c>
      <c r="G1241" s="93" t="s">
        <v>1016</v>
      </c>
      <c r="H1241" s="93" t="s">
        <v>1017</v>
      </c>
      <c r="I1241" s="93">
        <v>2397.5457928860201</v>
      </c>
      <c r="J1241" s="93" t="s">
        <v>1018</v>
      </c>
      <c r="K1241" s="93" t="s">
        <v>1019</v>
      </c>
      <c r="L1241" s="93" t="s">
        <v>1020</v>
      </c>
      <c r="M1241" s="93" t="s">
        <v>889</v>
      </c>
      <c r="N1241" s="95">
        <v>0.09</v>
      </c>
      <c r="O1241" s="95">
        <v>0.62</v>
      </c>
      <c r="P1241" s="95">
        <v>0.25</v>
      </c>
      <c r="Q1241" s="95">
        <v>0.03</v>
      </c>
      <c r="R1241" s="96">
        <v>0</v>
      </c>
    </row>
    <row r="1242" spans="1:18" ht="15" hidden="1" customHeight="1" x14ac:dyDescent="0.3">
      <c r="A1242" s="89">
        <v>2021</v>
      </c>
      <c r="B1242" s="90">
        <v>12</v>
      </c>
      <c r="C1242" s="90" t="s">
        <v>733</v>
      </c>
      <c r="D1242" s="90" t="s">
        <v>722</v>
      </c>
      <c r="E1242" s="91" t="s">
        <v>11</v>
      </c>
      <c r="F1242" s="92" t="s">
        <v>48</v>
      </c>
      <c r="G1242" s="93" t="s">
        <v>1021</v>
      </c>
      <c r="H1242" s="93" t="s">
        <v>1022</v>
      </c>
      <c r="I1242" s="93">
        <v>2397.5457928860201</v>
      </c>
      <c r="J1242" s="93" t="s">
        <v>1023</v>
      </c>
      <c r="K1242" s="93" t="s">
        <v>1024</v>
      </c>
      <c r="L1242" s="93" t="s">
        <v>1025</v>
      </c>
      <c r="M1242" s="93" t="s">
        <v>895</v>
      </c>
      <c r="N1242" s="95">
        <v>0.01</v>
      </c>
      <c r="O1242" s="95">
        <v>0.21</v>
      </c>
      <c r="P1242" s="95">
        <v>0.69</v>
      </c>
      <c r="Q1242" s="95">
        <v>0.08</v>
      </c>
      <c r="R1242" s="96">
        <v>0</v>
      </c>
    </row>
    <row r="1243" spans="1:18" ht="15" hidden="1" customHeight="1" x14ac:dyDescent="0.3">
      <c r="A1243" s="89">
        <v>2021</v>
      </c>
      <c r="B1243" s="90">
        <v>12</v>
      </c>
      <c r="C1243" s="90" t="s">
        <v>733</v>
      </c>
      <c r="D1243" s="90" t="s">
        <v>722</v>
      </c>
      <c r="E1243" s="91" t="s">
        <v>11</v>
      </c>
      <c r="F1243" s="92" t="s">
        <v>40</v>
      </c>
      <c r="G1243" s="93" t="s">
        <v>1026</v>
      </c>
      <c r="H1243" s="93" t="s">
        <v>1027</v>
      </c>
      <c r="I1243" s="93">
        <v>2397.5457928860201</v>
      </c>
      <c r="J1243" s="93" t="s">
        <v>1028</v>
      </c>
      <c r="K1243" s="93" t="s">
        <v>1029</v>
      </c>
      <c r="L1243" s="93" t="s">
        <v>1030</v>
      </c>
      <c r="M1243" s="93" t="s">
        <v>829</v>
      </c>
      <c r="N1243" s="95">
        <v>0.04</v>
      </c>
      <c r="O1243" s="95">
        <v>0.46</v>
      </c>
      <c r="P1243" s="95">
        <v>0.44</v>
      </c>
      <c r="Q1243" s="95">
        <v>0.06</v>
      </c>
      <c r="R1243" s="96">
        <v>0</v>
      </c>
    </row>
    <row r="1244" spans="1:18" ht="15" hidden="1" customHeight="1" x14ac:dyDescent="0.3">
      <c r="A1244" s="89">
        <v>2022</v>
      </c>
      <c r="B1244" s="90">
        <v>1</v>
      </c>
      <c r="C1244" s="90" t="s">
        <v>718</v>
      </c>
      <c r="D1244" s="90" t="s">
        <v>719</v>
      </c>
      <c r="E1244" s="91" t="s">
        <v>11</v>
      </c>
      <c r="F1244" s="92" t="s">
        <v>26</v>
      </c>
      <c r="G1244" s="93" t="s">
        <v>1031</v>
      </c>
      <c r="H1244" s="93" t="s">
        <v>1032</v>
      </c>
      <c r="I1244" s="93">
        <v>2397.5457928860201</v>
      </c>
      <c r="J1244" s="93" t="s">
        <v>1033</v>
      </c>
      <c r="K1244" s="93" t="s">
        <v>1034</v>
      </c>
      <c r="L1244" s="93" t="s">
        <v>1035</v>
      </c>
      <c r="M1244" s="93" t="s">
        <v>745</v>
      </c>
      <c r="N1244" s="95">
        <v>0.25</v>
      </c>
      <c r="O1244" s="95">
        <v>0.39</v>
      </c>
      <c r="P1244" s="95">
        <v>0.3</v>
      </c>
      <c r="Q1244" s="95">
        <v>0.06</v>
      </c>
      <c r="R1244" s="96">
        <v>0</v>
      </c>
    </row>
    <row r="1245" spans="1:18" ht="15" hidden="1" customHeight="1" x14ac:dyDescent="0.3">
      <c r="A1245" s="89">
        <v>2022</v>
      </c>
      <c r="B1245" s="90">
        <v>1</v>
      </c>
      <c r="C1245" s="90" t="s">
        <v>718</v>
      </c>
      <c r="D1245" s="90" t="s">
        <v>719</v>
      </c>
      <c r="E1245" s="91" t="s">
        <v>11</v>
      </c>
      <c r="F1245" s="92" t="s">
        <v>12</v>
      </c>
      <c r="G1245" s="93" t="s">
        <v>1036</v>
      </c>
      <c r="H1245" s="93" t="s">
        <v>1037</v>
      </c>
      <c r="I1245" s="93">
        <v>2397.5457928860201</v>
      </c>
      <c r="J1245" s="93" t="s">
        <v>1038</v>
      </c>
      <c r="K1245" s="93" t="s">
        <v>1039</v>
      </c>
      <c r="L1245" s="93" t="s">
        <v>1040</v>
      </c>
      <c r="M1245" s="93" t="s">
        <v>739</v>
      </c>
      <c r="N1245" s="95">
        <v>0.11</v>
      </c>
      <c r="O1245" s="95">
        <v>0.41</v>
      </c>
      <c r="P1245" s="95">
        <v>0.42</v>
      </c>
      <c r="Q1245" s="95">
        <v>0.06</v>
      </c>
      <c r="R1245" s="96">
        <v>0</v>
      </c>
    </row>
    <row r="1246" spans="1:18" ht="15" hidden="1" customHeight="1" x14ac:dyDescent="0.3">
      <c r="A1246" s="89">
        <v>2022</v>
      </c>
      <c r="B1246" s="90">
        <v>1</v>
      </c>
      <c r="C1246" s="90" t="s">
        <v>718</v>
      </c>
      <c r="D1246" s="90" t="s">
        <v>719</v>
      </c>
      <c r="E1246" s="91" t="s">
        <v>11</v>
      </c>
      <c r="F1246" s="92" t="s">
        <v>27</v>
      </c>
      <c r="G1246" s="93" t="s">
        <v>1041</v>
      </c>
      <c r="H1246" s="93" t="s">
        <v>1042</v>
      </c>
      <c r="I1246" s="93">
        <v>2397.5457928860201</v>
      </c>
      <c r="J1246" s="93" t="s">
        <v>1043</v>
      </c>
      <c r="K1246" s="93" t="s">
        <v>1044</v>
      </c>
      <c r="L1246" s="93" t="s">
        <v>1045</v>
      </c>
      <c r="M1246" s="93" t="s">
        <v>751</v>
      </c>
      <c r="N1246" s="95">
        <v>0.02</v>
      </c>
      <c r="O1246" s="95">
        <v>0.56000000000000005</v>
      </c>
      <c r="P1246" s="95">
        <v>0.39</v>
      </c>
      <c r="Q1246" s="95">
        <v>0.03</v>
      </c>
      <c r="R1246" s="96">
        <v>0</v>
      </c>
    </row>
    <row r="1247" spans="1:18" ht="15" hidden="1" customHeight="1" x14ac:dyDescent="0.3">
      <c r="A1247" s="89">
        <v>2022</v>
      </c>
      <c r="B1247" s="90">
        <v>1</v>
      </c>
      <c r="C1247" s="90" t="s">
        <v>718</v>
      </c>
      <c r="D1247" s="90" t="s">
        <v>719</v>
      </c>
      <c r="E1247" s="91" t="s">
        <v>11</v>
      </c>
      <c r="F1247" s="92" t="s">
        <v>28</v>
      </c>
      <c r="G1247" s="93" t="s">
        <v>1046</v>
      </c>
      <c r="H1247" s="93" t="s">
        <v>1047</v>
      </c>
      <c r="I1247" s="93">
        <v>2397.5457928860201</v>
      </c>
      <c r="J1247" s="93" t="s">
        <v>1048</v>
      </c>
      <c r="K1247" s="93" t="s">
        <v>1049</v>
      </c>
      <c r="L1247" s="93" t="s">
        <v>1050</v>
      </c>
      <c r="M1247" s="93" t="s">
        <v>757</v>
      </c>
      <c r="N1247" s="95">
        <v>0.03</v>
      </c>
      <c r="O1247" s="95">
        <v>0.22</v>
      </c>
      <c r="P1247" s="95">
        <v>0.61</v>
      </c>
      <c r="Q1247" s="95">
        <v>0.15</v>
      </c>
      <c r="R1247" s="96">
        <v>0</v>
      </c>
    </row>
    <row r="1248" spans="1:18" ht="15" customHeight="1" x14ac:dyDescent="0.3">
      <c r="A1248" s="89">
        <v>2022</v>
      </c>
      <c r="B1248" s="90">
        <v>1</v>
      </c>
      <c r="C1248" s="90" t="s">
        <v>718</v>
      </c>
      <c r="D1248" s="90" t="s">
        <v>719</v>
      </c>
      <c r="E1248" s="91" t="s">
        <v>11</v>
      </c>
      <c r="F1248" s="92" t="s">
        <v>29</v>
      </c>
      <c r="G1248" s="93" t="s">
        <v>1051</v>
      </c>
      <c r="H1248" s="93" t="s">
        <v>1052</v>
      </c>
      <c r="I1248" s="93">
        <v>2397.5457928860201</v>
      </c>
      <c r="J1248" s="93" t="s">
        <v>1053</v>
      </c>
      <c r="K1248" s="93" t="s">
        <v>1054</v>
      </c>
      <c r="L1248" s="93" t="s">
        <v>1055</v>
      </c>
      <c r="M1248" s="93" t="s">
        <v>763</v>
      </c>
      <c r="N1248" s="95">
        <v>0.28000000000000003</v>
      </c>
      <c r="O1248" s="95">
        <v>0.47</v>
      </c>
      <c r="P1248" s="95">
        <v>0.21</v>
      </c>
      <c r="Q1248" s="95">
        <v>0.03</v>
      </c>
      <c r="R1248" s="96">
        <v>0</v>
      </c>
    </row>
    <row r="1249" spans="1:18" ht="15" hidden="1" customHeight="1" x14ac:dyDescent="0.3">
      <c r="A1249" s="89">
        <v>2022</v>
      </c>
      <c r="B1249" s="90">
        <v>1</v>
      </c>
      <c r="C1249" s="90" t="s">
        <v>718</v>
      </c>
      <c r="D1249" s="90" t="s">
        <v>719</v>
      </c>
      <c r="E1249" s="91" t="s">
        <v>11</v>
      </c>
      <c r="F1249" s="92" t="s">
        <v>30</v>
      </c>
      <c r="G1249" s="93" t="s">
        <v>1056</v>
      </c>
      <c r="H1249" s="93" t="s">
        <v>1057</v>
      </c>
      <c r="I1249" s="93">
        <v>2397.5457928860201</v>
      </c>
      <c r="J1249" s="93" t="s">
        <v>1058</v>
      </c>
      <c r="K1249" s="93" t="s">
        <v>1059</v>
      </c>
      <c r="L1249" s="93" t="s">
        <v>1060</v>
      </c>
      <c r="M1249" s="93" t="s">
        <v>769</v>
      </c>
      <c r="N1249" s="95">
        <v>0.2</v>
      </c>
      <c r="O1249" s="95">
        <v>0.52</v>
      </c>
      <c r="P1249" s="95">
        <v>0.21</v>
      </c>
      <c r="Q1249" s="95">
        <v>0.06</v>
      </c>
      <c r="R1249" s="96">
        <v>0</v>
      </c>
    </row>
    <row r="1250" spans="1:18" ht="15" hidden="1" customHeight="1" x14ac:dyDescent="0.3">
      <c r="A1250" s="89">
        <v>2022</v>
      </c>
      <c r="B1250" s="90">
        <v>1</v>
      </c>
      <c r="C1250" s="90" t="s">
        <v>718</v>
      </c>
      <c r="D1250" s="90" t="s">
        <v>719</v>
      </c>
      <c r="E1250" s="91" t="s">
        <v>11</v>
      </c>
      <c r="F1250" s="92" t="s">
        <v>31</v>
      </c>
      <c r="G1250" s="93" t="s">
        <v>1061</v>
      </c>
      <c r="H1250" s="93" t="s">
        <v>1062</v>
      </c>
      <c r="I1250" s="93">
        <v>2397.5457928860201</v>
      </c>
      <c r="J1250" s="93" t="s">
        <v>1063</v>
      </c>
      <c r="K1250" s="93" t="s">
        <v>1064</v>
      </c>
      <c r="L1250" s="93" t="s">
        <v>1065</v>
      </c>
      <c r="M1250" s="93" t="s">
        <v>775</v>
      </c>
      <c r="N1250" s="95">
        <v>0</v>
      </c>
      <c r="O1250" s="95">
        <v>0.1</v>
      </c>
      <c r="P1250" s="95">
        <v>0.32</v>
      </c>
      <c r="Q1250" s="95">
        <v>0.4</v>
      </c>
      <c r="R1250" s="96">
        <v>0.19</v>
      </c>
    </row>
    <row r="1251" spans="1:18" ht="15" hidden="1" customHeight="1" x14ac:dyDescent="0.3">
      <c r="A1251" s="89">
        <v>2022</v>
      </c>
      <c r="B1251" s="90">
        <v>1</v>
      </c>
      <c r="C1251" s="90" t="s">
        <v>718</v>
      </c>
      <c r="D1251" s="90" t="s">
        <v>719</v>
      </c>
      <c r="E1251" s="91" t="s">
        <v>11</v>
      </c>
      <c r="F1251" s="92" t="s">
        <v>32</v>
      </c>
      <c r="G1251" s="93" t="s">
        <v>1066</v>
      </c>
      <c r="H1251" s="93" t="s">
        <v>1067</v>
      </c>
      <c r="I1251" s="93">
        <v>2397.5457928860201</v>
      </c>
      <c r="J1251" s="93" t="s">
        <v>1068</v>
      </c>
      <c r="K1251" s="93" t="s">
        <v>1069</v>
      </c>
      <c r="L1251" s="93" t="s">
        <v>1070</v>
      </c>
      <c r="M1251" s="93" t="s">
        <v>781</v>
      </c>
      <c r="N1251" s="95">
        <v>7.0000000000000007E-2</v>
      </c>
      <c r="O1251" s="95">
        <v>0.35</v>
      </c>
      <c r="P1251" s="95">
        <v>0.49</v>
      </c>
      <c r="Q1251" s="95">
        <v>0.09</v>
      </c>
      <c r="R1251" s="96">
        <v>0</v>
      </c>
    </row>
    <row r="1252" spans="1:18" ht="15" hidden="1" customHeight="1" x14ac:dyDescent="0.3">
      <c r="A1252" s="89">
        <v>2022</v>
      </c>
      <c r="B1252" s="90">
        <v>1</v>
      </c>
      <c r="C1252" s="90" t="s">
        <v>718</v>
      </c>
      <c r="D1252" s="90" t="s">
        <v>719</v>
      </c>
      <c r="E1252" s="91" t="s">
        <v>11</v>
      </c>
      <c r="F1252" s="92" t="s">
        <v>33</v>
      </c>
      <c r="G1252" s="93" t="s">
        <v>1071</v>
      </c>
      <c r="H1252" s="93" t="s">
        <v>1072</v>
      </c>
      <c r="I1252" s="93">
        <v>2397.5457928860201</v>
      </c>
      <c r="J1252" s="93" t="s">
        <v>1073</v>
      </c>
      <c r="K1252" s="93" t="s">
        <v>1074</v>
      </c>
      <c r="L1252" s="93" t="s">
        <v>1075</v>
      </c>
      <c r="M1252" s="93" t="s">
        <v>787</v>
      </c>
      <c r="N1252" s="95">
        <v>0.18</v>
      </c>
      <c r="O1252" s="95">
        <v>0.42</v>
      </c>
      <c r="P1252" s="95">
        <v>0.34</v>
      </c>
      <c r="Q1252" s="95">
        <v>0.06</v>
      </c>
      <c r="R1252" s="96">
        <v>0</v>
      </c>
    </row>
    <row r="1253" spans="1:18" ht="15" hidden="1" customHeight="1" x14ac:dyDescent="0.3">
      <c r="A1253" s="89">
        <v>2022</v>
      </c>
      <c r="B1253" s="90">
        <v>1</v>
      </c>
      <c r="C1253" s="90" t="s">
        <v>718</v>
      </c>
      <c r="D1253" s="90" t="s">
        <v>719</v>
      </c>
      <c r="E1253" s="91" t="s">
        <v>11</v>
      </c>
      <c r="F1253" s="92" t="s">
        <v>34</v>
      </c>
      <c r="G1253" s="93" t="s">
        <v>1076</v>
      </c>
      <c r="H1253" s="93" t="s">
        <v>1077</v>
      </c>
      <c r="I1253" s="93">
        <v>2397.5457928860201</v>
      </c>
      <c r="J1253" s="93" t="s">
        <v>1078</v>
      </c>
      <c r="K1253" s="93" t="s">
        <v>1079</v>
      </c>
      <c r="L1253" s="93" t="s">
        <v>1080</v>
      </c>
      <c r="M1253" s="93" t="s">
        <v>793</v>
      </c>
      <c r="N1253" s="95">
        <v>0.09</v>
      </c>
      <c r="O1253" s="95">
        <v>0.4</v>
      </c>
      <c r="P1253" s="95">
        <v>0.43</v>
      </c>
      <c r="Q1253" s="95">
        <v>0.08</v>
      </c>
      <c r="R1253" s="96">
        <v>0</v>
      </c>
    </row>
    <row r="1254" spans="1:18" ht="15" hidden="1" customHeight="1" x14ac:dyDescent="0.3">
      <c r="A1254" s="89">
        <v>2022</v>
      </c>
      <c r="B1254" s="90">
        <v>1</v>
      </c>
      <c r="C1254" s="90" t="s">
        <v>718</v>
      </c>
      <c r="D1254" s="90" t="s">
        <v>719</v>
      </c>
      <c r="E1254" s="91" t="s">
        <v>11</v>
      </c>
      <c r="F1254" s="92" t="s">
        <v>35</v>
      </c>
      <c r="G1254" s="93" t="s">
        <v>1081</v>
      </c>
      <c r="H1254" s="93" t="s">
        <v>1082</v>
      </c>
      <c r="I1254" s="93">
        <v>2397.5457928860201</v>
      </c>
      <c r="J1254" s="93" t="s">
        <v>1083</v>
      </c>
      <c r="K1254" s="93" t="s">
        <v>1084</v>
      </c>
      <c r="L1254" s="93" t="s">
        <v>1085</v>
      </c>
      <c r="M1254" s="93" t="s">
        <v>799</v>
      </c>
      <c r="N1254" s="95">
        <v>0.11</v>
      </c>
      <c r="O1254" s="95">
        <v>0.39</v>
      </c>
      <c r="P1254" s="95">
        <v>0.35</v>
      </c>
      <c r="Q1254" s="95">
        <v>0.15</v>
      </c>
      <c r="R1254" s="96">
        <v>0.01</v>
      </c>
    </row>
    <row r="1255" spans="1:18" ht="15" hidden="1" customHeight="1" x14ac:dyDescent="0.3">
      <c r="A1255" s="89">
        <v>2022</v>
      </c>
      <c r="B1255" s="90">
        <v>1</v>
      </c>
      <c r="C1255" s="90" t="s">
        <v>718</v>
      </c>
      <c r="D1255" s="90" t="s">
        <v>719</v>
      </c>
      <c r="E1255" s="91" t="s">
        <v>11</v>
      </c>
      <c r="F1255" s="92" t="s">
        <v>36</v>
      </c>
      <c r="G1255" s="93" t="s">
        <v>1086</v>
      </c>
      <c r="H1255" s="93" t="s">
        <v>1087</v>
      </c>
      <c r="I1255" s="93">
        <v>2397.5457928860201</v>
      </c>
      <c r="J1255" s="93" t="s">
        <v>1088</v>
      </c>
      <c r="K1255" s="93"/>
      <c r="L1255" s="93" t="s">
        <v>1089</v>
      </c>
      <c r="M1255" s="93" t="s">
        <v>805</v>
      </c>
      <c r="N1255" s="95">
        <v>0.1</v>
      </c>
      <c r="O1255" s="95">
        <v>0.39</v>
      </c>
      <c r="P1255" s="95">
        <v>0.45</v>
      </c>
      <c r="Q1255" s="95">
        <v>0.06</v>
      </c>
      <c r="R1255" s="96">
        <v>0</v>
      </c>
    </row>
    <row r="1256" spans="1:18" ht="15" hidden="1" customHeight="1" x14ac:dyDescent="0.3">
      <c r="A1256" s="89">
        <v>2022</v>
      </c>
      <c r="B1256" s="90">
        <v>1</v>
      </c>
      <c r="C1256" s="90" t="s">
        <v>718</v>
      </c>
      <c r="D1256" s="90" t="s">
        <v>719</v>
      </c>
      <c r="E1256" s="91" t="s">
        <v>11</v>
      </c>
      <c r="F1256" s="92" t="s">
        <v>37</v>
      </c>
      <c r="G1256" s="93" t="s">
        <v>1090</v>
      </c>
      <c r="H1256" s="93" t="s">
        <v>1091</v>
      </c>
      <c r="I1256" s="93">
        <v>2397.5457928860201</v>
      </c>
      <c r="J1256" s="93" t="s">
        <v>1092</v>
      </c>
      <c r="K1256" s="93" t="s">
        <v>1093</v>
      </c>
      <c r="L1256" s="93" t="s">
        <v>1094</v>
      </c>
      <c r="M1256" s="93" t="s">
        <v>811</v>
      </c>
      <c r="N1256" s="95">
        <v>0.28999999999999998</v>
      </c>
      <c r="O1256" s="95">
        <v>0.46</v>
      </c>
      <c r="P1256" s="95">
        <v>0.22</v>
      </c>
      <c r="Q1256" s="95">
        <v>0.04</v>
      </c>
      <c r="R1256" s="96">
        <v>0</v>
      </c>
    </row>
    <row r="1257" spans="1:18" ht="15" hidden="1" customHeight="1" x14ac:dyDescent="0.3">
      <c r="A1257" s="89">
        <v>2022</v>
      </c>
      <c r="B1257" s="90">
        <v>1</v>
      </c>
      <c r="C1257" s="90" t="s">
        <v>718</v>
      </c>
      <c r="D1257" s="90" t="s">
        <v>719</v>
      </c>
      <c r="E1257" s="91" t="s">
        <v>11</v>
      </c>
      <c r="F1257" s="92" t="s">
        <v>720</v>
      </c>
      <c r="G1257" s="93" t="s">
        <v>1095</v>
      </c>
      <c r="H1257" s="93" t="s">
        <v>1096</v>
      </c>
      <c r="I1257" s="93">
        <v>2397.5457928860201</v>
      </c>
      <c r="J1257" s="93" t="s">
        <v>1097</v>
      </c>
      <c r="K1257" s="93" t="s">
        <v>1098</v>
      </c>
      <c r="L1257" s="93" t="s">
        <v>1099</v>
      </c>
      <c r="M1257" s="93" t="s">
        <v>817</v>
      </c>
      <c r="N1257" s="95">
        <v>0.12</v>
      </c>
      <c r="O1257" s="95">
        <v>0.26</v>
      </c>
      <c r="P1257" s="95">
        <v>0.46</v>
      </c>
      <c r="Q1257" s="95">
        <v>0.15</v>
      </c>
      <c r="R1257" s="96">
        <v>0.01</v>
      </c>
    </row>
    <row r="1258" spans="1:18" ht="15" hidden="1" customHeight="1" x14ac:dyDescent="0.3">
      <c r="A1258" s="89">
        <v>2022</v>
      </c>
      <c r="B1258" s="90">
        <v>1</v>
      </c>
      <c r="C1258" s="90" t="s">
        <v>718</v>
      </c>
      <c r="D1258" s="90" t="s">
        <v>719</v>
      </c>
      <c r="E1258" s="91" t="s">
        <v>11</v>
      </c>
      <c r="F1258" s="92" t="s">
        <v>39</v>
      </c>
      <c r="G1258" s="93" t="s">
        <v>1100</v>
      </c>
      <c r="H1258" s="93" t="s">
        <v>1101</v>
      </c>
      <c r="I1258" s="93">
        <v>2397.5457928860201</v>
      </c>
      <c r="J1258" s="93" t="s">
        <v>1102</v>
      </c>
      <c r="K1258" s="93" t="s">
        <v>1103</v>
      </c>
      <c r="L1258" s="93" t="s">
        <v>1104</v>
      </c>
      <c r="M1258" s="93" t="s">
        <v>823</v>
      </c>
      <c r="N1258" s="95">
        <v>0.03</v>
      </c>
      <c r="O1258" s="95">
        <v>0.34</v>
      </c>
      <c r="P1258" s="95">
        <v>0.54</v>
      </c>
      <c r="Q1258" s="95">
        <v>0.09</v>
      </c>
      <c r="R1258" s="96">
        <v>0</v>
      </c>
    </row>
    <row r="1259" spans="1:18" ht="15" hidden="1" customHeight="1" x14ac:dyDescent="0.3">
      <c r="A1259" s="89">
        <v>2022</v>
      </c>
      <c r="B1259" s="90">
        <v>1</v>
      </c>
      <c r="C1259" s="90" t="s">
        <v>718</v>
      </c>
      <c r="D1259" s="90" t="s">
        <v>719</v>
      </c>
      <c r="E1259" s="91" t="s">
        <v>11</v>
      </c>
      <c r="F1259" s="92" t="s">
        <v>41</v>
      </c>
      <c r="G1259" s="93" t="s">
        <v>1105</v>
      </c>
      <c r="H1259" s="93" t="s">
        <v>1106</v>
      </c>
      <c r="I1259" s="93">
        <v>2397.5457928860201</v>
      </c>
      <c r="J1259" s="93" t="s">
        <v>1107</v>
      </c>
      <c r="K1259" s="93" t="s">
        <v>1108</v>
      </c>
      <c r="L1259" s="93" t="s">
        <v>1109</v>
      </c>
      <c r="M1259" s="93" t="s">
        <v>835</v>
      </c>
      <c r="N1259" s="95">
        <v>0.59</v>
      </c>
      <c r="O1259" s="95">
        <v>0.28999999999999998</v>
      </c>
      <c r="P1259" s="95">
        <v>0.1</v>
      </c>
      <c r="Q1259" s="95">
        <v>0.02</v>
      </c>
      <c r="R1259" s="96">
        <v>0</v>
      </c>
    </row>
    <row r="1260" spans="1:18" ht="15" hidden="1" customHeight="1" x14ac:dyDescent="0.3">
      <c r="A1260" s="89">
        <v>2022</v>
      </c>
      <c r="B1260" s="90">
        <v>1</v>
      </c>
      <c r="C1260" s="90" t="s">
        <v>718</v>
      </c>
      <c r="D1260" s="90" t="s">
        <v>719</v>
      </c>
      <c r="E1260" s="91" t="s">
        <v>11</v>
      </c>
      <c r="F1260" s="92" t="s">
        <v>42</v>
      </c>
      <c r="G1260" s="93" t="s">
        <v>1110</v>
      </c>
      <c r="H1260" s="93" t="s">
        <v>1111</v>
      </c>
      <c r="I1260" s="93">
        <v>2397.5457928860201</v>
      </c>
      <c r="J1260" s="93" t="s">
        <v>1112</v>
      </c>
      <c r="K1260" s="93" t="s">
        <v>1113</v>
      </c>
      <c r="L1260" s="93" t="s">
        <v>1114</v>
      </c>
      <c r="M1260" s="93" t="s">
        <v>841</v>
      </c>
      <c r="N1260" s="95">
        <v>7.0000000000000007E-2</v>
      </c>
      <c r="O1260" s="95">
        <v>0.32</v>
      </c>
      <c r="P1260" s="95">
        <v>0.4</v>
      </c>
      <c r="Q1260" s="95">
        <v>0.19</v>
      </c>
      <c r="R1260" s="96">
        <v>0.01</v>
      </c>
    </row>
    <row r="1261" spans="1:18" ht="15" hidden="1" customHeight="1" x14ac:dyDescent="0.3">
      <c r="A1261" s="89">
        <v>2022</v>
      </c>
      <c r="B1261" s="90">
        <v>1</v>
      </c>
      <c r="C1261" s="90" t="s">
        <v>718</v>
      </c>
      <c r="D1261" s="90" t="s">
        <v>719</v>
      </c>
      <c r="E1261" s="91" t="s">
        <v>11</v>
      </c>
      <c r="F1261" s="92" t="s">
        <v>43</v>
      </c>
      <c r="G1261" s="93" t="s">
        <v>1115</v>
      </c>
      <c r="H1261" s="93" t="s">
        <v>1116</v>
      </c>
      <c r="I1261" s="93">
        <v>2397.5457928860201</v>
      </c>
      <c r="J1261" s="93" t="s">
        <v>1117</v>
      </c>
      <c r="K1261" s="93" t="s">
        <v>1118</v>
      </c>
      <c r="L1261" s="93" t="s">
        <v>1119</v>
      </c>
      <c r="M1261" s="93" t="s">
        <v>847</v>
      </c>
      <c r="N1261" s="95">
        <v>0.08</v>
      </c>
      <c r="O1261" s="95">
        <v>0.23</v>
      </c>
      <c r="P1261" s="95">
        <v>0.33</v>
      </c>
      <c r="Q1261" s="95">
        <v>0.32</v>
      </c>
      <c r="R1261" s="96">
        <v>0.04</v>
      </c>
    </row>
    <row r="1262" spans="1:18" ht="15" hidden="1" customHeight="1" x14ac:dyDescent="0.3">
      <c r="A1262" s="89">
        <v>2022</v>
      </c>
      <c r="B1262" s="90">
        <v>1</v>
      </c>
      <c r="C1262" s="90" t="s">
        <v>718</v>
      </c>
      <c r="D1262" s="90" t="s">
        <v>719</v>
      </c>
      <c r="E1262" s="91" t="s">
        <v>11</v>
      </c>
      <c r="F1262" s="92" t="s">
        <v>58</v>
      </c>
      <c r="G1262" s="93" t="s">
        <v>1120</v>
      </c>
      <c r="H1262" s="93" t="s">
        <v>1121</v>
      </c>
      <c r="I1262" s="93">
        <v>2397.5457928860201</v>
      </c>
      <c r="J1262" s="93" t="s">
        <v>1122</v>
      </c>
      <c r="K1262" s="93" t="s">
        <v>1123</v>
      </c>
      <c r="L1262" s="93" t="s">
        <v>1124</v>
      </c>
      <c r="M1262" s="93" t="s">
        <v>853</v>
      </c>
      <c r="N1262" s="95">
        <v>0.04</v>
      </c>
      <c r="O1262" s="95">
        <v>0.43</v>
      </c>
      <c r="P1262" s="95">
        <v>0.45</v>
      </c>
      <c r="Q1262" s="95">
        <v>0.08</v>
      </c>
      <c r="R1262" s="96">
        <v>0</v>
      </c>
    </row>
    <row r="1263" spans="1:18" ht="15" hidden="1" customHeight="1" x14ac:dyDescent="0.3">
      <c r="A1263" s="89">
        <v>2022</v>
      </c>
      <c r="B1263" s="90">
        <v>1</v>
      </c>
      <c r="C1263" s="90" t="s">
        <v>718</v>
      </c>
      <c r="D1263" s="90" t="s">
        <v>719</v>
      </c>
      <c r="E1263" s="91" t="s">
        <v>11</v>
      </c>
      <c r="F1263" s="92" t="s">
        <v>44</v>
      </c>
      <c r="G1263" s="93" t="s">
        <v>1125</v>
      </c>
      <c r="H1263" s="93" t="s">
        <v>1126</v>
      </c>
      <c r="I1263" s="93">
        <v>2397.5457928860201</v>
      </c>
      <c r="J1263" s="93" t="s">
        <v>1127</v>
      </c>
      <c r="K1263" s="93" t="s">
        <v>1128</v>
      </c>
      <c r="L1263" s="93" t="s">
        <v>1129</v>
      </c>
      <c r="M1263" s="93" t="s">
        <v>859</v>
      </c>
      <c r="N1263" s="95">
        <v>0.03</v>
      </c>
      <c r="O1263" s="95">
        <v>0.14000000000000001</v>
      </c>
      <c r="P1263" s="95">
        <v>0.39</v>
      </c>
      <c r="Q1263" s="95">
        <v>0.42</v>
      </c>
      <c r="R1263" s="96">
        <v>0.01</v>
      </c>
    </row>
    <row r="1264" spans="1:18" ht="15" hidden="1" customHeight="1" x14ac:dyDescent="0.3">
      <c r="A1264" s="89">
        <v>2022</v>
      </c>
      <c r="B1264" s="90">
        <v>1</v>
      </c>
      <c r="C1264" s="90" t="s">
        <v>718</v>
      </c>
      <c r="D1264" s="90" t="s">
        <v>719</v>
      </c>
      <c r="E1264" s="91" t="s">
        <v>11</v>
      </c>
      <c r="F1264" s="92" t="s">
        <v>51</v>
      </c>
      <c r="G1264" s="93" t="s">
        <v>1130</v>
      </c>
      <c r="H1264" s="93" t="s">
        <v>1131</v>
      </c>
      <c r="I1264" s="93">
        <v>2397.5457928860201</v>
      </c>
      <c r="J1264" s="93" t="s">
        <v>1132</v>
      </c>
      <c r="K1264" s="93" t="s">
        <v>1133</v>
      </c>
      <c r="L1264" s="93" t="s">
        <v>1134</v>
      </c>
      <c r="M1264" s="93" t="s">
        <v>865</v>
      </c>
      <c r="N1264" s="95">
        <v>0.02</v>
      </c>
      <c r="O1264" s="95">
        <v>0.1</v>
      </c>
      <c r="P1264" s="95">
        <v>0.46</v>
      </c>
      <c r="Q1264" s="95">
        <v>0.3</v>
      </c>
      <c r="R1264" s="96">
        <v>0.12</v>
      </c>
    </row>
    <row r="1265" spans="1:18" ht="15" hidden="1" customHeight="1" x14ac:dyDescent="0.3">
      <c r="A1265" s="89">
        <v>2022</v>
      </c>
      <c r="B1265" s="90">
        <v>1</v>
      </c>
      <c r="C1265" s="90" t="s">
        <v>718</v>
      </c>
      <c r="D1265" s="90" t="s">
        <v>719</v>
      </c>
      <c r="E1265" s="91" t="s">
        <v>11</v>
      </c>
      <c r="F1265" s="92" t="s">
        <v>45</v>
      </c>
      <c r="G1265" s="93" t="s">
        <v>1135</v>
      </c>
      <c r="H1265" s="93" t="s">
        <v>1136</v>
      </c>
      <c r="I1265" s="93">
        <v>2397.5457928860201</v>
      </c>
      <c r="J1265" s="93" t="s">
        <v>1137</v>
      </c>
      <c r="K1265" s="93" t="s">
        <v>1138</v>
      </c>
      <c r="L1265" s="93" t="s">
        <v>1139</v>
      </c>
      <c r="M1265" s="93" t="s">
        <v>871</v>
      </c>
      <c r="N1265" s="95">
        <v>0.22</v>
      </c>
      <c r="O1265" s="95">
        <v>0.41</v>
      </c>
      <c r="P1265" s="95">
        <v>0.31</v>
      </c>
      <c r="Q1265" s="95">
        <v>0.06</v>
      </c>
      <c r="R1265" s="96">
        <v>0</v>
      </c>
    </row>
    <row r="1266" spans="1:18" ht="15" hidden="1" customHeight="1" x14ac:dyDescent="0.3">
      <c r="A1266" s="89">
        <v>2022</v>
      </c>
      <c r="B1266" s="90">
        <v>1</v>
      </c>
      <c r="C1266" s="90" t="s">
        <v>718</v>
      </c>
      <c r="D1266" s="90" t="s">
        <v>719</v>
      </c>
      <c r="E1266" s="91" t="s">
        <v>11</v>
      </c>
      <c r="F1266" s="92" t="s">
        <v>721</v>
      </c>
      <c r="G1266" s="93" t="s">
        <v>1140</v>
      </c>
      <c r="H1266" s="93" t="s">
        <v>1141</v>
      </c>
      <c r="I1266" s="93">
        <v>2397.5457928860201</v>
      </c>
      <c r="J1266" s="93" t="s">
        <v>1142</v>
      </c>
      <c r="K1266" s="93" t="s">
        <v>1143</v>
      </c>
      <c r="L1266" s="93" t="s">
        <v>1144</v>
      </c>
      <c r="M1266" s="93" t="s">
        <v>877</v>
      </c>
      <c r="N1266" s="95">
        <v>0.03</v>
      </c>
      <c r="O1266" s="95">
        <v>0.34</v>
      </c>
      <c r="P1266" s="95">
        <v>0.56000000000000005</v>
      </c>
      <c r="Q1266" s="95">
        <v>7.0000000000000007E-2</v>
      </c>
      <c r="R1266" s="96">
        <v>0</v>
      </c>
    </row>
    <row r="1267" spans="1:18" ht="15" hidden="1" customHeight="1" x14ac:dyDescent="0.3">
      <c r="A1267" s="89">
        <v>2022</v>
      </c>
      <c r="B1267" s="90">
        <v>1</v>
      </c>
      <c r="C1267" s="90" t="s">
        <v>718</v>
      </c>
      <c r="D1267" s="90" t="s">
        <v>719</v>
      </c>
      <c r="E1267" s="91" t="s">
        <v>11</v>
      </c>
      <c r="F1267" s="92" t="s">
        <v>46</v>
      </c>
      <c r="G1267" s="93" t="s">
        <v>1145</v>
      </c>
      <c r="H1267" s="93" t="s">
        <v>1146</v>
      </c>
      <c r="I1267" s="93">
        <v>2397.5457928860201</v>
      </c>
      <c r="J1267" s="93" t="s">
        <v>1147</v>
      </c>
      <c r="K1267" s="93" t="s">
        <v>1148</v>
      </c>
      <c r="L1267" s="93" t="s">
        <v>1149</v>
      </c>
      <c r="M1267" s="93" t="s">
        <v>883</v>
      </c>
      <c r="N1267" s="95">
        <v>0.05</v>
      </c>
      <c r="O1267" s="95">
        <v>0.24</v>
      </c>
      <c r="P1267" s="95">
        <v>0.47</v>
      </c>
      <c r="Q1267" s="95">
        <v>0.21</v>
      </c>
      <c r="R1267" s="96">
        <v>0.02</v>
      </c>
    </row>
    <row r="1268" spans="1:18" ht="15" hidden="1" customHeight="1" x14ac:dyDescent="0.3">
      <c r="A1268" s="89">
        <v>2022</v>
      </c>
      <c r="B1268" s="90">
        <v>1</v>
      </c>
      <c r="C1268" s="90" t="s">
        <v>718</v>
      </c>
      <c r="D1268" s="90" t="s">
        <v>719</v>
      </c>
      <c r="E1268" s="91" t="s">
        <v>11</v>
      </c>
      <c r="F1268" s="92" t="s">
        <v>47</v>
      </c>
      <c r="G1268" s="93" t="s">
        <v>1150</v>
      </c>
      <c r="H1268" s="93" t="s">
        <v>1151</v>
      </c>
      <c r="I1268" s="93">
        <v>2397.5457928860201</v>
      </c>
      <c r="J1268" s="93" t="s">
        <v>1152</v>
      </c>
      <c r="K1268" s="93" t="s">
        <v>1153</v>
      </c>
      <c r="L1268" s="93" t="s">
        <v>1154</v>
      </c>
      <c r="M1268" s="93" t="s">
        <v>889</v>
      </c>
      <c r="N1268" s="95">
        <v>7.0000000000000007E-2</v>
      </c>
      <c r="O1268" s="95">
        <v>0.54</v>
      </c>
      <c r="P1268" s="95">
        <v>0.33</v>
      </c>
      <c r="Q1268" s="95">
        <v>0.05</v>
      </c>
      <c r="R1268" s="96">
        <v>0.01</v>
      </c>
    </row>
    <row r="1269" spans="1:18" ht="15" hidden="1" customHeight="1" x14ac:dyDescent="0.3">
      <c r="A1269" s="89">
        <v>2022</v>
      </c>
      <c r="B1269" s="90">
        <v>1</v>
      </c>
      <c r="C1269" s="90" t="s">
        <v>718</v>
      </c>
      <c r="D1269" s="90" t="s">
        <v>719</v>
      </c>
      <c r="E1269" s="91" t="s">
        <v>11</v>
      </c>
      <c r="F1269" s="92" t="s">
        <v>48</v>
      </c>
      <c r="G1269" s="93" t="s">
        <v>1155</v>
      </c>
      <c r="H1269" s="93" t="s">
        <v>1156</v>
      </c>
      <c r="I1269" s="93">
        <v>2397.5457928860201</v>
      </c>
      <c r="J1269" s="93" t="s">
        <v>1157</v>
      </c>
      <c r="K1269" s="93" t="s">
        <v>1158</v>
      </c>
      <c r="L1269" s="93" t="s">
        <v>1159</v>
      </c>
      <c r="M1269" s="93" t="s">
        <v>895</v>
      </c>
      <c r="N1269" s="95">
        <v>0.05</v>
      </c>
      <c r="O1269" s="95">
        <v>0.34</v>
      </c>
      <c r="P1269" s="95">
        <v>0.51</v>
      </c>
      <c r="Q1269" s="95">
        <v>0.1</v>
      </c>
      <c r="R1269" s="96">
        <v>0</v>
      </c>
    </row>
    <row r="1270" spans="1:18" ht="15" hidden="1" customHeight="1" x14ac:dyDescent="0.3">
      <c r="A1270" s="89">
        <v>2022</v>
      </c>
      <c r="B1270" s="90">
        <v>1</v>
      </c>
      <c r="C1270" s="90" t="s">
        <v>718</v>
      </c>
      <c r="D1270" s="90" t="s">
        <v>719</v>
      </c>
      <c r="E1270" s="91" t="s">
        <v>11</v>
      </c>
      <c r="F1270" s="92" t="s">
        <v>40</v>
      </c>
      <c r="G1270" s="93" t="s">
        <v>1160</v>
      </c>
      <c r="H1270" s="93" t="s">
        <v>1161</v>
      </c>
      <c r="I1270" s="93">
        <v>2397.5457928860201</v>
      </c>
      <c r="J1270" s="93" t="s">
        <v>1162</v>
      </c>
      <c r="K1270" s="93" t="s">
        <v>1163</v>
      </c>
      <c r="L1270" s="93" t="s">
        <v>1164</v>
      </c>
      <c r="M1270" s="93" t="s">
        <v>829</v>
      </c>
      <c r="N1270" s="95">
        <v>0.08</v>
      </c>
      <c r="O1270" s="95">
        <v>0.5</v>
      </c>
      <c r="P1270" s="95">
        <v>0.38</v>
      </c>
      <c r="Q1270" s="95">
        <v>0.04</v>
      </c>
      <c r="R1270" s="96">
        <v>0</v>
      </c>
    </row>
    <row r="1271" spans="1:18" ht="15" hidden="1" customHeight="1" x14ac:dyDescent="0.3">
      <c r="A1271" s="89">
        <v>2022</v>
      </c>
      <c r="B1271" s="90">
        <v>1</v>
      </c>
      <c r="C1271" s="90" t="s">
        <v>718</v>
      </c>
      <c r="D1271" s="90" t="s">
        <v>722</v>
      </c>
      <c r="E1271" s="91" t="s">
        <v>11</v>
      </c>
      <c r="F1271" s="92" t="s">
        <v>26</v>
      </c>
      <c r="G1271" s="93" t="s">
        <v>1165</v>
      </c>
      <c r="H1271" s="93" t="s">
        <v>1166</v>
      </c>
      <c r="I1271" s="93">
        <v>2397.5457928860201</v>
      </c>
      <c r="J1271" s="93" t="s">
        <v>1167</v>
      </c>
      <c r="K1271" s="93" t="s">
        <v>1168</v>
      </c>
      <c r="L1271" s="93" t="s">
        <v>1169</v>
      </c>
      <c r="M1271" s="93" t="s">
        <v>745</v>
      </c>
      <c r="N1271" s="95">
        <v>0.19</v>
      </c>
      <c r="O1271" s="95">
        <v>0.34</v>
      </c>
      <c r="P1271" s="95">
        <v>0.35</v>
      </c>
      <c r="Q1271" s="95">
        <v>0.11</v>
      </c>
      <c r="R1271" s="96">
        <v>0</v>
      </c>
    </row>
    <row r="1272" spans="1:18" ht="15" hidden="1" customHeight="1" x14ac:dyDescent="0.3">
      <c r="A1272" s="89">
        <v>2022</v>
      </c>
      <c r="B1272" s="90">
        <v>1</v>
      </c>
      <c r="C1272" s="90" t="s">
        <v>718</v>
      </c>
      <c r="D1272" s="90" t="s">
        <v>722</v>
      </c>
      <c r="E1272" s="91" t="s">
        <v>11</v>
      </c>
      <c r="F1272" s="92" t="s">
        <v>12</v>
      </c>
      <c r="G1272" s="93" t="s">
        <v>1170</v>
      </c>
      <c r="H1272" s="93" t="s">
        <v>1171</v>
      </c>
      <c r="I1272" s="93">
        <v>2397.5457928860201</v>
      </c>
      <c r="J1272" s="93" t="s">
        <v>1172</v>
      </c>
      <c r="K1272" s="93" t="s">
        <v>1173</v>
      </c>
      <c r="L1272" s="93" t="s">
        <v>1174</v>
      </c>
      <c r="M1272" s="93" t="s">
        <v>739</v>
      </c>
      <c r="N1272" s="95">
        <v>0.02</v>
      </c>
      <c r="O1272" s="95">
        <v>0.1</v>
      </c>
      <c r="P1272" s="95">
        <v>0.25</v>
      </c>
      <c r="Q1272" s="95">
        <v>0.57999999999999996</v>
      </c>
      <c r="R1272" s="96">
        <v>0.06</v>
      </c>
    </row>
    <row r="1273" spans="1:18" ht="15" hidden="1" customHeight="1" x14ac:dyDescent="0.3">
      <c r="A1273" s="89">
        <v>2022</v>
      </c>
      <c r="B1273" s="90">
        <v>1</v>
      </c>
      <c r="C1273" s="90" t="s">
        <v>718</v>
      </c>
      <c r="D1273" s="90" t="s">
        <v>722</v>
      </c>
      <c r="E1273" s="91" t="s">
        <v>11</v>
      </c>
      <c r="F1273" s="92" t="s">
        <v>27</v>
      </c>
      <c r="G1273" s="93" t="s">
        <v>1175</v>
      </c>
      <c r="H1273" s="93" t="s">
        <v>1176</v>
      </c>
      <c r="I1273" s="93">
        <v>2397.5457928860201</v>
      </c>
      <c r="J1273" s="93" t="s">
        <v>1177</v>
      </c>
      <c r="K1273" s="93" t="s">
        <v>1178</v>
      </c>
      <c r="L1273" s="93" t="s">
        <v>1179</v>
      </c>
      <c r="M1273" s="93" t="s">
        <v>751</v>
      </c>
      <c r="N1273" s="95">
        <v>0</v>
      </c>
      <c r="O1273" s="95">
        <v>0.03</v>
      </c>
      <c r="P1273" s="95">
        <v>0.17</v>
      </c>
      <c r="Q1273" s="95">
        <v>0.68</v>
      </c>
      <c r="R1273" s="96">
        <v>0.12</v>
      </c>
    </row>
    <row r="1274" spans="1:18" ht="15" hidden="1" customHeight="1" x14ac:dyDescent="0.3">
      <c r="A1274" s="89">
        <v>2022</v>
      </c>
      <c r="B1274" s="90">
        <v>1</v>
      </c>
      <c r="C1274" s="90" t="s">
        <v>718</v>
      </c>
      <c r="D1274" s="90" t="s">
        <v>722</v>
      </c>
      <c r="E1274" s="91" t="s">
        <v>11</v>
      </c>
      <c r="F1274" s="92" t="s">
        <v>28</v>
      </c>
      <c r="G1274" s="93" t="s">
        <v>1180</v>
      </c>
      <c r="H1274" s="93" t="s">
        <v>1181</v>
      </c>
      <c r="I1274" s="93">
        <v>2397.5457928860201</v>
      </c>
      <c r="J1274" s="93" t="s">
        <v>1182</v>
      </c>
      <c r="K1274" s="93" t="s">
        <v>1183</v>
      </c>
      <c r="L1274" s="93" t="s">
        <v>1184</v>
      </c>
      <c r="M1274" s="93" t="s">
        <v>757</v>
      </c>
      <c r="N1274" s="95">
        <v>0.01</v>
      </c>
      <c r="O1274" s="95">
        <v>0.03</v>
      </c>
      <c r="P1274" s="95">
        <v>0.18</v>
      </c>
      <c r="Q1274" s="95">
        <v>0.69</v>
      </c>
      <c r="R1274" s="96">
        <v>0.09</v>
      </c>
    </row>
    <row r="1275" spans="1:18" ht="15" customHeight="1" x14ac:dyDescent="0.3">
      <c r="A1275" s="89">
        <v>2022</v>
      </c>
      <c r="B1275" s="90">
        <v>1</v>
      </c>
      <c r="C1275" s="90" t="s">
        <v>718</v>
      </c>
      <c r="D1275" s="90" t="s">
        <v>722</v>
      </c>
      <c r="E1275" s="91" t="s">
        <v>11</v>
      </c>
      <c r="F1275" s="92" t="s">
        <v>29</v>
      </c>
      <c r="G1275" s="93" t="s">
        <v>1185</v>
      </c>
      <c r="H1275" s="93" t="s">
        <v>1186</v>
      </c>
      <c r="I1275" s="93">
        <v>2397.5457928860201</v>
      </c>
      <c r="J1275" s="93" t="s">
        <v>1187</v>
      </c>
      <c r="K1275" s="93" t="s">
        <v>1188</v>
      </c>
      <c r="L1275" s="93" t="s">
        <v>1189</v>
      </c>
      <c r="M1275" s="93" t="s">
        <v>763</v>
      </c>
      <c r="N1275" s="95">
        <v>0.08</v>
      </c>
      <c r="O1275" s="95">
        <v>0.3</v>
      </c>
      <c r="P1275" s="95">
        <v>0.44</v>
      </c>
      <c r="Q1275" s="95">
        <v>0.17</v>
      </c>
      <c r="R1275" s="96">
        <v>0.01</v>
      </c>
    </row>
    <row r="1276" spans="1:18" ht="15" hidden="1" customHeight="1" x14ac:dyDescent="0.3">
      <c r="A1276" s="89">
        <v>2022</v>
      </c>
      <c r="B1276" s="90">
        <v>1</v>
      </c>
      <c r="C1276" s="90" t="s">
        <v>718</v>
      </c>
      <c r="D1276" s="90" t="s">
        <v>722</v>
      </c>
      <c r="E1276" s="91" t="s">
        <v>11</v>
      </c>
      <c r="F1276" s="92" t="s">
        <v>30</v>
      </c>
      <c r="G1276" s="93" t="s">
        <v>1190</v>
      </c>
      <c r="H1276" s="93" t="s">
        <v>1191</v>
      </c>
      <c r="I1276" s="93">
        <v>2397.5457928860201</v>
      </c>
      <c r="J1276" s="93" t="s">
        <v>1192</v>
      </c>
      <c r="K1276" s="93" t="s">
        <v>1193</v>
      </c>
      <c r="L1276" s="93" t="s">
        <v>1194</v>
      </c>
      <c r="M1276" s="93" t="s">
        <v>769</v>
      </c>
      <c r="N1276" s="95">
        <v>0.05</v>
      </c>
      <c r="O1276" s="95">
        <v>0.33</v>
      </c>
      <c r="P1276" s="95">
        <v>0.42</v>
      </c>
      <c r="Q1276" s="95">
        <v>0.17</v>
      </c>
      <c r="R1276" s="96">
        <v>0.02</v>
      </c>
    </row>
    <row r="1277" spans="1:18" ht="15" hidden="1" customHeight="1" x14ac:dyDescent="0.3">
      <c r="A1277" s="89">
        <v>2022</v>
      </c>
      <c r="B1277" s="90">
        <v>1</v>
      </c>
      <c r="C1277" s="90" t="s">
        <v>718</v>
      </c>
      <c r="D1277" s="90" t="s">
        <v>722</v>
      </c>
      <c r="E1277" s="91" t="s">
        <v>11</v>
      </c>
      <c r="F1277" s="92" t="s">
        <v>31</v>
      </c>
      <c r="G1277" s="93" t="s">
        <v>1195</v>
      </c>
      <c r="H1277" s="93" t="s">
        <v>1196</v>
      </c>
      <c r="I1277" s="93">
        <v>2397.5457928860201</v>
      </c>
      <c r="J1277" s="93" t="s">
        <v>1197</v>
      </c>
      <c r="K1277" s="93" t="s">
        <v>1198</v>
      </c>
      <c r="L1277" s="93" t="s">
        <v>1199</v>
      </c>
      <c r="M1277" s="93" t="s">
        <v>775</v>
      </c>
      <c r="N1277" s="95">
        <v>0.01</v>
      </c>
      <c r="O1277" s="95">
        <v>0.18</v>
      </c>
      <c r="P1277" s="95">
        <v>0.37</v>
      </c>
      <c r="Q1277" s="95">
        <v>0.33</v>
      </c>
      <c r="R1277" s="96">
        <v>0.11</v>
      </c>
    </row>
    <row r="1278" spans="1:18" ht="15" hidden="1" customHeight="1" x14ac:dyDescent="0.3">
      <c r="A1278" s="89">
        <v>2022</v>
      </c>
      <c r="B1278" s="90">
        <v>1</v>
      </c>
      <c r="C1278" s="90" t="s">
        <v>718</v>
      </c>
      <c r="D1278" s="90" t="s">
        <v>722</v>
      </c>
      <c r="E1278" s="91" t="s">
        <v>11</v>
      </c>
      <c r="F1278" s="92" t="s">
        <v>32</v>
      </c>
      <c r="G1278" s="93" t="s">
        <v>1200</v>
      </c>
      <c r="H1278" s="93" t="s">
        <v>1201</v>
      </c>
      <c r="I1278" s="93">
        <v>2397.5457928860201</v>
      </c>
      <c r="J1278" s="93" t="s">
        <v>1202</v>
      </c>
      <c r="K1278" s="93" t="s">
        <v>1203</v>
      </c>
      <c r="L1278" s="93" t="s">
        <v>1204</v>
      </c>
      <c r="M1278" s="93" t="s">
        <v>781</v>
      </c>
      <c r="N1278" s="95">
        <v>0.04</v>
      </c>
      <c r="O1278" s="95">
        <v>0.26</v>
      </c>
      <c r="P1278" s="95">
        <v>0.5</v>
      </c>
      <c r="Q1278" s="95">
        <v>0.19</v>
      </c>
      <c r="R1278" s="96">
        <v>0.01</v>
      </c>
    </row>
    <row r="1279" spans="1:18" ht="15" hidden="1" customHeight="1" x14ac:dyDescent="0.3">
      <c r="A1279" s="89">
        <v>2022</v>
      </c>
      <c r="B1279" s="90">
        <v>1</v>
      </c>
      <c r="C1279" s="90" t="s">
        <v>718</v>
      </c>
      <c r="D1279" s="90" t="s">
        <v>722</v>
      </c>
      <c r="E1279" s="91" t="s">
        <v>11</v>
      </c>
      <c r="F1279" s="92" t="s">
        <v>33</v>
      </c>
      <c r="G1279" s="93" t="s">
        <v>1205</v>
      </c>
      <c r="H1279" s="93" t="s">
        <v>1206</v>
      </c>
      <c r="I1279" s="93">
        <v>2397.5457928860201</v>
      </c>
      <c r="J1279" s="93" t="s">
        <v>1207</v>
      </c>
      <c r="K1279" s="93" t="s">
        <v>1208</v>
      </c>
      <c r="L1279" s="93" t="s">
        <v>1209</v>
      </c>
      <c r="M1279" s="93" t="s">
        <v>787</v>
      </c>
      <c r="N1279" s="95">
        <v>0.06</v>
      </c>
      <c r="O1279" s="95">
        <v>0.25</v>
      </c>
      <c r="P1279" s="95">
        <v>0.44</v>
      </c>
      <c r="Q1279" s="95">
        <v>0.24</v>
      </c>
      <c r="R1279" s="96">
        <v>0.01</v>
      </c>
    </row>
    <row r="1280" spans="1:18" ht="15" hidden="1" customHeight="1" x14ac:dyDescent="0.3">
      <c r="A1280" s="89">
        <v>2022</v>
      </c>
      <c r="B1280" s="90">
        <v>1</v>
      </c>
      <c r="C1280" s="90" t="s">
        <v>718</v>
      </c>
      <c r="D1280" s="90" t="s">
        <v>722</v>
      </c>
      <c r="E1280" s="91" t="s">
        <v>11</v>
      </c>
      <c r="F1280" s="92" t="s">
        <v>34</v>
      </c>
      <c r="G1280" s="93" t="s">
        <v>1210</v>
      </c>
      <c r="H1280" s="93" t="s">
        <v>1211</v>
      </c>
      <c r="I1280" s="93">
        <v>2397.5457928860201</v>
      </c>
      <c r="J1280" s="93" t="s">
        <v>1212</v>
      </c>
      <c r="K1280" s="93" t="s">
        <v>1213</v>
      </c>
      <c r="L1280" s="93" t="s">
        <v>1214</v>
      </c>
      <c r="M1280" s="93" t="s">
        <v>793</v>
      </c>
      <c r="N1280" s="95">
        <v>7.0000000000000007E-2</v>
      </c>
      <c r="O1280" s="95">
        <v>0.18</v>
      </c>
      <c r="P1280" s="95">
        <v>0.38</v>
      </c>
      <c r="Q1280" s="95">
        <v>0.34</v>
      </c>
      <c r="R1280" s="96">
        <v>0.02</v>
      </c>
    </row>
    <row r="1281" spans="1:18" ht="15" hidden="1" customHeight="1" x14ac:dyDescent="0.3">
      <c r="A1281" s="89">
        <v>2022</v>
      </c>
      <c r="B1281" s="90">
        <v>1</v>
      </c>
      <c r="C1281" s="90" t="s">
        <v>718</v>
      </c>
      <c r="D1281" s="90" t="s">
        <v>722</v>
      </c>
      <c r="E1281" s="91" t="s">
        <v>11</v>
      </c>
      <c r="F1281" s="92" t="s">
        <v>35</v>
      </c>
      <c r="G1281" s="93" t="s">
        <v>1215</v>
      </c>
      <c r="H1281" s="93" t="s">
        <v>1216</v>
      </c>
      <c r="I1281" s="93">
        <v>2397.5457928860201</v>
      </c>
      <c r="J1281" s="93" t="s">
        <v>1217</v>
      </c>
      <c r="K1281" s="93" t="s">
        <v>1218</v>
      </c>
      <c r="L1281" s="93" t="s">
        <v>1219</v>
      </c>
      <c r="M1281" s="93" t="s">
        <v>799</v>
      </c>
      <c r="N1281" s="95">
        <v>0.03</v>
      </c>
      <c r="O1281" s="95">
        <v>0.11</v>
      </c>
      <c r="P1281" s="95">
        <v>0.3</v>
      </c>
      <c r="Q1281" s="95">
        <v>0.51</v>
      </c>
      <c r="R1281" s="96">
        <v>0.05</v>
      </c>
    </row>
    <row r="1282" spans="1:18" ht="15" hidden="1" customHeight="1" x14ac:dyDescent="0.3">
      <c r="A1282" s="89">
        <v>2022</v>
      </c>
      <c r="B1282" s="90">
        <v>1</v>
      </c>
      <c r="C1282" s="90" t="s">
        <v>718</v>
      </c>
      <c r="D1282" s="90" t="s">
        <v>722</v>
      </c>
      <c r="E1282" s="91" t="s">
        <v>11</v>
      </c>
      <c r="F1282" s="92" t="s">
        <v>36</v>
      </c>
      <c r="G1282" s="93" t="s">
        <v>1220</v>
      </c>
      <c r="H1282" s="93" t="s">
        <v>1221</v>
      </c>
      <c r="I1282" s="93">
        <v>2397.5457928860201</v>
      </c>
      <c r="J1282" s="93" t="s">
        <v>1222</v>
      </c>
      <c r="K1282" s="93" t="s">
        <v>1223</v>
      </c>
      <c r="L1282" s="93" t="s">
        <v>1224</v>
      </c>
      <c r="M1282" s="93" t="s">
        <v>805</v>
      </c>
      <c r="N1282" s="95">
        <v>0.02</v>
      </c>
      <c r="O1282" s="95">
        <v>0.2</v>
      </c>
      <c r="P1282" s="95">
        <v>0.55000000000000004</v>
      </c>
      <c r="Q1282" s="95">
        <v>0.22</v>
      </c>
      <c r="R1282" s="96">
        <v>0</v>
      </c>
    </row>
    <row r="1283" spans="1:18" ht="15" hidden="1" customHeight="1" x14ac:dyDescent="0.3">
      <c r="A1283" s="89">
        <v>2022</v>
      </c>
      <c r="B1283" s="90">
        <v>1</v>
      </c>
      <c r="C1283" s="90" t="s">
        <v>718</v>
      </c>
      <c r="D1283" s="90" t="s">
        <v>722</v>
      </c>
      <c r="E1283" s="91" t="s">
        <v>11</v>
      </c>
      <c r="F1283" s="92" t="s">
        <v>37</v>
      </c>
      <c r="G1283" s="93" t="s">
        <v>1225</v>
      </c>
      <c r="H1283" s="93" t="s">
        <v>1226</v>
      </c>
      <c r="I1283" s="93">
        <v>2397.5457928860201</v>
      </c>
      <c r="J1283" s="93" t="s">
        <v>1227</v>
      </c>
      <c r="K1283" s="93" t="s">
        <v>1228</v>
      </c>
      <c r="L1283" s="93" t="s">
        <v>1229</v>
      </c>
      <c r="M1283" s="93" t="s">
        <v>811</v>
      </c>
      <c r="N1283" s="95">
        <v>0.18</v>
      </c>
      <c r="O1283" s="95">
        <v>0.44</v>
      </c>
      <c r="P1283" s="95">
        <v>0.31</v>
      </c>
      <c r="Q1283" s="95">
        <v>7.0000000000000007E-2</v>
      </c>
      <c r="R1283" s="96">
        <v>0</v>
      </c>
    </row>
    <row r="1284" spans="1:18" ht="15" hidden="1" customHeight="1" x14ac:dyDescent="0.3">
      <c r="A1284" s="89">
        <v>2022</v>
      </c>
      <c r="B1284" s="90">
        <v>1</v>
      </c>
      <c r="C1284" s="90" t="s">
        <v>718</v>
      </c>
      <c r="D1284" s="90" t="s">
        <v>722</v>
      </c>
      <c r="E1284" s="91" t="s">
        <v>11</v>
      </c>
      <c r="F1284" s="92" t="s">
        <v>720</v>
      </c>
      <c r="G1284" s="93" t="s">
        <v>1230</v>
      </c>
      <c r="H1284" s="93" t="s">
        <v>1231</v>
      </c>
      <c r="I1284" s="93">
        <v>2397.5457928860201</v>
      </c>
      <c r="J1284" s="93" t="s">
        <v>1232</v>
      </c>
      <c r="K1284" s="93" t="s">
        <v>1233</v>
      </c>
      <c r="L1284" s="93" t="s">
        <v>1234</v>
      </c>
      <c r="M1284" s="93" t="s">
        <v>817</v>
      </c>
      <c r="N1284" s="95">
        <v>0.03</v>
      </c>
      <c r="O1284" s="95">
        <v>0.04</v>
      </c>
      <c r="P1284" s="95">
        <v>0.17</v>
      </c>
      <c r="Q1284" s="95">
        <v>0.68</v>
      </c>
      <c r="R1284" s="96">
        <v>0.08</v>
      </c>
    </row>
    <row r="1285" spans="1:18" ht="15" hidden="1" customHeight="1" x14ac:dyDescent="0.3">
      <c r="A1285" s="89">
        <v>2022</v>
      </c>
      <c r="B1285" s="90">
        <v>1</v>
      </c>
      <c r="C1285" s="90" t="s">
        <v>718</v>
      </c>
      <c r="D1285" s="90" t="s">
        <v>722</v>
      </c>
      <c r="E1285" s="91" t="s">
        <v>11</v>
      </c>
      <c r="F1285" s="92" t="s">
        <v>39</v>
      </c>
      <c r="G1285" s="93" t="s">
        <v>1235</v>
      </c>
      <c r="H1285" s="93" t="s">
        <v>1236</v>
      </c>
      <c r="I1285" s="93">
        <v>2397.5457928860201</v>
      </c>
      <c r="J1285" s="93" t="s">
        <v>1237</v>
      </c>
      <c r="K1285" s="93" t="s">
        <v>1238</v>
      </c>
      <c r="L1285" s="93" t="s">
        <v>1239</v>
      </c>
      <c r="M1285" s="93" t="s">
        <v>823</v>
      </c>
      <c r="N1285" s="95">
        <v>0.01</v>
      </c>
      <c r="O1285" s="95">
        <v>0.15</v>
      </c>
      <c r="P1285" s="95">
        <v>0.48</v>
      </c>
      <c r="Q1285" s="95">
        <v>0.35</v>
      </c>
      <c r="R1285" s="96">
        <v>0.01</v>
      </c>
    </row>
    <row r="1286" spans="1:18" ht="15" hidden="1" customHeight="1" x14ac:dyDescent="0.3">
      <c r="A1286" s="89">
        <v>2022</v>
      </c>
      <c r="B1286" s="90">
        <v>1</v>
      </c>
      <c r="C1286" s="90" t="s">
        <v>718</v>
      </c>
      <c r="D1286" s="90" t="s">
        <v>722</v>
      </c>
      <c r="E1286" s="91" t="s">
        <v>11</v>
      </c>
      <c r="F1286" s="92" t="s">
        <v>41</v>
      </c>
      <c r="G1286" s="93" t="s">
        <v>1240</v>
      </c>
      <c r="H1286" s="93" t="s">
        <v>1241</v>
      </c>
      <c r="I1286" s="93">
        <v>2397.5457928860201</v>
      </c>
      <c r="J1286" s="93" t="s">
        <v>1242</v>
      </c>
      <c r="K1286" s="93" t="s">
        <v>1243</v>
      </c>
      <c r="L1286" s="93" t="s">
        <v>1244</v>
      </c>
      <c r="M1286" s="93" t="s">
        <v>835</v>
      </c>
      <c r="N1286" s="95">
        <v>0.06</v>
      </c>
      <c r="O1286" s="95">
        <v>0.31</v>
      </c>
      <c r="P1286" s="95">
        <v>0.43</v>
      </c>
      <c r="Q1286" s="95">
        <v>0.18</v>
      </c>
      <c r="R1286" s="96">
        <v>0.02</v>
      </c>
    </row>
    <row r="1287" spans="1:18" ht="15" hidden="1" customHeight="1" x14ac:dyDescent="0.3">
      <c r="A1287" s="89">
        <v>2022</v>
      </c>
      <c r="B1287" s="90">
        <v>1</v>
      </c>
      <c r="C1287" s="90" t="s">
        <v>718</v>
      </c>
      <c r="D1287" s="90" t="s">
        <v>722</v>
      </c>
      <c r="E1287" s="91" t="s">
        <v>11</v>
      </c>
      <c r="F1287" s="92" t="s">
        <v>42</v>
      </c>
      <c r="G1287" s="93" t="s">
        <v>1245</v>
      </c>
      <c r="H1287" s="93" t="s">
        <v>1246</v>
      </c>
      <c r="I1287" s="93">
        <v>2397.5457928860201</v>
      </c>
      <c r="J1287" s="93" t="s">
        <v>1247</v>
      </c>
      <c r="K1287" s="93" t="s">
        <v>1248</v>
      </c>
      <c r="L1287" s="93" t="s">
        <v>1249</v>
      </c>
      <c r="M1287" s="93" t="s">
        <v>841</v>
      </c>
      <c r="N1287" s="95">
        <v>0.01</v>
      </c>
      <c r="O1287" s="95">
        <v>0.15</v>
      </c>
      <c r="P1287" s="95">
        <v>0.28000000000000003</v>
      </c>
      <c r="Q1287" s="95">
        <v>0.49</v>
      </c>
      <c r="R1287" s="96">
        <v>7.0000000000000007E-2</v>
      </c>
    </row>
    <row r="1288" spans="1:18" ht="15" hidden="1" customHeight="1" x14ac:dyDescent="0.3">
      <c r="A1288" s="89">
        <v>2022</v>
      </c>
      <c r="B1288" s="90">
        <v>1</v>
      </c>
      <c r="C1288" s="90" t="s">
        <v>718</v>
      </c>
      <c r="D1288" s="90" t="s">
        <v>722</v>
      </c>
      <c r="E1288" s="91" t="s">
        <v>11</v>
      </c>
      <c r="F1288" s="92" t="s">
        <v>43</v>
      </c>
      <c r="G1288" s="93" t="s">
        <v>1250</v>
      </c>
      <c r="H1288" s="93" t="s">
        <v>1251</v>
      </c>
      <c r="I1288" s="93">
        <v>2397.5457928860201</v>
      </c>
      <c r="J1288" s="93" t="s">
        <v>1252</v>
      </c>
      <c r="K1288" s="93" t="s">
        <v>1253</v>
      </c>
      <c r="L1288" s="93" t="s">
        <v>1254</v>
      </c>
      <c r="M1288" s="93" t="s">
        <v>847</v>
      </c>
      <c r="N1288" s="95">
        <v>0.06</v>
      </c>
      <c r="O1288" s="95">
        <v>0.22</v>
      </c>
      <c r="P1288" s="95">
        <v>0.38</v>
      </c>
      <c r="Q1288" s="95">
        <v>0.31</v>
      </c>
      <c r="R1288" s="96">
        <v>0.02</v>
      </c>
    </row>
    <row r="1289" spans="1:18" ht="15" hidden="1" customHeight="1" x14ac:dyDescent="0.3">
      <c r="A1289" s="89">
        <v>2022</v>
      </c>
      <c r="B1289" s="90">
        <v>1</v>
      </c>
      <c r="C1289" s="90" t="s">
        <v>718</v>
      </c>
      <c r="D1289" s="90" t="s">
        <v>722</v>
      </c>
      <c r="E1289" s="91" t="s">
        <v>11</v>
      </c>
      <c r="F1289" s="92" t="s">
        <v>58</v>
      </c>
      <c r="G1289" s="93" t="s">
        <v>1255</v>
      </c>
      <c r="H1289" s="93" t="s">
        <v>1256</v>
      </c>
      <c r="I1289" s="93">
        <v>2397.5457928860201</v>
      </c>
      <c r="J1289" s="93" t="s">
        <v>1257</v>
      </c>
      <c r="K1289" s="93" t="s">
        <v>1258</v>
      </c>
      <c r="L1289" s="93" t="s">
        <v>1259</v>
      </c>
      <c r="M1289" s="93" t="s">
        <v>853</v>
      </c>
      <c r="N1289" s="95">
        <v>0</v>
      </c>
      <c r="O1289" s="95">
        <v>0.03</v>
      </c>
      <c r="P1289" s="95">
        <v>0.37</v>
      </c>
      <c r="Q1289" s="95">
        <v>0.56000000000000005</v>
      </c>
      <c r="R1289" s="96">
        <v>0.05</v>
      </c>
    </row>
    <row r="1290" spans="1:18" ht="15" hidden="1" customHeight="1" x14ac:dyDescent="0.3">
      <c r="A1290" s="89">
        <v>2022</v>
      </c>
      <c r="B1290" s="90">
        <v>1</v>
      </c>
      <c r="C1290" s="90" t="s">
        <v>718</v>
      </c>
      <c r="D1290" s="90" t="s">
        <v>722</v>
      </c>
      <c r="E1290" s="91" t="s">
        <v>11</v>
      </c>
      <c r="F1290" s="92" t="s">
        <v>44</v>
      </c>
      <c r="G1290" s="93" t="s">
        <v>1260</v>
      </c>
      <c r="H1290" s="93" t="s">
        <v>1261</v>
      </c>
      <c r="I1290" s="93">
        <v>2397.5457928860201</v>
      </c>
      <c r="J1290" s="93" t="s">
        <v>1262</v>
      </c>
      <c r="K1290" s="93" t="s">
        <v>1263</v>
      </c>
      <c r="L1290" s="93" t="s">
        <v>1264</v>
      </c>
      <c r="M1290" s="93" t="s">
        <v>859</v>
      </c>
      <c r="N1290" s="95">
        <v>0.03</v>
      </c>
      <c r="O1290" s="95">
        <v>0.22</v>
      </c>
      <c r="P1290" s="95">
        <v>0.48</v>
      </c>
      <c r="Q1290" s="95">
        <v>0.24</v>
      </c>
      <c r="R1290" s="96">
        <v>0.02</v>
      </c>
    </row>
    <row r="1291" spans="1:18" ht="15" hidden="1" customHeight="1" x14ac:dyDescent="0.3">
      <c r="A1291" s="89">
        <v>2022</v>
      </c>
      <c r="B1291" s="90">
        <v>1</v>
      </c>
      <c r="C1291" s="90" t="s">
        <v>718</v>
      </c>
      <c r="D1291" s="90" t="s">
        <v>722</v>
      </c>
      <c r="E1291" s="91" t="s">
        <v>11</v>
      </c>
      <c r="F1291" s="92" t="s">
        <v>51</v>
      </c>
      <c r="G1291" s="93" t="s">
        <v>1265</v>
      </c>
      <c r="H1291" s="93" t="s">
        <v>1266</v>
      </c>
      <c r="I1291" s="93">
        <v>2397.5457928860201</v>
      </c>
      <c r="J1291" s="93" t="s">
        <v>1267</v>
      </c>
      <c r="K1291" s="93" t="s">
        <v>1268</v>
      </c>
      <c r="L1291" s="93" t="s">
        <v>1269</v>
      </c>
      <c r="M1291" s="93" t="s">
        <v>865</v>
      </c>
      <c r="N1291" s="95">
        <v>0.05</v>
      </c>
      <c r="O1291" s="95">
        <v>0.16</v>
      </c>
      <c r="P1291" s="95">
        <v>0.41</v>
      </c>
      <c r="Q1291" s="95">
        <v>0.33</v>
      </c>
      <c r="R1291" s="96">
        <v>0.06</v>
      </c>
    </row>
    <row r="1292" spans="1:18" ht="15" hidden="1" customHeight="1" x14ac:dyDescent="0.3">
      <c r="A1292" s="89">
        <v>2022</v>
      </c>
      <c r="B1292" s="90">
        <v>1</v>
      </c>
      <c r="C1292" s="90" t="s">
        <v>718</v>
      </c>
      <c r="D1292" s="90" t="s">
        <v>722</v>
      </c>
      <c r="E1292" s="91" t="s">
        <v>11</v>
      </c>
      <c r="F1292" s="92" t="s">
        <v>45</v>
      </c>
      <c r="G1292" s="93" t="s">
        <v>1270</v>
      </c>
      <c r="H1292" s="93" t="s">
        <v>1271</v>
      </c>
      <c r="I1292" s="93">
        <v>2397.5457928860201</v>
      </c>
      <c r="J1292" s="93" t="s">
        <v>1272</v>
      </c>
      <c r="K1292" s="93" t="s">
        <v>1273</v>
      </c>
      <c r="L1292" s="93" t="s">
        <v>1274</v>
      </c>
      <c r="M1292" s="93" t="s">
        <v>871</v>
      </c>
      <c r="N1292" s="95">
        <v>0.02</v>
      </c>
      <c r="O1292" s="95">
        <v>0.08</v>
      </c>
      <c r="P1292" s="95">
        <v>0.25</v>
      </c>
      <c r="Q1292" s="95">
        <v>0.56999999999999995</v>
      </c>
      <c r="R1292" s="96">
        <v>0.08</v>
      </c>
    </row>
    <row r="1293" spans="1:18" ht="15" hidden="1" customHeight="1" x14ac:dyDescent="0.3">
      <c r="A1293" s="89">
        <v>2022</v>
      </c>
      <c r="B1293" s="90">
        <v>1</v>
      </c>
      <c r="C1293" s="90" t="s">
        <v>718</v>
      </c>
      <c r="D1293" s="90" t="s">
        <v>722</v>
      </c>
      <c r="E1293" s="91" t="s">
        <v>11</v>
      </c>
      <c r="F1293" s="92" t="s">
        <v>721</v>
      </c>
      <c r="G1293" s="93" t="s">
        <v>1275</v>
      </c>
      <c r="H1293" s="93" t="s">
        <v>1276</v>
      </c>
      <c r="I1293" s="93">
        <v>2397.5457928860201</v>
      </c>
      <c r="J1293" s="93" t="s">
        <v>1277</v>
      </c>
      <c r="K1293" s="93" t="s">
        <v>1278</v>
      </c>
      <c r="L1293" s="93" t="s">
        <v>1279</v>
      </c>
      <c r="M1293" s="93" t="s">
        <v>877</v>
      </c>
      <c r="N1293" s="95">
        <v>0</v>
      </c>
      <c r="O1293" s="95">
        <v>0.02</v>
      </c>
      <c r="P1293" s="95">
        <v>0.2</v>
      </c>
      <c r="Q1293" s="95">
        <v>0.69</v>
      </c>
      <c r="R1293" s="96">
        <v>0.09</v>
      </c>
    </row>
    <row r="1294" spans="1:18" ht="15" hidden="1" customHeight="1" x14ac:dyDescent="0.3">
      <c r="A1294" s="89">
        <v>2022</v>
      </c>
      <c r="B1294" s="90">
        <v>1</v>
      </c>
      <c r="C1294" s="90" t="s">
        <v>718</v>
      </c>
      <c r="D1294" s="90" t="s">
        <v>722</v>
      </c>
      <c r="E1294" s="91" t="s">
        <v>11</v>
      </c>
      <c r="F1294" s="92" t="s">
        <v>46</v>
      </c>
      <c r="G1294" s="93" t="s">
        <v>1280</v>
      </c>
      <c r="H1294" s="93" t="s">
        <v>1281</v>
      </c>
      <c r="I1294" s="93">
        <v>2397.5457928860201</v>
      </c>
      <c r="J1294" s="93" t="s">
        <v>1282</v>
      </c>
      <c r="K1294" s="93" t="s">
        <v>1283</v>
      </c>
      <c r="L1294" s="93" t="s">
        <v>1284</v>
      </c>
      <c r="M1294" s="93" t="s">
        <v>883</v>
      </c>
      <c r="N1294" s="95">
        <v>0.08</v>
      </c>
      <c r="O1294" s="95">
        <v>0.31</v>
      </c>
      <c r="P1294" s="95">
        <v>0.43</v>
      </c>
      <c r="Q1294" s="95">
        <v>0.16</v>
      </c>
      <c r="R1294" s="96">
        <v>0.03</v>
      </c>
    </row>
    <row r="1295" spans="1:18" ht="15" hidden="1" customHeight="1" x14ac:dyDescent="0.3">
      <c r="A1295" s="89">
        <v>2022</v>
      </c>
      <c r="B1295" s="90">
        <v>1</v>
      </c>
      <c r="C1295" s="90" t="s">
        <v>718</v>
      </c>
      <c r="D1295" s="90" t="s">
        <v>722</v>
      </c>
      <c r="E1295" s="91" t="s">
        <v>11</v>
      </c>
      <c r="F1295" s="92" t="s">
        <v>47</v>
      </c>
      <c r="G1295" s="93" t="s">
        <v>1285</v>
      </c>
      <c r="H1295" s="93" t="s">
        <v>1286</v>
      </c>
      <c r="I1295" s="93">
        <v>2397.5457928860201</v>
      </c>
      <c r="J1295" s="93" t="s">
        <v>1287</v>
      </c>
      <c r="K1295" s="93" t="s">
        <v>1288</v>
      </c>
      <c r="L1295" s="93" t="s">
        <v>1289</v>
      </c>
      <c r="M1295" s="93" t="s">
        <v>889</v>
      </c>
      <c r="N1295" s="95">
        <v>0.02</v>
      </c>
      <c r="O1295" s="95">
        <v>0.11</v>
      </c>
      <c r="P1295" s="95">
        <v>0.55000000000000004</v>
      </c>
      <c r="Q1295" s="95">
        <v>0.28000000000000003</v>
      </c>
      <c r="R1295" s="96">
        <v>0.03</v>
      </c>
    </row>
    <row r="1296" spans="1:18" ht="15" hidden="1" customHeight="1" x14ac:dyDescent="0.3">
      <c r="A1296" s="89">
        <v>2022</v>
      </c>
      <c r="B1296" s="90">
        <v>1</v>
      </c>
      <c r="C1296" s="90" t="s">
        <v>718</v>
      </c>
      <c r="D1296" s="90" t="s">
        <v>722</v>
      </c>
      <c r="E1296" s="91" t="s">
        <v>11</v>
      </c>
      <c r="F1296" s="92" t="s">
        <v>48</v>
      </c>
      <c r="G1296" s="93" t="s">
        <v>1290</v>
      </c>
      <c r="H1296" s="93" t="s">
        <v>1291</v>
      </c>
      <c r="I1296" s="93">
        <v>2397.5457928860201</v>
      </c>
      <c r="J1296" s="93" t="s">
        <v>1292</v>
      </c>
      <c r="K1296" s="93" t="s">
        <v>1293</v>
      </c>
      <c r="L1296" s="93" t="s">
        <v>1294</v>
      </c>
      <c r="M1296" s="93" t="s">
        <v>895</v>
      </c>
      <c r="N1296" s="95">
        <v>0.01</v>
      </c>
      <c r="O1296" s="95">
        <v>0.02</v>
      </c>
      <c r="P1296" s="95">
        <v>0.19</v>
      </c>
      <c r="Q1296" s="95">
        <v>0.68</v>
      </c>
      <c r="R1296" s="96">
        <v>0.1</v>
      </c>
    </row>
    <row r="1297" spans="1:18" ht="15" hidden="1" customHeight="1" x14ac:dyDescent="0.3">
      <c r="A1297" s="89">
        <v>2022</v>
      </c>
      <c r="B1297" s="90">
        <v>1</v>
      </c>
      <c r="C1297" s="90" t="s">
        <v>718</v>
      </c>
      <c r="D1297" s="90" t="s">
        <v>722</v>
      </c>
      <c r="E1297" s="91" t="s">
        <v>11</v>
      </c>
      <c r="F1297" s="92" t="s">
        <v>40</v>
      </c>
      <c r="G1297" s="93" t="s">
        <v>1295</v>
      </c>
      <c r="H1297" s="93" t="s">
        <v>1296</v>
      </c>
      <c r="I1297" s="93">
        <v>2397.5457928860201</v>
      </c>
      <c r="J1297" s="93" t="s">
        <v>1297</v>
      </c>
      <c r="K1297" s="93" t="s">
        <v>1298</v>
      </c>
      <c r="L1297" s="93" t="s">
        <v>1299</v>
      </c>
      <c r="M1297" s="93" t="s">
        <v>829</v>
      </c>
      <c r="N1297" s="95">
        <v>0.01</v>
      </c>
      <c r="O1297" s="95">
        <v>0.1</v>
      </c>
      <c r="P1297" s="95">
        <v>0.45</v>
      </c>
      <c r="Q1297" s="95">
        <v>0.4</v>
      </c>
      <c r="R1297" s="96">
        <v>0.05</v>
      </c>
    </row>
    <row r="1298" spans="1:18" ht="15" hidden="1" customHeight="1" x14ac:dyDescent="0.3">
      <c r="A1298" s="89">
        <v>2022</v>
      </c>
      <c r="B1298" s="90">
        <v>2</v>
      </c>
      <c r="C1298" s="90" t="s">
        <v>723</v>
      </c>
      <c r="D1298" s="90" t="s">
        <v>719</v>
      </c>
      <c r="E1298" s="91" t="s">
        <v>11</v>
      </c>
      <c r="F1298" s="92" t="s">
        <v>26</v>
      </c>
      <c r="G1298" s="93"/>
      <c r="H1298" s="93" t="s">
        <v>1300</v>
      </c>
      <c r="I1298" s="93">
        <v>2397.5457928860201</v>
      </c>
      <c r="J1298" s="93" t="s">
        <v>1301</v>
      </c>
      <c r="K1298" s="93" t="s">
        <v>1302</v>
      </c>
      <c r="L1298" s="93" t="s">
        <v>1303</v>
      </c>
      <c r="M1298" s="93" t="s">
        <v>1304</v>
      </c>
      <c r="N1298" s="95">
        <v>0</v>
      </c>
      <c r="O1298" s="95">
        <v>0.24</v>
      </c>
      <c r="P1298" s="95">
        <v>0.54</v>
      </c>
      <c r="Q1298" s="95">
        <v>0.21</v>
      </c>
      <c r="R1298" s="96">
        <v>0.01</v>
      </c>
    </row>
    <row r="1299" spans="1:18" ht="15" hidden="1" customHeight="1" x14ac:dyDescent="0.3">
      <c r="A1299" s="89">
        <v>2022</v>
      </c>
      <c r="B1299" s="90">
        <v>2</v>
      </c>
      <c r="C1299" s="90" t="s">
        <v>723</v>
      </c>
      <c r="D1299" s="90" t="s">
        <v>719</v>
      </c>
      <c r="E1299" s="91" t="s">
        <v>11</v>
      </c>
      <c r="F1299" s="92" t="s">
        <v>12</v>
      </c>
      <c r="G1299" s="93"/>
      <c r="H1299" s="93" t="s">
        <v>1305</v>
      </c>
      <c r="I1299" s="93">
        <v>2397.5457928860201</v>
      </c>
      <c r="J1299" s="93" t="s">
        <v>1306</v>
      </c>
      <c r="K1299" s="93" t="s">
        <v>1307</v>
      </c>
      <c r="L1299" s="93" t="s">
        <v>1308</v>
      </c>
      <c r="M1299" s="93" t="s">
        <v>1309</v>
      </c>
      <c r="N1299" s="95">
        <v>0</v>
      </c>
      <c r="O1299" s="95">
        <v>0.06</v>
      </c>
      <c r="P1299" s="95">
        <v>0.24</v>
      </c>
      <c r="Q1299" s="95">
        <v>0.56999999999999995</v>
      </c>
      <c r="R1299" s="96">
        <v>0.13</v>
      </c>
    </row>
    <row r="1300" spans="1:18" ht="15" hidden="1" customHeight="1" x14ac:dyDescent="0.3">
      <c r="A1300" s="89">
        <v>2022</v>
      </c>
      <c r="B1300" s="90">
        <v>2</v>
      </c>
      <c r="C1300" s="90" t="s">
        <v>723</v>
      </c>
      <c r="D1300" s="90" t="s">
        <v>719</v>
      </c>
      <c r="E1300" s="91" t="s">
        <v>11</v>
      </c>
      <c r="F1300" s="92" t="s">
        <v>27</v>
      </c>
      <c r="G1300" s="93"/>
      <c r="H1300" s="93" t="s">
        <v>1310</v>
      </c>
      <c r="I1300" s="93">
        <v>2397.5457928860201</v>
      </c>
      <c r="J1300" s="93" t="s">
        <v>1311</v>
      </c>
      <c r="K1300" s="93" t="s">
        <v>1312</v>
      </c>
      <c r="L1300" s="93" t="s">
        <v>1313</v>
      </c>
      <c r="M1300" s="93" t="s">
        <v>1314</v>
      </c>
      <c r="N1300" s="95">
        <v>0</v>
      </c>
      <c r="O1300" s="95">
        <v>0.02</v>
      </c>
      <c r="P1300" s="95">
        <v>0.25</v>
      </c>
      <c r="Q1300" s="95">
        <v>0.68</v>
      </c>
      <c r="R1300" s="96">
        <v>0.05</v>
      </c>
    </row>
    <row r="1301" spans="1:18" ht="15" hidden="1" customHeight="1" x14ac:dyDescent="0.3">
      <c r="A1301" s="89">
        <v>2022</v>
      </c>
      <c r="B1301" s="90">
        <v>2</v>
      </c>
      <c r="C1301" s="90" t="s">
        <v>723</v>
      </c>
      <c r="D1301" s="90" t="s">
        <v>719</v>
      </c>
      <c r="E1301" s="91" t="s">
        <v>11</v>
      </c>
      <c r="F1301" s="92" t="s">
        <v>28</v>
      </c>
      <c r="G1301" s="93"/>
      <c r="H1301" s="93" t="s">
        <v>1315</v>
      </c>
      <c r="I1301" s="93">
        <v>2397.5457928860201</v>
      </c>
      <c r="J1301" s="93" t="s">
        <v>1316</v>
      </c>
      <c r="K1301" s="93" t="s">
        <v>1317</v>
      </c>
      <c r="L1301" s="93" t="s">
        <v>1318</v>
      </c>
      <c r="M1301" s="93" t="s">
        <v>1319</v>
      </c>
      <c r="N1301" s="95">
        <v>0</v>
      </c>
      <c r="O1301" s="95">
        <v>0.02</v>
      </c>
      <c r="P1301" s="95">
        <v>0.15</v>
      </c>
      <c r="Q1301" s="95">
        <v>0.75</v>
      </c>
      <c r="R1301" s="96">
        <v>0.09</v>
      </c>
    </row>
    <row r="1302" spans="1:18" ht="15" customHeight="1" x14ac:dyDescent="0.3">
      <c r="A1302" s="89">
        <v>2022</v>
      </c>
      <c r="B1302" s="90">
        <v>2</v>
      </c>
      <c r="C1302" s="90" t="s">
        <v>723</v>
      </c>
      <c r="D1302" s="90" t="s">
        <v>719</v>
      </c>
      <c r="E1302" s="91" t="s">
        <v>11</v>
      </c>
      <c r="F1302" s="92" t="s">
        <v>29</v>
      </c>
      <c r="G1302" s="93"/>
      <c r="H1302" s="93" t="s">
        <v>1320</v>
      </c>
      <c r="I1302" s="93">
        <v>2397.5457928860201</v>
      </c>
      <c r="J1302" s="93" t="s">
        <v>1321</v>
      </c>
      <c r="K1302" s="93" t="s">
        <v>1322</v>
      </c>
      <c r="L1302" s="93" t="s">
        <v>1323</v>
      </c>
      <c r="M1302" s="93" t="s">
        <v>1324</v>
      </c>
      <c r="N1302" s="95">
        <v>0</v>
      </c>
      <c r="O1302" s="95">
        <v>0.2</v>
      </c>
      <c r="P1302" s="95">
        <v>0.54</v>
      </c>
      <c r="Q1302" s="95">
        <v>0.26</v>
      </c>
      <c r="R1302" s="96">
        <v>0.01</v>
      </c>
    </row>
    <row r="1303" spans="1:18" ht="15" hidden="1" customHeight="1" x14ac:dyDescent="0.3">
      <c r="A1303" s="89">
        <v>2022</v>
      </c>
      <c r="B1303" s="90">
        <v>2</v>
      </c>
      <c r="C1303" s="90" t="s">
        <v>723</v>
      </c>
      <c r="D1303" s="90" t="s">
        <v>719</v>
      </c>
      <c r="E1303" s="91" t="s">
        <v>11</v>
      </c>
      <c r="F1303" s="92" t="s">
        <v>30</v>
      </c>
      <c r="G1303" s="93"/>
      <c r="H1303" s="93" t="s">
        <v>1325</v>
      </c>
      <c r="I1303" s="93">
        <v>2397.5457928860201</v>
      </c>
      <c r="J1303" s="93" t="s">
        <v>1326</v>
      </c>
      <c r="K1303" s="93" t="s">
        <v>1327</v>
      </c>
      <c r="L1303" s="93" t="s">
        <v>1328</v>
      </c>
      <c r="M1303" s="93" t="s">
        <v>1329</v>
      </c>
      <c r="N1303" s="95">
        <v>0</v>
      </c>
      <c r="O1303" s="95">
        <v>0.17</v>
      </c>
      <c r="P1303" s="95">
        <v>0.47</v>
      </c>
      <c r="Q1303" s="95">
        <v>0.33</v>
      </c>
      <c r="R1303" s="96">
        <v>0.03</v>
      </c>
    </row>
    <row r="1304" spans="1:18" ht="15" hidden="1" customHeight="1" x14ac:dyDescent="0.3">
      <c r="A1304" s="89">
        <v>2022</v>
      </c>
      <c r="B1304" s="90">
        <v>2</v>
      </c>
      <c r="C1304" s="90" t="s">
        <v>723</v>
      </c>
      <c r="D1304" s="90" t="s">
        <v>719</v>
      </c>
      <c r="E1304" s="91" t="s">
        <v>11</v>
      </c>
      <c r="F1304" s="92" t="s">
        <v>31</v>
      </c>
      <c r="G1304" s="93"/>
      <c r="H1304" s="93" t="s">
        <v>1330</v>
      </c>
      <c r="I1304" s="93">
        <v>2397.5457928860201</v>
      </c>
      <c r="J1304" s="93" t="s">
        <v>1331</v>
      </c>
      <c r="K1304" s="93" t="s">
        <v>1332</v>
      </c>
      <c r="L1304" s="93" t="s">
        <v>1333</v>
      </c>
      <c r="M1304" s="93" t="s">
        <v>1334</v>
      </c>
      <c r="N1304" s="95">
        <v>0</v>
      </c>
      <c r="O1304" s="95">
        <v>0.26</v>
      </c>
      <c r="P1304" s="95">
        <v>0.45</v>
      </c>
      <c r="Q1304" s="95">
        <v>0.25</v>
      </c>
      <c r="R1304" s="96">
        <v>0.04</v>
      </c>
    </row>
    <row r="1305" spans="1:18" ht="15" hidden="1" customHeight="1" x14ac:dyDescent="0.3">
      <c r="A1305" s="89">
        <v>2022</v>
      </c>
      <c r="B1305" s="90">
        <v>2</v>
      </c>
      <c r="C1305" s="90" t="s">
        <v>723</v>
      </c>
      <c r="D1305" s="90" t="s">
        <v>719</v>
      </c>
      <c r="E1305" s="91" t="s">
        <v>11</v>
      </c>
      <c r="F1305" s="92" t="s">
        <v>32</v>
      </c>
      <c r="G1305" s="93"/>
      <c r="H1305" s="93" t="s">
        <v>1335</v>
      </c>
      <c r="I1305" s="93">
        <v>2397.5457928860201</v>
      </c>
      <c r="J1305" s="93" t="s">
        <v>1336</v>
      </c>
      <c r="K1305" s="93" t="s">
        <v>1337</v>
      </c>
      <c r="L1305" s="93" t="s">
        <v>1338</v>
      </c>
      <c r="M1305" s="93" t="s">
        <v>1339</v>
      </c>
      <c r="N1305" s="95">
        <v>0</v>
      </c>
      <c r="O1305" s="95">
        <v>0.18</v>
      </c>
      <c r="P1305" s="95">
        <v>0.42</v>
      </c>
      <c r="Q1305" s="95">
        <v>0.4</v>
      </c>
      <c r="R1305" s="96">
        <v>0</v>
      </c>
    </row>
    <row r="1306" spans="1:18" ht="15" hidden="1" customHeight="1" x14ac:dyDescent="0.3">
      <c r="A1306" s="89">
        <v>2022</v>
      </c>
      <c r="B1306" s="90">
        <v>2</v>
      </c>
      <c r="C1306" s="90" t="s">
        <v>723</v>
      </c>
      <c r="D1306" s="90" t="s">
        <v>719</v>
      </c>
      <c r="E1306" s="91" t="s">
        <v>11</v>
      </c>
      <c r="F1306" s="92" t="s">
        <v>33</v>
      </c>
      <c r="G1306" s="93"/>
      <c r="H1306" s="93" t="s">
        <v>1340</v>
      </c>
      <c r="I1306" s="93">
        <v>2397.5457928860201</v>
      </c>
      <c r="J1306" s="93" t="s">
        <v>1341</v>
      </c>
      <c r="K1306" s="93" t="s">
        <v>1342</v>
      </c>
      <c r="L1306" s="93" t="s">
        <v>1343</v>
      </c>
      <c r="M1306" s="93" t="s">
        <v>1344</v>
      </c>
      <c r="N1306" s="95">
        <v>0</v>
      </c>
      <c r="O1306" s="95">
        <v>0.12</v>
      </c>
      <c r="P1306" s="95">
        <v>0.41</v>
      </c>
      <c r="Q1306" s="95">
        <v>0.42</v>
      </c>
      <c r="R1306" s="96">
        <v>0.05</v>
      </c>
    </row>
    <row r="1307" spans="1:18" ht="15" hidden="1" customHeight="1" x14ac:dyDescent="0.3">
      <c r="A1307" s="89">
        <v>2022</v>
      </c>
      <c r="B1307" s="90">
        <v>2</v>
      </c>
      <c r="C1307" s="90" t="s">
        <v>723</v>
      </c>
      <c r="D1307" s="90" t="s">
        <v>719</v>
      </c>
      <c r="E1307" s="91" t="s">
        <v>11</v>
      </c>
      <c r="F1307" s="92" t="s">
        <v>34</v>
      </c>
      <c r="G1307" s="93"/>
      <c r="H1307" s="93" t="s">
        <v>1345</v>
      </c>
      <c r="I1307" s="93">
        <v>2397.5457928860201</v>
      </c>
      <c r="J1307" s="93" t="s">
        <v>1346</v>
      </c>
      <c r="K1307" s="93" t="s">
        <v>1347</v>
      </c>
      <c r="L1307" s="93" t="s">
        <v>1348</v>
      </c>
      <c r="M1307" s="93" t="s">
        <v>1349</v>
      </c>
      <c r="N1307" s="95">
        <v>0</v>
      </c>
      <c r="O1307" s="95">
        <v>0.2</v>
      </c>
      <c r="P1307" s="95">
        <v>0.41</v>
      </c>
      <c r="Q1307" s="95">
        <v>0.37</v>
      </c>
      <c r="R1307" s="96">
        <v>0.02</v>
      </c>
    </row>
    <row r="1308" spans="1:18" ht="15" hidden="1" customHeight="1" x14ac:dyDescent="0.3">
      <c r="A1308" s="89">
        <v>2022</v>
      </c>
      <c r="B1308" s="90">
        <v>2</v>
      </c>
      <c r="C1308" s="90" t="s">
        <v>723</v>
      </c>
      <c r="D1308" s="90" t="s">
        <v>719</v>
      </c>
      <c r="E1308" s="91" t="s">
        <v>11</v>
      </c>
      <c r="F1308" s="92" t="s">
        <v>35</v>
      </c>
      <c r="G1308" s="93"/>
      <c r="H1308" s="93" t="s">
        <v>1350</v>
      </c>
      <c r="I1308" s="93">
        <v>2397.5457928860201</v>
      </c>
      <c r="J1308" s="93" t="s">
        <v>1351</v>
      </c>
      <c r="K1308" s="93" t="s">
        <v>1352</v>
      </c>
      <c r="L1308" s="93" t="s">
        <v>1353</v>
      </c>
      <c r="M1308" s="93" t="s">
        <v>1354</v>
      </c>
      <c r="N1308" s="95">
        <v>0</v>
      </c>
      <c r="O1308" s="95">
        <v>7.0000000000000007E-2</v>
      </c>
      <c r="P1308" s="95">
        <v>0.17</v>
      </c>
      <c r="Q1308" s="95">
        <v>0.61</v>
      </c>
      <c r="R1308" s="96">
        <v>0.15</v>
      </c>
    </row>
    <row r="1309" spans="1:18" ht="15" hidden="1" customHeight="1" x14ac:dyDescent="0.3">
      <c r="A1309" s="89">
        <v>2022</v>
      </c>
      <c r="B1309" s="90">
        <v>2</v>
      </c>
      <c r="C1309" s="90" t="s">
        <v>723</v>
      </c>
      <c r="D1309" s="90" t="s">
        <v>719</v>
      </c>
      <c r="E1309" s="91" t="s">
        <v>11</v>
      </c>
      <c r="F1309" s="92" t="s">
        <v>36</v>
      </c>
      <c r="G1309" s="93"/>
      <c r="H1309" s="93" t="s">
        <v>1355</v>
      </c>
      <c r="I1309" s="93">
        <v>2397.5457928860201</v>
      </c>
      <c r="J1309" s="93" t="s">
        <v>1356</v>
      </c>
      <c r="K1309" s="93" t="s">
        <v>1357</v>
      </c>
      <c r="L1309" s="93" t="s">
        <v>1358</v>
      </c>
      <c r="M1309" s="93" t="s">
        <v>1359</v>
      </c>
      <c r="N1309" s="95">
        <v>0</v>
      </c>
      <c r="O1309" s="95">
        <v>0.04</v>
      </c>
      <c r="P1309" s="95">
        <v>0.48</v>
      </c>
      <c r="Q1309" s="95">
        <v>0.48</v>
      </c>
      <c r="R1309" s="96">
        <v>0</v>
      </c>
    </row>
    <row r="1310" spans="1:18" ht="15" hidden="1" customHeight="1" x14ac:dyDescent="0.3">
      <c r="A1310" s="89">
        <v>2022</v>
      </c>
      <c r="B1310" s="90">
        <v>2</v>
      </c>
      <c r="C1310" s="90" t="s">
        <v>723</v>
      </c>
      <c r="D1310" s="90" t="s">
        <v>719</v>
      </c>
      <c r="E1310" s="91" t="s">
        <v>11</v>
      </c>
      <c r="F1310" s="92" t="s">
        <v>37</v>
      </c>
      <c r="G1310" s="93"/>
      <c r="H1310" s="93" t="s">
        <v>1360</v>
      </c>
      <c r="I1310" s="93">
        <v>2397.5457928860201</v>
      </c>
      <c r="J1310" s="93" t="s">
        <v>1361</v>
      </c>
      <c r="K1310" s="93" t="s">
        <v>1362</v>
      </c>
      <c r="L1310" s="93" t="s">
        <v>1363</v>
      </c>
      <c r="M1310" s="93" t="s">
        <v>1364</v>
      </c>
      <c r="N1310" s="95">
        <v>0</v>
      </c>
      <c r="O1310" s="95">
        <v>0.35</v>
      </c>
      <c r="P1310" s="95">
        <v>0.49</v>
      </c>
      <c r="Q1310" s="95">
        <v>0.16</v>
      </c>
      <c r="R1310" s="96">
        <v>0</v>
      </c>
    </row>
    <row r="1311" spans="1:18" ht="15" hidden="1" customHeight="1" x14ac:dyDescent="0.3">
      <c r="A1311" s="89">
        <v>2022</v>
      </c>
      <c r="B1311" s="90">
        <v>2</v>
      </c>
      <c r="C1311" s="90" t="s">
        <v>723</v>
      </c>
      <c r="D1311" s="90" t="s">
        <v>719</v>
      </c>
      <c r="E1311" s="91" t="s">
        <v>11</v>
      </c>
      <c r="F1311" s="92" t="s">
        <v>720</v>
      </c>
      <c r="G1311" s="93"/>
      <c r="H1311" s="93" t="s">
        <v>1365</v>
      </c>
      <c r="I1311" s="93">
        <v>2397.5457928860201</v>
      </c>
      <c r="J1311" s="93" t="s">
        <v>1366</v>
      </c>
      <c r="K1311" s="93" t="s">
        <v>1367</v>
      </c>
      <c r="L1311" s="93" t="s">
        <v>1368</v>
      </c>
      <c r="M1311" s="93" t="s">
        <v>1369</v>
      </c>
      <c r="N1311" s="95">
        <v>0</v>
      </c>
      <c r="O1311" s="95">
        <v>0.03</v>
      </c>
      <c r="P1311" s="95">
        <v>0.08</v>
      </c>
      <c r="Q1311" s="95">
        <v>0.57999999999999996</v>
      </c>
      <c r="R1311" s="96">
        <v>0.32</v>
      </c>
    </row>
    <row r="1312" spans="1:18" ht="15" hidden="1" customHeight="1" x14ac:dyDescent="0.3">
      <c r="A1312" s="89">
        <v>2022</v>
      </c>
      <c r="B1312" s="90">
        <v>2</v>
      </c>
      <c r="C1312" s="90" t="s">
        <v>723</v>
      </c>
      <c r="D1312" s="90" t="s">
        <v>719</v>
      </c>
      <c r="E1312" s="91" t="s">
        <v>11</v>
      </c>
      <c r="F1312" s="92" t="s">
        <v>39</v>
      </c>
      <c r="G1312" s="93"/>
      <c r="H1312" s="93" t="s">
        <v>1370</v>
      </c>
      <c r="I1312" s="93">
        <v>2397.5457928860201</v>
      </c>
      <c r="J1312" s="93" t="s">
        <v>1371</v>
      </c>
      <c r="K1312" s="93" t="s">
        <v>1372</v>
      </c>
      <c r="L1312" s="93" t="s">
        <v>1373</v>
      </c>
      <c r="M1312" s="93" t="s">
        <v>1374</v>
      </c>
      <c r="N1312" s="95">
        <v>0</v>
      </c>
      <c r="O1312" s="95">
        <v>0.09</v>
      </c>
      <c r="P1312" s="95">
        <v>0.49</v>
      </c>
      <c r="Q1312" s="95">
        <v>0.41</v>
      </c>
      <c r="R1312" s="96">
        <v>0.01</v>
      </c>
    </row>
    <row r="1313" spans="1:18" ht="15" hidden="1" customHeight="1" x14ac:dyDescent="0.3">
      <c r="A1313" s="89">
        <v>2022</v>
      </c>
      <c r="B1313" s="90">
        <v>2</v>
      </c>
      <c r="C1313" s="90" t="s">
        <v>723</v>
      </c>
      <c r="D1313" s="90" t="s">
        <v>719</v>
      </c>
      <c r="E1313" s="91" t="s">
        <v>11</v>
      </c>
      <c r="F1313" s="92" t="s">
        <v>41</v>
      </c>
      <c r="G1313" s="93"/>
      <c r="H1313" s="93" t="s">
        <v>1375</v>
      </c>
      <c r="I1313" s="93">
        <v>2397.5457928860201</v>
      </c>
      <c r="J1313" s="93" t="s">
        <v>1376</v>
      </c>
      <c r="K1313" s="93" t="s">
        <v>1377</v>
      </c>
      <c r="L1313" s="93" t="s">
        <v>1378</v>
      </c>
      <c r="M1313" s="93" t="s">
        <v>1379</v>
      </c>
      <c r="N1313" s="95">
        <v>0</v>
      </c>
      <c r="O1313" s="95">
        <v>0.32</v>
      </c>
      <c r="P1313" s="95">
        <v>0.38</v>
      </c>
      <c r="Q1313" s="95">
        <v>0.26</v>
      </c>
      <c r="R1313" s="96">
        <v>0.05</v>
      </c>
    </row>
    <row r="1314" spans="1:18" ht="15" hidden="1" customHeight="1" x14ac:dyDescent="0.3">
      <c r="A1314" s="89">
        <v>2022</v>
      </c>
      <c r="B1314" s="90">
        <v>2</v>
      </c>
      <c r="C1314" s="90" t="s">
        <v>723</v>
      </c>
      <c r="D1314" s="90" t="s">
        <v>719</v>
      </c>
      <c r="E1314" s="91" t="s">
        <v>11</v>
      </c>
      <c r="F1314" s="92" t="s">
        <v>42</v>
      </c>
      <c r="G1314" s="93"/>
      <c r="H1314" s="93" t="s">
        <v>1380</v>
      </c>
      <c r="I1314" s="93">
        <v>2397.5457928860201</v>
      </c>
      <c r="J1314" s="93" t="s">
        <v>1381</v>
      </c>
      <c r="K1314" s="93" t="s">
        <v>1382</v>
      </c>
      <c r="L1314" s="93" t="s">
        <v>1383</v>
      </c>
      <c r="M1314" s="93" t="s">
        <v>1384</v>
      </c>
      <c r="N1314" s="95">
        <v>0</v>
      </c>
      <c r="O1314" s="95">
        <v>0.2</v>
      </c>
      <c r="P1314" s="95">
        <v>0.52</v>
      </c>
      <c r="Q1314" s="95">
        <v>0.26</v>
      </c>
      <c r="R1314" s="96">
        <v>0.02</v>
      </c>
    </row>
    <row r="1315" spans="1:18" ht="15" hidden="1" customHeight="1" x14ac:dyDescent="0.3">
      <c r="A1315" s="89">
        <v>2022</v>
      </c>
      <c r="B1315" s="90">
        <v>2</v>
      </c>
      <c r="C1315" s="90" t="s">
        <v>723</v>
      </c>
      <c r="D1315" s="90" t="s">
        <v>719</v>
      </c>
      <c r="E1315" s="91" t="s">
        <v>11</v>
      </c>
      <c r="F1315" s="92" t="s">
        <v>43</v>
      </c>
      <c r="G1315" s="93"/>
      <c r="H1315" s="93" t="s">
        <v>1385</v>
      </c>
      <c r="I1315" s="93">
        <v>2397.5457928860201</v>
      </c>
      <c r="J1315" s="93" t="s">
        <v>1386</v>
      </c>
      <c r="K1315" s="93" t="s">
        <v>1387</v>
      </c>
      <c r="L1315" s="93" t="s">
        <v>1388</v>
      </c>
      <c r="M1315" s="93" t="s">
        <v>1389</v>
      </c>
      <c r="N1315" s="95">
        <v>0</v>
      </c>
      <c r="O1315" s="95">
        <v>0.18</v>
      </c>
      <c r="P1315" s="95">
        <v>0.42</v>
      </c>
      <c r="Q1315" s="95">
        <v>0.37</v>
      </c>
      <c r="R1315" s="96">
        <v>0.03</v>
      </c>
    </row>
    <row r="1316" spans="1:18" ht="15" hidden="1" customHeight="1" x14ac:dyDescent="0.3">
      <c r="A1316" s="89">
        <v>2022</v>
      </c>
      <c r="B1316" s="90">
        <v>2</v>
      </c>
      <c r="C1316" s="90" t="s">
        <v>723</v>
      </c>
      <c r="D1316" s="90" t="s">
        <v>719</v>
      </c>
      <c r="E1316" s="91" t="s">
        <v>11</v>
      </c>
      <c r="F1316" s="92" t="s">
        <v>58</v>
      </c>
      <c r="G1316" s="93"/>
      <c r="H1316" s="93" t="s">
        <v>1390</v>
      </c>
      <c r="I1316" s="93">
        <v>2397.5457928860201</v>
      </c>
      <c r="J1316" s="93" t="s">
        <v>1391</v>
      </c>
      <c r="K1316" s="93" t="s">
        <v>1392</v>
      </c>
      <c r="L1316" s="93" t="s">
        <v>1393</v>
      </c>
      <c r="M1316" s="93" t="s">
        <v>1394</v>
      </c>
      <c r="N1316" s="95">
        <v>0</v>
      </c>
      <c r="O1316" s="95">
        <v>0.01</v>
      </c>
      <c r="P1316" s="95">
        <v>0.26</v>
      </c>
      <c r="Q1316" s="95">
        <v>0.59</v>
      </c>
      <c r="R1316" s="96">
        <v>0.14000000000000001</v>
      </c>
    </row>
    <row r="1317" spans="1:18" ht="15" hidden="1" customHeight="1" x14ac:dyDescent="0.3">
      <c r="A1317" s="89">
        <v>2022</v>
      </c>
      <c r="B1317" s="90">
        <v>2</v>
      </c>
      <c r="C1317" s="90" t="s">
        <v>723</v>
      </c>
      <c r="D1317" s="90" t="s">
        <v>719</v>
      </c>
      <c r="E1317" s="91" t="s">
        <v>11</v>
      </c>
      <c r="F1317" s="92" t="s">
        <v>44</v>
      </c>
      <c r="G1317" s="93"/>
      <c r="H1317" s="93" t="s">
        <v>1395</v>
      </c>
      <c r="I1317" s="93">
        <v>2397.5457928860201</v>
      </c>
      <c r="J1317" s="93" t="s">
        <v>1396</v>
      </c>
      <c r="K1317" s="93" t="s">
        <v>1397</v>
      </c>
      <c r="L1317" s="93" t="s">
        <v>1398</v>
      </c>
      <c r="M1317" s="93" t="s">
        <v>1399</v>
      </c>
      <c r="N1317" s="95">
        <v>0</v>
      </c>
      <c r="O1317" s="95">
        <v>0.04</v>
      </c>
      <c r="P1317" s="95">
        <v>0.35</v>
      </c>
      <c r="Q1317" s="95">
        <v>0.57999999999999996</v>
      </c>
      <c r="R1317" s="96">
        <v>0.03</v>
      </c>
    </row>
    <row r="1318" spans="1:18" ht="15" hidden="1" customHeight="1" x14ac:dyDescent="0.3">
      <c r="A1318" s="89">
        <v>2022</v>
      </c>
      <c r="B1318" s="90">
        <v>2</v>
      </c>
      <c r="C1318" s="90" t="s">
        <v>723</v>
      </c>
      <c r="D1318" s="90" t="s">
        <v>719</v>
      </c>
      <c r="E1318" s="91" t="s">
        <v>11</v>
      </c>
      <c r="F1318" s="92" t="s">
        <v>51</v>
      </c>
      <c r="G1318" s="93"/>
      <c r="H1318" s="93" t="s">
        <v>1400</v>
      </c>
      <c r="I1318" s="93">
        <v>2397.5457928860201</v>
      </c>
      <c r="J1318" s="93" t="s">
        <v>1401</v>
      </c>
      <c r="K1318" s="93" t="s">
        <v>1402</v>
      </c>
      <c r="L1318" s="93" t="s">
        <v>1403</v>
      </c>
      <c r="M1318" s="93" t="s">
        <v>1404</v>
      </c>
      <c r="N1318" s="95">
        <v>0</v>
      </c>
      <c r="O1318" s="95">
        <v>0.06</v>
      </c>
      <c r="P1318" s="95">
        <v>0.18</v>
      </c>
      <c r="Q1318" s="95">
        <v>0.56999999999999995</v>
      </c>
      <c r="R1318" s="96">
        <v>0.19</v>
      </c>
    </row>
    <row r="1319" spans="1:18" ht="15" hidden="1" customHeight="1" x14ac:dyDescent="0.3">
      <c r="A1319" s="89">
        <v>2022</v>
      </c>
      <c r="B1319" s="90">
        <v>2</v>
      </c>
      <c r="C1319" s="90" t="s">
        <v>723</v>
      </c>
      <c r="D1319" s="90" t="s">
        <v>719</v>
      </c>
      <c r="E1319" s="91" t="s">
        <v>11</v>
      </c>
      <c r="F1319" s="92" t="s">
        <v>45</v>
      </c>
      <c r="G1319" s="93"/>
      <c r="H1319" s="93" t="s">
        <v>1405</v>
      </c>
      <c r="I1319" s="93">
        <v>2397.5457928860201</v>
      </c>
      <c r="J1319" s="93" t="s">
        <v>1406</v>
      </c>
      <c r="K1319" s="93" t="s">
        <v>1407</v>
      </c>
      <c r="L1319" s="93" t="s">
        <v>1408</v>
      </c>
      <c r="M1319" s="93" t="s">
        <v>1409</v>
      </c>
      <c r="N1319" s="95">
        <v>0</v>
      </c>
      <c r="O1319" s="95">
        <v>0.06</v>
      </c>
      <c r="P1319" s="95">
        <v>0.27</v>
      </c>
      <c r="Q1319" s="95">
        <v>0.63</v>
      </c>
      <c r="R1319" s="96">
        <v>0.04</v>
      </c>
    </row>
    <row r="1320" spans="1:18" ht="15" hidden="1" customHeight="1" x14ac:dyDescent="0.3">
      <c r="A1320" s="89">
        <v>2022</v>
      </c>
      <c r="B1320" s="90">
        <v>2</v>
      </c>
      <c r="C1320" s="90" t="s">
        <v>723</v>
      </c>
      <c r="D1320" s="90" t="s">
        <v>719</v>
      </c>
      <c r="E1320" s="91" t="s">
        <v>11</v>
      </c>
      <c r="F1320" s="92" t="s">
        <v>721</v>
      </c>
      <c r="G1320" s="93"/>
      <c r="H1320" s="93" t="s">
        <v>1410</v>
      </c>
      <c r="I1320" s="93">
        <v>2397.5457928860201</v>
      </c>
      <c r="J1320" s="93" t="s">
        <v>1411</v>
      </c>
      <c r="K1320" s="93" t="s">
        <v>1412</v>
      </c>
      <c r="L1320" s="93" t="s">
        <v>1413</v>
      </c>
      <c r="M1320" s="93" t="s">
        <v>1414</v>
      </c>
      <c r="N1320" s="95">
        <v>0</v>
      </c>
      <c r="O1320" s="95">
        <v>0.01</v>
      </c>
      <c r="P1320" s="95">
        <v>0.19</v>
      </c>
      <c r="Q1320" s="95">
        <v>0.65</v>
      </c>
      <c r="R1320" s="96">
        <v>0.15</v>
      </c>
    </row>
    <row r="1321" spans="1:18" ht="15" hidden="1" customHeight="1" x14ac:dyDescent="0.3">
      <c r="A1321" s="89">
        <v>2022</v>
      </c>
      <c r="B1321" s="90">
        <v>2</v>
      </c>
      <c r="C1321" s="90" t="s">
        <v>723</v>
      </c>
      <c r="D1321" s="90" t="s">
        <v>719</v>
      </c>
      <c r="E1321" s="91" t="s">
        <v>11</v>
      </c>
      <c r="F1321" s="92" t="s">
        <v>46</v>
      </c>
      <c r="G1321" s="93"/>
      <c r="H1321" s="93" t="s">
        <v>1415</v>
      </c>
      <c r="I1321" s="93">
        <v>2397.5457928860201</v>
      </c>
      <c r="J1321" s="93" t="s">
        <v>1416</v>
      </c>
      <c r="K1321" s="93" t="s">
        <v>1417</v>
      </c>
      <c r="L1321" s="93" t="s">
        <v>1418</v>
      </c>
      <c r="M1321" s="93" t="s">
        <v>1419</v>
      </c>
      <c r="N1321" s="95">
        <v>0</v>
      </c>
      <c r="O1321" s="95">
        <v>0.25</v>
      </c>
      <c r="P1321" s="95">
        <v>0.51</v>
      </c>
      <c r="Q1321" s="95">
        <v>0.2</v>
      </c>
      <c r="R1321" s="96">
        <v>0.04</v>
      </c>
    </row>
    <row r="1322" spans="1:18" ht="15" hidden="1" customHeight="1" x14ac:dyDescent="0.3">
      <c r="A1322" s="89">
        <v>2022</v>
      </c>
      <c r="B1322" s="90">
        <v>2</v>
      </c>
      <c r="C1322" s="90" t="s">
        <v>723</v>
      </c>
      <c r="D1322" s="90" t="s">
        <v>719</v>
      </c>
      <c r="E1322" s="91" t="s">
        <v>11</v>
      </c>
      <c r="F1322" s="92" t="s">
        <v>47</v>
      </c>
      <c r="G1322" s="93"/>
      <c r="H1322" s="93" t="s">
        <v>1420</v>
      </c>
      <c r="I1322" s="93">
        <v>2397.5457928860201</v>
      </c>
      <c r="J1322" s="93" t="s">
        <v>1421</v>
      </c>
      <c r="K1322" s="93" t="s">
        <v>1422</v>
      </c>
      <c r="L1322" s="93" t="s">
        <v>1423</v>
      </c>
      <c r="M1322" s="93" t="s">
        <v>1424</v>
      </c>
      <c r="N1322" s="95">
        <v>0</v>
      </c>
      <c r="O1322" s="95">
        <v>0.18</v>
      </c>
      <c r="P1322" s="95">
        <v>0.56999999999999995</v>
      </c>
      <c r="Q1322" s="95">
        <v>0.22</v>
      </c>
      <c r="R1322" s="96">
        <v>0.03</v>
      </c>
    </row>
    <row r="1323" spans="1:18" ht="15" hidden="1" customHeight="1" x14ac:dyDescent="0.3">
      <c r="A1323" s="89">
        <v>2022</v>
      </c>
      <c r="B1323" s="90">
        <v>2</v>
      </c>
      <c r="C1323" s="90" t="s">
        <v>723</v>
      </c>
      <c r="D1323" s="90" t="s">
        <v>719</v>
      </c>
      <c r="E1323" s="91" t="s">
        <v>11</v>
      </c>
      <c r="F1323" s="92" t="s">
        <v>48</v>
      </c>
      <c r="G1323" s="93"/>
      <c r="H1323" s="93" t="s">
        <v>1425</v>
      </c>
      <c r="I1323" s="93">
        <v>2397.5457928860201</v>
      </c>
      <c r="J1323" s="93" t="s">
        <v>1426</v>
      </c>
      <c r="K1323" s="93" t="s">
        <v>1427</v>
      </c>
      <c r="L1323" s="93" t="s">
        <v>1428</v>
      </c>
      <c r="M1323" s="93" t="s">
        <v>1429</v>
      </c>
      <c r="N1323" s="95">
        <v>0</v>
      </c>
      <c r="O1323" s="95">
        <v>0.01</v>
      </c>
      <c r="P1323" s="95">
        <v>0.12</v>
      </c>
      <c r="Q1323" s="95">
        <v>0.8</v>
      </c>
      <c r="R1323" s="96">
        <v>7.0000000000000007E-2</v>
      </c>
    </row>
    <row r="1324" spans="1:18" ht="15" hidden="1" customHeight="1" x14ac:dyDescent="0.3">
      <c r="A1324" s="89">
        <v>2022</v>
      </c>
      <c r="B1324" s="90">
        <v>2</v>
      </c>
      <c r="C1324" s="90" t="s">
        <v>723</v>
      </c>
      <c r="D1324" s="90" t="s">
        <v>719</v>
      </c>
      <c r="E1324" s="91" t="s">
        <v>11</v>
      </c>
      <c r="F1324" s="92" t="s">
        <v>40</v>
      </c>
      <c r="G1324" s="93"/>
      <c r="H1324" s="93" t="s">
        <v>1430</v>
      </c>
      <c r="I1324" s="93">
        <v>2397.5457928860201</v>
      </c>
      <c r="J1324" s="93" t="s">
        <v>1431</v>
      </c>
      <c r="K1324" s="93" t="s">
        <v>1432</v>
      </c>
      <c r="L1324" s="93" t="s">
        <v>1433</v>
      </c>
      <c r="M1324" s="93" t="s">
        <v>1434</v>
      </c>
      <c r="N1324" s="95">
        <v>0</v>
      </c>
      <c r="O1324" s="95">
        <v>0.04</v>
      </c>
      <c r="P1324" s="95">
        <v>0.28999999999999998</v>
      </c>
      <c r="Q1324" s="95">
        <v>0.54</v>
      </c>
      <c r="R1324" s="96">
        <v>0.13</v>
      </c>
    </row>
    <row r="1325" spans="1:18" ht="15" hidden="1" customHeight="1" x14ac:dyDescent="0.3">
      <c r="A1325" s="89">
        <v>2022</v>
      </c>
      <c r="B1325" s="90">
        <v>2</v>
      </c>
      <c r="C1325" s="90" t="s">
        <v>723</v>
      </c>
      <c r="D1325" s="90" t="s">
        <v>722</v>
      </c>
      <c r="E1325" s="91" t="s">
        <v>11</v>
      </c>
      <c r="F1325" s="92" t="s">
        <v>26</v>
      </c>
      <c r="G1325" s="93" t="s">
        <v>1435</v>
      </c>
      <c r="H1325" s="93" t="s">
        <v>1436</v>
      </c>
      <c r="I1325" s="93">
        <v>2397.5457928860201</v>
      </c>
      <c r="J1325" s="93" t="s">
        <v>1437</v>
      </c>
      <c r="K1325" s="93" t="s">
        <v>1438</v>
      </c>
      <c r="L1325" s="93" t="s">
        <v>1439</v>
      </c>
      <c r="M1325" s="93" t="s">
        <v>745</v>
      </c>
      <c r="N1325" s="95">
        <v>0.05</v>
      </c>
      <c r="O1325" s="95">
        <v>0.13</v>
      </c>
      <c r="P1325" s="95">
        <v>0.28000000000000003</v>
      </c>
      <c r="Q1325" s="95">
        <v>0.46</v>
      </c>
      <c r="R1325" s="96">
        <v>0.08</v>
      </c>
    </row>
    <row r="1326" spans="1:18" ht="15" hidden="1" customHeight="1" x14ac:dyDescent="0.3">
      <c r="A1326" s="89">
        <v>2022</v>
      </c>
      <c r="B1326" s="90">
        <v>2</v>
      </c>
      <c r="C1326" s="90" t="s">
        <v>723</v>
      </c>
      <c r="D1326" s="90" t="s">
        <v>722</v>
      </c>
      <c r="E1326" s="91" t="s">
        <v>11</v>
      </c>
      <c r="F1326" s="92" t="s">
        <v>12</v>
      </c>
      <c r="G1326" s="93" t="s">
        <v>1440</v>
      </c>
      <c r="H1326" s="93" t="s">
        <v>1441</v>
      </c>
      <c r="I1326" s="93">
        <v>2397.5457928860201</v>
      </c>
      <c r="J1326" s="93" t="s">
        <v>1442</v>
      </c>
      <c r="K1326" s="93" t="s">
        <v>1443</v>
      </c>
      <c r="L1326" s="93" t="s">
        <v>1444</v>
      </c>
      <c r="M1326" s="93" t="s">
        <v>739</v>
      </c>
      <c r="N1326" s="95">
        <v>0.06</v>
      </c>
      <c r="O1326" s="95">
        <v>0.21</v>
      </c>
      <c r="P1326" s="95">
        <v>0.45</v>
      </c>
      <c r="Q1326" s="95">
        <v>0.26</v>
      </c>
      <c r="R1326" s="96">
        <v>0.01</v>
      </c>
    </row>
    <row r="1327" spans="1:18" ht="15" hidden="1" customHeight="1" x14ac:dyDescent="0.3">
      <c r="A1327" s="89">
        <v>2022</v>
      </c>
      <c r="B1327" s="90">
        <v>2</v>
      </c>
      <c r="C1327" s="90" t="s">
        <v>723</v>
      </c>
      <c r="D1327" s="90" t="s">
        <v>722</v>
      </c>
      <c r="E1327" s="91" t="s">
        <v>11</v>
      </c>
      <c r="F1327" s="92" t="s">
        <v>27</v>
      </c>
      <c r="G1327" s="93" t="s">
        <v>1445</v>
      </c>
      <c r="H1327" s="93" t="s">
        <v>1446</v>
      </c>
      <c r="I1327" s="93">
        <v>2397.5457928860201</v>
      </c>
      <c r="J1327" s="93" t="s">
        <v>1447</v>
      </c>
      <c r="K1327" s="93" t="s">
        <v>1448</v>
      </c>
      <c r="L1327" s="93" t="s">
        <v>1449</v>
      </c>
      <c r="M1327" s="93" t="s">
        <v>751</v>
      </c>
      <c r="N1327" s="95">
        <v>0.01</v>
      </c>
      <c r="O1327" s="95">
        <v>0.21</v>
      </c>
      <c r="P1327" s="95">
        <v>0.6</v>
      </c>
      <c r="Q1327" s="95">
        <v>0.17</v>
      </c>
      <c r="R1327" s="96">
        <v>0</v>
      </c>
    </row>
    <row r="1328" spans="1:18" ht="15" hidden="1" customHeight="1" x14ac:dyDescent="0.3">
      <c r="A1328" s="89">
        <v>2022</v>
      </c>
      <c r="B1328" s="90">
        <v>2</v>
      </c>
      <c r="C1328" s="90" t="s">
        <v>723</v>
      </c>
      <c r="D1328" s="90" t="s">
        <v>722</v>
      </c>
      <c r="E1328" s="91" t="s">
        <v>11</v>
      </c>
      <c r="F1328" s="92" t="s">
        <v>28</v>
      </c>
      <c r="G1328" s="93" t="s">
        <v>1450</v>
      </c>
      <c r="H1328" s="93" t="s">
        <v>1451</v>
      </c>
      <c r="I1328" s="93">
        <v>2397.5457928860201</v>
      </c>
      <c r="J1328" s="93" t="s">
        <v>1452</v>
      </c>
      <c r="K1328" s="93" t="s">
        <v>1453</v>
      </c>
      <c r="L1328" s="93" t="s">
        <v>1454</v>
      </c>
      <c r="M1328" s="93" t="s">
        <v>757</v>
      </c>
      <c r="N1328" s="95">
        <v>0.04</v>
      </c>
      <c r="O1328" s="95">
        <v>0.21</v>
      </c>
      <c r="P1328" s="95">
        <v>0.56000000000000005</v>
      </c>
      <c r="Q1328" s="95">
        <v>0.18</v>
      </c>
      <c r="R1328" s="96">
        <v>0.01</v>
      </c>
    </row>
    <row r="1329" spans="1:18" ht="15" customHeight="1" x14ac:dyDescent="0.3">
      <c r="A1329" s="89">
        <v>2022</v>
      </c>
      <c r="B1329" s="90">
        <v>2</v>
      </c>
      <c r="C1329" s="90" t="s">
        <v>723</v>
      </c>
      <c r="D1329" s="90" t="s">
        <v>722</v>
      </c>
      <c r="E1329" s="91" t="s">
        <v>11</v>
      </c>
      <c r="F1329" s="92" t="s">
        <v>29</v>
      </c>
      <c r="G1329" s="93" t="s">
        <v>1455</v>
      </c>
      <c r="H1329" s="93" t="s">
        <v>1456</v>
      </c>
      <c r="I1329" s="93">
        <v>2397.5457928860201</v>
      </c>
      <c r="J1329" s="93" t="s">
        <v>1457</v>
      </c>
      <c r="K1329" s="93" t="s">
        <v>1458</v>
      </c>
      <c r="L1329" s="93" t="s">
        <v>1459</v>
      </c>
      <c r="M1329" s="93" t="s">
        <v>763</v>
      </c>
      <c r="N1329" s="95">
        <v>0.11</v>
      </c>
      <c r="O1329" s="95">
        <v>0.23</v>
      </c>
      <c r="P1329" s="95">
        <v>0.41</v>
      </c>
      <c r="Q1329" s="95">
        <v>0.25</v>
      </c>
      <c r="R1329" s="96">
        <v>0.01</v>
      </c>
    </row>
    <row r="1330" spans="1:18" ht="15" hidden="1" customHeight="1" x14ac:dyDescent="0.3">
      <c r="A1330" s="89">
        <v>2022</v>
      </c>
      <c r="B1330" s="90">
        <v>2</v>
      </c>
      <c r="C1330" s="90" t="s">
        <v>723</v>
      </c>
      <c r="D1330" s="90" t="s">
        <v>722</v>
      </c>
      <c r="E1330" s="91" t="s">
        <v>11</v>
      </c>
      <c r="F1330" s="92" t="s">
        <v>30</v>
      </c>
      <c r="G1330" s="93" t="s">
        <v>1460</v>
      </c>
      <c r="H1330" s="93" t="s">
        <v>1461</v>
      </c>
      <c r="I1330" s="93">
        <v>2397.5457928860201</v>
      </c>
      <c r="J1330" s="93" t="s">
        <v>1462</v>
      </c>
      <c r="K1330" s="93" t="s">
        <v>1463</v>
      </c>
      <c r="L1330" s="93" t="s">
        <v>1464</v>
      </c>
      <c r="M1330" s="93" t="s">
        <v>769</v>
      </c>
      <c r="N1330" s="95">
        <v>0.06</v>
      </c>
      <c r="O1330" s="95">
        <v>0.2</v>
      </c>
      <c r="P1330" s="95">
        <v>0.42</v>
      </c>
      <c r="Q1330" s="95">
        <v>0.31</v>
      </c>
      <c r="R1330" s="96">
        <v>0.02</v>
      </c>
    </row>
    <row r="1331" spans="1:18" ht="15" hidden="1" customHeight="1" x14ac:dyDescent="0.3">
      <c r="A1331" s="89">
        <v>2022</v>
      </c>
      <c r="B1331" s="90">
        <v>2</v>
      </c>
      <c r="C1331" s="90" t="s">
        <v>723</v>
      </c>
      <c r="D1331" s="90" t="s">
        <v>722</v>
      </c>
      <c r="E1331" s="91" t="s">
        <v>11</v>
      </c>
      <c r="F1331" s="92" t="s">
        <v>31</v>
      </c>
      <c r="G1331" s="93" t="s">
        <v>1465</v>
      </c>
      <c r="H1331" s="93" t="s">
        <v>1466</v>
      </c>
      <c r="I1331" s="93">
        <v>2397.5457928860201</v>
      </c>
      <c r="J1331" s="93" t="s">
        <v>1467</v>
      </c>
      <c r="K1331" s="93" t="s">
        <v>1468</v>
      </c>
      <c r="L1331" s="93" t="s">
        <v>1469</v>
      </c>
      <c r="M1331" s="93" t="s">
        <v>775</v>
      </c>
      <c r="N1331" s="95">
        <v>0.01</v>
      </c>
      <c r="O1331" s="95">
        <v>0.19</v>
      </c>
      <c r="P1331" s="95">
        <v>0.45</v>
      </c>
      <c r="Q1331" s="95">
        <v>0.28000000000000003</v>
      </c>
      <c r="R1331" s="96">
        <v>7.0000000000000007E-2</v>
      </c>
    </row>
    <row r="1332" spans="1:18" ht="15" hidden="1" customHeight="1" x14ac:dyDescent="0.3">
      <c r="A1332" s="89">
        <v>2022</v>
      </c>
      <c r="B1332" s="90">
        <v>2</v>
      </c>
      <c r="C1332" s="90" t="s">
        <v>723</v>
      </c>
      <c r="D1332" s="90" t="s">
        <v>722</v>
      </c>
      <c r="E1332" s="91" t="s">
        <v>11</v>
      </c>
      <c r="F1332" s="92" t="s">
        <v>32</v>
      </c>
      <c r="G1332" s="93" t="s">
        <v>1470</v>
      </c>
      <c r="H1332" s="93" t="s">
        <v>1471</v>
      </c>
      <c r="I1332" s="93">
        <v>2397.5457928860201</v>
      </c>
      <c r="J1332" s="93" t="s">
        <v>1472</v>
      </c>
      <c r="K1332" s="93" t="s">
        <v>1473</v>
      </c>
      <c r="L1332" s="93" t="s">
        <v>1474</v>
      </c>
      <c r="M1332" s="93" t="s">
        <v>781</v>
      </c>
      <c r="N1332" s="95">
        <v>0.01</v>
      </c>
      <c r="O1332" s="95">
        <v>0.08</v>
      </c>
      <c r="P1332" s="95">
        <v>0.28999999999999998</v>
      </c>
      <c r="Q1332" s="95">
        <v>0.43</v>
      </c>
      <c r="R1332" s="96">
        <v>0.18</v>
      </c>
    </row>
    <row r="1333" spans="1:18" ht="15" hidden="1" customHeight="1" x14ac:dyDescent="0.3">
      <c r="A1333" s="89">
        <v>2022</v>
      </c>
      <c r="B1333" s="90">
        <v>2</v>
      </c>
      <c r="C1333" s="90" t="s">
        <v>723</v>
      </c>
      <c r="D1333" s="90" t="s">
        <v>722</v>
      </c>
      <c r="E1333" s="91" t="s">
        <v>11</v>
      </c>
      <c r="F1333" s="92" t="s">
        <v>33</v>
      </c>
      <c r="G1333" s="93" t="s">
        <v>1475</v>
      </c>
      <c r="H1333" s="93" t="s">
        <v>1476</v>
      </c>
      <c r="I1333" s="93">
        <v>2397.5457928860201</v>
      </c>
      <c r="J1333" s="93" t="s">
        <v>1477</v>
      </c>
      <c r="K1333" s="93" t="s">
        <v>1478</v>
      </c>
      <c r="L1333" s="93" t="s">
        <v>1479</v>
      </c>
      <c r="M1333" s="93" t="s">
        <v>787</v>
      </c>
      <c r="N1333" s="95">
        <v>0.06</v>
      </c>
      <c r="O1333" s="95">
        <v>0.23</v>
      </c>
      <c r="P1333" s="95">
        <v>0.39</v>
      </c>
      <c r="Q1333" s="95">
        <v>0.28000000000000003</v>
      </c>
      <c r="R1333" s="96">
        <v>0.03</v>
      </c>
    </row>
    <row r="1334" spans="1:18" ht="15" hidden="1" customHeight="1" x14ac:dyDescent="0.3">
      <c r="A1334" s="89">
        <v>2022</v>
      </c>
      <c r="B1334" s="90">
        <v>2</v>
      </c>
      <c r="C1334" s="90" t="s">
        <v>723</v>
      </c>
      <c r="D1334" s="90" t="s">
        <v>722</v>
      </c>
      <c r="E1334" s="91" t="s">
        <v>11</v>
      </c>
      <c r="F1334" s="92" t="s">
        <v>34</v>
      </c>
      <c r="G1334" s="93" t="s">
        <v>1480</v>
      </c>
      <c r="H1334" s="93" t="s">
        <v>1481</v>
      </c>
      <c r="I1334" s="93">
        <v>2397.5457928860201</v>
      </c>
      <c r="J1334" s="93" t="s">
        <v>1482</v>
      </c>
      <c r="K1334" s="93" t="s">
        <v>1483</v>
      </c>
      <c r="L1334" s="93" t="s">
        <v>1484</v>
      </c>
      <c r="M1334" s="93" t="s">
        <v>793</v>
      </c>
      <c r="N1334" s="95">
        <v>0.04</v>
      </c>
      <c r="O1334" s="95">
        <v>0.23</v>
      </c>
      <c r="P1334" s="95">
        <v>0.54</v>
      </c>
      <c r="Q1334" s="95">
        <v>0.18</v>
      </c>
      <c r="R1334" s="96">
        <v>0</v>
      </c>
    </row>
    <row r="1335" spans="1:18" ht="15" hidden="1" customHeight="1" x14ac:dyDescent="0.3">
      <c r="A1335" s="89">
        <v>2022</v>
      </c>
      <c r="B1335" s="90">
        <v>2</v>
      </c>
      <c r="C1335" s="90" t="s">
        <v>723</v>
      </c>
      <c r="D1335" s="90" t="s">
        <v>722</v>
      </c>
      <c r="E1335" s="91" t="s">
        <v>11</v>
      </c>
      <c r="F1335" s="92" t="s">
        <v>35</v>
      </c>
      <c r="G1335" s="93" t="s">
        <v>1485</v>
      </c>
      <c r="H1335" s="93" t="s">
        <v>1486</v>
      </c>
      <c r="I1335" s="93">
        <v>2397.5457928860201</v>
      </c>
      <c r="J1335" s="93" t="s">
        <v>1487</v>
      </c>
      <c r="K1335" s="93" t="s">
        <v>1488</v>
      </c>
      <c r="L1335" s="93" t="s">
        <v>1489</v>
      </c>
      <c r="M1335" s="93" t="s">
        <v>799</v>
      </c>
      <c r="N1335" s="95">
        <v>7.0000000000000007E-2</v>
      </c>
      <c r="O1335" s="95">
        <v>0.15</v>
      </c>
      <c r="P1335" s="95">
        <v>0.39</v>
      </c>
      <c r="Q1335" s="95">
        <v>0.36</v>
      </c>
      <c r="R1335" s="96">
        <v>0.02</v>
      </c>
    </row>
    <row r="1336" spans="1:18" ht="15" hidden="1" customHeight="1" x14ac:dyDescent="0.3">
      <c r="A1336" s="89">
        <v>2022</v>
      </c>
      <c r="B1336" s="90">
        <v>2</v>
      </c>
      <c r="C1336" s="90" t="s">
        <v>723</v>
      </c>
      <c r="D1336" s="90" t="s">
        <v>722</v>
      </c>
      <c r="E1336" s="91" t="s">
        <v>11</v>
      </c>
      <c r="F1336" s="92" t="s">
        <v>36</v>
      </c>
      <c r="G1336" s="93" t="s">
        <v>1490</v>
      </c>
      <c r="H1336" s="93" t="s">
        <v>1491</v>
      </c>
      <c r="I1336" s="93">
        <v>2397.5457928860201</v>
      </c>
      <c r="J1336" s="93" t="s">
        <v>1492</v>
      </c>
      <c r="K1336" s="93" t="s">
        <v>1493</v>
      </c>
      <c r="L1336" s="93" t="s">
        <v>1494</v>
      </c>
      <c r="M1336" s="93" t="s">
        <v>805</v>
      </c>
      <c r="N1336" s="95">
        <v>0.04</v>
      </c>
      <c r="O1336" s="95">
        <v>0.18</v>
      </c>
      <c r="P1336" s="95">
        <v>0.49</v>
      </c>
      <c r="Q1336" s="95">
        <v>0.27</v>
      </c>
      <c r="R1336" s="96">
        <v>0.01</v>
      </c>
    </row>
    <row r="1337" spans="1:18" ht="15" hidden="1" customHeight="1" x14ac:dyDescent="0.3">
      <c r="A1337" s="89">
        <v>2022</v>
      </c>
      <c r="B1337" s="90">
        <v>2</v>
      </c>
      <c r="C1337" s="90" t="s">
        <v>723</v>
      </c>
      <c r="D1337" s="90" t="s">
        <v>722</v>
      </c>
      <c r="E1337" s="91" t="s">
        <v>11</v>
      </c>
      <c r="F1337" s="92" t="s">
        <v>37</v>
      </c>
      <c r="G1337" s="93" t="s">
        <v>1495</v>
      </c>
      <c r="H1337" s="93" t="s">
        <v>1496</v>
      </c>
      <c r="I1337" s="93">
        <v>2397.5457928860201</v>
      </c>
      <c r="J1337" s="93" t="s">
        <v>1497</v>
      </c>
      <c r="K1337" s="93" t="s">
        <v>1498</v>
      </c>
      <c r="L1337" s="93" t="s">
        <v>1499</v>
      </c>
      <c r="M1337" s="93" t="s">
        <v>811</v>
      </c>
      <c r="N1337" s="95">
        <v>0.05</v>
      </c>
      <c r="O1337" s="95">
        <v>0.22</v>
      </c>
      <c r="P1337" s="95">
        <v>0.52</v>
      </c>
      <c r="Q1337" s="95">
        <v>0.2</v>
      </c>
      <c r="R1337" s="96">
        <v>0.01</v>
      </c>
    </row>
    <row r="1338" spans="1:18" ht="15" hidden="1" customHeight="1" x14ac:dyDescent="0.3">
      <c r="A1338" s="89">
        <v>2022</v>
      </c>
      <c r="B1338" s="90">
        <v>2</v>
      </c>
      <c r="C1338" s="90" t="s">
        <v>723</v>
      </c>
      <c r="D1338" s="90" t="s">
        <v>722</v>
      </c>
      <c r="E1338" s="91" t="s">
        <v>11</v>
      </c>
      <c r="F1338" s="92" t="s">
        <v>720</v>
      </c>
      <c r="G1338" s="93" t="s">
        <v>1500</v>
      </c>
      <c r="H1338" s="93" t="s">
        <v>1501</v>
      </c>
      <c r="I1338" s="93">
        <v>2397.5457928860201</v>
      </c>
      <c r="J1338" s="93" t="s">
        <v>1502</v>
      </c>
      <c r="K1338" s="93" t="s">
        <v>1503</v>
      </c>
      <c r="L1338" s="93" t="s">
        <v>1504</v>
      </c>
      <c r="M1338" s="93" t="s">
        <v>817</v>
      </c>
      <c r="N1338" s="95">
        <v>0.16</v>
      </c>
      <c r="O1338" s="95">
        <v>0.22</v>
      </c>
      <c r="P1338" s="95">
        <v>0.37</v>
      </c>
      <c r="Q1338" s="95">
        <v>0.23</v>
      </c>
      <c r="R1338" s="96">
        <v>0.02</v>
      </c>
    </row>
    <row r="1339" spans="1:18" ht="15" hidden="1" customHeight="1" x14ac:dyDescent="0.3">
      <c r="A1339" s="89">
        <v>2022</v>
      </c>
      <c r="B1339" s="90">
        <v>2</v>
      </c>
      <c r="C1339" s="90" t="s">
        <v>723</v>
      </c>
      <c r="D1339" s="90" t="s">
        <v>722</v>
      </c>
      <c r="E1339" s="91" t="s">
        <v>11</v>
      </c>
      <c r="F1339" s="92" t="s">
        <v>39</v>
      </c>
      <c r="G1339" s="93" t="s">
        <v>1505</v>
      </c>
      <c r="H1339" s="93" t="s">
        <v>1506</v>
      </c>
      <c r="I1339" s="93">
        <v>2397.5457928860201</v>
      </c>
      <c r="J1339" s="93" t="s">
        <v>1507</v>
      </c>
      <c r="K1339" s="93" t="s">
        <v>1508</v>
      </c>
      <c r="L1339" s="93" t="s">
        <v>1509</v>
      </c>
      <c r="M1339" s="93" t="s">
        <v>823</v>
      </c>
      <c r="N1339" s="95">
        <v>0.01</v>
      </c>
      <c r="O1339" s="95">
        <v>0.24</v>
      </c>
      <c r="P1339" s="95">
        <v>0.5</v>
      </c>
      <c r="Q1339" s="95">
        <v>0.23</v>
      </c>
      <c r="R1339" s="96">
        <v>0.02</v>
      </c>
    </row>
    <row r="1340" spans="1:18" ht="15" hidden="1" customHeight="1" x14ac:dyDescent="0.3">
      <c r="A1340" s="89">
        <v>2022</v>
      </c>
      <c r="B1340" s="90">
        <v>2</v>
      </c>
      <c r="C1340" s="90" t="s">
        <v>723</v>
      </c>
      <c r="D1340" s="90" t="s">
        <v>722</v>
      </c>
      <c r="E1340" s="91" t="s">
        <v>11</v>
      </c>
      <c r="F1340" s="92" t="s">
        <v>41</v>
      </c>
      <c r="G1340" s="93" t="s">
        <v>1510</v>
      </c>
      <c r="H1340" s="93" t="s">
        <v>1511</v>
      </c>
      <c r="I1340" s="93">
        <v>2397.5457928860201</v>
      </c>
      <c r="J1340" s="93" t="s">
        <v>1512</v>
      </c>
      <c r="K1340" s="93" t="s">
        <v>1513</v>
      </c>
      <c r="L1340" s="93" t="s">
        <v>1514</v>
      </c>
      <c r="M1340" s="93" t="s">
        <v>835</v>
      </c>
      <c r="N1340" s="95">
        <v>0.02</v>
      </c>
      <c r="O1340" s="95">
        <v>0.15</v>
      </c>
      <c r="P1340" s="95">
        <v>0.31</v>
      </c>
      <c r="Q1340" s="95">
        <v>0.4</v>
      </c>
      <c r="R1340" s="96">
        <v>0.12</v>
      </c>
    </row>
    <row r="1341" spans="1:18" ht="15" hidden="1" customHeight="1" x14ac:dyDescent="0.3">
      <c r="A1341" s="89">
        <v>2022</v>
      </c>
      <c r="B1341" s="90">
        <v>2</v>
      </c>
      <c r="C1341" s="90" t="s">
        <v>723</v>
      </c>
      <c r="D1341" s="90" t="s">
        <v>722</v>
      </c>
      <c r="E1341" s="91" t="s">
        <v>11</v>
      </c>
      <c r="F1341" s="92" t="s">
        <v>42</v>
      </c>
      <c r="G1341" s="93" t="s">
        <v>1515</v>
      </c>
      <c r="H1341" s="93" t="s">
        <v>1516</v>
      </c>
      <c r="I1341" s="93">
        <v>2397.5457928860201</v>
      </c>
      <c r="J1341" s="93" t="s">
        <v>1517</v>
      </c>
      <c r="K1341" s="93" t="s">
        <v>1518</v>
      </c>
      <c r="L1341" s="93" t="s">
        <v>1519</v>
      </c>
      <c r="M1341" s="93" t="s">
        <v>841</v>
      </c>
      <c r="N1341" s="95">
        <v>0</v>
      </c>
      <c r="O1341" s="95">
        <v>0.06</v>
      </c>
      <c r="P1341" s="95">
        <v>0.22</v>
      </c>
      <c r="Q1341" s="95">
        <v>0.51</v>
      </c>
      <c r="R1341" s="96">
        <v>0.22</v>
      </c>
    </row>
    <row r="1342" spans="1:18" ht="15" hidden="1" customHeight="1" x14ac:dyDescent="0.3">
      <c r="A1342" s="89">
        <v>2022</v>
      </c>
      <c r="B1342" s="90">
        <v>2</v>
      </c>
      <c r="C1342" s="90" t="s">
        <v>723</v>
      </c>
      <c r="D1342" s="90" t="s">
        <v>722</v>
      </c>
      <c r="E1342" s="91" t="s">
        <v>11</v>
      </c>
      <c r="F1342" s="92" t="s">
        <v>43</v>
      </c>
      <c r="G1342" s="93" t="s">
        <v>1520</v>
      </c>
      <c r="H1342" s="93" t="s">
        <v>1521</v>
      </c>
      <c r="I1342" s="93">
        <v>2397.5457928860201</v>
      </c>
      <c r="J1342" s="93" t="s">
        <v>1522</v>
      </c>
      <c r="K1342" s="93" t="s">
        <v>1523</v>
      </c>
      <c r="L1342" s="93" t="s">
        <v>1524</v>
      </c>
      <c r="M1342" s="93" t="s">
        <v>847</v>
      </c>
      <c r="N1342" s="95">
        <v>0.01</v>
      </c>
      <c r="O1342" s="95">
        <v>0.08</v>
      </c>
      <c r="P1342" s="95">
        <v>0.26</v>
      </c>
      <c r="Q1342" s="95">
        <v>0.5</v>
      </c>
      <c r="R1342" s="96">
        <v>0.16</v>
      </c>
    </row>
    <row r="1343" spans="1:18" ht="15" hidden="1" customHeight="1" x14ac:dyDescent="0.3">
      <c r="A1343" s="89">
        <v>2022</v>
      </c>
      <c r="B1343" s="90">
        <v>2</v>
      </c>
      <c r="C1343" s="90" t="s">
        <v>723</v>
      </c>
      <c r="D1343" s="90" t="s">
        <v>722</v>
      </c>
      <c r="E1343" s="91" t="s">
        <v>11</v>
      </c>
      <c r="F1343" s="92" t="s">
        <v>58</v>
      </c>
      <c r="G1343" s="93" t="s">
        <v>1525</v>
      </c>
      <c r="H1343" s="93" t="s">
        <v>1526</v>
      </c>
      <c r="I1343" s="93">
        <v>2397.5457928860201</v>
      </c>
      <c r="J1343" s="93" t="s">
        <v>1527</v>
      </c>
      <c r="K1343" s="93" t="s">
        <v>1528</v>
      </c>
      <c r="L1343" s="93" t="s">
        <v>1529</v>
      </c>
      <c r="M1343" s="93" t="s">
        <v>853</v>
      </c>
      <c r="N1343" s="95">
        <v>0.01</v>
      </c>
      <c r="O1343" s="95">
        <v>0.06</v>
      </c>
      <c r="P1343" s="95">
        <v>0.36</v>
      </c>
      <c r="Q1343" s="95">
        <v>0.49</v>
      </c>
      <c r="R1343" s="96">
        <v>0.08</v>
      </c>
    </row>
    <row r="1344" spans="1:18" ht="15" hidden="1" customHeight="1" x14ac:dyDescent="0.3">
      <c r="A1344" s="89">
        <v>2022</v>
      </c>
      <c r="B1344" s="90">
        <v>2</v>
      </c>
      <c r="C1344" s="90" t="s">
        <v>723</v>
      </c>
      <c r="D1344" s="90" t="s">
        <v>722</v>
      </c>
      <c r="E1344" s="91" t="s">
        <v>11</v>
      </c>
      <c r="F1344" s="92" t="s">
        <v>44</v>
      </c>
      <c r="G1344" s="93" t="s">
        <v>1530</v>
      </c>
      <c r="H1344" s="93" t="s">
        <v>1531</v>
      </c>
      <c r="I1344" s="93">
        <v>2397.5457928860201</v>
      </c>
      <c r="J1344" s="93" t="s">
        <v>1532</v>
      </c>
      <c r="K1344" s="93" t="s">
        <v>1533</v>
      </c>
      <c r="L1344" s="93" t="s">
        <v>1534</v>
      </c>
      <c r="M1344" s="93" t="s">
        <v>859</v>
      </c>
      <c r="N1344" s="95">
        <v>0.04</v>
      </c>
      <c r="O1344" s="95">
        <v>0.13</v>
      </c>
      <c r="P1344" s="95">
        <v>0.42</v>
      </c>
      <c r="Q1344" s="95">
        <v>0.39</v>
      </c>
      <c r="R1344" s="96">
        <v>0.02</v>
      </c>
    </row>
    <row r="1345" spans="1:18" ht="15" hidden="1" customHeight="1" x14ac:dyDescent="0.3">
      <c r="A1345" s="89">
        <v>2022</v>
      </c>
      <c r="B1345" s="90">
        <v>2</v>
      </c>
      <c r="C1345" s="90" t="s">
        <v>723</v>
      </c>
      <c r="D1345" s="90" t="s">
        <v>722</v>
      </c>
      <c r="E1345" s="91" t="s">
        <v>11</v>
      </c>
      <c r="F1345" s="92" t="s">
        <v>51</v>
      </c>
      <c r="G1345" s="93" t="s">
        <v>1535</v>
      </c>
      <c r="H1345" s="93" t="s">
        <v>1536</v>
      </c>
      <c r="I1345" s="93">
        <v>2397.5457928860201</v>
      </c>
      <c r="J1345" s="93" t="s">
        <v>1537</v>
      </c>
      <c r="K1345" s="93" t="s">
        <v>1538</v>
      </c>
      <c r="L1345" s="93" t="s">
        <v>1539</v>
      </c>
      <c r="M1345" s="93" t="s">
        <v>865</v>
      </c>
      <c r="N1345" s="95">
        <v>0.02</v>
      </c>
      <c r="O1345" s="95">
        <v>0.06</v>
      </c>
      <c r="P1345" s="95">
        <v>0.36</v>
      </c>
      <c r="Q1345" s="95">
        <v>0.46</v>
      </c>
      <c r="R1345" s="96">
        <v>0.1</v>
      </c>
    </row>
    <row r="1346" spans="1:18" ht="15" hidden="1" customHeight="1" x14ac:dyDescent="0.3">
      <c r="A1346" s="89">
        <v>2022</v>
      </c>
      <c r="B1346" s="90">
        <v>2</v>
      </c>
      <c r="C1346" s="90" t="s">
        <v>723</v>
      </c>
      <c r="D1346" s="90" t="s">
        <v>722</v>
      </c>
      <c r="E1346" s="91" t="s">
        <v>11</v>
      </c>
      <c r="F1346" s="92" t="s">
        <v>45</v>
      </c>
      <c r="G1346" s="93" t="s">
        <v>1540</v>
      </c>
      <c r="H1346" s="93" t="s">
        <v>1541</v>
      </c>
      <c r="I1346" s="93">
        <v>2397.5457928860201</v>
      </c>
      <c r="J1346" s="93" t="s">
        <v>1542</v>
      </c>
      <c r="K1346" s="93" t="s">
        <v>1543</v>
      </c>
      <c r="L1346" s="93" t="s">
        <v>1544</v>
      </c>
      <c r="M1346" s="93" t="s">
        <v>871</v>
      </c>
      <c r="N1346" s="95">
        <v>0.13</v>
      </c>
      <c r="O1346" s="95">
        <v>0.25</v>
      </c>
      <c r="P1346" s="95">
        <v>0.38</v>
      </c>
      <c r="Q1346" s="95">
        <v>0.23</v>
      </c>
      <c r="R1346" s="96">
        <v>0.01</v>
      </c>
    </row>
    <row r="1347" spans="1:18" ht="15" hidden="1" customHeight="1" x14ac:dyDescent="0.3">
      <c r="A1347" s="89">
        <v>2022</v>
      </c>
      <c r="B1347" s="90">
        <v>2</v>
      </c>
      <c r="C1347" s="90" t="s">
        <v>723</v>
      </c>
      <c r="D1347" s="90" t="s">
        <v>722</v>
      </c>
      <c r="E1347" s="91" t="s">
        <v>11</v>
      </c>
      <c r="F1347" s="92" t="s">
        <v>721</v>
      </c>
      <c r="G1347" s="93" t="s">
        <v>1545</v>
      </c>
      <c r="H1347" s="93" t="s">
        <v>1546</v>
      </c>
      <c r="I1347" s="93">
        <v>2397.5457928860201</v>
      </c>
      <c r="J1347" s="93" t="s">
        <v>1547</v>
      </c>
      <c r="K1347" s="93" t="s">
        <v>1548</v>
      </c>
      <c r="L1347" s="93" t="s">
        <v>1549</v>
      </c>
      <c r="M1347" s="93" t="s">
        <v>877</v>
      </c>
      <c r="N1347" s="95">
        <v>0.02</v>
      </c>
      <c r="O1347" s="95">
        <v>0.19</v>
      </c>
      <c r="P1347" s="95">
        <v>0.6</v>
      </c>
      <c r="Q1347" s="95">
        <v>0.18</v>
      </c>
      <c r="R1347" s="96">
        <v>0</v>
      </c>
    </row>
    <row r="1348" spans="1:18" ht="15" hidden="1" customHeight="1" x14ac:dyDescent="0.3">
      <c r="A1348" s="89">
        <v>2022</v>
      </c>
      <c r="B1348" s="90">
        <v>2</v>
      </c>
      <c r="C1348" s="90" t="s">
        <v>723</v>
      </c>
      <c r="D1348" s="90" t="s">
        <v>722</v>
      </c>
      <c r="E1348" s="91" t="s">
        <v>11</v>
      </c>
      <c r="F1348" s="92" t="s">
        <v>46</v>
      </c>
      <c r="G1348" s="93" t="s">
        <v>1550</v>
      </c>
      <c r="H1348" s="93" t="s">
        <v>1551</v>
      </c>
      <c r="I1348" s="93">
        <v>2397.5457928860201</v>
      </c>
      <c r="J1348" s="93" t="s">
        <v>1552</v>
      </c>
      <c r="K1348" s="93" t="s">
        <v>1553</v>
      </c>
      <c r="L1348" s="93" t="s">
        <v>1554</v>
      </c>
      <c r="M1348" s="93" t="s">
        <v>883</v>
      </c>
      <c r="N1348" s="95">
        <v>0.09</v>
      </c>
      <c r="O1348" s="95">
        <v>0.45</v>
      </c>
      <c r="P1348" s="95">
        <v>0.35</v>
      </c>
      <c r="Q1348" s="95">
        <v>0.09</v>
      </c>
      <c r="R1348" s="96">
        <v>0.02</v>
      </c>
    </row>
    <row r="1349" spans="1:18" ht="15" hidden="1" customHeight="1" x14ac:dyDescent="0.3">
      <c r="A1349" s="89">
        <v>2022</v>
      </c>
      <c r="B1349" s="90">
        <v>2</v>
      </c>
      <c r="C1349" s="90" t="s">
        <v>723</v>
      </c>
      <c r="D1349" s="90" t="s">
        <v>722</v>
      </c>
      <c r="E1349" s="91" t="s">
        <v>11</v>
      </c>
      <c r="F1349" s="92" t="s">
        <v>47</v>
      </c>
      <c r="G1349" s="93" t="s">
        <v>1555</v>
      </c>
      <c r="H1349" s="93" t="s">
        <v>1556</v>
      </c>
      <c r="I1349" s="93">
        <v>2397.5457928860201</v>
      </c>
      <c r="J1349" s="93" t="s">
        <v>1557</v>
      </c>
      <c r="K1349" s="93" t="s">
        <v>1558</v>
      </c>
      <c r="L1349" s="93" t="s">
        <v>1559</v>
      </c>
      <c r="M1349" s="93" t="s">
        <v>889</v>
      </c>
      <c r="N1349" s="95">
        <v>0.04</v>
      </c>
      <c r="O1349" s="95">
        <v>0.38</v>
      </c>
      <c r="P1349" s="95">
        <v>0.45</v>
      </c>
      <c r="Q1349" s="95">
        <v>0.11</v>
      </c>
      <c r="R1349" s="96">
        <v>0.02</v>
      </c>
    </row>
    <row r="1350" spans="1:18" ht="15" hidden="1" customHeight="1" x14ac:dyDescent="0.3">
      <c r="A1350" s="89">
        <v>2022</v>
      </c>
      <c r="B1350" s="90">
        <v>2</v>
      </c>
      <c r="C1350" s="90" t="s">
        <v>723</v>
      </c>
      <c r="D1350" s="90" t="s">
        <v>722</v>
      </c>
      <c r="E1350" s="91" t="s">
        <v>11</v>
      </c>
      <c r="F1350" s="92" t="s">
        <v>48</v>
      </c>
      <c r="G1350" s="93" t="s">
        <v>1560</v>
      </c>
      <c r="H1350" s="93" t="s">
        <v>1561</v>
      </c>
      <c r="I1350" s="93">
        <v>2397.5457928860201</v>
      </c>
      <c r="J1350" s="93" t="s">
        <v>1562</v>
      </c>
      <c r="K1350" s="93" t="s">
        <v>1563</v>
      </c>
      <c r="L1350" s="93" t="s">
        <v>1564</v>
      </c>
      <c r="M1350" s="93" t="s">
        <v>895</v>
      </c>
      <c r="N1350" s="95">
        <v>0.02</v>
      </c>
      <c r="O1350" s="95">
        <v>0.16</v>
      </c>
      <c r="P1350" s="95">
        <v>0.41</v>
      </c>
      <c r="Q1350" s="95">
        <v>0.37</v>
      </c>
      <c r="R1350" s="96">
        <v>0.03</v>
      </c>
    </row>
    <row r="1351" spans="1:18" ht="15" hidden="1" customHeight="1" x14ac:dyDescent="0.3">
      <c r="A1351" s="89">
        <v>2022</v>
      </c>
      <c r="B1351" s="90">
        <v>2</v>
      </c>
      <c r="C1351" s="90" t="s">
        <v>723</v>
      </c>
      <c r="D1351" s="90" t="s">
        <v>722</v>
      </c>
      <c r="E1351" s="91" t="s">
        <v>11</v>
      </c>
      <c r="F1351" s="92" t="s">
        <v>40</v>
      </c>
      <c r="G1351" s="93" t="s">
        <v>1565</v>
      </c>
      <c r="H1351" s="93" t="s">
        <v>1566</v>
      </c>
      <c r="I1351" s="93">
        <v>2397.5457928860201</v>
      </c>
      <c r="J1351" s="93" t="s">
        <v>1567</v>
      </c>
      <c r="K1351" s="93" t="s">
        <v>1568</v>
      </c>
      <c r="L1351" s="93" t="s">
        <v>1569</v>
      </c>
      <c r="M1351" s="93" t="s">
        <v>829</v>
      </c>
      <c r="N1351" s="95">
        <v>0.04</v>
      </c>
      <c r="O1351" s="95">
        <v>0.15</v>
      </c>
      <c r="P1351" s="95">
        <v>0.56999999999999995</v>
      </c>
      <c r="Q1351" s="95">
        <v>0.23</v>
      </c>
      <c r="R1351" s="96">
        <v>0.01</v>
      </c>
    </row>
    <row r="1352" spans="1:18" ht="15" hidden="1" customHeight="1" x14ac:dyDescent="0.3">
      <c r="A1352" s="89">
        <v>2022</v>
      </c>
      <c r="B1352" s="90">
        <v>3</v>
      </c>
      <c r="C1352" s="90" t="s">
        <v>724</v>
      </c>
      <c r="D1352" s="90" t="s">
        <v>719</v>
      </c>
      <c r="E1352" s="91" t="s">
        <v>11</v>
      </c>
      <c r="F1352" s="92" t="s">
        <v>26</v>
      </c>
      <c r="G1352" s="93" t="s">
        <v>1570</v>
      </c>
      <c r="H1352" s="93" t="s">
        <v>1571</v>
      </c>
      <c r="I1352" s="93">
        <v>2397.5457928860201</v>
      </c>
      <c r="J1352" s="93" t="s">
        <v>1572</v>
      </c>
      <c r="K1352" s="93" t="s">
        <v>1573</v>
      </c>
      <c r="L1352" s="93" t="s">
        <v>1574</v>
      </c>
      <c r="M1352" s="93" t="s">
        <v>1575</v>
      </c>
      <c r="N1352" s="95">
        <v>0.02</v>
      </c>
      <c r="O1352" s="95">
        <v>0.04</v>
      </c>
      <c r="P1352" s="95">
        <v>0.32</v>
      </c>
      <c r="Q1352" s="95">
        <v>0.52</v>
      </c>
      <c r="R1352" s="96">
        <v>0.1</v>
      </c>
    </row>
    <row r="1353" spans="1:18" ht="15" hidden="1" customHeight="1" x14ac:dyDescent="0.3">
      <c r="A1353" s="89">
        <v>2022</v>
      </c>
      <c r="B1353" s="90">
        <v>3</v>
      </c>
      <c r="C1353" s="90" t="s">
        <v>724</v>
      </c>
      <c r="D1353" s="90" t="s">
        <v>719</v>
      </c>
      <c r="E1353" s="91" t="s">
        <v>11</v>
      </c>
      <c r="F1353" s="92" t="s">
        <v>12</v>
      </c>
      <c r="G1353" s="93" t="s">
        <v>1576</v>
      </c>
      <c r="H1353" s="93" t="s">
        <v>1577</v>
      </c>
      <c r="I1353" s="93">
        <v>2397.5457928860201</v>
      </c>
      <c r="J1353" s="93" t="s">
        <v>1578</v>
      </c>
      <c r="K1353" s="93" t="s">
        <v>1579</v>
      </c>
      <c r="L1353" s="93" t="s">
        <v>1580</v>
      </c>
      <c r="M1353" s="93" t="s">
        <v>1581</v>
      </c>
      <c r="N1353" s="95">
        <v>0.02</v>
      </c>
      <c r="O1353" s="95">
        <v>0.05</v>
      </c>
      <c r="P1353" s="95">
        <v>0.23</v>
      </c>
      <c r="Q1353" s="95">
        <v>0.57999999999999996</v>
      </c>
      <c r="R1353" s="96">
        <v>0.12</v>
      </c>
    </row>
    <row r="1354" spans="1:18" ht="15" hidden="1" customHeight="1" x14ac:dyDescent="0.3">
      <c r="A1354" s="89">
        <v>2022</v>
      </c>
      <c r="B1354" s="90">
        <v>3</v>
      </c>
      <c r="C1354" s="90" t="s">
        <v>724</v>
      </c>
      <c r="D1354" s="90" t="s">
        <v>719</v>
      </c>
      <c r="E1354" s="91" t="s">
        <v>11</v>
      </c>
      <c r="F1354" s="92" t="s">
        <v>27</v>
      </c>
      <c r="G1354" s="93" t="s">
        <v>1582</v>
      </c>
      <c r="H1354" s="93" t="s">
        <v>1583</v>
      </c>
      <c r="I1354" s="93">
        <v>2397.5457928860201</v>
      </c>
      <c r="J1354" s="93" t="s">
        <v>1584</v>
      </c>
      <c r="K1354" s="93" t="s">
        <v>1585</v>
      </c>
      <c r="L1354" s="93" t="s">
        <v>1586</v>
      </c>
      <c r="M1354" s="93" t="s">
        <v>1587</v>
      </c>
      <c r="N1354" s="95">
        <v>0</v>
      </c>
      <c r="O1354" s="95">
        <v>0.02</v>
      </c>
      <c r="P1354" s="95">
        <v>0.27</v>
      </c>
      <c r="Q1354" s="95">
        <v>0.64</v>
      </c>
      <c r="R1354" s="96">
        <v>7.0000000000000007E-2</v>
      </c>
    </row>
    <row r="1355" spans="1:18" ht="15" hidden="1" customHeight="1" x14ac:dyDescent="0.3">
      <c r="A1355" s="89">
        <v>2022</v>
      </c>
      <c r="B1355" s="90">
        <v>3</v>
      </c>
      <c r="C1355" s="90" t="s">
        <v>724</v>
      </c>
      <c r="D1355" s="90" t="s">
        <v>719</v>
      </c>
      <c r="E1355" s="91" t="s">
        <v>11</v>
      </c>
      <c r="F1355" s="92" t="s">
        <v>28</v>
      </c>
      <c r="G1355" s="93" t="s">
        <v>1588</v>
      </c>
      <c r="H1355" s="93" t="s">
        <v>1589</v>
      </c>
      <c r="I1355" s="93">
        <v>2397.5457928860201</v>
      </c>
      <c r="J1355" s="93" t="s">
        <v>1590</v>
      </c>
      <c r="K1355" s="93" t="s">
        <v>1591</v>
      </c>
      <c r="L1355" s="93" t="s">
        <v>1592</v>
      </c>
      <c r="M1355" s="93" t="s">
        <v>1593</v>
      </c>
      <c r="N1355" s="95">
        <v>0</v>
      </c>
      <c r="O1355" s="95">
        <v>0.01</v>
      </c>
      <c r="P1355" s="95">
        <v>0.23</v>
      </c>
      <c r="Q1355" s="95">
        <v>0.7</v>
      </c>
      <c r="R1355" s="96">
        <v>0.06</v>
      </c>
    </row>
    <row r="1356" spans="1:18" ht="15" customHeight="1" x14ac:dyDescent="0.3">
      <c r="A1356" s="89">
        <v>2022</v>
      </c>
      <c r="B1356" s="90">
        <v>3</v>
      </c>
      <c r="C1356" s="90" t="s">
        <v>724</v>
      </c>
      <c r="D1356" s="90" t="s">
        <v>719</v>
      </c>
      <c r="E1356" s="91" t="s">
        <v>11</v>
      </c>
      <c r="F1356" s="92" t="s">
        <v>29</v>
      </c>
      <c r="G1356" s="93" t="s">
        <v>1594</v>
      </c>
      <c r="H1356" s="93" t="s">
        <v>1595</v>
      </c>
      <c r="I1356" s="93">
        <v>2397.5457928860201</v>
      </c>
      <c r="J1356" s="93" t="s">
        <v>1596</v>
      </c>
      <c r="K1356" s="93" t="s">
        <v>1597</v>
      </c>
      <c r="L1356" s="93" t="s">
        <v>1598</v>
      </c>
      <c r="M1356" s="93" t="s">
        <v>1599</v>
      </c>
      <c r="N1356" s="95">
        <v>0.08</v>
      </c>
      <c r="O1356" s="95">
        <v>0.19</v>
      </c>
      <c r="P1356" s="95">
        <v>0.38</v>
      </c>
      <c r="Q1356" s="95">
        <v>0.32</v>
      </c>
      <c r="R1356" s="96">
        <v>0.02</v>
      </c>
    </row>
    <row r="1357" spans="1:18" ht="15" hidden="1" customHeight="1" x14ac:dyDescent="0.3">
      <c r="A1357" s="89">
        <v>2022</v>
      </c>
      <c r="B1357" s="90">
        <v>3</v>
      </c>
      <c r="C1357" s="90" t="s">
        <v>724</v>
      </c>
      <c r="D1357" s="90" t="s">
        <v>719</v>
      </c>
      <c r="E1357" s="91" t="s">
        <v>11</v>
      </c>
      <c r="F1357" s="92" t="s">
        <v>30</v>
      </c>
      <c r="G1357" s="93" t="s">
        <v>1600</v>
      </c>
      <c r="H1357" s="93" t="s">
        <v>1601</v>
      </c>
      <c r="I1357" s="93">
        <v>2397.5457928860201</v>
      </c>
      <c r="J1357" s="93" t="s">
        <v>1602</v>
      </c>
      <c r="K1357" s="93" t="s">
        <v>1603</v>
      </c>
      <c r="L1357" s="93" t="s">
        <v>1604</v>
      </c>
      <c r="M1357" s="93" t="s">
        <v>1605</v>
      </c>
      <c r="N1357" s="95">
        <v>0.02</v>
      </c>
      <c r="O1357" s="95">
        <v>7.0000000000000007E-2</v>
      </c>
      <c r="P1357" s="95">
        <v>0.28999999999999998</v>
      </c>
      <c r="Q1357" s="95">
        <v>0.54</v>
      </c>
      <c r="R1357" s="96">
        <v>0.09</v>
      </c>
    </row>
    <row r="1358" spans="1:18" ht="15" hidden="1" customHeight="1" x14ac:dyDescent="0.3">
      <c r="A1358" s="89">
        <v>2022</v>
      </c>
      <c r="B1358" s="90">
        <v>3</v>
      </c>
      <c r="C1358" s="90" t="s">
        <v>724</v>
      </c>
      <c r="D1358" s="90" t="s">
        <v>719</v>
      </c>
      <c r="E1358" s="91" t="s">
        <v>11</v>
      </c>
      <c r="F1358" s="92" t="s">
        <v>31</v>
      </c>
      <c r="G1358" s="93" t="s">
        <v>1606</v>
      </c>
      <c r="H1358" s="93" t="s">
        <v>1607</v>
      </c>
      <c r="I1358" s="93">
        <v>2397.5457928860201</v>
      </c>
      <c r="J1358" s="93" t="s">
        <v>1608</v>
      </c>
      <c r="K1358" s="93" t="s">
        <v>1609</v>
      </c>
      <c r="L1358" s="93" t="s">
        <v>1610</v>
      </c>
      <c r="M1358" s="93" t="s">
        <v>1611</v>
      </c>
      <c r="N1358" s="95">
        <v>0.02</v>
      </c>
      <c r="O1358" s="95">
        <v>0.14000000000000001</v>
      </c>
      <c r="P1358" s="95">
        <v>0.36</v>
      </c>
      <c r="Q1358" s="95">
        <v>0.38</v>
      </c>
      <c r="R1358" s="96">
        <v>0.11</v>
      </c>
    </row>
    <row r="1359" spans="1:18" ht="15" hidden="1" customHeight="1" x14ac:dyDescent="0.3">
      <c r="A1359" s="89">
        <v>2022</v>
      </c>
      <c r="B1359" s="90">
        <v>3</v>
      </c>
      <c r="C1359" s="90" t="s">
        <v>724</v>
      </c>
      <c r="D1359" s="90" t="s">
        <v>719</v>
      </c>
      <c r="E1359" s="91" t="s">
        <v>11</v>
      </c>
      <c r="F1359" s="92" t="s">
        <v>32</v>
      </c>
      <c r="G1359" s="93" t="s">
        <v>1612</v>
      </c>
      <c r="H1359" s="93" t="s">
        <v>1613</v>
      </c>
      <c r="I1359" s="93">
        <v>2397.5457928860201</v>
      </c>
      <c r="J1359" s="93" t="s">
        <v>1614</v>
      </c>
      <c r="K1359" s="93" t="s">
        <v>1615</v>
      </c>
      <c r="L1359" s="93" t="s">
        <v>1616</v>
      </c>
      <c r="M1359" s="93" t="s">
        <v>1617</v>
      </c>
      <c r="N1359" s="95">
        <v>0</v>
      </c>
      <c r="O1359" s="95">
        <v>0.04</v>
      </c>
      <c r="P1359" s="95">
        <v>0.15</v>
      </c>
      <c r="Q1359" s="95">
        <v>0.49</v>
      </c>
      <c r="R1359" s="96">
        <v>0.33</v>
      </c>
    </row>
    <row r="1360" spans="1:18" ht="15" hidden="1" customHeight="1" x14ac:dyDescent="0.3">
      <c r="A1360" s="89">
        <v>2022</v>
      </c>
      <c r="B1360" s="90">
        <v>3</v>
      </c>
      <c r="C1360" s="90" t="s">
        <v>724</v>
      </c>
      <c r="D1360" s="90" t="s">
        <v>719</v>
      </c>
      <c r="E1360" s="91" t="s">
        <v>11</v>
      </c>
      <c r="F1360" s="92" t="s">
        <v>33</v>
      </c>
      <c r="G1360" s="93" t="s">
        <v>1618</v>
      </c>
      <c r="H1360" s="93" t="s">
        <v>1619</v>
      </c>
      <c r="I1360" s="93">
        <v>2397.5457928860201</v>
      </c>
      <c r="J1360" s="93" t="s">
        <v>1620</v>
      </c>
      <c r="K1360" s="93" t="s">
        <v>1621</v>
      </c>
      <c r="L1360" s="93" t="s">
        <v>1622</v>
      </c>
      <c r="M1360" s="93" t="s">
        <v>1623</v>
      </c>
      <c r="N1360" s="95">
        <v>0.01</v>
      </c>
      <c r="O1360" s="95">
        <v>0.05</v>
      </c>
      <c r="P1360" s="95">
        <v>0.3</v>
      </c>
      <c r="Q1360" s="95">
        <v>0.52</v>
      </c>
      <c r="R1360" s="96">
        <v>0.12</v>
      </c>
    </row>
    <row r="1361" spans="1:18" ht="15" hidden="1" customHeight="1" x14ac:dyDescent="0.3">
      <c r="A1361" s="89">
        <v>2022</v>
      </c>
      <c r="B1361" s="90">
        <v>3</v>
      </c>
      <c r="C1361" s="90" t="s">
        <v>724</v>
      </c>
      <c r="D1361" s="90" t="s">
        <v>719</v>
      </c>
      <c r="E1361" s="91" t="s">
        <v>11</v>
      </c>
      <c r="F1361" s="92" t="s">
        <v>34</v>
      </c>
      <c r="G1361" s="93" t="s">
        <v>1264</v>
      </c>
      <c r="H1361" s="93" t="s">
        <v>1624</v>
      </c>
      <c r="I1361" s="93">
        <v>2397.5457928860201</v>
      </c>
      <c r="J1361" s="93" t="s">
        <v>1625</v>
      </c>
      <c r="K1361" s="93" t="s">
        <v>1626</v>
      </c>
      <c r="L1361" s="93" t="s">
        <v>1627</v>
      </c>
      <c r="M1361" s="93" t="s">
        <v>1628</v>
      </c>
      <c r="N1361" s="95">
        <v>0.06</v>
      </c>
      <c r="O1361" s="95">
        <v>0.27</v>
      </c>
      <c r="P1361" s="95">
        <v>0.47</v>
      </c>
      <c r="Q1361" s="95">
        <v>0.2</v>
      </c>
      <c r="R1361" s="96">
        <v>0.01</v>
      </c>
    </row>
    <row r="1362" spans="1:18" ht="15" hidden="1" customHeight="1" x14ac:dyDescent="0.3">
      <c r="A1362" s="89">
        <v>2022</v>
      </c>
      <c r="B1362" s="90">
        <v>3</v>
      </c>
      <c r="C1362" s="90" t="s">
        <v>724</v>
      </c>
      <c r="D1362" s="90" t="s">
        <v>719</v>
      </c>
      <c r="E1362" s="91" t="s">
        <v>11</v>
      </c>
      <c r="F1362" s="92" t="s">
        <v>35</v>
      </c>
      <c r="G1362" s="93" t="s">
        <v>1629</v>
      </c>
      <c r="H1362" s="93" t="s">
        <v>1630</v>
      </c>
      <c r="I1362" s="93">
        <v>2397.5457928860201</v>
      </c>
      <c r="J1362" s="93" t="s">
        <v>1631</v>
      </c>
      <c r="K1362" s="93" t="s">
        <v>1632</v>
      </c>
      <c r="L1362" s="93" t="s">
        <v>1633</v>
      </c>
      <c r="M1362" s="93" t="s">
        <v>799</v>
      </c>
      <c r="N1362" s="95">
        <v>0.02</v>
      </c>
      <c r="O1362" s="95">
        <v>0.04</v>
      </c>
      <c r="P1362" s="95">
        <v>0.21</v>
      </c>
      <c r="Q1362" s="95">
        <v>0.66</v>
      </c>
      <c r="R1362" s="96">
        <v>0.08</v>
      </c>
    </row>
    <row r="1363" spans="1:18" ht="15" hidden="1" customHeight="1" x14ac:dyDescent="0.3">
      <c r="A1363" s="89">
        <v>2022</v>
      </c>
      <c r="B1363" s="90">
        <v>3</v>
      </c>
      <c r="C1363" s="90" t="s">
        <v>724</v>
      </c>
      <c r="D1363" s="90" t="s">
        <v>719</v>
      </c>
      <c r="E1363" s="91" t="s">
        <v>11</v>
      </c>
      <c r="F1363" s="92" t="s">
        <v>36</v>
      </c>
      <c r="G1363" s="93" t="s">
        <v>1634</v>
      </c>
      <c r="H1363" s="93" t="s">
        <v>1635</v>
      </c>
      <c r="I1363" s="93">
        <v>2397.5457928860201</v>
      </c>
      <c r="J1363" s="93" t="s">
        <v>1636</v>
      </c>
      <c r="K1363" s="93" t="s">
        <v>1637</v>
      </c>
      <c r="L1363" s="93" t="s">
        <v>1638</v>
      </c>
      <c r="M1363" s="93" t="s">
        <v>1639</v>
      </c>
      <c r="N1363" s="95">
        <v>0.01</v>
      </c>
      <c r="O1363" s="95">
        <v>0.05</v>
      </c>
      <c r="P1363" s="95">
        <v>0.43</v>
      </c>
      <c r="Q1363" s="95">
        <v>0.5</v>
      </c>
      <c r="R1363" s="96">
        <v>0.02</v>
      </c>
    </row>
    <row r="1364" spans="1:18" ht="15" hidden="1" customHeight="1" x14ac:dyDescent="0.3">
      <c r="A1364" s="89">
        <v>2022</v>
      </c>
      <c r="B1364" s="90">
        <v>3</v>
      </c>
      <c r="C1364" s="90" t="s">
        <v>724</v>
      </c>
      <c r="D1364" s="90" t="s">
        <v>719</v>
      </c>
      <c r="E1364" s="91" t="s">
        <v>11</v>
      </c>
      <c r="F1364" s="92" t="s">
        <v>37</v>
      </c>
      <c r="G1364" s="93" t="s">
        <v>1640</v>
      </c>
      <c r="H1364" s="93" t="s">
        <v>1641</v>
      </c>
      <c r="I1364" s="93">
        <v>2397.5457928860201</v>
      </c>
      <c r="J1364" s="93" t="s">
        <v>1642</v>
      </c>
      <c r="K1364" s="93" t="s">
        <v>1643</v>
      </c>
      <c r="L1364" s="93" t="s">
        <v>1644</v>
      </c>
      <c r="M1364" s="93" t="s">
        <v>1645</v>
      </c>
      <c r="N1364" s="95">
        <v>7.0000000000000007E-2</v>
      </c>
      <c r="O1364" s="95">
        <v>0.24</v>
      </c>
      <c r="P1364" s="95">
        <v>0.47</v>
      </c>
      <c r="Q1364" s="95">
        <v>0.21</v>
      </c>
      <c r="R1364" s="96">
        <v>0.01</v>
      </c>
    </row>
    <row r="1365" spans="1:18" ht="15" hidden="1" customHeight="1" x14ac:dyDescent="0.3">
      <c r="A1365" s="89">
        <v>2022</v>
      </c>
      <c r="B1365" s="90">
        <v>3</v>
      </c>
      <c r="C1365" s="90" t="s">
        <v>724</v>
      </c>
      <c r="D1365" s="90" t="s">
        <v>719</v>
      </c>
      <c r="E1365" s="91" t="s">
        <v>11</v>
      </c>
      <c r="F1365" s="92" t="s">
        <v>720</v>
      </c>
      <c r="G1365" s="93" t="s">
        <v>1646</v>
      </c>
      <c r="H1365" s="93" t="s">
        <v>1647</v>
      </c>
      <c r="I1365" s="93">
        <v>2397.5457928860201</v>
      </c>
      <c r="J1365" s="93" t="s">
        <v>1648</v>
      </c>
      <c r="K1365" s="93" t="s">
        <v>1649</v>
      </c>
      <c r="L1365" s="93" t="s">
        <v>1650</v>
      </c>
      <c r="M1365" s="93" t="s">
        <v>1651</v>
      </c>
      <c r="N1365" s="95">
        <v>0.05</v>
      </c>
      <c r="O1365" s="95">
        <v>0.09</v>
      </c>
      <c r="P1365" s="95">
        <v>0.34</v>
      </c>
      <c r="Q1365" s="95">
        <v>0.48</v>
      </c>
      <c r="R1365" s="96">
        <v>0.04</v>
      </c>
    </row>
    <row r="1366" spans="1:18" ht="15" hidden="1" customHeight="1" x14ac:dyDescent="0.3">
      <c r="A1366" s="89">
        <v>2022</v>
      </c>
      <c r="B1366" s="90">
        <v>3</v>
      </c>
      <c r="C1366" s="90" t="s">
        <v>724</v>
      </c>
      <c r="D1366" s="90" t="s">
        <v>719</v>
      </c>
      <c r="E1366" s="91" t="s">
        <v>11</v>
      </c>
      <c r="F1366" s="92" t="s">
        <v>39</v>
      </c>
      <c r="G1366" s="93" t="s">
        <v>1652</v>
      </c>
      <c r="H1366" s="93" t="s">
        <v>1653</v>
      </c>
      <c r="I1366" s="93">
        <v>2397.5457928860201</v>
      </c>
      <c r="J1366" s="93" t="s">
        <v>1654</v>
      </c>
      <c r="K1366" s="93" t="s">
        <v>1655</v>
      </c>
      <c r="L1366" s="93" t="s">
        <v>1656</v>
      </c>
      <c r="M1366" s="93" t="s">
        <v>1657</v>
      </c>
      <c r="N1366" s="95">
        <v>0</v>
      </c>
      <c r="O1366" s="95">
        <v>7.0000000000000007E-2</v>
      </c>
      <c r="P1366" s="95">
        <v>0.38</v>
      </c>
      <c r="Q1366" s="95">
        <v>0.46</v>
      </c>
      <c r="R1366" s="96">
        <v>0.1</v>
      </c>
    </row>
    <row r="1367" spans="1:18" ht="15" hidden="1" customHeight="1" x14ac:dyDescent="0.3">
      <c r="A1367" s="89">
        <v>2022</v>
      </c>
      <c r="B1367" s="90">
        <v>3</v>
      </c>
      <c r="C1367" s="90" t="s">
        <v>724</v>
      </c>
      <c r="D1367" s="90" t="s">
        <v>719</v>
      </c>
      <c r="E1367" s="91" t="s">
        <v>11</v>
      </c>
      <c r="F1367" s="92" t="s">
        <v>41</v>
      </c>
      <c r="G1367" s="93" t="s">
        <v>1658</v>
      </c>
      <c r="H1367" s="93" t="s">
        <v>1659</v>
      </c>
      <c r="I1367" s="93">
        <v>2397.5457928860201</v>
      </c>
      <c r="J1367" s="93" t="s">
        <v>1660</v>
      </c>
      <c r="K1367" s="93" t="s">
        <v>1661</v>
      </c>
      <c r="L1367" s="93" t="s">
        <v>1662</v>
      </c>
      <c r="M1367" s="93" t="s">
        <v>835</v>
      </c>
      <c r="N1367" s="95">
        <v>0.01</v>
      </c>
      <c r="O1367" s="95">
        <v>0.17</v>
      </c>
      <c r="P1367" s="95">
        <v>0.33</v>
      </c>
      <c r="Q1367" s="95">
        <v>0.39</v>
      </c>
      <c r="R1367" s="96">
        <v>0.1</v>
      </c>
    </row>
    <row r="1368" spans="1:18" ht="15" hidden="1" customHeight="1" x14ac:dyDescent="0.3">
      <c r="A1368" s="89">
        <v>2022</v>
      </c>
      <c r="B1368" s="90">
        <v>3</v>
      </c>
      <c r="C1368" s="90" t="s">
        <v>724</v>
      </c>
      <c r="D1368" s="90" t="s">
        <v>719</v>
      </c>
      <c r="E1368" s="91" t="s">
        <v>11</v>
      </c>
      <c r="F1368" s="92" t="s">
        <v>42</v>
      </c>
      <c r="G1368" s="93" t="s">
        <v>1663</v>
      </c>
      <c r="H1368" s="93" t="s">
        <v>1664</v>
      </c>
      <c r="I1368" s="93">
        <v>2397.5457928860201</v>
      </c>
      <c r="J1368" s="93" t="s">
        <v>1665</v>
      </c>
      <c r="K1368" s="93" t="s">
        <v>1666</v>
      </c>
      <c r="L1368" s="93" t="s">
        <v>1667</v>
      </c>
      <c r="M1368" s="93" t="s">
        <v>1668</v>
      </c>
      <c r="N1368" s="95">
        <v>0.01</v>
      </c>
      <c r="O1368" s="95">
        <v>0.04</v>
      </c>
      <c r="P1368" s="95">
        <v>0.17</v>
      </c>
      <c r="Q1368" s="95">
        <v>0.47</v>
      </c>
      <c r="R1368" s="96">
        <v>0.32</v>
      </c>
    </row>
    <row r="1369" spans="1:18" ht="15" hidden="1" customHeight="1" x14ac:dyDescent="0.3">
      <c r="A1369" s="89">
        <v>2022</v>
      </c>
      <c r="B1369" s="90">
        <v>3</v>
      </c>
      <c r="C1369" s="90" t="s">
        <v>724</v>
      </c>
      <c r="D1369" s="90" t="s">
        <v>719</v>
      </c>
      <c r="E1369" s="91" t="s">
        <v>11</v>
      </c>
      <c r="F1369" s="92" t="s">
        <v>43</v>
      </c>
      <c r="G1369" s="93" t="s">
        <v>1669</v>
      </c>
      <c r="H1369" s="93" t="s">
        <v>1670</v>
      </c>
      <c r="I1369" s="93">
        <v>2397.5457928860201</v>
      </c>
      <c r="J1369" s="93" t="s">
        <v>1671</v>
      </c>
      <c r="K1369" s="93" t="s">
        <v>1672</v>
      </c>
      <c r="L1369" s="93" t="s">
        <v>1673</v>
      </c>
      <c r="M1369" s="93" t="s">
        <v>1674</v>
      </c>
      <c r="N1369" s="95">
        <v>0.02</v>
      </c>
      <c r="O1369" s="95">
        <v>0.12</v>
      </c>
      <c r="P1369" s="95">
        <v>0.23</v>
      </c>
      <c r="Q1369" s="95">
        <v>0.44</v>
      </c>
      <c r="R1369" s="96">
        <v>0.19</v>
      </c>
    </row>
    <row r="1370" spans="1:18" ht="15" hidden="1" customHeight="1" x14ac:dyDescent="0.3">
      <c r="A1370" s="89">
        <v>2022</v>
      </c>
      <c r="B1370" s="90">
        <v>3</v>
      </c>
      <c r="C1370" s="90" t="s">
        <v>724</v>
      </c>
      <c r="D1370" s="90" t="s">
        <v>719</v>
      </c>
      <c r="E1370" s="91" t="s">
        <v>11</v>
      </c>
      <c r="F1370" s="92" t="s">
        <v>58</v>
      </c>
      <c r="G1370" s="93" t="s">
        <v>1675</v>
      </c>
      <c r="H1370" s="93" t="s">
        <v>1676</v>
      </c>
      <c r="I1370" s="93">
        <v>2397.5457928860201</v>
      </c>
      <c r="J1370" s="93" t="s">
        <v>1677</v>
      </c>
      <c r="K1370" s="93" t="s">
        <v>1678</v>
      </c>
      <c r="L1370" s="93" t="s">
        <v>1679</v>
      </c>
      <c r="M1370" s="93" t="s">
        <v>853</v>
      </c>
      <c r="N1370" s="95">
        <v>0</v>
      </c>
      <c r="O1370" s="95">
        <v>0</v>
      </c>
      <c r="P1370" s="95">
        <v>7.0000000000000007E-2</v>
      </c>
      <c r="Q1370" s="95">
        <v>0.61</v>
      </c>
      <c r="R1370" s="96">
        <v>0.31</v>
      </c>
    </row>
    <row r="1371" spans="1:18" ht="15" hidden="1" customHeight="1" x14ac:dyDescent="0.3">
      <c r="A1371" s="89">
        <v>2022</v>
      </c>
      <c r="B1371" s="90">
        <v>3</v>
      </c>
      <c r="C1371" s="90" t="s">
        <v>724</v>
      </c>
      <c r="D1371" s="90" t="s">
        <v>719</v>
      </c>
      <c r="E1371" s="91" t="s">
        <v>11</v>
      </c>
      <c r="F1371" s="92" t="s">
        <v>44</v>
      </c>
      <c r="G1371" s="93" t="s">
        <v>1680</v>
      </c>
      <c r="H1371" s="93" t="s">
        <v>1681</v>
      </c>
      <c r="I1371" s="93">
        <v>2397.5457928860201</v>
      </c>
      <c r="J1371" s="93" t="s">
        <v>1682</v>
      </c>
      <c r="K1371" s="93" t="s">
        <v>1683</v>
      </c>
      <c r="L1371" s="93" t="s">
        <v>1684</v>
      </c>
      <c r="M1371" s="93" t="s">
        <v>1685</v>
      </c>
      <c r="N1371" s="95">
        <v>0.02</v>
      </c>
      <c r="O1371" s="95">
        <v>0.05</v>
      </c>
      <c r="P1371" s="95">
        <v>0.36</v>
      </c>
      <c r="Q1371" s="95">
        <v>0.54</v>
      </c>
      <c r="R1371" s="96">
        <v>0.02</v>
      </c>
    </row>
    <row r="1372" spans="1:18" ht="15" hidden="1" customHeight="1" x14ac:dyDescent="0.3">
      <c r="A1372" s="89">
        <v>2022</v>
      </c>
      <c r="B1372" s="90">
        <v>3</v>
      </c>
      <c r="C1372" s="90" t="s">
        <v>724</v>
      </c>
      <c r="D1372" s="90" t="s">
        <v>719</v>
      </c>
      <c r="E1372" s="91" t="s">
        <v>11</v>
      </c>
      <c r="F1372" s="92" t="s">
        <v>51</v>
      </c>
      <c r="G1372" s="93" t="s">
        <v>1686</v>
      </c>
      <c r="H1372" s="93" t="s">
        <v>1687</v>
      </c>
      <c r="I1372" s="93">
        <v>2397.5457928860201</v>
      </c>
      <c r="J1372" s="93" t="s">
        <v>1688</v>
      </c>
      <c r="K1372" s="93" t="s">
        <v>1689</v>
      </c>
      <c r="L1372" s="93" t="s">
        <v>1690</v>
      </c>
      <c r="M1372" s="93" t="s">
        <v>1691</v>
      </c>
      <c r="N1372" s="95">
        <v>0.03</v>
      </c>
      <c r="O1372" s="95">
        <v>0.08</v>
      </c>
      <c r="P1372" s="95">
        <v>0.48</v>
      </c>
      <c r="Q1372" s="95">
        <v>0.36</v>
      </c>
      <c r="R1372" s="96">
        <v>0.05</v>
      </c>
    </row>
    <row r="1373" spans="1:18" ht="15" hidden="1" customHeight="1" x14ac:dyDescent="0.3">
      <c r="A1373" s="89">
        <v>2022</v>
      </c>
      <c r="B1373" s="90">
        <v>3</v>
      </c>
      <c r="C1373" s="90" t="s">
        <v>724</v>
      </c>
      <c r="D1373" s="90" t="s">
        <v>719</v>
      </c>
      <c r="E1373" s="91" t="s">
        <v>11</v>
      </c>
      <c r="F1373" s="92" t="s">
        <v>45</v>
      </c>
      <c r="G1373" s="93" t="s">
        <v>1692</v>
      </c>
      <c r="H1373" s="93" t="s">
        <v>1693</v>
      </c>
      <c r="I1373" s="93">
        <v>2397.5457928860201</v>
      </c>
      <c r="J1373" s="93" t="s">
        <v>1694</v>
      </c>
      <c r="K1373" s="93" t="s">
        <v>1695</v>
      </c>
      <c r="L1373" s="93" t="s">
        <v>1696</v>
      </c>
      <c r="M1373" s="93" t="s">
        <v>1697</v>
      </c>
      <c r="N1373" s="95">
        <v>0.06</v>
      </c>
      <c r="O1373" s="95">
        <v>0.16</v>
      </c>
      <c r="P1373" s="95">
        <v>0.37</v>
      </c>
      <c r="Q1373" s="95">
        <v>0.39</v>
      </c>
      <c r="R1373" s="96">
        <v>0.02</v>
      </c>
    </row>
    <row r="1374" spans="1:18" ht="15" hidden="1" customHeight="1" x14ac:dyDescent="0.3">
      <c r="A1374" s="89">
        <v>2022</v>
      </c>
      <c r="B1374" s="90">
        <v>3</v>
      </c>
      <c r="C1374" s="90" t="s">
        <v>724</v>
      </c>
      <c r="D1374" s="90" t="s">
        <v>719</v>
      </c>
      <c r="E1374" s="91" t="s">
        <v>11</v>
      </c>
      <c r="F1374" s="92" t="s">
        <v>721</v>
      </c>
      <c r="G1374" s="93" t="s">
        <v>1698</v>
      </c>
      <c r="H1374" s="93" t="s">
        <v>1699</v>
      </c>
      <c r="I1374" s="93">
        <v>2397.5457928860201</v>
      </c>
      <c r="J1374" s="93" t="s">
        <v>1700</v>
      </c>
      <c r="K1374" s="93" t="s">
        <v>1701</v>
      </c>
      <c r="L1374" s="93" t="s">
        <v>1413</v>
      </c>
      <c r="M1374" s="93" t="s">
        <v>1702</v>
      </c>
      <c r="N1374" s="95">
        <v>0</v>
      </c>
      <c r="O1374" s="95">
        <v>0.03</v>
      </c>
      <c r="P1374" s="95">
        <v>0.28999999999999998</v>
      </c>
      <c r="Q1374" s="95">
        <v>0.6</v>
      </c>
      <c r="R1374" s="96">
        <v>0.08</v>
      </c>
    </row>
    <row r="1375" spans="1:18" ht="15" hidden="1" customHeight="1" x14ac:dyDescent="0.3">
      <c r="A1375" s="89">
        <v>2022</v>
      </c>
      <c r="B1375" s="90">
        <v>3</v>
      </c>
      <c r="C1375" s="90" t="s">
        <v>724</v>
      </c>
      <c r="D1375" s="90" t="s">
        <v>719</v>
      </c>
      <c r="E1375" s="91" t="s">
        <v>11</v>
      </c>
      <c r="F1375" s="92" t="s">
        <v>46</v>
      </c>
      <c r="G1375" s="93" t="s">
        <v>1703</v>
      </c>
      <c r="H1375" s="93" t="s">
        <v>1704</v>
      </c>
      <c r="I1375" s="93">
        <v>2397.5457928860201</v>
      </c>
      <c r="J1375" s="93" t="s">
        <v>1705</v>
      </c>
      <c r="K1375" s="93" t="s">
        <v>1706</v>
      </c>
      <c r="L1375" s="93" t="s">
        <v>1707</v>
      </c>
      <c r="M1375" s="93" t="s">
        <v>1708</v>
      </c>
      <c r="N1375" s="95">
        <v>0.17</v>
      </c>
      <c r="O1375" s="95">
        <v>0.54</v>
      </c>
      <c r="P1375" s="95">
        <v>0.22</v>
      </c>
      <c r="Q1375" s="95">
        <v>0.05</v>
      </c>
      <c r="R1375" s="96">
        <v>0.01</v>
      </c>
    </row>
    <row r="1376" spans="1:18" ht="15" hidden="1" customHeight="1" x14ac:dyDescent="0.3">
      <c r="A1376" s="89">
        <v>2022</v>
      </c>
      <c r="B1376" s="90">
        <v>3</v>
      </c>
      <c r="C1376" s="90" t="s">
        <v>724</v>
      </c>
      <c r="D1376" s="90" t="s">
        <v>719</v>
      </c>
      <c r="E1376" s="91" t="s">
        <v>11</v>
      </c>
      <c r="F1376" s="92" t="s">
        <v>47</v>
      </c>
      <c r="G1376" s="93" t="s">
        <v>1709</v>
      </c>
      <c r="H1376" s="93" t="s">
        <v>1710</v>
      </c>
      <c r="I1376" s="93">
        <v>2397.5457928860201</v>
      </c>
      <c r="J1376" s="93" t="s">
        <v>1711</v>
      </c>
      <c r="K1376" s="93" t="s">
        <v>1712</v>
      </c>
      <c r="L1376" s="93" t="s">
        <v>1713</v>
      </c>
      <c r="M1376" s="93" t="s">
        <v>1714</v>
      </c>
      <c r="N1376" s="95">
        <v>0.06</v>
      </c>
      <c r="O1376" s="95">
        <v>0.47</v>
      </c>
      <c r="P1376" s="95">
        <v>0.39</v>
      </c>
      <c r="Q1376" s="95">
        <v>0.08</v>
      </c>
      <c r="R1376" s="96">
        <v>0.01</v>
      </c>
    </row>
    <row r="1377" spans="1:18" ht="15" hidden="1" customHeight="1" x14ac:dyDescent="0.3">
      <c r="A1377" s="89">
        <v>2022</v>
      </c>
      <c r="B1377" s="90">
        <v>3</v>
      </c>
      <c r="C1377" s="90" t="s">
        <v>724</v>
      </c>
      <c r="D1377" s="90" t="s">
        <v>719</v>
      </c>
      <c r="E1377" s="91" t="s">
        <v>11</v>
      </c>
      <c r="F1377" s="92" t="s">
        <v>48</v>
      </c>
      <c r="G1377" s="93" t="s">
        <v>1715</v>
      </c>
      <c r="H1377" s="93" t="s">
        <v>1716</v>
      </c>
      <c r="I1377" s="93">
        <v>2397.5457928860201</v>
      </c>
      <c r="J1377" s="93" t="s">
        <v>1717</v>
      </c>
      <c r="K1377" s="93" t="s">
        <v>1718</v>
      </c>
      <c r="L1377" s="93" t="s">
        <v>1719</v>
      </c>
      <c r="M1377" s="93" t="s">
        <v>1720</v>
      </c>
      <c r="N1377" s="95">
        <v>0.01</v>
      </c>
      <c r="O1377" s="95">
        <v>7.0000000000000007E-2</v>
      </c>
      <c r="P1377" s="95">
        <v>0.35</v>
      </c>
      <c r="Q1377" s="95">
        <v>0.51</v>
      </c>
      <c r="R1377" s="96">
        <v>7.0000000000000007E-2</v>
      </c>
    </row>
    <row r="1378" spans="1:18" ht="15" hidden="1" customHeight="1" x14ac:dyDescent="0.3">
      <c r="A1378" s="89">
        <v>2022</v>
      </c>
      <c r="B1378" s="90">
        <v>3</v>
      </c>
      <c r="C1378" s="90" t="s">
        <v>724</v>
      </c>
      <c r="D1378" s="90" t="s">
        <v>719</v>
      </c>
      <c r="E1378" s="91" t="s">
        <v>11</v>
      </c>
      <c r="F1378" s="92" t="s">
        <v>40</v>
      </c>
      <c r="G1378" s="93" t="s">
        <v>1721</v>
      </c>
      <c r="H1378" s="93" t="s">
        <v>1722</v>
      </c>
      <c r="I1378" s="93">
        <v>2397.5457928860201</v>
      </c>
      <c r="J1378" s="93" t="s">
        <v>1723</v>
      </c>
      <c r="K1378" s="93" t="s">
        <v>1724</v>
      </c>
      <c r="L1378" s="93" t="s">
        <v>1725</v>
      </c>
      <c r="M1378" s="93" t="s">
        <v>1726</v>
      </c>
      <c r="N1378" s="95">
        <v>0.01</v>
      </c>
      <c r="O1378" s="95">
        <v>0.04</v>
      </c>
      <c r="P1378" s="95">
        <v>0.22</v>
      </c>
      <c r="Q1378" s="95">
        <v>0.62</v>
      </c>
      <c r="R1378" s="96">
        <v>0.1</v>
      </c>
    </row>
    <row r="1379" spans="1:18" ht="15" hidden="1" customHeight="1" x14ac:dyDescent="0.3">
      <c r="A1379" s="89">
        <v>2022</v>
      </c>
      <c r="B1379" s="90">
        <v>3</v>
      </c>
      <c r="C1379" s="90" t="s">
        <v>724</v>
      </c>
      <c r="D1379" s="90" t="s">
        <v>722</v>
      </c>
      <c r="E1379" s="91" t="s">
        <v>11</v>
      </c>
      <c r="F1379" s="92" t="s">
        <v>26</v>
      </c>
      <c r="G1379" s="93" t="s">
        <v>1727</v>
      </c>
      <c r="H1379" s="93" t="s">
        <v>1728</v>
      </c>
      <c r="I1379" s="93">
        <v>2397.5457928860201</v>
      </c>
      <c r="J1379" s="93" t="s">
        <v>1729</v>
      </c>
      <c r="K1379" s="93" t="s">
        <v>1730</v>
      </c>
      <c r="L1379" s="93" t="s">
        <v>1731</v>
      </c>
      <c r="M1379" s="93" t="s">
        <v>1575</v>
      </c>
      <c r="N1379" s="95">
        <v>0.03</v>
      </c>
      <c r="O1379" s="95">
        <v>0.08</v>
      </c>
      <c r="P1379" s="95">
        <v>0.42</v>
      </c>
      <c r="Q1379" s="95">
        <v>0.43</v>
      </c>
      <c r="R1379" s="96">
        <v>0.04</v>
      </c>
    </row>
    <row r="1380" spans="1:18" ht="15" hidden="1" customHeight="1" x14ac:dyDescent="0.3">
      <c r="A1380" s="89">
        <v>2022</v>
      </c>
      <c r="B1380" s="90">
        <v>3</v>
      </c>
      <c r="C1380" s="90" t="s">
        <v>724</v>
      </c>
      <c r="D1380" s="90" t="s">
        <v>722</v>
      </c>
      <c r="E1380" s="91" t="s">
        <v>11</v>
      </c>
      <c r="F1380" s="92" t="s">
        <v>12</v>
      </c>
      <c r="G1380" s="93" t="s">
        <v>1732</v>
      </c>
      <c r="H1380" s="93" t="s">
        <v>1733</v>
      </c>
      <c r="I1380" s="93">
        <v>2397.5457928860201</v>
      </c>
      <c r="J1380" s="93" t="s">
        <v>1734</v>
      </c>
      <c r="K1380" s="93" t="s">
        <v>1735</v>
      </c>
      <c r="L1380" s="93" t="s">
        <v>1736</v>
      </c>
      <c r="M1380" s="93" t="s">
        <v>1581</v>
      </c>
      <c r="N1380" s="95">
        <v>0.02</v>
      </c>
      <c r="O1380" s="95">
        <v>7.0000000000000007E-2</v>
      </c>
      <c r="P1380" s="95">
        <v>0.3</v>
      </c>
      <c r="Q1380" s="95">
        <v>0.51</v>
      </c>
      <c r="R1380" s="96">
        <v>0.1</v>
      </c>
    </row>
    <row r="1381" spans="1:18" ht="15" hidden="1" customHeight="1" x14ac:dyDescent="0.3">
      <c r="A1381" s="89">
        <v>2022</v>
      </c>
      <c r="B1381" s="90">
        <v>3</v>
      </c>
      <c r="C1381" s="90" t="s">
        <v>724</v>
      </c>
      <c r="D1381" s="90" t="s">
        <v>722</v>
      </c>
      <c r="E1381" s="91" t="s">
        <v>11</v>
      </c>
      <c r="F1381" s="92" t="s">
        <v>27</v>
      </c>
      <c r="G1381" s="93" t="s">
        <v>1737</v>
      </c>
      <c r="H1381" s="93" t="s">
        <v>1738</v>
      </c>
      <c r="I1381" s="93">
        <v>2397.5457928860201</v>
      </c>
      <c r="J1381" s="93" t="s">
        <v>1739</v>
      </c>
      <c r="K1381" s="93" t="s">
        <v>1740</v>
      </c>
      <c r="L1381" s="93" t="s">
        <v>1741</v>
      </c>
      <c r="M1381" s="93" t="s">
        <v>1587</v>
      </c>
      <c r="N1381" s="95">
        <v>0</v>
      </c>
      <c r="O1381" s="95">
        <v>0.25</v>
      </c>
      <c r="P1381" s="95">
        <v>0.66</v>
      </c>
      <c r="Q1381" s="95">
        <v>0.08</v>
      </c>
      <c r="R1381" s="96">
        <v>0</v>
      </c>
    </row>
    <row r="1382" spans="1:18" ht="15" hidden="1" customHeight="1" x14ac:dyDescent="0.3">
      <c r="A1382" s="89">
        <v>2022</v>
      </c>
      <c r="B1382" s="90">
        <v>3</v>
      </c>
      <c r="C1382" s="90" t="s">
        <v>724</v>
      </c>
      <c r="D1382" s="90" t="s">
        <v>722</v>
      </c>
      <c r="E1382" s="91" t="s">
        <v>11</v>
      </c>
      <c r="F1382" s="92" t="s">
        <v>28</v>
      </c>
      <c r="G1382" s="93" t="s">
        <v>1742</v>
      </c>
      <c r="H1382" s="93" t="s">
        <v>1743</v>
      </c>
      <c r="I1382" s="93">
        <v>2397.5457928860201</v>
      </c>
      <c r="J1382" s="93" t="s">
        <v>1744</v>
      </c>
      <c r="K1382" s="93" t="s">
        <v>1745</v>
      </c>
      <c r="L1382" s="93" t="s">
        <v>1746</v>
      </c>
      <c r="M1382" s="93" t="s">
        <v>1593</v>
      </c>
      <c r="N1382" s="95">
        <v>0.01</v>
      </c>
      <c r="O1382" s="95">
        <v>0.06</v>
      </c>
      <c r="P1382" s="95">
        <v>0.59</v>
      </c>
      <c r="Q1382" s="95">
        <v>0.33</v>
      </c>
      <c r="R1382" s="96">
        <v>0.01</v>
      </c>
    </row>
    <row r="1383" spans="1:18" ht="15" customHeight="1" x14ac:dyDescent="0.3">
      <c r="A1383" s="89">
        <v>2022</v>
      </c>
      <c r="B1383" s="90">
        <v>3</v>
      </c>
      <c r="C1383" s="90" t="s">
        <v>724</v>
      </c>
      <c r="D1383" s="90" t="s">
        <v>722</v>
      </c>
      <c r="E1383" s="91" t="s">
        <v>11</v>
      </c>
      <c r="F1383" s="92" t="s">
        <v>29</v>
      </c>
      <c r="G1383" s="93" t="s">
        <v>1747</v>
      </c>
      <c r="H1383" s="93" t="s">
        <v>1748</v>
      </c>
      <c r="I1383" s="93">
        <v>2397.5457928860201</v>
      </c>
      <c r="J1383" s="93" t="s">
        <v>1749</v>
      </c>
      <c r="K1383" s="93" t="s">
        <v>1750</v>
      </c>
      <c r="L1383" s="93" t="s">
        <v>1751</v>
      </c>
      <c r="M1383" s="93" t="s">
        <v>1599</v>
      </c>
      <c r="N1383" s="95">
        <v>0.06</v>
      </c>
      <c r="O1383" s="95">
        <v>0.22</v>
      </c>
      <c r="P1383" s="95">
        <v>0.44</v>
      </c>
      <c r="Q1383" s="95">
        <v>0.27</v>
      </c>
      <c r="R1383" s="96">
        <v>0.01</v>
      </c>
    </row>
    <row r="1384" spans="1:18" ht="15" hidden="1" customHeight="1" x14ac:dyDescent="0.3">
      <c r="A1384" s="89">
        <v>2022</v>
      </c>
      <c r="B1384" s="90">
        <v>3</v>
      </c>
      <c r="C1384" s="90" t="s">
        <v>724</v>
      </c>
      <c r="D1384" s="90" t="s">
        <v>722</v>
      </c>
      <c r="E1384" s="91" t="s">
        <v>11</v>
      </c>
      <c r="F1384" s="92" t="s">
        <v>30</v>
      </c>
      <c r="G1384" s="93" t="s">
        <v>1752</v>
      </c>
      <c r="H1384" s="93" t="s">
        <v>1753</v>
      </c>
      <c r="I1384" s="93">
        <v>2397.5457928860201</v>
      </c>
      <c r="J1384" s="93" t="s">
        <v>1754</v>
      </c>
      <c r="K1384" s="93" t="s">
        <v>1755</v>
      </c>
      <c r="L1384" s="93" t="s">
        <v>1756</v>
      </c>
      <c r="M1384" s="93" t="s">
        <v>1605</v>
      </c>
      <c r="N1384" s="95">
        <v>0.01</v>
      </c>
      <c r="O1384" s="95">
        <v>0.06</v>
      </c>
      <c r="P1384" s="95">
        <v>0.31</v>
      </c>
      <c r="Q1384" s="95">
        <v>0.54</v>
      </c>
      <c r="R1384" s="96">
        <v>0.08</v>
      </c>
    </row>
    <row r="1385" spans="1:18" ht="15" hidden="1" customHeight="1" x14ac:dyDescent="0.3">
      <c r="A1385" s="89">
        <v>2022</v>
      </c>
      <c r="B1385" s="90">
        <v>3</v>
      </c>
      <c r="C1385" s="90" t="s">
        <v>724</v>
      </c>
      <c r="D1385" s="90" t="s">
        <v>722</v>
      </c>
      <c r="E1385" s="91" t="s">
        <v>11</v>
      </c>
      <c r="F1385" s="92" t="s">
        <v>31</v>
      </c>
      <c r="G1385" s="93" t="s">
        <v>1757</v>
      </c>
      <c r="H1385" s="93" t="s">
        <v>1758</v>
      </c>
      <c r="I1385" s="93">
        <v>2397.5457928860201</v>
      </c>
      <c r="J1385" s="93" t="s">
        <v>1759</v>
      </c>
      <c r="K1385" s="93" t="s">
        <v>1760</v>
      </c>
      <c r="L1385" s="93" t="s">
        <v>1761</v>
      </c>
      <c r="M1385" s="93" t="s">
        <v>1611</v>
      </c>
      <c r="N1385" s="95">
        <v>0.01</v>
      </c>
      <c r="O1385" s="95">
        <v>0.16</v>
      </c>
      <c r="P1385" s="95">
        <v>0.37</v>
      </c>
      <c r="Q1385" s="95">
        <v>0.36</v>
      </c>
      <c r="R1385" s="96">
        <v>0.1</v>
      </c>
    </row>
    <row r="1386" spans="1:18" ht="15" hidden="1" customHeight="1" x14ac:dyDescent="0.3">
      <c r="A1386" s="89">
        <v>2022</v>
      </c>
      <c r="B1386" s="90">
        <v>3</v>
      </c>
      <c r="C1386" s="90" t="s">
        <v>724</v>
      </c>
      <c r="D1386" s="90" t="s">
        <v>722</v>
      </c>
      <c r="E1386" s="91" t="s">
        <v>11</v>
      </c>
      <c r="F1386" s="92" t="s">
        <v>32</v>
      </c>
      <c r="G1386" s="93" t="s">
        <v>1762</v>
      </c>
      <c r="H1386" s="93" t="s">
        <v>1763</v>
      </c>
      <c r="I1386" s="93">
        <v>2397.5457928860201</v>
      </c>
      <c r="J1386" s="93" t="s">
        <v>1764</v>
      </c>
      <c r="K1386" s="93" t="s">
        <v>1765</v>
      </c>
      <c r="L1386" s="93" t="s">
        <v>1766</v>
      </c>
      <c r="M1386" s="93" t="s">
        <v>1617</v>
      </c>
      <c r="N1386" s="95">
        <v>0.01</v>
      </c>
      <c r="O1386" s="95">
        <v>0.05</v>
      </c>
      <c r="P1386" s="95">
        <v>0.39</v>
      </c>
      <c r="Q1386" s="95">
        <v>0.51</v>
      </c>
      <c r="R1386" s="96">
        <v>0.05</v>
      </c>
    </row>
    <row r="1387" spans="1:18" ht="15" hidden="1" customHeight="1" x14ac:dyDescent="0.3">
      <c r="A1387" s="89">
        <v>2022</v>
      </c>
      <c r="B1387" s="90">
        <v>3</v>
      </c>
      <c r="C1387" s="90" t="s">
        <v>724</v>
      </c>
      <c r="D1387" s="90" t="s">
        <v>722</v>
      </c>
      <c r="E1387" s="91" t="s">
        <v>11</v>
      </c>
      <c r="F1387" s="92" t="s">
        <v>33</v>
      </c>
      <c r="G1387" s="93" t="s">
        <v>1767</v>
      </c>
      <c r="H1387" s="93" t="s">
        <v>1768</v>
      </c>
      <c r="I1387" s="93">
        <v>2397.5457928860201</v>
      </c>
      <c r="J1387" s="93" t="s">
        <v>1769</v>
      </c>
      <c r="K1387" s="93" t="s">
        <v>1770</v>
      </c>
      <c r="L1387" s="93" t="s">
        <v>1771</v>
      </c>
      <c r="M1387" s="93" t="s">
        <v>1623</v>
      </c>
      <c r="N1387" s="95">
        <v>0.02</v>
      </c>
      <c r="O1387" s="95">
        <v>0.16</v>
      </c>
      <c r="P1387" s="95">
        <v>0.48</v>
      </c>
      <c r="Q1387" s="95">
        <v>0.32</v>
      </c>
      <c r="R1387" s="96">
        <v>0.02</v>
      </c>
    </row>
    <row r="1388" spans="1:18" ht="15" hidden="1" customHeight="1" x14ac:dyDescent="0.3">
      <c r="A1388" s="89">
        <v>2022</v>
      </c>
      <c r="B1388" s="90">
        <v>3</v>
      </c>
      <c r="C1388" s="90" t="s">
        <v>724</v>
      </c>
      <c r="D1388" s="90" t="s">
        <v>722</v>
      </c>
      <c r="E1388" s="91" t="s">
        <v>11</v>
      </c>
      <c r="F1388" s="92" t="s">
        <v>34</v>
      </c>
      <c r="G1388" s="93" t="s">
        <v>1772</v>
      </c>
      <c r="H1388" s="93" t="s">
        <v>1773</v>
      </c>
      <c r="I1388" s="93">
        <v>2397.5457928860201</v>
      </c>
      <c r="J1388" s="93" t="s">
        <v>1774</v>
      </c>
      <c r="K1388" s="93" t="s">
        <v>1775</v>
      </c>
      <c r="L1388" s="93" t="s">
        <v>1776</v>
      </c>
      <c r="M1388" s="93" t="s">
        <v>1628</v>
      </c>
      <c r="N1388" s="95">
        <v>0.1</v>
      </c>
      <c r="O1388" s="95">
        <v>0.42</v>
      </c>
      <c r="P1388" s="95">
        <v>0.42</v>
      </c>
      <c r="Q1388" s="95">
        <v>0.06</v>
      </c>
      <c r="R1388" s="96">
        <v>0</v>
      </c>
    </row>
    <row r="1389" spans="1:18" ht="15" hidden="1" customHeight="1" x14ac:dyDescent="0.3">
      <c r="A1389" s="89">
        <v>2022</v>
      </c>
      <c r="B1389" s="90">
        <v>3</v>
      </c>
      <c r="C1389" s="90" t="s">
        <v>724</v>
      </c>
      <c r="D1389" s="90" t="s">
        <v>722</v>
      </c>
      <c r="E1389" s="91" t="s">
        <v>11</v>
      </c>
      <c r="F1389" s="92" t="s">
        <v>35</v>
      </c>
      <c r="G1389" s="93" t="s">
        <v>1777</v>
      </c>
      <c r="H1389" s="93" t="s">
        <v>1778</v>
      </c>
      <c r="I1389" s="93">
        <v>2397.5457928860201</v>
      </c>
      <c r="J1389" s="93" t="s">
        <v>1779</v>
      </c>
      <c r="K1389" s="93" t="s">
        <v>1780</v>
      </c>
      <c r="L1389" s="93" t="s">
        <v>1781</v>
      </c>
      <c r="M1389" s="93" t="s">
        <v>799</v>
      </c>
      <c r="N1389" s="95">
        <v>0.02</v>
      </c>
      <c r="O1389" s="95">
        <v>0.04</v>
      </c>
      <c r="P1389" s="95">
        <v>0.18</v>
      </c>
      <c r="Q1389" s="95">
        <v>0.67</v>
      </c>
      <c r="R1389" s="96">
        <v>0.09</v>
      </c>
    </row>
    <row r="1390" spans="1:18" ht="15" hidden="1" customHeight="1" x14ac:dyDescent="0.3">
      <c r="A1390" s="89">
        <v>2022</v>
      </c>
      <c r="B1390" s="90">
        <v>3</v>
      </c>
      <c r="C1390" s="90" t="s">
        <v>724</v>
      </c>
      <c r="D1390" s="90" t="s">
        <v>722</v>
      </c>
      <c r="E1390" s="91" t="s">
        <v>11</v>
      </c>
      <c r="F1390" s="92" t="s">
        <v>36</v>
      </c>
      <c r="G1390" s="93" t="s">
        <v>1782</v>
      </c>
      <c r="H1390" s="93" t="s">
        <v>1783</v>
      </c>
      <c r="I1390" s="93">
        <v>2397.5457928860201</v>
      </c>
      <c r="J1390" s="93" t="s">
        <v>1784</v>
      </c>
      <c r="K1390" s="93" t="s">
        <v>1785</v>
      </c>
      <c r="L1390" s="93" t="s">
        <v>1786</v>
      </c>
      <c r="M1390" s="93" t="s">
        <v>1639</v>
      </c>
      <c r="N1390" s="95">
        <v>0.03</v>
      </c>
      <c r="O1390" s="95">
        <v>0.28000000000000003</v>
      </c>
      <c r="P1390" s="95">
        <v>0.56999999999999995</v>
      </c>
      <c r="Q1390" s="95">
        <v>0.12</v>
      </c>
      <c r="R1390" s="96">
        <v>0</v>
      </c>
    </row>
    <row r="1391" spans="1:18" ht="15" hidden="1" customHeight="1" x14ac:dyDescent="0.3">
      <c r="A1391" s="89">
        <v>2022</v>
      </c>
      <c r="B1391" s="90">
        <v>3</v>
      </c>
      <c r="C1391" s="90" t="s">
        <v>724</v>
      </c>
      <c r="D1391" s="90" t="s">
        <v>722</v>
      </c>
      <c r="E1391" s="91" t="s">
        <v>11</v>
      </c>
      <c r="F1391" s="92" t="s">
        <v>37</v>
      </c>
      <c r="G1391" s="93" t="s">
        <v>1787</v>
      </c>
      <c r="H1391" s="93" t="s">
        <v>1788</v>
      </c>
      <c r="I1391" s="93">
        <v>2397.5457928860201</v>
      </c>
      <c r="J1391" s="93" t="s">
        <v>1789</v>
      </c>
      <c r="K1391" s="93" t="s">
        <v>1790</v>
      </c>
      <c r="L1391" s="93" t="s">
        <v>1791</v>
      </c>
      <c r="M1391" s="93" t="s">
        <v>1645</v>
      </c>
      <c r="N1391" s="95">
        <v>0.1</v>
      </c>
      <c r="O1391" s="95">
        <v>0.35</v>
      </c>
      <c r="P1391" s="95">
        <v>0.43</v>
      </c>
      <c r="Q1391" s="95">
        <v>0.12</v>
      </c>
      <c r="R1391" s="96">
        <v>0</v>
      </c>
    </row>
    <row r="1392" spans="1:18" ht="15" hidden="1" customHeight="1" x14ac:dyDescent="0.3">
      <c r="A1392" s="89">
        <v>2022</v>
      </c>
      <c r="B1392" s="90">
        <v>3</v>
      </c>
      <c r="C1392" s="90" t="s">
        <v>724</v>
      </c>
      <c r="D1392" s="90" t="s">
        <v>722</v>
      </c>
      <c r="E1392" s="91" t="s">
        <v>11</v>
      </c>
      <c r="F1392" s="92" t="s">
        <v>720</v>
      </c>
      <c r="G1392" s="93" t="s">
        <v>1792</v>
      </c>
      <c r="H1392" s="93" t="s">
        <v>1793</v>
      </c>
      <c r="I1392" s="93">
        <v>2397.5457928860201</v>
      </c>
      <c r="J1392" s="93" t="s">
        <v>1794</v>
      </c>
      <c r="K1392" s="93" t="s">
        <v>1795</v>
      </c>
      <c r="L1392" s="93" t="s">
        <v>1796</v>
      </c>
      <c r="M1392" s="93" t="s">
        <v>1651</v>
      </c>
      <c r="N1392" s="95">
        <v>0.06</v>
      </c>
      <c r="O1392" s="95">
        <v>0.1</v>
      </c>
      <c r="P1392" s="95">
        <v>0.31</v>
      </c>
      <c r="Q1392" s="95">
        <v>0.46</v>
      </c>
      <c r="R1392" s="96">
        <v>7.0000000000000007E-2</v>
      </c>
    </row>
    <row r="1393" spans="1:18" ht="15" hidden="1" customHeight="1" x14ac:dyDescent="0.3">
      <c r="A1393" s="89">
        <v>2022</v>
      </c>
      <c r="B1393" s="90">
        <v>3</v>
      </c>
      <c r="C1393" s="90" t="s">
        <v>724</v>
      </c>
      <c r="D1393" s="90" t="s">
        <v>722</v>
      </c>
      <c r="E1393" s="91" t="s">
        <v>11</v>
      </c>
      <c r="F1393" s="92" t="s">
        <v>39</v>
      </c>
      <c r="G1393" s="93" t="s">
        <v>1797</v>
      </c>
      <c r="H1393" s="93" t="s">
        <v>1798</v>
      </c>
      <c r="I1393" s="93">
        <v>2397.5457928860201</v>
      </c>
      <c r="J1393" s="93" t="s">
        <v>1799</v>
      </c>
      <c r="K1393" s="93" t="s">
        <v>1800</v>
      </c>
      <c r="L1393" s="93" t="s">
        <v>1801</v>
      </c>
      <c r="M1393" s="93" t="s">
        <v>1657</v>
      </c>
      <c r="N1393" s="95">
        <v>0.01</v>
      </c>
      <c r="O1393" s="95">
        <v>0.16</v>
      </c>
      <c r="P1393" s="95">
        <v>0.6</v>
      </c>
      <c r="Q1393" s="95">
        <v>0.22</v>
      </c>
      <c r="R1393" s="96">
        <v>0.01</v>
      </c>
    </row>
    <row r="1394" spans="1:18" ht="15" hidden="1" customHeight="1" x14ac:dyDescent="0.3">
      <c r="A1394" s="89">
        <v>2022</v>
      </c>
      <c r="B1394" s="90">
        <v>3</v>
      </c>
      <c r="C1394" s="90" t="s">
        <v>724</v>
      </c>
      <c r="D1394" s="90" t="s">
        <v>722</v>
      </c>
      <c r="E1394" s="91" t="s">
        <v>11</v>
      </c>
      <c r="F1394" s="92" t="s">
        <v>41</v>
      </c>
      <c r="G1394" s="93" t="s">
        <v>1802</v>
      </c>
      <c r="H1394" s="93" t="s">
        <v>1803</v>
      </c>
      <c r="I1394" s="93">
        <v>2397.5457928860201</v>
      </c>
      <c r="J1394" s="93" t="s">
        <v>1804</v>
      </c>
      <c r="K1394" s="93" t="s">
        <v>1805</v>
      </c>
      <c r="L1394" s="93" t="s">
        <v>1806</v>
      </c>
      <c r="M1394" s="93" t="s">
        <v>835</v>
      </c>
      <c r="N1394" s="95">
        <v>0.03</v>
      </c>
      <c r="O1394" s="95">
        <v>0.21</v>
      </c>
      <c r="P1394" s="95">
        <v>0.31</v>
      </c>
      <c r="Q1394" s="95">
        <v>0.34</v>
      </c>
      <c r="R1394" s="96">
        <v>0.1</v>
      </c>
    </row>
    <row r="1395" spans="1:18" ht="15" hidden="1" customHeight="1" x14ac:dyDescent="0.3">
      <c r="A1395" s="89">
        <v>2022</v>
      </c>
      <c r="B1395" s="90">
        <v>3</v>
      </c>
      <c r="C1395" s="90" t="s">
        <v>724</v>
      </c>
      <c r="D1395" s="90" t="s">
        <v>722</v>
      </c>
      <c r="E1395" s="91" t="s">
        <v>11</v>
      </c>
      <c r="F1395" s="92" t="s">
        <v>42</v>
      </c>
      <c r="G1395" s="93" t="s">
        <v>1807</v>
      </c>
      <c r="H1395" s="93" t="s">
        <v>1808</v>
      </c>
      <c r="I1395" s="93">
        <v>2397.5457928860201</v>
      </c>
      <c r="J1395" s="93" t="s">
        <v>1809</v>
      </c>
      <c r="K1395" s="93" t="s">
        <v>1810</v>
      </c>
      <c r="L1395" s="93" t="s">
        <v>1811</v>
      </c>
      <c r="M1395" s="93" t="s">
        <v>1668</v>
      </c>
      <c r="N1395" s="95">
        <v>0.08</v>
      </c>
      <c r="O1395" s="95">
        <v>0.16</v>
      </c>
      <c r="P1395" s="95">
        <v>0.27</v>
      </c>
      <c r="Q1395" s="95">
        <v>0.43</v>
      </c>
      <c r="R1395" s="96">
        <v>0.06</v>
      </c>
    </row>
    <row r="1396" spans="1:18" ht="15" hidden="1" customHeight="1" x14ac:dyDescent="0.3">
      <c r="A1396" s="89">
        <v>2022</v>
      </c>
      <c r="B1396" s="90">
        <v>3</v>
      </c>
      <c r="C1396" s="90" t="s">
        <v>724</v>
      </c>
      <c r="D1396" s="90" t="s">
        <v>722</v>
      </c>
      <c r="E1396" s="91" t="s">
        <v>11</v>
      </c>
      <c r="F1396" s="92" t="s">
        <v>43</v>
      </c>
      <c r="G1396" s="93" t="s">
        <v>1812</v>
      </c>
      <c r="H1396" s="93" t="s">
        <v>1813</v>
      </c>
      <c r="I1396" s="93">
        <v>2397.5457928860201</v>
      </c>
      <c r="J1396" s="93" t="s">
        <v>1814</v>
      </c>
      <c r="K1396" s="93" t="s">
        <v>1815</v>
      </c>
      <c r="L1396" s="93" t="s">
        <v>1816</v>
      </c>
      <c r="M1396" s="93" t="s">
        <v>1674</v>
      </c>
      <c r="N1396" s="95">
        <v>0.03</v>
      </c>
      <c r="O1396" s="95">
        <v>0.17</v>
      </c>
      <c r="P1396" s="95">
        <v>0.27</v>
      </c>
      <c r="Q1396" s="95">
        <v>0.4</v>
      </c>
      <c r="R1396" s="96">
        <v>0.13</v>
      </c>
    </row>
    <row r="1397" spans="1:18" ht="15" hidden="1" customHeight="1" x14ac:dyDescent="0.3">
      <c r="A1397" s="89">
        <v>2022</v>
      </c>
      <c r="B1397" s="90">
        <v>3</v>
      </c>
      <c r="C1397" s="90" t="s">
        <v>724</v>
      </c>
      <c r="D1397" s="90" t="s">
        <v>722</v>
      </c>
      <c r="E1397" s="91" t="s">
        <v>11</v>
      </c>
      <c r="F1397" s="92" t="s">
        <v>58</v>
      </c>
      <c r="G1397" s="93" t="s">
        <v>1817</v>
      </c>
      <c r="H1397" s="93" t="s">
        <v>1818</v>
      </c>
      <c r="I1397" s="93">
        <v>2397.5457928860201</v>
      </c>
      <c r="J1397" s="93" t="s">
        <v>1819</v>
      </c>
      <c r="K1397" s="93" t="s">
        <v>1820</v>
      </c>
      <c r="L1397" s="93" t="s">
        <v>1679</v>
      </c>
      <c r="M1397" s="93" t="s">
        <v>853</v>
      </c>
      <c r="N1397" s="95">
        <v>0.01</v>
      </c>
      <c r="O1397" s="95">
        <v>0.06</v>
      </c>
      <c r="P1397" s="95">
        <v>0.42</v>
      </c>
      <c r="Q1397" s="95">
        <v>0.48</v>
      </c>
      <c r="R1397" s="96">
        <v>0.03</v>
      </c>
    </row>
    <row r="1398" spans="1:18" ht="15" hidden="1" customHeight="1" x14ac:dyDescent="0.3">
      <c r="A1398" s="89">
        <v>2022</v>
      </c>
      <c r="B1398" s="90">
        <v>3</v>
      </c>
      <c r="C1398" s="90" t="s">
        <v>724</v>
      </c>
      <c r="D1398" s="90" t="s">
        <v>722</v>
      </c>
      <c r="E1398" s="91" t="s">
        <v>11</v>
      </c>
      <c r="F1398" s="92" t="s">
        <v>44</v>
      </c>
      <c r="G1398" s="93" t="s">
        <v>1821</v>
      </c>
      <c r="H1398" s="93" t="s">
        <v>1822</v>
      </c>
      <c r="I1398" s="93">
        <v>2397.5457928860201</v>
      </c>
      <c r="J1398" s="93" t="s">
        <v>1823</v>
      </c>
      <c r="K1398" s="93" t="s">
        <v>1824</v>
      </c>
      <c r="L1398" s="93" t="s">
        <v>1825</v>
      </c>
      <c r="M1398" s="93" t="s">
        <v>1685</v>
      </c>
      <c r="N1398" s="95">
        <v>0.04</v>
      </c>
      <c r="O1398" s="95">
        <v>0.28999999999999998</v>
      </c>
      <c r="P1398" s="95">
        <v>0.56000000000000005</v>
      </c>
      <c r="Q1398" s="95">
        <v>0.1</v>
      </c>
      <c r="R1398" s="96">
        <v>0</v>
      </c>
    </row>
    <row r="1399" spans="1:18" ht="15" hidden="1" customHeight="1" x14ac:dyDescent="0.3">
      <c r="A1399" s="89">
        <v>2022</v>
      </c>
      <c r="B1399" s="90">
        <v>3</v>
      </c>
      <c r="C1399" s="90" t="s">
        <v>724</v>
      </c>
      <c r="D1399" s="90" t="s">
        <v>722</v>
      </c>
      <c r="E1399" s="91" t="s">
        <v>11</v>
      </c>
      <c r="F1399" s="92" t="s">
        <v>51</v>
      </c>
      <c r="G1399" s="93" t="s">
        <v>1826</v>
      </c>
      <c r="H1399" s="93" t="s">
        <v>1827</v>
      </c>
      <c r="I1399" s="93">
        <v>2397.5457928860201</v>
      </c>
      <c r="J1399" s="93" t="s">
        <v>1828</v>
      </c>
      <c r="K1399" s="93" t="s">
        <v>1829</v>
      </c>
      <c r="L1399" s="93" t="s">
        <v>1830</v>
      </c>
      <c r="M1399" s="93" t="s">
        <v>1691</v>
      </c>
      <c r="N1399" s="95">
        <v>0.05</v>
      </c>
      <c r="O1399" s="95">
        <v>0.22</v>
      </c>
      <c r="P1399" s="95">
        <v>0.47</v>
      </c>
      <c r="Q1399" s="95">
        <v>0.23</v>
      </c>
      <c r="R1399" s="96">
        <v>0.02</v>
      </c>
    </row>
    <row r="1400" spans="1:18" ht="15" hidden="1" customHeight="1" x14ac:dyDescent="0.3">
      <c r="A1400" s="89">
        <v>2022</v>
      </c>
      <c r="B1400" s="90">
        <v>3</v>
      </c>
      <c r="C1400" s="90" t="s">
        <v>724</v>
      </c>
      <c r="D1400" s="90" t="s">
        <v>722</v>
      </c>
      <c r="E1400" s="91" t="s">
        <v>11</v>
      </c>
      <c r="F1400" s="92" t="s">
        <v>45</v>
      </c>
      <c r="G1400" s="93" t="s">
        <v>1831</v>
      </c>
      <c r="H1400" s="93" t="s">
        <v>1832</v>
      </c>
      <c r="I1400" s="93">
        <v>2397.5457928860201</v>
      </c>
      <c r="J1400" s="93" t="s">
        <v>1833</v>
      </c>
      <c r="K1400" s="93" t="s">
        <v>1834</v>
      </c>
      <c r="L1400" s="93" t="s">
        <v>1835</v>
      </c>
      <c r="M1400" s="93" t="s">
        <v>1697</v>
      </c>
      <c r="N1400" s="95">
        <v>0.05</v>
      </c>
      <c r="O1400" s="95">
        <v>0.14000000000000001</v>
      </c>
      <c r="P1400" s="95">
        <v>0.38</v>
      </c>
      <c r="Q1400" s="95">
        <v>0.39</v>
      </c>
      <c r="R1400" s="96">
        <v>0.03</v>
      </c>
    </row>
    <row r="1401" spans="1:18" ht="15" hidden="1" customHeight="1" x14ac:dyDescent="0.3">
      <c r="A1401" s="89">
        <v>2022</v>
      </c>
      <c r="B1401" s="90">
        <v>3</v>
      </c>
      <c r="C1401" s="90" t="s">
        <v>724</v>
      </c>
      <c r="D1401" s="90" t="s">
        <v>722</v>
      </c>
      <c r="E1401" s="91" t="s">
        <v>11</v>
      </c>
      <c r="F1401" s="92" t="s">
        <v>721</v>
      </c>
      <c r="G1401" s="93" t="s">
        <v>1836</v>
      </c>
      <c r="H1401" s="93" t="s">
        <v>1837</v>
      </c>
      <c r="I1401" s="93">
        <v>2397.5457928860201</v>
      </c>
      <c r="J1401" s="93" t="s">
        <v>1838</v>
      </c>
      <c r="K1401" s="93" t="s">
        <v>1839</v>
      </c>
      <c r="L1401" s="93" t="s">
        <v>1840</v>
      </c>
      <c r="M1401" s="93" t="s">
        <v>1702</v>
      </c>
      <c r="N1401" s="95">
        <v>0.02</v>
      </c>
      <c r="O1401" s="95">
        <v>0.14000000000000001</v>
      </c>
      <c r="P1401" s="95">
        <v>0.56000000000000005</v>
      </c>
      <c r="Q1401" s="95">
        <v>0.27</v>
      </c>
      <c r="R1401" s="96">
        <v>0.01</v>
      </c>
    </row>
    <row r="1402" spans="1:18" ht="15" hidden="1" customHeight="1" x14ac:dyDescent="0.3">
      <c r="A1402" s="89">
        <v>2022</v>
      </c>
      <c r="B1402" s="90">
        <v>3</v>
      </c>
      <c r="C1402" s="90" t="s">
        <v>724</v>
      </c>
      <c r="D1402" s="90" t="s">
        <v>722</v>
      </c>
      <c r="E1402" s="91" t="s">
        <v>11</v>
      </c>
      <c r="F1402" s="92" t="s">
        <v>46</v>
      </c>
      <c r="G1402" s="93" t="s">
        <v>1841</v>
      </c>
      <c r="H1402" s="93" t="s">
        <v>1842</v>
      </c>
      <c r="I1402" s="93">
        <v>2397.5457928860201</v>
      </c>
      <c r="J1402" s="93" t="s">
        <v>1843</v>
      </c>
      <c r="K1402" s="93" t="s">
        <v>1844</v>
      </c>
      <c r="L1402" s="93" t="s">
        <v>1845</v>
      </c>
      <c r="M1402" s="93" t="s">
        <v>1708</v>
      </c>
      <c r="N1402" s="95">
        <v>0.32</v>
      </c>
      <c r="O1402" s="95">
        <v>0.51</v>
      </c>
      <c r="P1402" s="95">
        <v>0.14000000000000001</v>
      </c>
      <c r="Q1402" s="95">
        <v>0.03</v>
      </c>
      <c r="R1402" s="96">
        <v>0</v>
      </c>
    </row>
    <row r="1403" spans="1:18" ht="15" hidden="1" customHeight="1" x14ac:dyDescent="0.3">
      <c r="A1403" s="89">
        <v>2022</v>
      </c>
      <c r="B1403" s="90">
        <v>3</v>
      </c>
      <c r="C1403" s="90" t="s">
        <v>724</v>
      </c>
      <c r="D1403" s="90" t="s">
        <v>722</v>
      </c>
      <c r="E1403" s="91" t="s">
        <v>11</v>
      </c>
      <c r="F1403" s="92" t="s">
        <v>47</v>
      </c>
      <c r="G1403" s="93" t="s">
        <v>1846</v>
      </c>
      <c r="H1403" s="93" t="s">
        <v>1847</v>
      </c>
      <c r="I1403" s="93">
        <v>2397.5457928860201</v>
      </c>
      <c r="J1403" s="93" t="s">
        <v>1848</v>
      </c>
      <c r="K1403" s="93" t="s">
        <v>1849</v>
      </c>
      <c r="L1403" s="93" t="s">
        <v>1850</v>
      </c>
      <c r="M1403" s="93" t="s">
        <v>1714</v>
      </c>
      <c r="N1403" s="95">
        <v>0.05</v>
      </c>
      <c r="O1403" s="95">
        <v>0.48</v>
      </c>
      <c r="P1403" s="95">
        <v>0.39</v>
      </c>
      <c r="Q1403" s="95">
        <v>7.0000000000000007E-2</v>
      </c>
      <c r="R1403" s="96">
        <v>0.01</v>
      </c>
    </row>
    <row r="1404" spans="1:18" ht="15" hidden="1" customHeight="1" x14ac:dyDescent="0.3">
      <c r="A1404" s="89">
        <v>2022</v>
      </c>
      <c r="B1404" s="90">
        <v>3</v>
      </c>
      <c r="C1404" s="90" t="s">
        <v>724</v>
      </c>
      <c r="D1404" s="90" t="s">
        <v>722</v>
      </c>
      <c r="E1404" s="91" t="s">
        <v>11</v>
      </c>
      <c r="F1404" s="92" t="s">
        <v>48</v>
      </c>
      <c r="G1404" s="93" t="s">
        <v>1851</v>
      </c>
      <c r="H1404" s="93" t="s">
        <v>1852</v>
      </c>
      <c r="I1404" s="93">
        <v>2397.5457928860201</v>
      </c>
      <c r="J1404" s="93" t="s">
        <v>1853</v>
      </c>
      <c r="K1404" s="93" t="s">
        <v>1854</v>
      </c>
      <c r="L1404" s="93" t="s">
        <v>1855</v>
      </c>
      <c r="M1404" s="93" t="s">
        <v>1720</v>
      </c>
      <c r="N1404" s="95">
        <v>0.01</v>
      </c>
      <c r="O1404" s="95">
        <v>0.12</v>
      </c>
      <c r="P1404" s="95">
        <v>0.56000000000000005</v>
      </c>
      <c r="Q1404" s="95">
        <v>0.28999999999999998</v>
      </c>
      <c r="R1404" s="96">
        <v>0.01</v>
      </c>
    </row>
    <row r="1405" spans="1:18" ht="15" hidden="1" customHeight="1" x14ac:dyDescent="0.3">
      <c r="A1405" s="89">
        <v>2022</v>
      </c>
      <c r="B1405" s="90">
        <v>3</v>
      </c>
      <c r="C1405" s="90" t="s">
        <v>724</v>
      </c>
      <c r="D1405" s="90" t="s">
        <v>722</v>
      </c>
      <c r="E1405" s="91" t="s">
        <v>11</v>
      </c>
      <c r="F1405" s="92" t="s">
        <v>40</v>
      </c>
      <c r="G1405" s="93" t="s">
        <v>1856</v>
      </c>
      <c r="H1405" s="93" t="s">
        <v>1857</v>
      </c>
      <c r="I1405" s="93">
        <v>2397.5457928860201</v>
      </c>
      <c r="J1405" s="93" t="s">
        <v>1858</v>
      </c>
      <c r="K1405" s="93" t="s">
        <v>1859</v>
      </c>
      <c r="L1405" s="93" t="s">
        <v>1860</v>
      </c>
      <c r="M1405" s="93" t="s">
        <v>1726</v>
      </c>
      <c r="N1405" s="95">
        <v>0.02</v>
      </c>
      <c r="O1405" s="95">
        <v>0.06</v>
      </c>
      <c r="P1405" s="95">
        <v>0.28999999999999998</v>
      </c>
      <c r="Q1405" s="95">
        <v>0.59</v>
      </c>
      <c r="R1405" s="96">
        <v>0.04</v>
      </c>
    </row>
    <row r="1406" spans="1:18" ht="15" hidden="1" customHeight="1" x14ac:dyDescent="0.3">
      <c r="A1406" s="89">
        <v>2022</v>
      </c>
      <c r="B1406" s="90">
        <v>4</v>
      </c>
      <c r="C1406" s="90" t="s">
        <v>725</v>
      </c>
      <c r="D1406" s="90" t="s">
        <v>719</v>
      </c>
      <c r="E1406" s="91" t="s">
        <v>11</v>
      </c>
      <c r="F1406" s="92" t="s">
        <v>26</v>
      </c>
      <c r="G1406" s="93" t="s">
        <v>1861</v>
      </c>
      <c r="H1406" s="93" t="s">
        <v>1862</v>
      </c>
      <c r="I1406" s="93">
        <v>2397.5457928860201</v>
      </c>
      <c r="J1406" s="93" t="s">
        <v>1863</v>
      </c>
      <c r="K1406" s="93" t="s">
        <v>1864</v>
      </c>
      <c r="L1406" s="93" t="s">
        <v>1865</v>
      </c>
      <c r="M1406" s="93" t="s">
        <v>1575</v>
      </c>
      <c r="N1406" s="95">
        <v>7.0000000000000007E-2</v>
      </c>
      <c r="O1406" s="95">
        <v>0.15</v>
      </c>
      <c r="P1406" s="95">
        <v>0.4</v>
      </c>
      <c r="Q1406" s="95">
        <v>0.35</v>
      </c>
      <c r="R1406" s="96">
        <v>0.04</v>
      </c>
    </row>
    <row r="1407" spans="1:18" ht="15" hidden="1" customHeight="1" x14ac:dyDescent="0.3">
      <c r="A1407" s="89">
        <v>2022</v>
      </c>
      <c r="B1407" s="90">
        <v>4</v>
      </c>
      <c r="C1407" s="90" t="s">
        <v>725</v>
      </c>
      <c r="D1407" s="90" t="s">
        <v>719</v>
      </c>
      <c r="E1407" s="91" t="s">
        <v>11</v>
      </c>
      <c r="F1407" s="92" t="s">
        <v>12</v>
      </c>
      <c r="G1407" s="93" t="s">
        <v>1866</v>
      </c>
      <c r="H1407" s="93" t="s">
        <v>1867</v>
      </c>
      <c r="I1407" s="93">
        <v>2397.5457928860201</v>
      </c>
      <c r="J1407" s="93" t="s">
        <v>1868</v>
      </c>
      <c r="K1407" s="93" t="s">
        <v>1869</v>
      </c>
      <c r="L1407" s="93" t="s">
        <v>1870</v>
      </c>
      <c r="M1407" s="93" t="s">
        <v>1581</v>
      </c>
      <c r="N1407" s="95">
        <v>0.03</v>
      </c>
      <c r="O1407" s="95">
        <v>0.11</v>
      </c>
      <c r="P1407" s="95">
        <v>0.32</v>
      </c>
      <c r="Q1407" s="95">
        <v>0.45</v>
      </c>
      <c r="R1407" s="96">
        <v>0.1</v>
      </c>
    </row>
    <row r="1408" spans="1:18" ht="15" hidden="1" customHeight="1" x14ac:dyDescent="0.3">
      <c r="A1408" s="89">
        <v>2022</v>
      </c>
      <c r="B1408" s="90">
        <v>4</v>
      </c>
      <c r="C1408" s="90" t="s">
        <v>725</v>
      </c>
      <c r="D1408" s="90" t="s">
        <v>719</v>
      </c>
      <c r="E1408" s="91" t="s">
        <v>11</v>
      </c>
      <c r="F1408" s="92" t="s">
        <v>27</v>
      </c>
      <c r="G1408" s="93" t="s">
        <v>1871</v>
      </c>
      <c r="H1408" s="93" t="s">
        <v>1872</v>
      </c>
      <c r="I1408" s="93">
        <v>2397.5457928860201</v>
      </c>
      <c r="J1408" s="93" t="s">
        <v>1873</v>
      </c>
      <c r="K1408" s="93" t="s">
        <v>1874</v>
      </c>
      <c r="L1408" s="93" t="s">
        <v>1875</v>
      </c>
      <c r="M1408" s="93" t="s">
        <v>1587</v>
      </c>
      <c r="N1408" s="95">
        <v>0.02</v>
      </c>
      <c r="O1408" s="95">
        <v>0.47</v>
      </c>
      <c r="P1408" s="95">
        <v>0.46</v>
      </c>
      <c r="Q1408" s="95">
        <v>0.05</v>
      </c>
      <c r="R1408" s="96">
        <v>0</v>
      </c>
    </row>
    <row r="1409" spans="1:18" ht="15" hidden="1" customHeight="1" x14ac:dyDescent="0.3">
      <c r="A1409" s="89">
        <v>2022</v>
      </c>
      <c r="B1409" s="90">
        <v>4</v>
      </c>
      <c r="C1409" s="90" t="s">
        <v>725</v>
      </c>
      <c r="D1409" s="90" t="s">
        <v>719</v>
      </c>
      <c r="E1409" s="91" t="s">
        <v>11</v>
      </c>
      <c r="F1409" s="92" t="s">
        <v>28</v>
      </c>
      <c r="G1409" s="93" t="s">
        <v>1876</v>
      </c>
      <c r="H1409" s="93" t="s">
        <v>1877</v>
      </c>
      <c r="I1409" s="93">
        <v>2397.5457928860201</v>
      </c>
      <c r="J1409" s="93" t="s">
        <v>1878</v>
      </c>
      <c r="K1409" s="93" t="s">
        <v>1879</v>
      </c>
      <c r="L1409" s="93" t="s">
        <v>1880</v>
      </c>
      <c r="M1409" s="93" t="s">
        <v>1593</v>
      </c>
      <c r="N1409" s="95">
        <v>0.03</v>
      </c>
      <c r="O1409" s="95">
        <v>0.15</v>
      </c>
      <c r="P1409" s="95">
        <v>0.55000000000000004</v>
      </c>
      <c r="Q1409" s="95">
        <v>0.26</v>
      </c>
      <c r="R1409" s="96">
        <v>0.01</v>
      </c>
    </row>
    <row r="1410" spans="1:18" ht="15" customHeight="1" x14ac:dyDescent="0.3">
      <c r="A1410" s="89">
        <v>2022</v>
      </c>
      <c r="B1410" s="90">
        <v>4</v>
      </c>
      <c r="C1410" s="90" t="s">
        <v>725</v>
      </c>
      <c r="D1410" s="90" t="s">
        <v>719</v>
      </c>
      <c r="E1410" s="91" t="s">
        <v>11</v>
      </c>
      <c r="F1410" s="92" t="s">
        <v>29</v>
      </c>
      <c r="G1410" s="93" t="s">
        <v>1881</v>
      </c>
      <c r="H1410" s="93" t="s">
        <v>1882</v>
      </c>
      <c r="I1410" s="93">
        <v>2397.5457928860201</v>
      </c>
      <c r="J1410" s="93" t="s">
        <v>1883</v>
      </c>
      <c r="K1410" s="93" t="s">
        <v>1884</v>
      </c>
      <c r="L1410" s="93" t="s">
        <v>1885</v>
      </c>
      <c r="M1410" s="93" t="s">
        <v>1599</v>
      </c>
      <c r="N1410" s="95">
        <v>0.08</v>
      </c>
      <c r="O1410" s="95">
        <v>0.25</v>
      </c>
      <c r="P1410" s="95">
        <v>0.43</v>
      </c>
      <c r="Q1410" s="95">
        <v>0.23</v>
      </c>
      <c r="R1410" s="96">
        <v>0.02</v>
      </c>
    </row>
    <row r="1411" spans="1:18" ht="15" hidden="1" customHeight="1" x14ac:dyDescent="0.3">
      <c r="A1411" s="89">
        <v>2022</v>
      </c>
      <c r="B1411" s="90">
        <v>4</v>
      </c>
      <c r="C1411" s="90" t="s">
        <v>725</v>
      </c>
      <c r="D1411" s="90" t="s">
        <v>719</v>
      </c>
      <c r="E1411" s="91" t="s">
        <v>11</v>
      </c>
      <c r="F1411" s="92" t="s">
        <v>30</v>
      </c>
      <c r="G1411" s="93" t="s">
        <v>1886</v>
      </c>
      <c r="H1411" s="93" t="s">
        <v>1887</v>
      </c>
      <c r="I1411" s="93">
        <v>2397.5457928860201</v>
      </c>
      <c r="J1411" s="93" t="s">
        <v>1888</v>
      </c>
      <c r="K1411" s="93" t="s">
        <v>1889</v>
      </c>
      <c r="L1411" s="93" t="s">
        <v>1890</v>
      </c>
      <c r="M1411" s="93" t="s">
        <v>1605</v>
      </c>
      <c r="N1411" s="95">
        <v>0.02</v>
      </c>
      <c r="O1411" s="95">
        <v>0.12</v>
      </c>
      <c r="P1411" s="95">
        <v>0.49</v>
      </c>
      <c r="Q1411" s="95">
        <v>0.32</v>
      </c>
      <c r="R1411" s="96">
        <v>0.04</v>
      </c>
    </row>
    <row r="1412" spans="1:18" ht="15" hidden="1" customHeight="1" x14ac:dyDescent="0.3">
      <c r="A1412" s="89">
        <v>2022</v>
      </c>
      <c r="B1412" s="90">
        <v>4</v>
      </c>
      <c r="C1412" s="90" t="s">
        <v>725</v>
      </c>
      <c r="D1412" s="90" t="s">
        <v>719</v>
      </c>
      <c r="E1412" s="91" t="s">
        <v>11</v>
      </c>
      <c r="F1412" s="92" t="s">
        <v>31</v>
      </c>
      <c r="G1412" s="93" t="s">
        <v>1891</v>
      </c>
      <c r="H1412" s="93" t="s">
        <v>1892</v>
      </c>
      <c r="I1412" s="93">
        <v>2397.5457928860201</v>
      </c>
      <c r="J1412" s="93" t="s">
        <v>1893</v>
      </c>
      <c r="K1412" s="93" t="s">
        <v>1894</v>
      </c>
      <c r="L1412" s="93" t="s">
        <v>1895</v>
      </c>
      <c r="M1412" s="93" t="s">
        <v>1611</v>
      </c>
      <c r="N1412" s="95">
        <v>0.03</v>
      </c>
      <c r="O1412" s="95">
        <v>0.32</v>
      </c>
      <c r="P1412" s="95">
        <v>0.43</v>
      </c>
      <c r="Q1412" s="95">
        <v>0.18</v>
      </c>
      <c r="R1412" s="96">
        <v>0.04</v>
      </c>
    </row>
    <row r="1413" spans="1:18" ht="15" hidden="1" customHeight="1" x14ac:dyDescent="0.3">
      <c r="A1413" s="89">
        <v>2022</v>
      </c>
      <c r="B1413" s="90">
        <v>4</v>
      </c>
      <c r="C1413" s="90" t="s">
        <v>725</v>
      </c>
      <c r="D1413" s="90" t="s">
        <v>719</v>
      </c>
      <c r="E1413" s="91" t="s">
        <v>11</v>
      </c>
      <c r="F1413" s="92" t="s">
        <v>32</v>
      </c>
      <c r="G1413" s="93" t="s">
        <v>1896</v>
      </c>
      <c r="H1413" s="93" t="s">
        <v>1897</v>
      </c>
      <c r="I1413" s="93">
        <v>2397.5457928860201</v>
      </c>
      <c r="J1413" s="93" t="s">
        <v>1898</v>
      </c>
      <c r="K1413" s="93" t="s">
        <v>1899</v>
      </c>
      <c r="L1413" s="93" t="s">
        <v>1900</v>
      </c>
      <c r="M1413" s="93" t="s">
        <v>1617</v>
      </c>
      <c r="N1413" s="95">
        <v>0.03</v>
      </c>
      <c r="O1413" s="95">
        <v>0.13</v>
      </c>
      <c r="P1413" s="95">
        <v>0.42</v>
      </c>
      <c r="Q1413" s="95">
        <v>0.38</v>
      </c>
      <c r="R1413" s="96">
        <v>0.05</v>
      </c>
    </row>
    <row r="1414" spans="1:18" ht="15" hidden="1" customHeight="1" x14ac:dyDescent="0.3">
      <c r="A1414" s="89">
        <v>2022</v>
      </c>
      <c r="B1414" s="90">
        <v>4</v>
      </c>
      <c r="C1414" s="90" t="s">
        <v>725</v>
      </c>
      <c r="D1414" s="90" t="s">
        <v>719</v>
      </c>
      <c r="E1414" s="91" t="s">
        <v>11</v>
      </c>
      <c r="F1414" s="92" t="s">
        <v>33</v>
      </c>
      <c r="G1414" s="93" t="s">
        <v>1901</v>
      </c>
      <c r="H1414" s="93" t="s">
        <v>1902</v>
      </c>
      <c r="I1414" s="93">
        <v>2397.5457928860201</v>
      </c>
      <c r="J1414" s="93" t="s">
        <v>1903</v>
      </c>
      <c r="K1414" s="93" t="s">
        <v>1904</v>
      </c>
      <c r="L1414" s="93" t="s">
        <v>1905</v>
      </c>
      <c r="M1414" s="93" t="s">
        <v>1623</v>
      </c>
      <c r="N1414" s="95">
        <v>0.03</v>
      </c>
      <c r="O1414" s="95">
        <v>0.19</v>
      </c>
      <c r="P1414" s="95">
        <v>0.48</v>
      </c>
      <c r="Q1414" s="95">
        <v>0.28000000000000003</v>
      </c>
      <c r="R1414" s="96">
        <v>0.02</v>
      </c>
    </row>
    <row r="1415" spans="1:18" ht="15" hidden="1" customHeight="1" x14ac:dyDescent="0.3">
      <c r="A1415" s="89">
        <v>2022</v>
      </c>
      <c r="B1415" s="90">
        <v>4</v>
      </c>
      <c r="C1415" s="90" t="s">
        <v>725</v>
      </c>
      <c r="D1415" s="90" t="s">
        <v>719</v>
      </c>
      <c r="E1415" s="91" t="s">
        <v>11</v>
      </c>
      <c r="F1415" s="92" t="s">
        <v>34</v>
      </c>
      <c r="G1415" s="93" t="s">
        <v>1906</v>
      </c>
      <c r="H1415" s="93" t="s">
        <v>1907</v>
      </c>
      <c r="I1415" s="93">
        <v>2397.5457928860201</v>
      </c>
      <c r="J1415" s="93" t="s">
        <v>1908</v>
      </c>
      <c r="K1415" s="93" t="s">
        <v>1909</v>
      </c>
      <c r="L1415" s="93" t="s">
        <v>1910</v>
      </c>
      <c r="M1415" s="93" t="s">
        <v>1628</v>
      </c>
      <c r="N1415" s="95">
        <v>0.21</v>
      </c>
      <c r="O1415" s="95">
        <v>0.39</v>
      </c>
      <c r="P1415" s="95">
        <v>0.33</v>
      </c>
      <c r="Q1415" s="95">
        <v>7.0000000000000007E-2</v>
      </c>
      <c r="R1415" s="96">
        <v>0</v>
      </c>
    </row>
    <row r="1416" spans="1:18" ht="15" hidden="1" customHeight="1" x14ac:dyDescent="0.3">
      <c r="A1416" s="89">
        <v>2022</v>
      </c>
      <c r="B1416" s="90">
        <v>4</v>
      </c>
      <c r="C1416" s="90" t="s">
        <v>725</v>
      </c>
      <c r="D1416" s="90" t="s">
        <v>719</v>
      </c>
      <c r="E1416" s="91" t="s">
        <v>11</v>
      </c>
      <c r="F1416" s="92" t="s">
        <v>35</v>
      </c>
      <c r="G1416" s="93" t="s">
        <v>1911</v>
      </c>
      <c r="H1416" s="93" t="s">
        <v>1912</v>
      </c>
      <c r="I1416" s="93">
        <v>2397.5457928860201</v>
      </c>
      <c r="J1416" s="93" t="s">
        <v>1913</v>
      </c>
      <c r="K1416" s="93" t="s">
        <v>1914</v>
      </c>
      <c r="L1416" s="93" t="s">
        <v>1915</v>
      </c>
      <c r="M1416" s="93" t="s">
        <v>799</v>
      </c>
      <c r="N1416" s="95">
        <v>0.03</v>
      </c>
      <c r="O1416" s="95">
        <v>0.1</v>
      </c>
      <c r="P1416" s="95">
        <v>0.28000000000000003</v>
      </c>
      <c r="Q1416" s="95">
        <v>0.49</v>
      </c>
      <c r="R1416" s="96">
        <v>0.1</v>
      </c>
    </row>
    <row r="1417" spans="1:18" ht="15" hidden="1" customHeight="1" x14ac:dyDescent="0.3">
      <c r="A1417" s="89">
        <v>2022</v>
      </c>
      <c r="B1417" s="90">
        <v>4</v>
      </c>
      <c r="C1417" s="90" t="s">
        <v>725</v>
      </c>
      <c r="D1417" s="90" t="s">
        <v>719</v>
      </c>
      <c r="E1417" s="91" t="s">
        <v>11</v>
      </c>
      <c r="F1417" s="92" t="s">
        <v>36</v>
      </c>
      <c r="G1417" s="93" t="s">
        <v>1916</v>
      </c>
      <c r="H1417" s="93" t="s">
        <v>1917</v>
      </c>
      <c r="I1417" s="93">
        <v>2397.5457928860201</v>
      </c>
      <c r="J1417" s="93" t="s">
        <v>1918</v>
      </c>
      <c r="K1417" s="93" t="s">
        <v>1919</v>
      </c>
      <c r="L1417" s="93" t="s">
        <v>1920</v>
      </c>
      <c r="M1417" s="93" t="s">
        <v>1639</v>
      </c>
      <c r="N1417" s="95">
        <v>0.1</v>
      </c>
      <c r="O1417" s="95">
        <v>0.35</v>
      </c>
      <c r="P1417" s="95">
        <v>0.45</v>
      </c>
      <c r="Q1417" s="95">
        <v>0.1</v>
      </c>
      <c r="R1417" s="96">
        <v>0</v>
      </c>
    </row>
    <row r="1418" spans="1:18" ht="15" hidden="1" customHeight="1" x14ac:dyDescent="0.3">
      <c r="A1418" s="89">
        <v>2022</v>
      </c>
      <c r="B1418" s="90">
        <v>4</v>
      </c>
      <c r="C1418" s="90" t="s">
        <v>725</v>
      </c>
      <c r="D1418" s="90" t="s">
        <v>719</v>
      </c>
      <c r="E1418" s="91" t="s">
        <v>11</v>
      </c>
      <c r="F1418" s="92" t="s">
        <v>37</v>
      </c>
      <c r="G1418" s="93" t="s">
        <v>1921</v>
      </c>
      <c r="H1418" s="93" t="s">
        <v>1922</v>
      </c>
      <c r="I1418" s="93">
        <v>2397.5457928860201</v>
      </c>
      <c r="J1418" s="93" t="s">
        <v>1923</v>
      </c>
      <c r="K1418" s="93" t="s">
        <v>1924</v>
      </c>
      <c r="L1418" s="93" t="s">
        <v>1925</v>
      </c>
      <c r="M1418" s="93" t="s">
        <v>1645</v>
      </c>
      <c r="N1418" s="95">
        <v>0.12</v>
      </c>
      <c r="O1418" s="95">
        <v>0.32</v>
      </c>
      <c r="P1418" s="95">
        <v>0.39</v>
      </c>
      <c r="Q1418" s="95">
        <v>0.15</v>
      </c>
      <c r="R1418" s="96">
        <v>0.02</v>
      </c>
    </row>
    <row r="1419" spans="1:18" ht="15" hidden="1" customHeight="1" x14ac:dyDescent="0.3">
      <c r="A1419" s="89">
        <v>2022</v>
      </c>
      <c r="B1419" s="90">
        <v>4</v>
      </c>
      <c r="C1419" s="90" t="s">
        <v>725</v>
      </c>
      <c r="D1419" s="90" t="s">
        <v>719</v>
      </c>
      <c r="E1419" s="91" t="s">
        <v>11</v>
      </c>
      <c r="F1419" s="92" t="s">
        <v>38</v>
      </c>
      <c r="G1419" s="93" t="s">
        <v>1926</v>
      </c>
      <c r="H1419" s="93" t="s">
        <v>1927</v>
      </c>
      <c r="I1419" s="93">
        <v>2397.5457928860201</v>
      </c>
      <c r="J1419" s="93" t="s">
        <v>1928</v>
      </c>
      <c r="K1419" s="93" t="s">
        <v>1929</v>
      </c>
      <c r="L1419" s="93" t="s">
        <v>1930</v>
      </c>
      <c r="M1419" s="93" t="s">
        <v>1651</v>
      </c>
      <c r="N1419" s="95">
        <v>7.0000000000000007E-2</v>
      </c>
      <c r="O1419" s="95">
        <v>0.12</v>
      </c>
      <c r="P1419" s="95">
        <v>0.31</v>
      </c>
      <c r="Q1419" s="95">
        <v>0.43</v>
      </c>
      <c r="R1419" s="96">
        <v>7.0000000000000007E-2</v>
      </c>
    </row>
    <row r="1420" spans="1:18" ht="15" hidden="1" customHeight="1" x14ac:dyDescent="0.3">
      <c r="A1420" s="89">
        <v>2022</v>
      </c>
      <c r="B1420" s="90">
        <v>4</v>
      </c>
      <c r="C1420" s="90" t="s">
        <v>725</v>
      </c>
      <c r="D1420" s="90" t="s">
        <v>719</v>
      </c>
      <c r="E1420" s="91" t="s">
        <v>11</v>
      </c>
      <c r="F1420" s="92" t="s">
        <v>39</v>
      </c>
      <c r="G1420" s="93" t="s">
        <v>1931</v>
      </c>
      <c r="H1420" s="93" t="s">
        <v>1932</v>
      </c>
      <c r="I1420" s="93">
        <v>2397.5457928860201</v>
      </c>
      <c r="J1420" s="93" t="s">
        <v>1933</v>
      </c>
      <c r="K1420" s="93" t="s">
        <v>1934</v>
      </c>
      <c r="L1420" s="93" t="s">
        <v>1935</v>
      </c>
      <c r="M1420" s="93" t="s">
        <v>1657</v>
      </c>
      <c r="N1420" s="95">
        <v>0.03</v>
      </c>
      <c r="O1420" s="95">
        <v>0.39</v>
      </c>
      <c r="P1420" s="95">
        <v>0.46</v>
      </c>
      <c r="Q1420" s="95">
        <v>0.12</v>
      </c>
      <c r="R1420" s="96">
        <v>0</v>
      </c>
    </row>
    <row r="1421" spans="1:18" ht="15" hidden="1" customHeight="1" x14ac:dyDescent="0.3">
      <c r="A1421" s="89">
        <v>2022</v>
      </c>
      <c r="B1421" s="90">
        <v>4</v>
      </c>
      <c r="C1421" s="90" t="s">
        <v>725</v>
      </c>
      <c r="D1421" s="90" t="s">
        <v>719</v>
      </c>
      <c r="E1421" s="91" t="s">
        <v>11</v>
      </c>
      <c r="F1421" s="92" t="s">
        <v>41</v>
      </c>
      <c r="G1421" s="93" t="s">
        <v>1936</v>
      </c>
      <c r="H1421" s="93" t="s">
        <v>1937</v>
      </c>
      <c r="I1421" s="93">
        <v>2397.5457928860201</v>
      </c>
      <c r="J1421" s="93" t="s">
        <v>1938</v>
      </c>
      <c r="K1421" s="93" t="s">
        <v>1939</v>
      </c>
      <c r="L1421" s="93" t="s">
        <v>1940</v>
      </c>
      <c r="M1421" s="93" t="s">
        <v>835</v>
      </c>
      <c r="N1421" s="95">
        <v>0.09</v>
      </c>
      <c r="O1421" s="95">
        <v>0.37</v>
      </c>
      <c r="P1421" s="95">
        <v>0.32</v>
      </c>
      <c r="Q1421" s="95">
        <v>0.19</v>
      </c>
      <c r="R1421" s="96">
        <v>0.04</v>
      </c>
    </row>
    <row r="1422" spans="1:18" ht="15" hidden="1" customHeight="1" x14ac:dyDescent="0.3">
      <c r="A1422" s="89">
        <v>2022</v>
      </c>
      <c r="B1422" s="90">
        <v>4</v>
      </c>
      <c r="C1422" s="90" t="s">
        <v>725</v>
      </c>
      <c r="D1422" s="90" t="s">
        <v>719</v>
      </c>
      <c r="E1422" s="91" t="s">
        <v>11</v>
      </c>
      <c r="F1422" s="92" t="s">
        <v>42</v>
      </c>
      <c r="G1422" s="93" t="s">
        <v>1941</v>
      </c>
      <c r="H1422" s="93" t="s">
        <v>1942</v>
      </c>
      <c r="I1422" s="93">
        <v>2397.5457928860201</v>
      </c>
      <c r="J1422" s="93" t="s">
        <v>1943</v>
      </c>
      <c r="K1422" s="93" t="s">
        <v>1944</v>
      </c>
      <c r="L1422" s="93" t="s">
        <v>1945</v>
      </c>
      <c r="M1422" s="93" t="s">
        <v>1668</v>
      </c>
      <c r="N1422" s="95">
        <v>0.04</v>
      </c>
      <c r="O1422" s="95">
        <v>0.22</v>
      </c>
      <c r="P1422" s="95">
        <v>0.31</v>
      </c>
      <c r="Q1422" s="95">
        <v>0.37</v>
      </c>
      <c r="R1422" s="96">
        <v>0.06</v>
      </c>
    </row>
    <row r="1423" spans="1:18" ht="15" hidden="1" customHeight="1" x14ac:dyDescent="0.3">
      <c r="A1423" s="89">
        <v>2022</v>
      </c>
      <c r="B1423" s="90">
        <v>4</v>
      </c>
      <c r="C1423" s="90" t="s">
        <v>725</v>
      </c>
      <c r="D1423" s="90" t="s">
        <v>719</v>
      </c>
      <c r="E1423" s="91" t="s">
        <v>11</v>
      </c>
      <c r="F1423" s="92" t="s">
        <v>43</v>
      </c>
      <c r="G1423" s="93" t="s">
        <v>1946</v>
      </c>
      <c r="H1423" s="93" t="s">
        <v>1947</v>
      </c>
      <c r="I1423" s="93">
        <v>2397.5457928860201</v>
      </c>
      <c r="J1423" s="93" t="s">
        <v>1948</v>
      </c>
      <c r="K1423" s="93" t="s">
        <v>1949</v>
      </c>
      <c r="L1423" s="93" t="s">
        <v>1950</v>
      </c>
      <c r="M1423" s="93" t="s">
        <v>1674</v>
      </c>
      <c r="N1423" s="95">
        <v>0.06</v>
      </c>
      <c r="O1423" s="95">
        <v>0.35</v>
      </c>
      <c r="P1423" s="95">
        <v>0.35</v>
      </c>
      <c r="Q1423" s="95">
        <v>0.2</v>
      </c>
      <c r="R1423" s="96">
        <v>0.04</v>
      </c>
    </row>
    <row r="1424" spans="1:18" ht="15" hidden="1" customHeight="1" x14ac:dyDescent="0.3">
      <c r="A1424" s="89">
        <v>2022</v>
      </c>
      <c r="B1424" s="90">
        <v>4</v>
      </c>
      <c r="C1424" s="90" t="s">
        <v>725</v>
      </c>
      <c r="D1424" s="90" t="s">
        <v>719</v>
      </c>
      <c r="E1424" s="91" t="s">
        <v>11</v>
      </c>
      <c r="F1424" s="92" t="s">
        <v>58</v>
      </c>
      <c r="G1424" s="93" t="s">
        <v>1951</v>
      </c>
      <c r="H1424" s="93" t="s">
        <v>1952</v>
      </c>
      <c r="I1424" s="93">
        <v>2397.5457928860201</v>
      </c>
      <c r="J1424" s="93" t="s">
        <v>1953</v>
      </c>
      <c r="K1424" s="93" t="s">
        <v>1954</v>
      </c>
      <c r="L1424" s="93" t="s">
        <v>1955</v>
      </c>
      <c r="M1424" s="93" t="s">
        <v>853</v>
      </c>
      <c r="N1424" s="95">
        <v>0.02</v>
      </c>
      <c r="O1424" s="95">
        <v>0.13</v>
      </c>
      <c r="P1424" s="95">
        <v>0.45</v>
      </c>
      <c r="Q1424" s="95">
        <v>0.35</v>
      </c>
      <c r="R1424" s="96">
        <v>0.05</v>
      </c>
    </row>
    <row r="1425" spans="1:18" ht="15" hidden="1" customHeight="1" x14ac:dyDescent="0.3">
      <c r="A1425" s="89">
        <v>2022</v>
      </c>
      <c r="B1425" s="90">
        <v>4</v>
      </c>
      <c r="C1425" s="90" t="s">
        <v>725</v>
      </c>
      <c r="D1425" s="90" t="s">
        <v>719</v>
      </c>
      <c r="E1425" s="91" t="s">
        <v>11</v>
      </c>
      <c r="F1425" s="92" t="s">
        <v>44</v>
      </c>
      <c r="G1425" s="93" t="s">
        <v>1956</v>
      </c>
      <c r="H1425" s="93" t="s">
        <v>1957</v>
      </c>
      <c r="I1425" s="93">
        <v>2397.5457928860201</v>
      </c>
      <c r="J1425" s="93" t="s">
        <v>1958</v>
      </c>
      <c r="K1425" s="93" t="s">
        <v>1959</v>
      </c>
      <c r="L1425" s="93" t="s">
        <v>1960</v>
      </c>
      <c r="M1425" s="93" t="s">
        <v>1685</v>
      </c>
      <c r="N1425" s="95">
        <v>0.04</v>
      </c>
      <c r="O1425" s="95">
        <v>0.28999999999999998</v>
      </c>
      <c r="P1425" s="95">
        <v>0.5</v>
      </c>
      <c r="Q1425" s="95">
        <v>0.15</v>
      </c>
      <c r="R1425" s="96">
        <v>0.01</v>
      </c>
    </row>
    <row r="1426" spans="1:18" ht="15" hidden="1" customHeight="1" x14ac:dyDescent="0.3">
      <c r="A1426" s="89">
        <v>2022</v>
      </c>
      <c r="B1426" s="90">
        <v>4</v>
      </c>
      <c r="C1426" s="90" t="s">
        <v>725</v>
      </c>
      <c r="D1426" s="90" t="s">
        <v>719</v>
      </c>
      <c r="E1426" s="91" t="s">
        <v>11</v>
      </c>
      <c r="F1426" s="92" t="s">
        <v>51</v>
      </c>
      <c r="G1426" s="93" t="s">
        <v>1961</v>
      </c>
      <c r="H1426" s="93" t="s">
        <v>1962</v>
      </c>
      <c r="I1426" s="93">
        <v>2397.5457928860201</v>
      </c>
      <c r="J1426" s="93" t="s">
        <v>1963</v>
      </c>
      <c r="K1426" s="93" t="s">
        <v>1964</v>
      </c>
      <c r="L1426" s="93" t="s">
        <v>1965</v>
      </c>
      <c r="M1426" s="93" t="s">
        <v>1691</v>
      </c>
      <c r="N1426" s="95">
        <v>0.06</v>
      </c>
      <c r="O1426" s="95">
        <v>0.21</v>
      </c>
      <c r="P1426" s="95">
        <v>0.49</v>
      </c>
      <c r="Q1426" s="95">
        <v>0.22</v>
      </c>
      <c r="R1426" s="96">
        <v>0.02</v>
      </c>
    </row>
    <row r="1427" spans="1:18" ht="15" hidden="1" customHeight="1" x14ac:dyDescent="0.3">
      <c r="A1427" s="89">
        <v>2022</v>
      </c>
      <c r="B1427" s="90">
        <v>4</v>
      </c>
      <c r="C1427" s="90" t="s">
        <v>725</v>
      </c>
      <c r="D1427" s="90" t="s">
        <v>719</v>
      </c>
      <c r="E1427" s="91" t="s">
        <v>11</v>
      </c>
      <c r="F1427" s="92" t="s">
        <v>45</v>
      </c>
      <c r="G1427" s="93" t="s">
        <v>1966</v>
      </c>
      <c r="H1427" s="93" t="s">
        <v>1967</v>
      </c>
      <c r="I1427" s="93">
        <v>2397.5457928860201</v>
      </c>
      <c r="J1427" s="93" t="s">
        <v>1968</v>
      </c>
      <c r="K1427" s="93" t="s">
        <v>1969</v>
      </c>
      <c r="L1427" s="93" t="s">
        <v>1970</v>
      </c>
      <c r="M1427" s="93" t="s">
        <v>1697</v>
      </c>
      <c r="N1427" s="95">
        <v>7.0000000000000007E-2</v>
      </c>
      <c r="O1427" s="95">
        <v>0.19</v>
      </c>
      <c r="P1427" s="95">
        <v>0.4</v>
      </c>
      <c r="Q1427" s="95">
        <v>0.31</v>
      </c>
      <c r="R1427" s="96">
        <v>0.03</v>
      </c>
    </row>
    <row r="1428" spans="1:18" ht="15" hidden="1" customHeight="1" x14ac:dyDescent="0.3">
      <c r="A1428" s="89">
        <v>2022</v>
      </c>
      <c r="B1428" s="90">
        <v>4</v>
      </c>
      <c r="C1428" s="90" t="s">
        <v>725</v>
      </c>
      <c r="D1428" s="90" t="s">
        <v>719</v>
      </c>
      <c r="E1428" s="91" t="s">
        <v>11</v>
      </c>
      <c r="F1428" s="92" t="s">
        <v>721</v>
      </c>
      <c r="G1428" s="93" t="s">
        <v>1971</v>
      </c>
      <c r="H1428" s="93" t="s">
        <v>1972</v>
      </c>
      <c r="I1428" s="93">
        <v>2397.5457928860201</v>
      </c>
      <c r="J1428" s="93" t="s">
        <v>1973</v>
      </c>
      <c r="K1428" s="93" t="s">
        <v>1974</v>
      </c>
      <c r="L1428" s="93" t="s">
        <v>1975</v>
      </c>
      <c r="M1428" s="93" t="s">
        <v>1702</v>
      </c>
      <c r="N1428" s="95">
        <v>0.03</v>
      </c>
      <c r="O1428" s="95">
        <v>0.22</v>
      </c>
      <c r="P1428" s="95">
        <v>0.52</v>
      </c>
      <c r="Q1428" s="95">
        <v>0.22</v>
      </c>
      <c r="R1428" s="96">
        <v>0.01</v>
      </c>
    </row>
    <row r="1429" spans="1:18" ht="15" hidden="1" customHeight="1" x14ac:dyDescent="0.3">
      <c r="A1429" s="89">
        <v>2022</v>
      </c>
      <c r="B1429" s="90">
        <v>4</v>
      </c>
      <c r="C1429" s="90" t="s">
        <v>725</v>
      </c>
      <c r="D1429" s="90" t="s">
        <v>719</v>
      </c>
      <c r="E1429" s="91" t="s">
        <v>11</v>
      </c>
      <c r="F1429" s="92" t="s">
        <v>46</v>
      </c>
      <c r="G1429" s="93" t="s">
        <v>1976</v>
      </c>
      <c r="H1429" s="93" t="s">
        <v>1977</v>
      </c>
      <c r="I1429" s="93">
        <v>2397.5457928860201</v>
      </c>
      <c r="J1429" s="93" t="s">
        <v>1978</v>
      </c>
      <c r="K1429" s="93" t="s">
        <v>1979</v>
      </c>
      <c r="L1429" s="93" t="s">
        <v>1980</v>
      </c>
      <c r="M1429" s="93" t="s">
        <v>1708</v>
      </c>
      <c r="N1429" s="95">
        <v>0.26</v>
      </c>
      <c r="O1429" s="95">
        <v>0.56000000000000005</v>
      </c>
      <c r="P1429" s="95">
        <v>0.15</v>
      </c>
      <c r="Q1429" s="95">
        <v>0.03</v>
      </c>
      <c r="R1429" s="96">
        <v>0</v>
      </c>
    </row>
    <row r="1430" spans="1:18" ht="15" hidden="1" customHeight="1" x14ac:dyDescent="0.3">
      <c r="A1430" s="89">
        <v>2022</v>
      </c>
      <c r="B1430" s="90">
        <v>4</v>
      </c>
      <c r="C1430" s="90" t="s">
        <v>725</v>
      </c>
      <c r="D1430" s="90" t="s">
        <v>719</v>
      </c>
      <c r="E1430" s="91" t="s">
        <v>11</v>
      </c>
      <c r="F1430" s="92" t="s">
        <v>47</v>
      </c>
      <c r="G1430" s="93" t="s">
        <v>1981</v>
      </c>
      <c r="H1430" s="93" t="s">
        <v>1982</v>
      </c>
      <c r="I1430" s="93">
        <v>2397.5457928860201</v>
      </c>
      <c r="J1430" s="93" t="s">
        <v>1983</v>
      </c>
      <c r="K1430" s="93" t="s">
        <v>1984</v>
      </c>
      <c r="L1430" s="93" t="s">
        <v>1985</v>
      </c>
      <c r="M1430" s="93" t="s">
        <v>1714</v>
      </c>
      <c r="N1430" s="95">
        <v>0.04</v>
      </c>
      <c r="O1430" s="95">
        <v>0.24</v>
      </c>
      <c r="P1430" s="95">
        <v>0.45</v>
      </c>
      <c r="Q1430" s="95">
        <v>0.23</v>
      </c>
      <c r="R1430" s="96">
        <v>0.05</v>
      </c>
    </row>
    <row r="1431" spans="1:18" ht="15" hidden="1" customHeight="1" x14ac:dyDescent="0.3">
      <c r="A1431" s="89">
        <v>2022</v>
      </c>
      <c r="B1431" s="90">
        <v>4</v>
      </c>
      <c r="C1431" s="90" t="s">
        <v>725</v>
      </c>
      <c r="D1431" s="90" t="s">
        <v>719</v>
      </c>
      <c r="E1431" s="91" t="s">
        <v>11</v>
      </c>
      <c r="F1431" s="92" t="s">
        <v>48</v>
      </c>
      <c r="G1431" s="93" t="s">
        <v>1986</v>
      </c>
      <c r="H1431" s="93" t="s">
        <v>1987</v>
      </c>
      <c r="I1431" s="93">
        <v>2397.5457928860201</v>
      </c>
      <c r="J1431" s="93" t="s">
        <v>1988</v>
      </c>
      <c r="K1431" s="93" t="s">
        <v>1989</v>
      </c>
      <c r="L1431" s="93" t="s">
        <v>1990</v>
      </c>
      <c r="M1431" s="93" t="s">
        <v>1720</v>
      </c>
      <c r="N1431" s="95">
        <v>0.02</v>
      </c>
      <c r="O1431" s="95">
        <v>0.22</v>
      </c>
      <c r="P1431" s="95">
        <v>0.54</v>
      </c>
      <c r="Q1431" s="95">
        <v>0.2</v>
      </c>
      <c r="R1431" s="96">
        <v>0.01</v>
      </c>
    </row>
    <row r="1432" spans="1:18" ht="15" hidden="1" customHeight="1" x14ac:dyDescent="0.3">
      <c r="A1432" s="89">
        <v>2022</v>
      </c>
      <c r="B1432" s="90">
        <v>4</v>
      </c>
      <c r="C1432" s="90" t="s">
        <v>725</v>
      </c>
      <c r="D1432" s="90" t="s">
        <v>719</v>
      </c>
      <c r="E1432" s="91" t="s">
        <v>11</v>
      </c>
      <c r="F1432" s="92" t="s">
        <v>40</v>
      </c>
      <c r="G1432" s="93" t="s">
        <v>1991</v>
      </c>
      <c r="H1432" s="93" t="s">
        <v>1992</v>
      </c>
      <c r="I1432" s="93">
        <v>2397.5457928860201</v>
      </c>
      <c r="J1432" s="93" t="s">
        <v>1993</v>
      </c>
      <c r="K1432" s="93" t="s">
        <v>1994</v>
      </c>
      <c r="L1432" s="93" t="s">
        <v>1995</v>
      </c>
      <c r="M1432" s="93" t="s">
        <v>1726</v>
      </c>
      <c r="N1432" s="95">
        <v>0.02</v>
      </c>
      <c r="O1432" s="95">
        <v>0.08</v>
      </c>
      <c r="P1432" s="95">
        <v>0.37</v>
      </c>
      <c r="Q1432" s="95">
        <v>0.5</v>
      </c>
      <c r="R1432" s="96">
        <v>0.03</v>
      </c>
    </row>
    <row r="1433" spans="1:18" ht="15" hidden="1" customHeight="1" x14ac:dyDescent="0.3">
      <c r="A1433" s="89">
        <v>2022</v>
      </c>
      <c r="B1433" s="90">
        <v>4</v>
      </c>
      <c r="C1433" s="90" t="s">
        <v>725</v>
      </c>
      <c r="D1433" s="90" t="s">
        <v>722</v>
      </c>
      <c r="E1433" s="91" t="s">
        <v>11</v>
      </c>
      <c r="F1433" s="92" t="s">
        <v>26</v>
      </c>
      <c r="G1433" s="93" t="s">
        <v>1996</v>
      </c>
      <c r="H1433" s="93" t="s">
        <v>1997</v>
      </c>
      <c r="I1433" s="93">
        <v>2397.5457928860201</v>
      </c>
      <c r="J1433" s="93" t="s">
        <v>1998</v>
      </c>
      <c r="K1433" s="93" t="s">
        <v>1999</v>
      </c>
      <c r="L1433" s="93" t="s">
        <v>2000</v>
      </c>
      <c r="M1433" s="93" t="s">
        <v>1575</v>
      </c>
      <c r="N1433" s="95">
        <v>0.08</v>
      </c>
      <c r="O1433" s="95">
        <v>0.17</v>
      </c>
      <c r="P1433" s="95">
        <v>0.42</v>
      </c>
      <c r="Q1433" s="95">
        <v>0.31</v>
      </c>
      <c r="R1433" s="96">
        <v>0.02</v>
      </c>
    </row>
    <row r="1434" spans="1:18" ht="15" hidden="1" customHeight="1" x14ac:dyDescent="0.3">
      <c r="A1434" s="89">
        <v>2022</v>
      </c>
      <c r="B1434" s="90">
        <v>4</v>
      </c>
      <c r="C1434" s="90" t="s">
        <v>725</v>
      </c>
      <c r="D1434" s="90" t="s">
        <v>722</v>
      </c>
      <c r="E1434" s="91" t="s">
        <v>11</v>
      </c>
      <c r="F1434" s="92" t="s">
        <v>12</v>
      </c>
      <c r="G1434" s="93" t="s">
        <v>2001</v>
      </c>
      <c r="H1434" s="93" t="s">
        <v>2002</v>
      </c>
      <c r="I1434" s="93">
        <v>2397.5457928860201</v>
      </c>
      <c r="J1434" s="93" t="s">
        <v>2003</v>
      </c>
      <c r="K1434" s="93" t="s">
        <v>2004</v>
      </c>
      <c r="L1434" s="93" t="s">
        <v>2005</v>
      </c>
      <c r="M1434" s="93" t="s">
        <v>1581</v>
      </c>
      <c r="N1434" s="95">
        <v>0.03</v>
      </c>
      <c r="O1434" s="95">
        <v>0.15</v>
      </c>
      <c r="P1434" s="95">
        <v>0.45</v>
      </c>
      <c r="Q1434" s="95">
        <v>0.33</v>
      </c>
      <c r="R1434" s="96">
        <v>0.03</v>
      </c>
    </row>
    <row r="1435" spans="1:18" ht="15" hidden="1" customHeight="1" x14ac:dyDescent="0.3">
      <c r="A1435" s="89">
        <v>2022</v>
      </c>
      <c r="B1435" s="90">
        <v>4</v>
      </c>
      <c r="C1435" s="90" t="s">
        <v>725</v>
      </c>
      <c r="D1435" s="90" t="s">
        <v>722</v>
      </c>
      <c r="E1435" s="91" t="s">
        <v>11</v>
      </c>
      <c r="F1435" s="92" t="s">
        <v>27</v>
      </c>
      <c r="G1435" s="93" t="s">
        <v>2006</v>
      </c>
      <c r="H1435" s="93" t="s">
        <v>2007</v>
      </c>
      <c r="I1435" s="93">
        <v>2397.5457928860201</v>
      </c>
      <c r="J1435" s="93" t="s">
        <v>2008</v>
      </c>
      <c r="K1435" s="93" t="s">
        <v>2009</v>
      </c>
      <c r="L1435" s="93" t="s">
        <v>2010</v>
      </c>
      <c r="M1435" s="93" t="s">
        <v>1587</v>
      </c>
      <c r="N1435" s="95">
        <v>0.06</v>
      </c>
      <c r="O1435" s="95">
        <v>0.61</v>
      </c>
      <c r="P1435" s="95">
        <v>0.3</v>
      </c>
      <c r="Q1435" s="95">
        <v>0.02</v>
      </c>
      <c r="R1435" s="96">
        <v>0</v>
      </c>
    </row>
    <row r="1436" spans="1:18" ht="15" hidden="1" customHeight="1" x14ac:dyDescent="0.3">
      <c r="A1436" s="89">
        <v>2022</v>
      </c>
      <c r="B1436" s="90">
        <v>4</v>
      </c>
      <c r="C1436" s="90" t="s">
        <v>725</v>
      </c>
      <c r="D1436" s="90" t="s">
        <v>722</v>
      </c>
      <c r="E1436" s="91" t="s">
        <v>11</v>
      </c>
      <c r="F1436" s="92" t="s">
        <v>28</v>
      </c>
      <c r="G1436" s="93" t="s">
        <v>2011</v>
      </c>
      <c r="H1436" s="93" t="s">
        <v>2012</v>
      </c>
      <c r="I1436" s="93">
        <v>2397.5457928860201</v>
      </c>
      <c r="J1436" s="93" t="s">
        <v>2013</v>
      </c>
      <c r="K1436" s="93" t="s">
        <v>2014</v>
      </c>
      <c r="L1436" s="93" t="s">
        <v>2015</v>
      </c>
      <c r="M1436" s="93" t="s">
        <v>1593</v>
      </c>
      <c r="N1436" s="95">
        <v>0.03</v>
      </c>
      <c r="O1436" s="95">
        <v>0.26</v>
      </c>
      <c r="P1436" s="95">
        <v>0.61</v>
      </c>
      <c r="Q1436" s="95">
        <v>0.1</v>
      </c>
      <c r="R1436" s="96">
        <v>0</v>
      </c>
    </row>
    <row r="1437" spans="1:18" ht="15" customHeight="1" x14ac:dyDescent="0.3">
      <c r="A1437" s="89">
        <v>2022</v>
      </c>
      <c r="B1437" s="90">
        <v>4</v>
      </c>
      <c r="C1437" s="90" t="s">
        <v>725</v>
      </c>
      <c r="D1437" s="90" t="s">
        <v>722</v>
      </c>
      <c r="E1437" s="91" t="s">
        <v>11</v>
      </c>
      <c r="F1437" s="92" t="s">
        <v>29</v>
      </c>
      <c r="G1437" s="93" t="s">
        <v>2016</v>
      </c>
      <c r="H1437" s="93" t="s">
        <v>2017</v>
      </c>
      <c r="I1437" s="93">
        <v>2397.5457928860201</v>
      </c>
      <c r="J1437" s="93" t="s">
        <v>2018</v>
      </c>
      <c r="K1437" s="93" t="s">
        <v>2019</v>
      </c>
      <c r="L1437" s="93" t="s">
        <v>2020</v>
      </c>
      <c r="M1437" s="93" t="s">
        <v>1599</v>
      </c>
      <c r="N1437" s="95">
        <v>0.12</v>
      </c>
      <c r="O1437" s="95">
        <v>0.36</v>
      </c>
      <c r="P1437" s="95">
        <v>0.4</v>
      </c>
      <c r="Q1437" s="95">
        <v>0.11</v>
      </c>
      <c r="R1437" s="96">
        <v>0.01</v>
      </c>
    </row>
    <row r="1438" spans="1:18" ht="15" hidden="1" customHeight="1" x14ac:dyDescent="0.3">
      <c r="A1438" s="89">
        <v>2022</v>
      </c>
      <c r="B1438" s="90">
        <v>4</v>
      </c>
      <c r="C1438" s="90" t="s">
        <v>725</v>
      </c>
      <c r="D1438" s="90" t="s">
        <v>722</v>
      </c>
      <c r="E1438" s="91" t="s">
        <v>11</v>
      </c>
      <c r="F1438" s="92" t="s">
        <v>30</v>
      </c>
      <c r="G1438" s="93" t="s">
        <v>2021</v>
      </c>
      <c r="H1438" s="93" t="s">
        <v>2022</v>
      </c>
      <c r="I1438" s="93">
        <v>2397.5457928860201</v>
      </c>
      <c r="J1438" s="93" t="s">
        <v>2023</v>
      </c>
      <c r="K1438" s="93" t="s">
        <v>2024</v>
      </c>
      <c r="L1438" s="93" t="s">
        <v>2025</v>
      </c>
      <c r="M1438" s="93" t="s">
        <v>1605</v>
      </c>
      <c r="N1438" s="95">
        <v>0.03</v>
      </c>
      <c r="O1438" s="95">
        <v>0.16</v>
      </c>
      <c r="P1438" s="95">
        <v>0.47</v>
      </c>
      <c r="Q1438" s="95">
        <v>0.3</v>
      </c>
      <c r="R1438" s="96">
        <v>0.05</v>
      </c>
    </row>
    <row r="1439" spans="1:18" ht="15" hidden="1" customHeight="1" x14ac:dyDescent="0.3">
      <c r="A1439" s="89">
        <v>2022</v>
      </c>
      <c r="B1439" s="90">
        <v>4</v>
      </c>
      <c r="C1439" s="90" t="s">
        <v>725</v>
      </c>
      <c r="D1439" s="90" t="s">
        <v>722</v>
      </c>
      <c r="E1439" s="91" t="s">
        <v>11</v>
      </c>
      <c r="F1439" s="92" t="s">
        <v>31</v>
      </c>
      <c r="G1439" s="93" t="s">
        <v>2026</v>
      </c>
      <c r="H1439" s="93" t="s">
        <v>2027</v>
      </c>
      <c r="I1439" s="93">
        <v>2397.5457928860201</v>
      </c>
      <c r="J1439" s="93" t="s">
        <v>2028</v>
      </c>
      <c r="K1439" s="93" t="s">
        <v>2029</v>
      </c>
      <c r="L1439" s="93" t="s">
        <v>2030</v>
      </c>
      <c r="M1439" s="93" t="s">
        <v>1611</v>
      </c>
      <c r="N1439" s="95">
        <v>0.02</v>
      </c>
      <c r="O1439" s="95">
        <v>0.3</v>
      </c>
      <c r="P1439" s="95">
        <v>0.45</v>
      </c>
      <c r="Q1439" s="95">
        <v>0.19</v>
      </c>
      <c r="R1439" s="96">
        <v>0.04</v>
      </c>
    </row>
    <row r="1440" spans="1:18" ht="15" hidden="1" customHeight="1" x14ac:dyDescent="0.3">
      <c r="A1440" s="89">
        <v>2022</v>
      </c>
      <c r="B1440" s="90">
        <v>4</v>
      </c>
      <c r="C1440" s="90" t="s">
        <v>725</v>
      </c>
      <c r="D1440" s="90" t="s">
        <v>722</v>
      </c>
      <c r="E1440" s="91" t="s">
        <v>11</v>
      </c>
      <c r="F1440" s="92" t="s">
        <v>32</v>
      </c>
      <c r="G1440" s="93" t="s">
        <v>2031</v>
      </c>
      <c r="H1440" s="93" t="s">
        <v>2032</v>
      </c>
      <c r="I1440" s="93">
        <v>2397.5457928860201</v>
      </c>
      <c r="J1440" s="93" t="s">
        <v>2033</v>
      </c>
      <c r="K1440" s="93" t="s">
        <v>2034</v>
      </c>
      <c r="L1440" s="93" t="s">
        <v>2035</v>
      </c>
      <c r="M1440" s="93" t="s">
        <v>1617</v>
      </c>
      <c r="N1440" s="95">
        <v>0.04</v>
      </c>
      <c r="O1440" s="95">
        <v>0.24</v>
      </c>
      <c r="P1440" s="95">
        <v>0.49</v>
      </c>
      <c r="Q1440" s="95">
        <v>0.22</v>
      </c>
      <c r="R1440" s="96">
        <v>0.01</v>
      </c>
    </row>
    <row r="1441" spans="1:18" ht="15" hidden="1" customHeight="1" x14ac:dyDescent="0.3">
      <c r="A1441" s="89">
        <v>2022</v>
      </c>
      <c r="B1441" s="90">
        <v>4</v>
      </c>
      <c r="C1441" s="90" t="s">
        <v>725</v>
      </c>
      <c r="D1441" s="90" t="s">
        <v>722</v>
      </c>
      <c r="E1441" s="91" t="s">
        <v>11</v>
      </c>
      <c r="F1441" s="92" t="s">
        <v>33</v>
      </c>
      <c r="G1441" s="93" t="s">
        <v>2036</v>
      </c>
      <c r="H1441" s="93" t="s">
        <v>2037</v>
      </c>
      <c r="I1441" s="93">
        <v>2397.5457928860201</v>
      </c>
      <c r="J1441" s="93" t="s">
        <v>2038</v>
      </c>
      <c r="K1441" s="93" t="s">
        <v>2039</v>
      </c>
      <c r="L1441" s="93" t="s">
        <v>2040</v>
      </c>
      <c r="M1441" s="93" t="s">
        <v>1623</v>
      </c>
      <c r="N1441" s="95">
        <v>0.04</v>
      </c>
      <c r="O1441" s="95">
        <v>0.21</v>
      </c>
      <c r="P1441" s="95">
        <v>0.47</v>
      </c>
      <c r="Q1441" s="95">
        <v>0.26</v>
      </c>
      <c r="R1441" s="96">
        <v>0.02</v>
      </c>
    </row>
    <row r="1442" spans="1:18" ht="15" hidden="1" customHeight="1" x14ac:dyDescent="0.3">
      <c r="A1442" s="89">
        <v>2022</v>
      </c>
      <c r="B1442" s="90">
        <v>4</v>
      </c>
      <c r="C1442" s="90" t="s">
        <v>725</v>
      </c>
      <c r="D1442" s="90" t="s">
        <v>722</v>
      </c>
      <c r="E1442" s="91" t="s">
        <v>11</v>
      </c>
      <c r="F1442" s="92" t="s">
        <v>34</v>
      </c>
      <c r="G1442" s="93" t="s">
        <v>2041</v>
      </c>
      <c r="H1442" s="93" t="s">
        <v>2042</v>
      </c>
      <c r="I1442" s="93">
        <v>2397.5457928860201</v>
      </c>
      <c r="J1442" s="93" t="s">
        <v>2043</v>
      </c>
      <c r="K1442" s="93" t="s">
        <v>2044</v>
      </c>
      <c r="L1442" s="93" t="s">
        <v>2045</v>
      </c>
      <c r="M1442" s="93" t="s">
        <v>1628</v>
      </c>
      <c r="N1442" s="95">
        <v>0.23</v>
      </c>
      <c r="O1442" s="95">
        <v>0.45</v>
      </c>
      <c r="P1442" s="95">
        <v>0.26</v>
      </c>
      <c r="Q1442" s="95">
        <v>0.05</v>
      </c>
      <c r="R1442" s="96">
        <v>0</v>
      </c>
    </row>
    <row r="1443" spans="1:18" ht="15" hidden="1" customHeight="1" x14ac:dyDescent="0.3">
      <c r="A1443" s="89">
        <v>2022</v>
      </c>
      <c r="B1443" s="90">
        <v>4</v>
      </c>
      <c r="C1443" s="90" t="s">
        <v>725</v>
      </c>
      <c r="D1443" s="90" t="s">
        <v>722</v>
      </c>
      <c r="E1443" s="91" t="s">
        <v>11</v>
      </c>
      <c r="F1443" s="92" t="s">
        <v>35</v>
      </c>
      <c r="G1443" s="93" t="s">
        <v>2046</v>
      </c>
      <c r="H1443" s="93" t="s">
        <v>2047</v>
      </c>
      <c r="I1443" s="93">
        <v>2397.5457928860201</v>
      </c>
      <c r="J1443" s="93" t="s">
        <v>2048</v>
      </c>
      <c r="K1443" s="93" t="s">
        <v>2049</v>
      </c>
      <c r="L1443" s="93" t="s">
        <v>2050</v>
      </c>
      <c r="M1443" s="93" t="s">
        <v>799</v>
      </c>
      <c r="N1443" s="95">
        <v>0.06</v>
      </c>
      <c r="O1443" s="95">
        <v>0.2</v>
      </c>
      <c r="P1443" s="95">
        <v>0.4</v>
      </c>
      <c r="Q1443" s="95">
        <v>0.28999999999999998</v>
      </c>
      <c r="R1443" s="96">
        <v>0.05</v>
      </c>
    </row>
    <row r="1444" spans="1:18" ht="15" hidden="1" customHeight="1" x14ac:dyDescent="0.3">
      <c r="A1444" s="89">
        <v>2022</v>
      </c>
      <c r="B1444" s="90">
        <v>4</v>
      </c>
      <c r="C1444" s="90" t="s">
        <v>725</v>
      </c>
      <c r="D1444" s="90" t="s">
        <v>722</v>
      </c>
      <c r="E1444" s="91" t="s">
        <v>11</v>
      </c>
      <c r="F1444" s="92" t="s">
        <v>36</v>
      </c>
      <c r="G1444" s="93" t="s">
        <v>2051</v>
      </c>
      <c r="H1444" s="93" t="s">
        <v>2052</v>
      </c>
      <c r="I1444" s="93">
        <v>2397.5457928860201</v>
      </c>
      <c r="J1444" s="93" t="s">
        <v>2053</v>
      </c>
      <c r="K1444" s="93" t="s">
        <v>2054</v>
      </c>
      <c r="L1444" s="93" t="s">
        <v>2055</v>
      </c>
      <c r="M1444" s="93" t="s">
        <v>1639</v>
      </c>
      <c r="N1444" s="95">
        <v>0.06</v>
      </c>
      <c r="O1444" s="95">
        <v>0.44</v>
      </c>
      <c r="P1444" s="95">
        <v>0.45</v>
      </c>
      <c r="Q1444" s="95">
        <v>0.05</v>
      </c>
      <c r="R1444" s="96">
        <v>0</v>
      </c>
    </row>
    <row r="1445" spans="1:18" ht="15" hidden="1" customHeight="1" x14ac:dyDescent="0.3">
      <c r="A1445" s="89">
        <v>2022</v>
      </c>
      <c r="B1445" s="90">
        <v>4</v>
      </c>
      <c r="C1445" s="90" t="s">
        <v>725</v>
      </c>
      <c r="D1445" s="90" t="s">
        <v>722</v>
      </c>
      <c r="E1445" s="91" t="s">
        <v>11</v>
      </c>
      <c r="F1445" s="92" t="s">
        <v>37</v>
      </c>
      <c r="G1445" s="93" t="s">
        <v>2056</v>
      </c>
      <c r="H1445" s="93" t="s">
        <v>2057</v>
      </c>
      <c r="I1445" s="93">
        <v>2397.5457928860201</v>
      </c>
      <c r="J1445" s="93" t="s">
        <v>2058</v>
      </c>
      <c r="K1445" s="93" t="s">
        <v>2059</v>
      </c>
      <c r="L1445" s="93" t="s">
        <v>2060</v>
      </c>
      <c r="M1445" s="93" t="s">
        <v>1645</v>
      </c>
      <c r="N1445" s="95">
        <v>0.11</v>
      </c>
      <c r="O1445" s="95">
        <v>0.32</v>
      </c>
      <c r="P1445" s="95">
        <v>0.42</v>
      </c>
      <c r="Q1445" s="95">
        <v>0.14000000000000001</v>
      </c>
      <c r="R1445" s="96">
        <v>0.01</v>
      </c>
    </row>
    <row r="1446" spans="1:18" ht="15" hidden="1" customHeight="1" x14ac:dyDescent="0.3">
      <c r="A1446" s="89">
        <v>2022</v>
      </c>
      <c r="B1446" s="90">
        <v>4</v>
      </c>
      <c r="C1446" s="90" t="s">
        <v>725</v>
      </c>
      <c r="D1446" s="90" t="s">
        <v>722</v>
      </c>
      <c r="E1446" s="91" t="s">
        <v>11</v>
      </c>
      <c r="F1446" s="92" t="s">
        <v>720</v>
      </c>
      <c r="G1446" s="93" t="s">
        <v>2061</v>
      </c>
      <c r="H1446" s="93" t="s">
        <v>2062</v>
      </c>
      <c r="I1446" s="93">
        <v>2397.5457928860201</v>
      </c>
      <c r="J1446" s="93" t="s">
        <v>2063</v>
      </c>
      <c r="K1446" s="93" t="s">
        <v>2064</v>
      </c>
      <c r="L1446" s="93" t="s">
        <v>2065</v>
      </c>
      <c r="M1446" s="93" t="s">
        <v>1651</v>
      </c>
      <c r="N1446" s="95">
        <v>0.11</v>
      </c>
      <c r="O1446" s="95">
        <v>0.22</v>
      </c>
      <c r="P1446" s="95">
        <v>0.4</v>
      </c>
      <c r="Q1446" s="95">
        <v>0.26</v>
      </c>
      <c r="R1446" s="96">
        <v>0.02</v>
      </c>
    </row>
    <row r="1447" spans="1:18" ht="15" hidden="1" customHeight="1" x14ac:dyDescent="0.3">
      <c r="A1447" s="89">
        <v>2022</v>
      </c>
      <c r="B1447" s="90">
        <v>4</v>
      </c>
      <c r="C1447" s="90" t="s">
        <v>725</v>
      </c>
      <c r="D1447" s="90" t="s">
        <v>722</v>
      </c>
      <c r="E1447" s="91" t="s">
        <v>11</v>
      </c>
      <c r="F1447" s="92" t="s">
        <v>39</v>
      </c>
      <c r="G1447" s="93" t="s">
        <v>2066</v>
      </c>
      <c r="H1447" s="93" t="s">
        <v>2067</v>
      </c>
      <c r="I1447" s="93">
        <v>2397.5457928860201</v>
      </c>
      <c r="J1447" s="93" t="s">
        <v>2068</v>
      </c>
      <c r="K1447" s="93" t="s">
        <v>2069</v>
      </c>
      <c r="L1447" s="93" t="s">
        <v>2070</v>
      </c>
      <c r="M1447" s="93" t="s">
        <v>1657</v>
      </c>
      <c r="N1447" s="95">
        <v>7.0000000000000007E-2</v>
      </c>
      <c r="O1447" s="95">
        <v>0.44</v>
      </c>
      <c r="P1447" s="95">
        <v>0.4</v>
      </c>
      <c r="Q1447" s="95">
        <v>0.08</v>
      </c>
      <c r="R1447" s="96">
        <v>0</v>
      </c>
    </row>
    <row r="1448" spans="1:18" ht="15" hidden="1" customHeight="1" x14ac:dyDescent="0.3">
      <c r="A1448" s="89">
        <v>2022</v>
      </c>
      <c r="B1448" s="90">
        <v>4</v>
      </c>
      <c r="C1448" s="90" t="s">
        <v>725</v>
      </c>
      <c r="D1448" s="90" t="s">
        <v>722</v>
      </c>
      <c r="E1448" s="91" t="s">
        <v>11</v>
      </c>
      <c r="F1448" s="92" t="s">
        <v>41</v>
      </c>
      <c r="G1448" s="93" t="s">
        <v>2071</v>
      </c>
      <c r="H1448" s="93" t="s">
        <v>2072</v>
      </c>
      <c r="I1448" s="93">
        <v>2397.5457928860201</v>
      </c>
      <c r="J1448" s="93" t="s">
        <v>2073</v>
      </c>
      <c r="K1448" s="93" t="s">
        <v>2074</v>
      </c>
      <c r="L1448" s="93" t="s">
        <v>2075</v>
      </c>
      <c r="M1448" s="93" t="s">
        <v>835</v>
      </c>
      <c r="N1448" s="95">
        <v>0.15</v>
      </c>
      <c r="O1448" s="95">
        <v>0.36</v>
      </c>
      <c r="P1448" s="95">
        <v>0.28000000000000003</v>
      </c>
      <c r="Q1448" s="95">
        <v>0.18</v>
      </c>
      <c r="R1448" s="96">
        <v>0.03</v>
      </c>
    </row>
    <row r="1449" spans="1:18" ht="15" hidden="1" customHeight="1" x14ac:dyDescent="0.3">
      <c r="A1449" s="89">
        <v>2022</v>
      </c>
      <c r="B1449" s="90">
        <v>4</v>
      </c>
      <c r="C1449" s="90" t="s">
        <v>725</v>
      </c>
      <c r="D1449" s="90" t="s">
        <v>722</v>
      </c>
      <c r="E1449" s="91" t="s">
        <v>11</v>
      </c>
      <c r="F1449" s="92" t="s">
        <v>42</v>
      </c>
      <c r="G1449" s="93" t="s">
        <v>2076</v>
      </c>
      <c r="H1449" s="93" t="s">
        <v>2077</v>
      </c>
      <c r="I1449" s="93">
        <v>2397.5457928860201</v>
      </c>
      <c r="J1449" s="93" t="s">
        <v>2078</v>
      </c>
      <c r="K1449" s="93" t="s">
        <v>2079</v>
      </c>
      <c r="L1449" s="93" t="s">
        <v>2080</v>
      </c>
      <c r="M1449" s="93" t="s">
        <v>1668</v>
      </c>
      <c r="N1449" s="95">
        <v>0.1</v>
      </c>
      <c r="O1449" s="95">
        <v>0.4</v>
      </c>
      <c r="P1449" s="95">
        <v>0.42</v>
      </c>
      <c r="Q1449" s="95">
        <v>7.0000000000000007E-2</v>
      </c>
      <c r="R1449" s="96">
        <v>0</v>
      </c>
    </row>
    <row r="1450" spans="1:18" ht="15" hidden="1" customHeight="1" x14ac:dyDescent="0.3">
      <c r="A1450" s="89">
        <v>2022</v>
      </c>
      <c r="B1450" s="90">
        <v>4</v>
      </c>
      <c r="C1450" s="90" t="s">
        <v>725</v>
      </c>
      <c r="D1450" s="90" t="s">
        <v>722</v>
      </c>
      <c r="E1450" s="91" t="s">
        <v>11</v>
      </c>
      <c r="F1450" s="92" t="s">
        <v>43</v>
      </c>
      <c r="G1450" s="93" t="s">
        <v>2081</v>
      </c>
      <c r="H1450" s="93" t="s">
        <v>2082</v>
      </c>
      <c r="I1450" s="93">
        <v>2397.5457928860201</v>
      </c>
      <c r="J1450" s="93" t="s">
        <v>2083</v>
      </c>
      <c r="K1450" s="93" t="s">
        <v>2084</v>
      </c>
      <c r="L1450" s="93" t="s">
        <v>2085</v>
      </c>
      <c r="M1450" s="93" t="s">
        <v>1674</v>
      </c>
      <c r="N1450" s="95">
        <v>0.06</v>
      </c>
      <c r="O1450" s="95">
        <v>0.35</v>
      </c>
      <c r="P1450" s="95">
        <v>0.35</v>
      </c>
      <c r="Q1450" s="95">
        <v>0.2</v>
      </c>
      <c r="R1450" s="96">
        <v>0.05</v>
      </c>
    </row>
    <row r="1451" spans="1:18" ht="15" hidden="1" customHeight="1" x14ac:dyDescent="0.3">
      <c r="A1451" s="89">
        <v>2022</v>
      </c>
      <c r="B1451" s="90">
        <v>4</v>
      </c>
      <c r="C1451" s="90" t="s">
        <v>725</v>
      </c>
      <c r="D1451" s="90" t="s">
        <v>722</v>
      </c>
      <c r="E1451" s="91" t="s">
        <v>11</v>
      </c>
      <c r="F1451" s="92" t="s">
        <v>58</v>
      </c>
      <c r="G1451" s="93" t="s">
        <v>2086</v>
      </c>
      <c r="H1451" s="93" t="s">
        <v>2087</v>
      </c>
      <c r="I1451" s="93">
        <v>2397.5457928860201</v>
      </c>
      <c r="J1451" s="93" t="s">
        <v>2088</v>
      </c>
      <c r="K1451" s="93" t="s">
        <v>2089</v>
      </c>
      <c r="L1451" s="93" t="s">
        <v>2090</v>
      </c>
      <c r="M1451" s="93" t="s">
        <v>853</v>
      </c>
      <c r="N1451" s="95">
        <v>0.05</v>
      </c>
      <c r="O1451" s="95">
        <v>0.32</v>
      </c>
      <c r="P1451" s="95">
        <v>0.53</v>
      </c>
      <c r="Q1451" s="95">
        <v>0.09</v>
      </c>
      <c r="R1451" s="96">
        <v>0</v>
      </c>
    </row>
    <row r="1452" spans="1:18" ht="15" hidden="1" customHeight="1" x14ac:dyDescent="0.3">
      <c r="A1452" s="89">
        <v>2022</v>
      </c>
      <c r="B1452" s="90">
        <v>4</v>
      </c>
      <c r="C1452" s="90" t="s">
        <v>725</v>
      </c>
      <c r="D1452" s="90" t="s">
        <v>722</v>
      </c>
      <c r="E1452" s="91" t="s">
        <v>11</v>
      </c>
      <c r="F1452" s="92" t="s">
        <v>44</v>
      </c>
      <c r="G1452" s="93" t="s">
        <v>2091</v>
      </c>
      <c r="H1452" s="93" t="s">
        <v>2092</v>
      </c>
      <c r="I1452" s="93">
        <v>2397.5457928860201</v>
      </c>
      <c r="J1452" s="93" t="s">
        <v>2093</v>
      </c>
      <c r="K1452" s="93" t="s">
        <v>2094</v>
      </c>
      <c r="L1452" s="93" t="s">
        <v>2095</v>
      </c>
      <c r="M1452" s="93" t="s">
        <v>1685</v>
      </c>
      <c r="N1452" s="95">
        <v>0.06</v>
      </c>
      <c r="O1452" s="95">
        <v>0.37</v>
      </c>
      <c r="P1452" s="95">
        <v>0.44</v>
      </c>
      <c r="Q1452" s="95">
        <v>0.12</v>
      </c>
      <c r="R1452" s="96">
        <v>0.01</v>
      </c>
    </row>
    <row r="1453" spans="1:18" ht="15" hidden="1" customHeight="1" x14ac:dyDescent="0.3">
      <c r="A1453" s="89">
        <v>2022</v>
      </c>
      <c r="B1453" s="90">
        <v>4</v>
      </c>
      <c r="C1453" s="90" t="s">
        <v>725</v>
      </c>
      <c r="D1453" s="90" t="s">
        <v>722</v>
      </c>
      <c r="E1453" s="91" t="s">
        <v>11</v>
      </c>
      <c r="F1453" s="92" t="s">
        <v>51</v>
      </c>
      <c r="G1453" s="93" t="s">
        <v>2096</v>
      </c>
      <c r="H1453" s="93" t="s">
        <v>2097</v>
      </c>
      <c r="I1453" s="93">
        <v>2397.5457928860201</v>
      </c>
      <c r="J1453" s="93" t="s">
        <v>2098</v>
      </c>
      <c r="K1453" s="93" t="s">
        <v>2099</v>
      </c>
      <c r="L1453" s="93" t="s">
        <v>2100</v>
      </c>
      <c r="M1453" s="93" t="s">
        <v>1691</v>
      </c>
      <c r="N1453" s="95">
        <v>0.05</v>
      </c>
      <c r="O1453" s="95">
        <v>0.3</v>
      </c>
      <c r="P1453" s="95">
        <v>0.52</v>
      </c>
      <c r="Q1453" s="95">
        <v>0.12</v>
      </c>
      <c r="R1453" s="96">
        <v>0.01</v>
      </c>
    </row>
    <row r="1454" spans="1:18" ht="15" hidden="1" customHeight="1" x14ac:dyDescent="0.3">
      <c r="A1454" s="89">
        <v>2022</v>
      </c>
      <c r="B1454" s="90">
        <v>4</v>
      </c>
      <c r="C1454" s="90" t="s">
        <v>725</v>
      </c>
      <c r="D1454" s="90" t="s">
        <v>722</v>
      </c>
      <c r="E1454" s="91" t="s">
        <v>11</v>
      </c>
      <c r="F1454" s="92" t="s">
        <v>45</v>
      </c>
      <c r="G1454" s="93" t="s">
        <v>2101</v>
      </c>
      <c r="H1454" s="93" t="s">
        <v>2102</v>
      </c>
      <c r="I1454" s="93">
        <v>2397.5457928860201</v>
      </c>
      <c r="J1454" s="93" t="s">
        <v>2103</v>
      </c>
      <c r="K1454" s="93" t="s">
        <v>2104</v>
      </c>
      <c r="L1454" s="93" t="s">
        <v>2105</v>
      </c>
      <c r="M1454" s="93" t="s">
        <v>1697</v>
      </c>
      <c r="N1454" s="95">
        <v>0.11</v>
      </c>
      <c r="O1454" s="95">
        <v>0.31</v>
      </c>
      <c r="P1454" s="95">
        <v>0.39</v>
      </c>
      <c r="Q1454" s="95">
        <v>0.17</v>
      </c>
      <c r="R1454" s="96">
        <v>0.01</v>
      </c>
    </row>
    <row r="1455" spans="1:18" ht="15" hidden="1" customHeight="1" x14ac:dyDescent="0.3">
      <c r="A1455" s="89">
        <v>2022</v>
      </c>
      <c r="B1455" s="90">
        <v>4</v>
      </c>
      <c r="C1455" s="90" t="s">
        <v>725</v>
      </c>
      <c r="D1455" s="90" t="s">
        <v>722</v>
      </c>
      <c r="E1455" s="91" t="s">
        <v>11</v>
      </c>
      <c r="F1455" s="92" t="s">
        <v>721</v>
      </c>
      <c r="G1455" s="93" t="s">
        <v>2106</v>
      </c>
      <c r="H1455" s="93" t="s">
        <v>2107</v>
      </c>
      <c r="I1455" s="93">
        <v>2397.5457928860201</v>
      </c>
      <c r="J1455" s="93" t="s">
        <v>2108</v>
      </c>
      <c r="K1455" s="93" t="s">
        <v>2109</v>
      </c>
      <c r="L1455" s="93" t="s">
        <v>2110</v>
      </c>
      <c r="M1455" s="93" t="s">
        <v>1702</v>
      </c>
      <c r="N1455" s="95">
        <v>0.05</v>
      </c>
      <c r="O1455" s="95">
        <v>0.33</v>
      </c>
      <c r="P1455" s="95">
        <v>0.51</v>
      </c>
      <c r="Q1455" s="95">
        <v>0.1</v>
      </c>
      <c r="R1455" s="96">
        <v>0</v>
      </c>
    </row>
    <row r="1456" spans="1:18" ht="15" hidden="1" customHeight="1" x14ac:dyDescent="0.3">
      <c r="A1456" s="89">
        <v>2022</v>
      </c>
      <c r="B1456" s="90">
        <v>4</v>
      </c>
      <c r="C1456" s="90" t="s">
        <v>725</v>
      </c>
      <c r="D1456" s="90" t="s">
        <v>722</v>
      </c>
      <c r="E1456" s="91" t="s">
        <v>11</v>
      </c>
      <c r="F1456" s="92" t="s">
        <v>46</v>
      </c>
      <c r="G1456" s="93" t="s">
        <v>2111</v>
      </c>
      <c r="H1456" s="93" t="s">
        <v>2112</v>
      </c>
      <c r="I1456" s="93">
        <v>2397.5457928860201</v>
      </c>
      <c r="J1456" s="93" t="s">
        <v>2113</v>
      </c>
      <c r="K1456" s="93" t="s">
        <v>2114</v>
      </c>
      <c r="L1456" s="93" t="s">
        <v>2115</v>
      </c>
      <c r="M1456" s="93" t="s">
        <v>1708</v>
      </c>
      <c r="N1456" s="95">
        <v>0.23</v>
      </c>
      <c r="O1456" s="95">
        <v>0.54</v>
      </c>
      <c r="P1456" s="95">
        <v>0.19</v>
      </c>
      <c r="Q1456" s="95">
        <v>0.03</v>
      </c>
      <c r="R1456" s="96">
        <v>0</v>
      </c>
    </row>
    <row r="1457" spans="1:18" ht="15" hidden="1" customHeight="1" x14ac:dyDescent="0.3">
      <c r="A1457" s="89">
        <v>2022</v>
      </c>
      <c r="B1457" s="90">
        <v>4</v>
      </c>
      <c r="C1457" s="90" t="s">
        <v>725</v>
      </c>
      <c r="D1457" s="90" t="s">
        <v>722</v>
      </c>
      <c r="E1457" s="91" t="s">
        <v>11</v>
      </c>
      <c r="F1457" s="92" t="s">
        <v>47</v>
      </c>
      <c r="G1457" s="93" t="s">
        <v>2116</v>
      </c>
      <c r="H1457" s="93" t="s">
        <v>2117</v>
      </c>
      <c r="I1457" s="93">
        <v>2397.5457928860201</v>
      </c>
      <c r="J1457" s="93" t="s">
        <v>2118</v>
      </c>
      <c r="K1457" s="93" t="s">
        <v>2119</v>
      </c>
      <c r="L1457" s="93" t="s">
        <v>2120</v>
      </c>
      <c r="M1457" s="93" t="s">
        <v>1714</v>
      </c>
      <c r="N1457" s="95">
        <v>0.03</v>
      </c>
      <c r="O1457" s="95">
        <v>0.18</v>
      </c>
      <c r="P1457" s="95">
        <v>0.43</v>
      </c>
      <c r="Q1457" s="95">
        <v>0.28000000000000003</v>
      </c>
      <c r="R1457" s="96">
        <v>0.09</v>
      </c>
    </row>
    <row r="1458" spans="1:18" ht="15" hidden="1" customHeight="1" x14ac:dyDescent="0.3">
      <c r="A1458" s="89">
        <v>2022</v>
      </c>
      <c r="B1458" s="90">
        <v>4</v>
      </c>
      <c r="C1458" s="90" t="s">
        <v>725</v>
      </c>
      <c r="D1458" s="90" t="s">
        <v>722</v>
      </c>
      <c r="E1458" s="91" t="s">
        <v>11</v>
      </c>
      <c r="F1458" s="92" t="s">
        <v>48</v>
      </c>
      <c r="G1458" s="93" t="s">
        <v>2121</v>
      </c>
      <c r="H1458" s="93" t="s">
        <v>2122</v>
      </c>
      <c r="I1458" s="93">
        <v>2397.5457928860201</v>
      </c>
      <c r="J1458" s="93" t="s">
        <v>2123</v>
      </c>
      <c r="K1458" s="93" t="s">
        <v>2124</v>
      </c>
      <c r="L1458" s="93" t="s">
        <v>2125</v>
      </c>
      <c r="M1458" s="93" t="s">
        <v>1720</v>
      </c>
      <c r="N1458" s="95">
        <v>0.05</v>
      </c>
      <c r="O1458" s="95">
        <v>0.33</v>
      </c>
      <c r="P1458" s="95">
        <v>0.46</v>
      </c>
      <c r="Q1458" s="95">
        <v>0.16</v>
      </c>
      <c r="R1458" s="96">
        <v>0.01</v>
      </c>
    </row>
    <row r="1459" spans="1:18" ht="15" hidden="1" customHeight="1" x14ac:dyDescent="0.3">
      <c r="A1459" s="89">
        <v>2022</v>
      </c>
      <c r="B1459" s="90">
        <v>4</v>
      </c>
      <c r="C1459" s="90" t="s">
        <v>725</v>
      </c>
      <c r="D1459" s="90" t="s">
        <v>722</v>
      </c>
      <c r="E1459" s="91" t="s">
        <v>11</v>
      </c>
      <c r="F1459" s="92" t="s">
        <v>40</v>
      </c>
      <c r="G1459" s="93" t="s">
        <v>2126</v>
      </c>
      <c r="H1459" s="93" t="s">
        <v>2127</v>
      </c>
      <c r="I1459" s="93">
        <v>2397.5457928860201</v>
      </c>
      <c r="J1459" s="93" t="s">
        <v>2128</v>
      </c>
      <c r="K1459" s="93" t="s">
        <v>2129</v>
      </c>
      <c r="L1459" s="93" t="s">
        <v>2130</v>
      </c>
      <c r="M1459" s="93" t="s">
        <v>1726</v>
      </c>
      <c r="N1459" s="95">
        <v>0.03</v>
      </c>
      <c r="O1459" s="95">
        <v>0.2</v>
      </c>
      <c r="P1459" s="95">
        <v>0.56999999999999995</v>
      </c>
      <c r="Q1459" s="95">
        <v>0.19</v>
      </c>
      <c r="R1459" s="96">
        <v>0</v>
      </c>
    </row>
    <row r="1460" spans="1:18" ht="15" hidden="1" customHeight="1" x14ac:dyDescent="0.3">
      <c r="A1460" s="89">
        <v>2022</v>
      </c>
      <c r="B1460" s="90">
        <v>5</v>
      </c>
      <c r="C1460" s="90" t="s">
        <v>726</v>
      </c>
      <c r="D1460" s="90" t="s">
        <v>719</v>
      </c>
      <c r="E1460" s="91" t="s">
        <v>11</v>
      </c>
      <c r="F1460" s="92" t="s">
        <v>26</v>
      </c>
      <c r="G1460" s="93">
        <v>112641.46</v>
      </c>
      <c r="H1460" s="93">
        <v>258337.1</v>
      </c>
      <c r="I1460" s="93">
        <v>2397.5457928860201</v>
      </c>
      <c r="J1460" s="93">
        <v>184614.82</v>
      </c>
      <c r="K1460" s="93">
        <v>19444.55</v>
      </c>
      <c r="L1460" s="93">
        <v>281572.93</v>
      </c>
      <c r="M1460" s="93">
        <v>1302393.77</v>
      </c>
      <c r="N1460" s="95">
        <v>0.11</v>
      </c>
      <c r="O1460" s="95">
        <v>0.25</v>
      </c>
      <c r="P1460" s="95">
        <v>0.44</v>
      </c>
      <c r="Q1460" s="95">
        <v>0.18</v>
      </c>
      <c r="R1460" s="96">
        <v>0.02</v>
      </c>
    </row>
    <row r="1461" spans="1:18" ht="15" hidden="1" customHeight="1" x14ac:dyDescent="0.3">
      <c r="A1461" s="89">
        <v>2022</v>
      </c>
      <c r="B1461" s="90">
        <v>5</v>
      </c>
      <c r="C1461" s="90" t="s">
        <v>726</v>
      </c>
      <c r="D1461" s="90" t="s">
        <v>719</v>
      </c>
      <c r="E1461" s="91" t="s">
        <v>11</v>
      </c>
      <c r="F1461" s="92" t="s">
        <v>12</v>
      </c>
      <c r="G1461" s="93">
        <v>13753.85</v>
      </c>
      <c r="H1461" s="93">
        <v>69549.039999999994</v>
      </c>
      <c r="I1461" s="93">
        <v>2397.5457928860201</v>
      </c>
      <c r="J1461" s="93">
        <v>110508.49</v>
      </c>
      <c r="K1461" s="93">
        <v>8735.0300000000007</v>
      </c>
      <c r="L1461" s="93">
        <v>66333.210000000006</v>
      </c>
      <c r="M1461" s="93">
        <v>433311.44</v>
      </c>
      <c r="N1461" s="95">
        <v>0.04</v>
      </c>
      <c r="O1461" s="95">
        <v>0.19</v>
      </c>
      <c r="P1461" s="95">
        <v>0.45</v>
      </c>
      <c r="Q1461" s="95">
        <v>0.3</v>
      </c>
      <c r="R1461" s="96">
        <v>0.02</v>
      </c>
    </row>
    <row r="1462" spans="1:18" ht="15" hidden="1" customHeight="1" x14ac:dyDescent="0.3">
      <c r="A1462" s="89">
        <v>2022</v>
      </c>
      <c r="B1462" s="90">
        <v>5</v>
      </c>
      <c r="C1462" s="90" t="s">
        <v>726</v>
      </c>
      <c r="D1462" s="90" t="s">
        <v>719</v>
      </c>
      <c r="E1462" s="91" t="s">
        <v>11</v>
      </c>
      <c r="F1462" s="92" t="s">
        <v>27</v>
      </c>
      <c r="G1462" s="93">
        <v>11571.8</v>
      </c>
      <c r="H1462" s="93">
        <v>115930.11</v>
      </c>
      <c r="I1462" s="93">
        <v>2397.5457928860201</v>
      </c>
      <c r="J1462" s="93">
        <v>7520.54</v>
      </c>
      <c r="K1462" s="93">
        <v>380.26</v>
      </c>
      <c r="L1462" s="93">
        <v>16933.669999999998</v>
      </c>
      <c r="M1462" s="93">
        <v>226689.38</v>
      </c>
      <c r="N1462" s="95">
        <v>0.06</v>
      </c>
      <c r="O1462" s="95">
        <v>0.55000000000000004</v>
      </c>
      <c r="P1462" s="95">
        <v>0.35</v>
      </c>
      <c r="Q1462" s="95">
        <v>0.04</v>
      </c>
      <c r="R1462" s="96">
        <v>0</v>
      </c>
    </row>
    <row r="1463" spans="1:18" ht="15" hidden="1" customHeight="1" x14ac:dyDescent="0.3">
      <c r="A1463" s="89">
        <v>2022</v>
      </c>
      <c r="B1463" s="90">
        <v>5</v>
      </c>
      <c r="C1463" s="90" t="s">
        <v>726</v>
      </c>
      <c r="D1463" s="90" t="s">
        <v>719</v>
      </c>
      <c r="E1463" s="91" t="s">
        <v>11</v>
      </c>
      <c r="F1463" s="92" t="s">
        <v>28</v>
      </c>
      <c r="G1463" s="93">
        <v>12275.72</v>
      </c>
      <c r="H1463" s="93">
        <v>92607.35</v>
      </c>
      <c r="I1463" s="93">
        <v>2397.5457928860201</v>
      </c>
      <c r="J1463" s="93">
        <v>62501.49</v>
      </c>
      <c r="K1463" s="93">
        <v>1276.0999999999999</v>
      </c>
      <c r="L1463" s="93">
        <v>5106.7700000000004</v>
      </c>
      <c r="M1463" s="93">
        <v>373104.4</v>
      </c>
      <c r="N1463" s="95">
        <v>0.03</v>
      </c>
      <c r="O1463" s="95">
        <v>0.25</v>
      </c>
      <c r="P1463" s="95">
        <v>0.54</v>
      </c>
      <c r="Q1463" s="95">
        <v>0.17</v>
      </c>
      <c r="R1463" s="96">
        <v>0</v>
      </c>
    </row>
    <row r="1464" spans="1:18" ht="15" customHeight="1" x14ac:dyDescent="0.3">
      <c r="A1464" s="89">
        <v>2022</v>
      </c>
      <c r="B1464" s="90">
        <v>5</v>
      </c>
      <c r="C1464" s="90" t="s">
        <v>726</v>
      </c>
      <c r="D1464" s="90" t="s">
        <v>719</v>
      </c>
      <c r="E1464" s="91" t="s">
        <v>11</v>
      </c>
      <c r="F1464" s="92" t="s">
        <v>29</v>
      </c>
      <c r="G1464" s="93">
        <v>27378.81</v>
      </c>
      <c r="H1464" s="93">
        <v>77256.850000000006</v>
      </c>
      <c r="I1464" s="93">
        <v>2397.5457928860201</v>
      </c>
      <c r="J1464" s="93">
        <v>46700.37</v>
      </c>
      <c r="K1464" s="93">
        <v>3035.85</v>
      </c>
      <c r="L1464" s="93">
        <v>97110.28</v>
      </c>
      <c r="M1464" s="93">
        <v>354391.76</v>
      </c>
      <c r="N1464" s="95">
        <v>0.11</v>
      </c>
      <c r="O1464" s="95">
        <v>0.3</v>
      </c>
      <c r="P1464" s="95">
        <v>0.4</v>
      </c>
      <c r="Q1464" s="95">
        <v>0.18</v>
      </c>
      <c r="R1464" s="96">
        <v>0.01</v>
      </c>
    </row>
    <row r="1465" spans="1:18" ht="15" hidden="1" customHeight="1" x14ac:dyDescent="0.3">
      <c r="A1465" s="89">
        <v>2022</v>
      </c>
      <c r="B1465" s="90">
        <v>5</v>
      </c>
      <c r="C1465" s="90" t="s">
        <v>726</v>
      </c>
      <c r="D1465" s="90" t="s">
        <v>719</v>
      </c>
      <c r="E1465" s="91" t="s">
        <v>11</v>
      </c>
      <c r="F1465" s="92" t="s">
        <v>30</v>
      </c>
      <c r="G1465" s="93">
        <v>469.23</v>
      </c>
      <c r="H1465" s="93">
        <v>2718.75</v>
      </c>
      <c r="I1465" s="93">
        <v>2397.5457928860201</v>
      </c>
      <c r="J1465" s="93">
        <v>3057.51</v>
      </c>
      <c r="K1465" s="93">
        <v>482.38</v>
      </c>
      <c r="L1465" s="93">
        <v>216914.9</v>
      </c>
      <c r="M1465" s="93">
        <v>230086.24</v>
      </c>
      <c r="N1465" s="95">
        <v>0.04</v>
      </c>
      <c r="O1465" s="95">
        <v>0.21</v>
      </c>
      <c r="P1465" s="95">
        <v>0.49</v>
      </c>
      <c r="Q1465" s="95">
        <v>0.23</v>
      </c>
      <c r="R1465" s="96">
        <v>0.04</v>
      </c>
    </row>
    <row r="1466" spans="1:18" ht="15" hidden="1" customHeight="1" x14ac:dyDescent="0.3">
      <c r="A1466" s="89">
        <v>2022</v>
      </c>
      <c r="B1466" s="90">
        <v>5</v>
      </c>
      <c r="C1466" s="90" t="s">
        <v>726</v>
      </c>
      <c r="D1466" s="90" t="s">
        <v>719</v>
      </c>
      <c r="E1466" s="91" t="s">
        <v>11</v>
      </c>
      <c r="F1466" s="92" t="s">
        <v>31</v>
      </c>
      <c r="G1466" s="93">
        <v>3114.47</v>
      </c>
      <c r="H1466" s="93">
        <v>46250.07</v>
      </c>
      <c r="I1466" s="93">
        <v>2397.5457928860201</v>
      </c>
      <c r="J1466" s="93">
        <v>17987.52</v>
      </c>
      <c r="K1466" s="93">
        <v>3926.79</v>
      </c>
      <c r="L1466" s="93">
        <v>126394.56</v>
      </c>
      <c r="M1466" s="93">
        <v>251948.86</v>
      </c>
      <c r="N1466" s="95">
        <v>0.02</v>
      </c>
      <c r="O1466" s="95">
        <v>0.37</v>
      </c>
      <c r="P1466" s="95">
        <v>0.43</v>
      </c>
      <c r="Q1466" s="95">
        <v>0.14000000000000001</v>
      </c>
      <c r="R1466" s="96">
        <v>0.03</v>
      </c>
    </row>
    <row r="1467" spans="1:18" ht="15" hidden="1" customHeight="1" x14ac:dyDescent="0.3">
      <c r="A1467" s="89">
        <v>2022</v>
      </c>
      <c r="B1467" s="90">
        <v>5</v>
      </c>
      <c r="C1467" s="90" t="s">
        <v>726</v>
      </c>
      <c r="D1467" s="90" t="s">
        <v>719</v>
      </c>
      <c r="E1467" s="91" t="s">
        <v>11</v>
      </c>
      <c r="F1467" s="92" t="s">
        <v>32</v>
      </c>
      <c r="G1467" s="93">
        <v>23043</v>
      </c>
      <c r="H1467" s="93">
        <v>117639.75</v>
      </c>
      <c r="I1467" s="93">
        <v>2397.5457928860201</v>
      </c>
      <c r="J1467" s="93">
        <v>147627.67000000001</v>
      </c>
      <c r="K1467" s="93">
        <v>14902.9</v>
      </c>
      <c r="L1467" s="93">
        <v>65995.539999999994</v>
      </c>
      <c r="M1467" s="93">
        <v>609521.87</v>
      </c>
      <c r="N1467" s="95">
        <v>0.04</v>
      </c>
      <c r="O1467" s="95">
        <v>0.22</v>
      </c>
      <c r="P1467" s="95">
        <v>0.44</v>
      </c>
      <c r="Q1467" s="95">
        <v>0.27</v>
      </c>
      <c r="R1467" s="96">
        <v>0.03</v>
      </c>
    </row>
    <row r="1468" spans="1:18" ht="15" hidden="1" customHeight="1" x14ac:dyDescent="0.3">
      <c r="A1468" s="89">
        <v>2022</v>
      </c>
      <c r="B1468" s="90">
        <v>5</v>
      </c>
      <c r="C1468" s="90" t="s">
        <v>726</v>
      </c>
      <c r="D1468" s="90" t="s">
        <v>719</v>
      </c>
      <c r="E1468" s="91" t="s">
        <v>11</v>
      </c>
      <c r="F1468" s="92" t="s">
        <v>33</v>
      </c>
      <c r="G1468" s="93">
        <v>74338.320000000007</v>
      </c>
      <c r="H1468" s="93">
        <v>334418.99</v>
      </c>
      <c r="I1468" s="93">
        <v>2397.5457928860201</v>
      </c>
      <c r="J1468" s="93">
        <v>252951.47</v>
      </c>
      <c r="K1468" s="93">
        <v>11743.92</v>
      </c>
      <c r="L1468" s="93">
        <v>38603.730000000003</v>
      </c>
      <c r="M1468" s="93">
        <v>1352055.51</v>
      </c>
      <c r="N1468" s="95">
        <v>0.06</v>
      </c>
      <c r="O1468" s="95">
        <v>0.25</v>
      </c>
      <c r="P1468" s="95">
        <v>0.49</v>
      </c>
      <c r="Q1468" s="95">
        <v>0.19</v>
      </c>
      <c r="R1468" s="96">
        <v>0.01</v>
      </c>
    </row>
    <row r="1469" spans="1:18" ht="15" hidden="1" customHeight="1" x14ac:dyDescent="0.3">
      <c r="A1469" s="89">
        <v>2022</v>
      </c>
      <c r="B1469" s="90">
        <v>5</v>
      </c>
      <c r="C1469" s="90" t="s">
        <v>726</v>
      </c>
      <c r="D1469" s="90" t="s">
        <v>719</v>
      </c>
      <c r="E1469" s="91" t="s">
        <v>11</v>
      </c>
      <c r="F1469" s="92" t="s">
        <v>34</v>
      </c>
      <c r="G1469" s="93">
        <v>103914.67</v>
      </c>
      <c r="H1469" s="93">
        <v>251603.43</v>
      </c>
      <c r="I1469" s="93">
        <v>2397.5457928860201</v>
      </c>
      <c r="J1469" s="93">
        <v>64743.22</v>
      </c>
      <c r="K1469" s="93">
        <v>2985.58</v>
      </c>
      <c r="L1469" s="93">
        <v>72353.710000000006</v>
      </c>
      <c r="M1469" s="93">
        <v>713628.98</v>
      </c>
      <c r="N1469" s="95">
        <v>0.16</v>
      </c>
      <c r="O1469" s="95">
        <v>0.39</v>
      </c>
      <c r="P1469" s="95">
        <v>0.34</v>
      </c>
      <c r="Q1469" s="95">
        <v>0.1</v>
      </c>
      <c r="R1469" s="96">
        <v>0</v>
      </c>
    </row>
    <row r="1470" spans="1:18" ht="15" hidden="1" customHeight="1" x14ac:dyDescent="0.3">
      <c r="A1470" s="89">
        <v>2022</v>
      </c>
      <c r="B1470" s="90">
        <v>5</v>
      </c>
      <c r="C1470" s="90" t="s">
        <v>726</v>
      </c>
      <c r="D1470" s="90" t="s">
        <v>719</v>
      </c>
      <c r="E1470" s="91" t="s">
        <v>11</v>
      </c>
      <c r="F1470" s="92" t="s">
        <v>35</v>
      </c>
      <c r="G1470" s="93">
        <v>23515.01</v>
      </c>
      <c r="H1470" s="93">
        <v>77472.28</v>
      </c>
      <c r="I1470" s="93">
        <v>2397.5457928860201</v>
      </c>
      <c r="J1470" s="93">
        <v>94466.78</v>
      </c>
      <c r="K1470" s="93">
        <v>14357.23</v>
      </c>
      <c r="L1470" s="93">
        <v>253527.16</v>
      </c>
      <c r="M1470" s="93">
        <v>605861.19999999995</v>
      </c>
      <c r="N1470" s="95">
        <v>7.0000000000000007E-2</v>
      </c>
      <c r="O1470" s="95">
        <v>0.22</v>
      </c>
      <c r="P1470" s="95">
        <v>0.4</v>
      </c>
      <c r="Q1470" s="95">
        <v>0.27</v>
      </c>
      <c r="R1470" s="96">
        <v>0.04</v>
      </c>
    </row>
    <row r="1471" spans="1:18" ht="15" hidden="1" customHeight="1" x14ac:dyDescent="0.3">
      <c r="A1471" s="89">
        <v>2022</v>
      </c>
      <c r="B1471" s="90">
        <v>5</v>
      </c>
      <c r="C1471" s="90" t="s">
        <v>726</v>
      </c>
      <c r="D1471" s="90" t="s">
        <v>719</v>
      </c>
      <c r="E1471" s="91" t="s">
        <v>11</v>
      </c>
      <c r="F1471" s="92" t="s">
        <v>36</v>
      </c>
      <c r="G1471" s="93">
        <v>12458.83</v>
      </c>
      <c r="H1471" s="93">
        <v>82760.5</v>
      </c>
      <c r="I1471" s="93">
        <v>2397.5457928860201</v>
      </c>
      <c r="J1471" s="93">
        <v>25731.47</v>
      </c>
      <c r="K1471" s="93">
        <v>91.02</v>
      </c>
      <c r="L1471" s="93">
        <v>32784.83</v>
      </c>
      <c r="M1471" s="93">
        <v>258886.74</v>
      </c>
      <c r="N1471" s="95">
        <v>0.06</v>
      </c>
      <c r="O1471" s="95">
        <v>0.37</v>
      </c>
      <c r="P1471" s="95">
        <v>0.46</v>
      </c>
      <c r="Q1471" s="95">
        <v>0.11</v>
      </c>
      <c r="R1471" s="96">
        <v>0</v>
      </c>
    </row>
    <row r="1472" spans="1:18" ht="15" hidden="1" customHeight="1" x14ac:dyDescent="0.3">
      <c r="A1472" s="89">
        <v>2022</v>
      </c>
      <c r="B1472" s="90">
        <v>5</v>
      </c>
      <c r="C1472" s="90" t="s">
        <v>726</v>
      </c>
      <c r="D1472" s="90" t="s">
        <v>719</v>
      </c>
      <c r="E1472" s="91" t="s">
        <v>11</v>
      </c>
      <c r="F1472" s="92" t="s">
        <v>37</v>
      </c>
      <c r="G1472" s="93">
        <v>36950.550000000003</v>
      </c>
      <c r="H1472" s="93">
        <v>95536.25</v>
      </c>
      <c r="I1472" s="93">
        <v>2397.5457928860201</v>
      </c>
      <c r="J1472" s="93">
        <v>69748.83</v>
      </c>
      <c r="K1472" s="93">
        <v>11116.62</v>
      </c>
      <c r="L1472" s="93">
        <v>166034.22</v>
      </c>
      <c r="M1472" s="93">
        <v>524074.32</v>
      </c>
      <c r="N1472" s="95">
        <v>0.1</v>
      </c>
      <c r="O1472" s="95">
        <v>0.27</v>
      </c>
      <c r="P1472" s="95">
        <v>0.4</v>
      </c>
      <c r="Q1472" s="95">
        <v>0.19</v>
      </c>
      <c r="R1472" s="96">
        <v>0.03</v>
      </c>
    </row>
    <row r="1473" spans="1:18" ht="15" hidden="1" customHeight="1" x14ac:dyDescent="0.3">
      <c r="A1473" s="89">
        <v>2022</v>
      </c>
      <c r="B1473" s="90">
        <v>5</v>
      </c>
      <c r="C1473" s="90" t="s">
        <v>726</v>
      </c>
      <c r="D1473" s="90" t="s">
        <v>719</v>
      </c>
      <c r="E1473" s="91" t="s">
        <v>11</v>
      </c>
      <c r="F1473" s="92" t="s">
        <v>38</v>
      </c>
      <c r="G1473" s="93">
        <v>81652.850000000006</v>
      </c>
      <c r="H1473" s="93">
        <v>153020.53</v>
      </c>
      <c r="I1473" s="93">
        <v>2397.5457928860201</v>
      </c>
      <c r="J1473" s="93">
        <v>176252.1</v>
      </c>
      <c r="K1473" s="93">
        <v>14416.25</v>
      </c>
      <c r="L1473" s="93">
        <v>203470.54</v>
      </c>
      <c r="M1473" s="93">
        <v>927959.02</v>
      </c>
      <c r="N1473" s="95">
        <v>0.11</v>
      </c>
      <c r="O1473" s="95">
        <v>0.21</v>
      </c>
      <c r="P1473" s="95">
        <v>0.41</v>
      </c>
      <c r="Q1473" s="95">
        <v>0.24</v>
      </c>
      <c r="R1473" s="96">
        <v>0.02</v>
      </c>
    </row>
    <row r="1474" spans="1:18" ht="15" hidden="1" customHeight="1" x14ac:dyDescent="0.3">
      <c r="A1474" s="89">
        <v>2022</v>
      </c>
      <c r="B1474" s="90">
        <v>5</v>
      </c>
      <c r="C1474" s="90" t="s">
        <v>726</v>
      </c>
      <c r="D1474" s="90" t="s">
        <v>719</v>
      </c>
      <c r="E1474" s="91" t="s">
        <v>11</v>
      </c>
      <c r="F1474" s="92" t="s">
        <v>39</v>
      </c>
      <c r="G1474" s="93">
        <v>16277.29</v>
      </c>
      <c r="H1474" s="93">
        <v>110875.9</v>
      </c>
      <c r="I1474" s="93">
        <v>2397.5457928860201</v>
      </c>
      <c r="J1474" s="93">
        <v>28844.240000000002</v>
      </c>
      <c r="K1474" s="93">
        <v>657.89</v>
      </c>
      <c r="L1474" s="93">
        <v>74014.02</v>
      </c>
      <c r="M1474" s="93">
        <v>331195.63</v>
      </c>
      <c r="N1474" s="95">
        <v>0.06</v>
      </c>
      <c r="O1474" s="95">
        <v>0.43</v>
      </c>
      <c r="P1474" s="95">
        <v>0.39</v>
      </c>
      <c r="Q1474" s="95">
        <v>0.11</v>
      </c>
      <c r="R1474" s="96">
        <v>0</v>
      </c>
    </row>
    <row r="1475" spans="1:18" ht="15" hidden="1" customHeight="1" x14ac:dyDescent="0.3">
      <c r="A1475" s="89">
        <v>2022</v>
      </c>
      <c r="B1475" s="90">
        <v>5</v>
      </c>
      <c r="C1475" s="90" t="s">
        <v>726</v>
      </c>
      <c r="D1475" s="90" t="s">
        <v>719</v>
      </c>
      <c r="E1475" s="91" t="s">
        <v>11</v>
      </c>
      <c r="F1475" s="92" t="s">
        <v>41</v>
      </c>
      <c r="G1475" s="93">
        <v>4550.46</v>
      </c>
      <c r="H1475" s="93">
        <v>3881.94</v>
      </c>
      <c r="I1475" s="93">
        <v>2397.5457928860201</v>
      </c>
      <c r="J1475" s="93">
        <v>1164.1500000000001</v>
      </c>
      <c r="K1475" s="93">
        <v>30.82</v>
      </c>
      <c r="L1475" s="93">
        <v>5674.99</v>
      </c>
      <c r="M1475" s="93">
        <v>18714.330000000002</v>
      </c>
      <c r="N1475" s="95">
        <v>0.35</v>
      </c>
      <c r="O1475" s="95">
        <v>0.3</v>
      </c>
      <c r="P1475" s="95">
        <v>0.26</v>
      </c>
      <c r="Q1475" s="95">
        <v>0.09</v>
      </c>
      <c r="R1475" s="96">
        <v>0</v>
      </c>
    </row>
    <row r="1476" spans="1:18" ht="15" hidden="1" customHeight="1" x14ac:dyDescent="0.3">
      <c r="A1476" s="89">
        <v>2022</v>
      </c>
      <c r="B1476" s="90">
        <v>5</v>
      </c>
      <c r="C1476" s="90" t="s">
        <v>726</v>
      </c>
      <c r="D1476" s="90" t="s">
        <v>719</v>
      </c>
      <c r="E1476" s="91" t="s">
        <v>11</v>
      </c>
      <c r="F1476" s="92" t="s">
        <v>42</v>
      </c>
      <c r="G1476" s="93">
        <v>24237.13</v>
      </c>
      <c r="H1476" s="93">
        <v>161180.17000000001</v>
      </c>
      <c r="I1476" s="93">
        <v>2397.5457928860201</v>
      </c>
      <c r="J1476" s="93">
        <v>44711.46</v>
      </c>
      <c r="K1476" s="93">
        <v>537.77</v>
      </c>
      <c r="L1476" s="93">
        <v>218922.81</v>
      </c>
      <c r="M1476" s="93">
        <v>620824.21</v>
      </c>
      <c r="N1476" s="95">
        <v>0.06</v>
      </c>
      <c r="O1476" s="95">
        <v>0.4</v>
      </c>
      <c r="P1476" s="95">
        <v>0.43</v>
      </c>
      <c r="Q1476" s="95">
        <v>0.11</v>
      </c>
      <c r="R1476" s="96">
        <v>0</v>
      </c>
    </row>
    <row r="1477" spans="1:18" ht="15" hidden="1" customHeight="1" x14ac:dyDescent="0.3">
      <c r="A1477" s="89">
        <v>2022</v>
      </c>
      <c r="B1477" s="90">
        <v>5</v>
      </c>
      <c r="C1477" s="90" t="s">
        <v>726</v>
      </c>
      <c r="D1477" s="90" t="s">
        <v>719</v>
      </c>
      <c r="E1477" s="91" t="s">
        <v>11</v>
      </c>
      <c r="F1477" s="92" t="s">
        <v>43</v>
      </c>
      <c r="G1477" s="93">
        <v>3008.48</v>
      </c>
      <c r="H1477" s="93">
        <v>20283.73</v>
      </c>
      <c r="I1477" s="93">
        <v>2397.5457928860201</v>
      </c>
      <c r="J1477" s="93">
        <v>5253.78</v>
      </c>
      <c r="K1477" s="93">
        <v>676.44</v>
      </c>
      <c r="L1477" s="93">
        <v>141908.71</v>
      </c>
      <c r="M1477" s="93">
        <v>185575.52</v>
      </c>
      <c r="N1477" s="95">
        <v>7.0000000000000007E-2</v>
      </c>
      <c r="O1477" s="95">
        <v>0.46</v>
      </c>
      <c r="P1477" s="95">
        <v>0.33</v>
      </c>
      <c r="Q1477" s="95">
        <v>0.12</v>
      </c>
      <c r="R1477" s="96">
        <v>0.02</v>
      </c>
    </row>
    <row r="1478" spans="1:18" ht="15" hidden="1" customHeight="1" x14ac:dyDescent="0.3">
      <c r="A1478" s="89">
        <v>2022</v>
      </c>
      <c r="B1478" s="90">
        <v>5</v>
      </c>
      <c r="C1478" s="90" t="s">
        <v>726</v>
      </c>
      <c r="D1478" s="90" t="s">
        <v>719</v>
      </c>
      <c r="E1478" s="91" t="s">
        <v>11</v>
      </c>
      <c r="F1478" s="92" t="s">
        <v>58</v>
      </c>
      <c r="G1478" s="93">
        <v>9932.92</v>
      </c>
      <c r="H1478" s="93">
        <v>91985.16</v>
      </c>
      <c r="I1478" s="93">
        <v>2397.5457928860201</v>
      </c>
      <c r="J1478" s="93">
        <v>64668.58</v>
      </c>
      <c r="K1478" s="93">
        <v>3101.07</v>
      </c>
      <c r="L1478" s="93">
        <v>4413.51</v>
      </c>
      <c r="M1478" s="93">
        <v>371477.13</v>
      </c>
      <c r="N1478" s="95">
        <v>0.03</v>
      </c>
      <c r="O1478" s="95">
        <v>0.25</v>
      </c>
      <c r="P1478" s="95">
        <v>0.54</v>
      </c>
      <c r="Q1478" s="95">
        <v>0.18</v>
      </c>
      <c r="R1478" s="96">
        <v>0.01</v>
      </c>
    </row>
    <row r="1479" spans="1:18" ht="15" hidden="1" customHeight="1" x14ac:dyDescent="0.3">
      <c r="A1479" s="89">
        <v>2022</v>
      </c>
      <c r="B1479" s="90">
        <v>5</v>
      </c>
      <c r="C1479" s="90" t="s">
        <v>726</v>
      </c>
      <c r="D1479" s="90" t="s">
        <v>719</v>
      </c>
      <c r="E1479" s="91" t="s">
        <v>11</v>
      </c>
      <c r="F1479" s="92" t="s">
        <v>44</v>
      </c>
      <c r="G1479" s="93">
        <v>6232.47</v>
      </c>
      <c r="H1479" s="93">
        <v>38036.44</v>
      </c>
      <c r="I1479" s="93">
        <v>2397.5457928860201</v>
      </c>
      <c r="J1479" s="93">
        <v>41449.980000000003</v>
      </c>
      <c r="K1479" s="93">
        <v>1743.9</v>
      </c>
      <c r="L1479" s="93">
        <v>44030.05</v>
      </c>
      <c r="M1479" s="93">
        <v>215729.36</v>
      </c>
      <c r="N1479" s="95">
        <v>0.04</v>
      </c>
      <c r="O1479" s="95">
        <v>0.22</v>
      </c>
      <c r="P1479" s="95">
        <v>0.49</v>
      </c>
      <c r="Q1479" s="95">
        <v>0.24</v>
      </c>
      <c r="R1479" s="96">
        <v>0.01</v>
      </c>
    </row>
    <row r="1480" spans="1:18" ht="15" hidden="1" customHeight="1" x14ac:dyDescent="0.3">
      <c r="A1480" s="89">
        <v>2022</v>
      </c>
      <c r="B1480" s="90">
        <v>5</v>
      </c>
      <c r="C1480" s="90" t="s">
        <v>726</v>
      </c>
      <c r="D1480" s="90" t="s">
        <v>719</v>
      </c>
      <c r="E1480" s="91" t="s">
        <v>11</v>
      </c>
      <c r="F1480" s="92" t="s">
        <v>51</v>
      </c>
      <c r="G1480" s="93">
        <v>5595.55</v>
      </c>
      <c r="H1480" s="93">
        <v>43550.8</v>
      </c>
      <c r="I1480" s="93">
        <v>2397.5457928860201</v>
      </c>
      <c r="J1480" s="93">
        <v>32026.86</v>
      </c>
      <c r="K1480" s="93">
        <v>1959.36</v>
      </c>
      <c r="L1480" s="93">
        <v>35529.949999999997</v>
      </c>
      <c r="M1480" s="93">
        <v>211202.48</v>
      </c>
      <c r="N1480" s="95">
        <v>0.03</v>
      </c>
      <c r="O1480" s="95">
        <v>0.25</v>
      </c>
      <c r="P1480" s="95">
        <v>0.53</v>
      </c>
      <c r="Q1480" s="95">
        <v>0.18</v>
      </c>
      <c r="R1480" s="96">
        <v>0.01</v>
      </c>
    </row>
    <row r="1481" spans="1:18" ht="15" hidden="1" customHeight="1" x14ac:dyDescent="0.3">
      <c r="A1481" s="89">
        <v>2022</v>
      </c>
      <c r="B1481" s="90">
        <v>5</v>
      </c>
      <c r="C1481" s="90" t="s">
        <v>726</v>
      </c>
      <c r="D1481" s="90" t="s">
        <v>719</v>
      </c>
      <c r="E1481" s="91" t="s">
        <v>11</v>
      </c>
      <c r="F1481" s="92" t="s">
        <v>45</v>
      </c>
      <c r="G1481" s="93">
        <v>6140.46</v>
      </c>
      <c r="H1481" s="93">
        <v>21259.65</v>
      </c>
      <c r="I1481" s="93">
        <v>2397.5457928860201</v>
      </c>
      <c r="J1481" s="93">
        <v>20991.14</v>
      </c>
      <c r="K1481" s="93">
        <v>2180.2199999999998</v>
      </c>
      <c r="L1481" s="93">
        <v>49240.59</v>
      </c>
      <c r="M1481" s="93">
        <v>134096.20000000001</v>
      </c>
      <c r="N1481" s="95">
        <v>7.0000000000000007E-2</v>
      </c>
      <c r="O1481" s="95">
        <v>0.25</v>
      </c>
      <c r="P1481" s="95">
        <v>0.4</v>
      </c>
      <c r="Q1481" s="95">
        <v>0.25</v>
      </c>
      <c r="R1481" s="96">
        <v>0.03</v>
      </c>
    </row>
    <row r="1482" spans="1:18" ht="15" hidden="1" customHeight="1" x14ac:dyDescent="0.3">
      <c r="A1482" s="89">
        <v>2022</v>
      </c>
      <c r="B1482" s="90">
        <v>5</v>
      </c>
      <c r="C1482" s="90" t="s">
        <v>726</v>
      </c>
      <c r="D1482" s="90" t="s">
        <v>719</v>
      </c>
      <c r="E1482" s="91" t="s">
        <v>11</v>
      </c>
      <c r="F1482" s="92" t="s">
        <v>721</v>
      </c>
      <c r="G1482" s="93">
        <v>6444.99</v>
      </c>
      <c r="H1482" s="93">
        <v>64468.47</v>
      </c>
      <c r="I1482" s="93">
        <v>2397.5457928860201</v>
      </c>
      <c r="J1482" s="93">
        <v>57372.72</v>
      </c>
      <c r="K1482" s="93">
        <v>2738.03</v>
      </c>
      <c r="L1482" s="93">
        <v>229.26</v>
      </c>
      <c r="M1482" s="93">
        <v>309330.63</v>
      </c>
      <c r="N1482" s="95">
        <v>0.02</v>
      </c>
      <c r="O1482" s="95">
        <v>0.21</v>
      </c>
      <c r="P1482" s="95">
        <v>0.57999999999999996</v>
      </c>
      <c r="Q1482" s="95">
        <v>0.19</v>
      </c>
      <c r="R1482" s="96">
        <v>0.01</v>
      </c>
    </row>
    <row r="1483" spans="1:18" ht="15" hidden="1" customHeight="1" x14ac:dyDescent="0.3">
      <c r="A1483" s="89">
        <v>2022</v>
      </c>
      <c r="B1483" s="90">
        <v>5</v>
      </c>
      <c r="C1483" s="90" t="s">
        <v>726</v>
      </c>
      <c r="D1483" s="90" t="s">
        <v>719</v>
      </c>
      <c r="E1483" s="91" t="s">
        <v>11</v>
      </c>
      <c r="F1483" s="92" t="s">
        <v>46</v>
      </c>
      <c r="G1483" s="93">
        <v>43967.71</v>
      </c>
      <c r="H1483" s="93">
        <v>49256.39</v>
      </c>
      <c r="I1483" s="93">
        <v>2397.5457928860201</v>
      </c>
      <c r="J1483" s="93">
        <v>1256.68</v>
      </c>
      <c r="K1483" s="93">
        <v>204.49</v>
      </c>
      <c r="L1483" s="93">
        <v>43188.3</v>
      </c>
      <c r="M1483" s="93">
        <v>149074.81</v>
      </c>
      <c r="N1483" s="95">
        <v>0.42</v>
      </c>
      <c r="O1483" s="95">
        <v>0.47</v>
      </c>
      <c r="P1483" s="95">
        <v>0.11</v>
      </c>
      <c r="Q1483" s="95">
        <v>0.01</v>
      </c>
      <c r="R1483" s="96">
        <v>0</v>
      </c>
    </row>
    <row r="1484" spans="1:18" ht="15" hidden="1" customHeight="1" x14ac:dyDescent="0.3">
      <c r="A1484" s="89">
        <v>2022</v>
      </c>
      <c r="B1484" s="90">
        <v>5</v>
      </c>
      <c r="C1484" s="90" t="s">
        <v>726</v>
      </c>
      <c r="D1484" s="90" t="s">
        <v>719</v>
      </c>
      <c r="E1484" s="91" t="s">
        <v>11</v>
      </c>
      <c r="F1484" s="92" t="s">
        <v>47</v>
      </c>
      <c r="G1484" s="93">
        <v>27105.16</v>
      </c>
      <c r="H1484" s="93">
        <v>186339.07</v>
      </c>
      <c r="I1484" s="93">
        <v>2397.5457928860201</v>
      </c>
      <c r="J1484" s="93">
        <v>336369.16</v>
      </c>
      <c r="K1484" s="93">
        <v>77714.13</v>
      </c>
      <c r="L1484" s="93">
        <v>342304.88</v>
      </c>
      <c r="M1484" s="93">
        <v>1461770.89</v>
      </c>
      <c r="N1484" s="95">
        <v>0.02</v>
      </c>
      <c r="O1484" s="95">
        <v>0.17</v>
      </c>
      <c r="P1484" s="95">
        <v>0.44</v>
      </c>
      <c r="Q1484" s="95">
        <v>0.3</v>
      </c>
      <c r="R1484" s="96">
        <v>7.0000000000000007E-2</v>
      </c>
    </row>
    <row r="1485" spans="1:18" ht="15" hidden="1" customHeight="1" x14ac:dyDescent="0.3">
      <c r="A1485" s="89">
        <v>2022</v>
      </c>
      <c r="B1485" s="90">
        <v>5</v>
      </c>
      <c r="C1485" s="90" t="s">
        <v>726</v>
      </c>
      <c r="D1485" s="90" t="s">
        <v>719</v>
      </c>
      <c r="E1485" s="91" t="s">
        <v>11</v>
      </c>
      <c r="F1485" s="92" t="s">
        <v>48</v>
      </c>
      <c r="G1485" s="93">
        <v>3597.04</v>
      </c>
      <c r="H1485" s="93">
        <v>25229.46</v>
      </c>
      <c r="I1485" s="93">
        <v>2397.5457928860201</v>
      </c>
      <c r="J1485" s="93">
        <v>22417.33</v>
      </c>
      <c r="K1485" s="93">
        <v>1214.6600000000001</v>
      </c>
      <c r="L1485" s="93">
        <v>8507.48</v>
      </c>
      <c r="M1485" s="93">
        <v>110314.47</v>
      </c>
      <c r="N1485" s="95">
        <v>0.04</v>
      </c>
      <c r="O1485" s="95">
        <v>0.25</v>
      </c>
      <c r="P1485" s="95">
        <v>0.48</v>
      </c>
      <c r="Q1485" s="95">
        <v>0.22</v>
      </c>
      <c r="R1485" s="96">
        <v>0.01</v>
      </c>
    </row>
    <row r="1486" spans="1:18" ht="15" hidden="1" customHeight="1" x14ac:dyDescent="0.3">
      <c r="A1486" s="89">
        <v>2022</v>
      </c>
      <c r="B1486" s="90">
        <v>5</v>
      </c>
      <c r="C1486" s="90" t="s">
        <v>726</v>
      </c>
      <c r="D1486" s="90" t="s">
        <v>719</v>
      </c>
      <c r="E1486" s="91" t="s">
        <v>11</v>
      </c>
      <c r="F1486" s="92" t="s">
        <v>40</v>
      </c>
      <c r="G1486" s="93">
        <v>12765.06</v>
      </c>
      <c r="H1486" s="93">
        <v>89482.96</v>
      </c>
      <c r="I1486" s="93">
        <v>2397.5457928860201</v>
      </c>
      <c r="J1486" s="93">
        <v>40962.19</v>
      </c>
      <c r="K1486" s="93">
        <v>2310.7399999999998</v>
      </c>
      <c r="L1486" s="93">
        <v>11757.12</v>
      </c>
      <c r="M1486" s="93">
        <v>326305.03999999998</v>
      </c>
      <c r="N1486" s="95">
        <v>0.04</v>
      </c>
      <c r="O1486" s="95">
        <v>0.28000000000000003</v>
      </c>
      <c r="P1486" s="95">
        <v>0.54</v>
      </c>
      <c r="Q1486" s="95">
        <v>0.13</v>
      </c>
      <c r="R1486" s="96">
        <v>0.01</v>
      </c>
    </row>
    <row r="1487" spans="1:18" ht="15" hidden="1" customHeight="1" x14ac:dyDescent="0.3">
      <c r="A1487" s="89">
        <v>2022</v>
      </c>
      <c r="B1487" s="90">
        <v>5</v>
      </c>
      <c r="C1487" s="90" t="s">
        <v>726</v>
      </c>
      <c r="D1487" s="90" t="s">
        <v>722</v>
      </c>
      <c r="E1487" s="91" t="s">
        <v>11</v>
      </c>
      <c r="F1487" s="92" t="s">
        <v>26</v>
      </c>
      <c r="G1487" s="93">
        <v>92527.8</v>
      </c>
      <c r="H1487" s="93">
        <v>123713.66</v>
      </c>
      <c r="I1487" s="93">
        <v>2397.5457928860201</v>
      </c>
      <c r="J1487" s="93">
        <v>67968.460000000006</v>
      </c>
      <c r="K1487" s="93">
        <v>5415.36</v>
      </c>
      <c r="L1487" s="93">
        <v>875382.76</v>
      </c>
      <c r="M1487" s="93">
        <v>1302393.77</v>
      </c>
      <c r="N1487" s="95">
        <v>0.22</v>
      </c>
      <c r="O1487" s="95">
        <v>0.28999999999999998</v>
      </c>
      <c r="P1487" s="95">
        <v>0.32</v>
      </c>
      <c r="Q1487" s="95">
        <v>0.16</v>
      </c>
      <c r="R1487" s="96">
        <v>0.01</v>
      </c>
    </row>
    <row r="1488" spans="1:18" ht="15" hidden="1" customHeight="1" x14ac:dyDescent="0.3">
      <c r="A1488" s="89">
        <v>2022</v>
      </c>
      <c r="B1488" s="90">
        <v>5</v>
      </c>
      <c r="C1488" s="90" t="s">
        <v>726</v>
      </c>
      <c r="D1488" s="90" t="s">
        <v>722</v>
      </c>
      <c r="E1488" s="91" t="s">
        <v>11</v>
      </c>
      <c r="F1488" s="92" t="s">
        <v>12</v>
      </c>
      <c r="G1488" s="93">
        <v>35490.21</v>
      </c>
      <c r="H1488" s="93">
        <v>115630.87</v>
      </c>
      <c r="I1488" s="93">
        <v>2397.5457928860201</v>
      </c>
      <c r="J1488" s="93">
        <v>18847.72</v>
      </c>
      <c r="K1488" s="93">
        <v>385.5</v>
      </c>
      <c r="L1488" s="93">
        <v>148908.35999999999</v>
      </c>
      <c r="M1488" s="93">
        <v>433311.44</v>
      </c>
      <c r="N1488" s="95">
        <v>0.12</v>
      </c>
      <c r="O1488" s="95">
        <v>0.41</v>
      </c>
      <c r="P1488" s="95">
        <v>0.4</v>
      </c>
      <c r="Q1488" s="95">
        <v>7.0000000000000007E-2</v>
      </c>
      <c r="R1488" s="96">
        <v>0</v>
      </c>
    </row>
    <row r="1489" spans="1:18" ht="15" hidden="1" customHeight="1" x14ac:dyDescent="0.3">
      <c r="A1489" s="89">
        <v>2022</v>
      </c>
      <c r="B1489" s="90">
        <v>5</v>
      </c>
      <c r="C1489" s="90" t="s">
        <v>726</v>
      </c>
      <c r="D1489" s="90" t="s">
        <v>722</v>
      </c>
      <c r="E1489" s="91" t="s">
        <v>11</v>
      </c>
      <c r="F1489" s="92" t="s">
        <v>27</v>
      </c>
      <c r="G1489" s="93">
        <v>10996.75</v>
      </c>
      <c r="H1489" s="93">
        <v>64435.37</v>
      </c>
      <c r="I1489" s="93">
        <v>2397.5457928860201</v>
      </c>
      <c r="J1489" s="93">
        <v>3333.72</v>
      </c>
      <c r="K1489" s="93">
        <v>84.33</v>
      </c>
      <c r="L1489" s="93">
        <v>120673.08</v>
      </c>
      <c r="M1489" s="93">
        <v>226689.38</v>
      </c>
      <c r="N1489" s="95">
        <v>0.1</v>
      </c>
      <c r="O1489" s="95">
        <v>0.61</v>
      </c>
      <c r="P1489" s="95">
        <v>0.26</v>
      </c>
      <c r="Q1489" s="95">
        <v>0.03</v>
      </c>
      <c r="R1489" s="96">
        <v>0</v>
      </c>
    </row>
    <row r="1490" spans="1:18" ht="15" hidden="1" customHeight="1" x14ac:dyDescent="0.3">
      <c r="A1490" s="89">
        <v>2022</v>
      </c>
      <c r="B1490" s="90">
        <v>5</v>
      </c>
      <c r="C1490" s="90" t="s">
        <v>726</v>
      </c>
      <c r="D1490" s="90" t="s">
        <v>722</v>
      </c>
      <c r="E1490" s="91" t="s">
        <v>11</v>
      </c>
      <c r="F1490" s="92" t="s">
        <v>28</v>
      </c>
      <c r="G1490" s="93">
        <v>33763.089999999997</v>
      </c>
      <c r="H1490" s="93">
        <v>119931.87</v>
      </c>
      <c r="I1490" s="93">
        <v>2397.5457928860201</v>
      </c>
      <c r="J1490" s="93">
        <v>18541.900000000001</v>
      </c>
      <c r="K1490" s="93">
        <v>357.24</v>
      </c>
      <c r="L1490" s="93">
        <v>82711.3</v>
      </c>
      <c r="M1490" s="93">
        <v>373104.4</v>
      </c>
      <c r="N1490" s="95">
        <v>0.12</v>
      </c>
      <c r="O1490" s="95">
        <v>0.41</v>
      </c>
      <c r="P1490" s="95">
        <v>0.41</v>
      </c>
      <c r="Q1490" s="95">
        <v>0.06</v>
      </c>
      <c r="R1490" s="96">
        <v>0</v>
      </c>
    </row>
    <row r="1491" spans="1:18" ht="15" customHeight="1" x14ac:dyDescent="0.3">
      <c r="A1491" s="89">
        <v>2022</v>
      </c>
      <c r="B1491" s="90">
        <v>5</v>
      </c>
      <c r="C1491" s="90" t="s">
        <v>726</v>
      </c>
      <c r="D1491" s="90" t="s">
        <v>722</v>
      </c>
      <c r="E1491" s="91" t="s">
        <v>11</v>
      </c>
      <c r="F1491" s="92" t="s">
        <v>29</v>
      </c>
      <c r="G1491" s="93">
        <v>24386.67</v>
      </c>
      <c r="H1491" s="93">
        <v>53974.03</v>
      </c>
      <c r="I1491" s="93">
        <v>2397.5457928860201</v>
      </c>
      <c r="J1491" s="93">
        <v>6569.08</v>
      </c>
      <c r="K1491" s="93">
        <v>151.63999999999999</v>
      </c>
      <c r="L1491" s="93">
        <v>242835.67</v>
      </c>
      <c r="M1491" s="93">
        <v>354391.76</v>
      </c>
      <c r="N1491" s="95">
        <v>0.22</v>
      </c>
      <c r="O1491" s="95">
        <v>0.48</v>
      </c>
      <c r="P1491" s="95">
        <v>0.24</v>
      </c>
      <c r="Q1491" s="95">
        <v>0.06</v>
      </c>
      <c r="R1491" s="96">
        <v>0</v>
      </c>
    </row>
    <row r="1492" spans="1:18" ht="15" hidden="1" customHeight="1" x14ac:dyDescent="0.3">
      <c r="A1492" s="89">
        <v>2022</v>
      </c>
      <c r="B1492" s="90">
        <v>5</v>
      </c>
      <c r="C1492" s="90" t="s">
        <v>726</v>
      </c>
      <c r="D1492" s="90" t="s">
        <v>722</v>
      </c>
      <c r="E1492" s="91" t="s">
        <v>11</v>
      </c>
      <c r="F1492" s="92" t="s">
        <v>30</v>
      </c>
      <c r="G1492" s="93">
        <v>807.74</v>
      </c>
      <c r="H1492" s="93">
        <v>3460.95</v>
      </c>
      <c r="I1492" s="93">
        <v>2397.5457928860201</v>
      </c>
      <c r="J1492" s="93">
        <v>1323.06</v>
      </c>
      <c r="K1492" s="93">
        <v>122.48</v>
      </c>
      <c r="L1492" s="93">
        <v>220654.69</v>
      </c>
      <c r="M1492" s="93">
        <v>230086.24</v>
      </c>
      <c r="N1492" s="95">
        <v>0.09</v>
      </c>
      <c r="O1492" s="95">
        <v>0.37</v>
      </c>
      <c r="P1492" s="95">
        <v>0.39</v>
      </c>
      <c r="Q1492" s="95">
        <v>0.14000000000000001</v>
      </c>
      <c r="R1492" s="96">
        <v>0.01</v>
      </c>
    </row>
    <row r="1493" spans="1:18" ht="15" hidden="1" customHeight="1" x14ac:dyDescent="0.3">
      <c r="A1493" s="89">
        <v>2022</v>
      </c>
      <c r="B1493" s="90">
        <v>5</v>
      </c>
      <c r="C1493" s="90" t="s">
        <v>726</v>
      </c>
      <c r="D1493" s="90" t="s">
        <v>722</v>
      </c>
      <c r="E1493" s="91" t="s">
        <v>11</v>
      </c>
      <c r="F1493" s="92" t="s">
        <v>31</v>
      </c>
      <c r="G1493" s="93">
        <v>3363.72</v>
      </c>
      <c r="H1493" s="93">
        <v>63100.19</v>
      </c>
      <c r="I1493" s="93">
        <v>2397.5457928860201</v>
      </c>
      <c r="J1493" s="93">
        <v>17509.98</v>
      </c>
      <c r="K1493" s="93">
        <v>4563.7299999999996</v>
      </c>
      <c r="L1493" s="93">
        <v>104807.78</v>
      </c>
      <c r="M1493" s="93">
        <v>251948.86</v>
      </c>
      <c r="N1493" s="95">
        <v>0.02</v>
      </c>
      <c r="O1493" s="95">
        <v>0.43</v>
      </c>
      <c r="P1493" s="95">
        <v>0.4</v>
      </c>
      <c r="Q1493" s="95">
        <v>0.12</v>
      </c>
      <c r="R1493" s="96">
        <v>0.03</v>
      </c>
    </row>
    <row r="1494" spans="1:18" ht="15" hidden="1" customHeight="1" x14ac:dyDescent="0.3">
      <c r="A1494" s="89">
        <v>2022</v>
      </c>
      <c r="B1494" s="90">
        <v>5</v>
      </c>
      <c r="C1494" s="90" t="s">
        <v>726</v>
      </c>
      <c r="D1494" s="90" t="s">
        <v>722</v>
      </c>
      <c r="E1494" s="91" t="s">
        <v>11</v>
      </c>
      <c r="F1494" s="92" t="s">
        <v>32</v>
      </c>
      <c r="G1494" s="93">
        <v>32273.119999999999</v>
      </c>
      <c r="H1494" s="93">
        <v>110464.19</v>
      </c>
      <c r="I1494" s="93">
        <v>2397.5457928860201</v>
      </c>
      <c r="J1494" s="93">
        <v>34154.21</v>
      </c>
      <c r="K1494" s="93">
        <v>1420.66</v>
      </c>
      <c r="L1494" s="93">
        <v>317163.53999999998</v>
      </c>
      <c r="M1494" s="93">
        <v>609521.87</v>
      </c>
      <c r="N1494" s="95">
        <v>0.11</v>
      </c>
      <c r="O1494" s="95">
        <v>0.38</v>
      </c>
      <c r="P1494" s="95">
        <v>0.39</v>
      </c>
      <c r="Q1494" s="95">
        <v>0.12</v>
      </c>
      <c r="R1494" s="96">
        <v>0</v>
      </c>
    </row>
    <row r="1495" spans="1:18" ht="15" hidden="1" customHeight="1" x14ac:dyDescent="0.3">
      <c r="A1495" s="89">
        <v>2022</v>
      </c>
      <c r="B1495" s="90">
        <v>5</v>
      </c>
      <c r="C1495" s="90" t="s">
        <v>726</v>
      </c>
      <c r="D1495" s="90" t="s">
        <v>722</v>
      </c>
      <c r="E1495" s="91" t="s">
        <v>11</v>
      </c>
      <c r="F1495" s="92" t="s">
        <v>33</v>
      </c>
      <c r="G1495" s="93">
        <v>110988.26</v>
      </c>
      <c r="H1495" s="93">
        <v>256709.26</v>
      </c>
      <c r="I1495" s="93">
        <v>2397.5457928860201</v>
      </c>
      <c r="J1495" s="93">
        <v>183723.07</v>
      </c>
      <c r="K1495" s="93">
        <v>13951.46</v>
      </c>
      <c r="L1495" s="93">
        <v>398287.19</v>
      </c>
      <c r="M1495" s="93">
        <v>1352055.51</v>
      </c>
      <c r="N1495" s="95">
        <v>0.12</v>
      </c>
      <c r="O1495" s="95">
        <v>0.27</v>
      </c>
      <c r="P1495" s="95">
        <v>0.41</v>
      </c>
      <c r="Q1495" s="95">
        <v>0.19</v>
      </c>
      <c r="R1495" s="96">
        <v>0.01</v>
      </c>
    </row>
    <row r="1496" spans="1:18" ht="15" hidden="1" customHeight="1" x14ac:dyDescent="0.3">
      <c r="A1496" s="89">
        <v>2022</v>
      </c>
      <c r="B1496" s="90">
        <v>5</v>
      </c>
      <c r="C1496" s="90" t="s">
        <v>726</v>
      </c>
      <c r="D1496" s="90" t="s">
        <v>722</v>
      </c>
      <c r="E1496" s="91" t="s">
        <v>11</v>
      </c>
      <c r="F1496" s="92" t="s">
        <v>34</v>
      </c>
      <c r="G1496" s="93">
        <v>69223.710000000006</v>
      </c>
      <c r="H1496" s="93">
        <v>65379.41</v>
      </c>
      <c r="I1496" s="93">
        <v>2397.5457928860201</v>
      </c>
      <c r="J1496" s="93">
        <v>2462.64</v>
      </c>
      <c r="K1496" s="93">
        <v>136.58000000000001</v>
      </c>
      <c r="L1496" s="93">
        <v>557072.93000000005</v>
      </c>
      <c r="M1496" s="93">
        <v>713628.98</v>
      </c>
      <c r="N1496" s="95">
        <v>0.44</v>
      </c>
      <c r="O1496" s="95">
        <v>0.42</v>
      </c>
      <c r="P1496" s="95">
        <v>0.12</v>
      </c>
      <c r="Q1496" s="95">
        <v>0.02</v>
      </c>
      <c r="R1496" s="96">
        <v>0</v>
      </c>
    </row>
    <row r="1497" spans="1:18" ht="15" hidden="1" customHeight="1" x14ac:dyDescent="0.3">
      <c r="A1497" s="89">
        <v>2022</v>
      </c>
      <c r="B1497" s="90">
        <v>5</v>
      </c>
      <c r="C1497" s="90" t="s">
        <v>726</v>
      </c>
      <c r="D1497" s="90" t="s">
        <v>722</v>
      </c>
      <c r="E1497" s="91" t="s">
        <v>11</v>
      </c>
      <c r="F1497" s="92" t="s">
        <v>35</v>
      </c>
      <c r="G1497" s="93">
        <v>39552.46</v>
      </c>
      <c r="H1497" s="93">
        <v>93926.15</v>
      </c>
      <c r="I1497" s="93">
        <v>2397.5457928860201</v>
      </c>
      <c r="J1497" s="93">
        <v>11178.8</v>
      </c>
      <c r="K1497" s="93">
        <v>362.46</v>
      </c>
      <c r="L1497" s="93">
        <v>394655.1</v>
      </c>
      <c r="M1497" s="93">
        <v>605861.19999999995</v>
      </c>
      <c r="N1497" s="95">
        <v>0.19</v>
      </c>
      <c r="O1497" s="95">
        <v>0.44</v>
      </c>
      <c r="P1497" s="95">
        <v>0.31</v>
      </c>
      <c r="Q1497" s="95">
        <v>0.05</v>
      </c>
      <c r="R1497" s="96">
        <v>0</v>
      </c>
    </row>
    <row r="1498" spans="1:18" ht="15" hidden="1" customHeight="1" x14ac:dyDescent="0.3">
      <c r="A1498" s="89">
        <v>2022</v>
      </c>
      <c r="B1498" s="90">
        <v>5</v>
      </c>
      <c r="C1498" s="90" t="s">
        <v>726</v>
      </c>
      <c r="D1498" s="90" t="s">
        <v>722</v>
      </c>
      <c r="E1498" s="91" t="s">
        <v>11</v>
      </c>
      <c r="F1498" s="92" t="s">
        <v>36</v>
      </c>
      <c r="G1498" s="93">
        <v>22366.63</v>
      </c>
      <c r="H1498" s="93">
        <v>56045.55</v>
      </c>
      <c r="I1498" s="93">
        <v>2397.5457928860201</v>
      </c>
      <c r="J1498" s="93">
        <v>3041.95</v>
      </c>
      <c r="K1498" s="93">
        <v>28.37</v>
      </c>
      <c r="L1498" s="93">
        <v>144161.95000000001</v>
      </c>
      <c r="M1498" s="93">
        <v>258886.74</v>
      </c>
      <c r="N1498" s="95">
        <v>0.19</v>
      </c>
      <c r="O1498" s="95">
        <v>0.49</v>
      </c>
      <c r="P1498" s="95">
        <v>0.28999999999999998</v>
      </c>
      <c r="Q1498" s="95">
        <v>0.03</v>
      </c>
      <c r="R1498" s="96">
        <v>0</v>
      </c>
    </row>
    <row r="1499" spans="1:18" ht="15" hidden="1" customHeight="1" x14ac:dyDescent="0.3">
      <c r="A1499" s="89">
        <v>2022</v>
      </c>
      <c r="B1499" s="90">
        <v>5</v>
      </c>
      <c r="C1499" s="90" t="s">
        <v>726</v>
      </c>
      <c r="D1499" s="90" t="s">
        <v>722</v>
      </c>
      <c r="E1499" s="91" t="s">
        <v>11</v>
      </c>
      <c r="F1499" s="92" t="s">
        <v>37</v>
      </c>
      <c r="G1499" s="93">
        <v>16784.240000000002</v>
      </c>
      <c r="H1499" s="93">
        <v>27428.240000000002</v>
      </c>
      <c r="I1499" s="93">
        <v>2397.5457928860201</v>
      </c>
      <c r="J1499" s="93">
        <v>5027.47</v>
      </c>
      <c r="K1499" s="93">
        <v>114.44</v>
      </c>
      <c r="L1499" s="93">
        <v>451682.13</v>
      </c>
      <c r="M1499" s="93">
        <v>524074.32</v>
      </c>
      <c r="N1499" s="95">
        <v>0.23</v>
      </c>
      <c r="O1499" s="95">
        <v>0.38</v>
      </c>
      <c r="P1499" s="95">
        <v>0.32</v>
      </c>
      <c r="Q1499" s="95">
        <v>7.0000000000000007E-2</v>
      </c>
      <c r="R1499" s="96">
        <v>0</v>
      </c>
    </row>
    <row r="1500" spans="1:18" ht="15" hidden="1" customHeight="1" x14ac:dyDescent="0.3">
      <c r="A1500" s="89">
        <v>2022</v>
      </c>
      <c r="B1500" s="90">
        <v>5</v>
      </c>
      <c r="C1500" s="90" t="s">
        <v>726</v>
      </c>
      <c r="D1500" s="90" t="s">
        <v>722</v>
      </c>
      <c r="E1500" s="91" t="s">
        <v>11</v>
      </c>
      <c r="F1500" s="92" t="s">
        <v>38</v>
      </c>
      <c r="G1500" s="93">
        <v>84789.55</v>
      </c>
      <c r="H1500" s="93">
        <v>170522.7</v>
      </c>
      <c r="I1500" s="93">
        <v>2397.5457928860201</v>
      </c>
      <c r="J1500" s="93">
        <v>31172.83</v>
      </c>
      <c r="K1500" s="93">
        <v>339.08</v>
      </c>
      <c r="L1500" s="93">
        <v>494155.97</v>
      </c>
      <c r="M1500" s="93">
        <v>927959.02</v>
      </c>
      <c r="N1500" s="95">
        <v>0.2</v>
      </c>
      <c r="O1500" s="95">
        <v>0.39</v>
      </c>
      <c r="P1500" s="95">
        <v>0.34</v>
      </c>
      <c r="Q1500" s="95">
        <v>7.0000000000000007E-2</v>
      </c>
      <c r="R1500" s="96">
        <v>0</v>
      </c>
    </row>
    <row r="1501" spans="1:18" ht="15" hidden="1" customHeight="1" x14ac:dyDescent="0.3">
      <c r="A1501" s="89">
        <v>2022</v>
      </c>
      <c r="B1501" s="90">
        <v>5</v>
      </c>
      <c r="C1501" s="90" t="s">
        <v>726</v>
      </c>
      <c r="D1501" s="90" t="s">
        <v>722</v>
      </c>
      <c r="E1501" s="91" t="s">
        <v>11</v>
      </c>
      <c r="F1501" s="92" t="s">
        <v>39</v>
      </c>
      <c r="G1501" s="93">
        <v>28746</v>
      </c>
      <c r="H1501" s="93">
        <v>87243.74</v>
      </c>
      <c r="I1501" s="93">
        <v>2397.5457928860201</v>
      </c>
      <c r="J1501" s="93">
        <v>14406.87</v>
      </c>
      <c r="K1501" s="93">
        <v>473.07</v>
      </c>
      <c r="L1501" s="93">
        <v>140905.51999999999</v>
      </c>
      <c r="M1501" s="93">
        <v>331195.63</v>
      </c>
      <c r="N1501" s="95">
        <v>0.15</v>
      </c>
      <c r="O1501" s="95">
        <v>0.46</v>
      </c>
      <c r="P1501" s="95">
        <v>0.31</v>
      </c>
      <c r="Q1501" s="95">
        <v>0.08</v>
      </c>
      <c r="R1501" s="96">
        <v>0</v>
      </c>
    </row>
    <row r="1502" spans="1:18" ht="15" hidden="1" customHeight="1" x14ac:dyDescent="0.3">
      <c r="A1502" s="89">
        <v>2022</v>
      </c>
      <c r="B1502" s="90">
        <v>5</v>
      </c>
      <c r="C1502" s="90" t="s">
        <v>726</v>
      </c>
      <c r="D1502" s="90" t="s">
        <v>722</v>
      </c>
      <c r="E1502" s="91" t="s">
        <v>11</v>
      </c>
      <c r="F1502" s="92" t="s">
        <v>41</v>
      </c>
      <c r="G1502" s="93">
        <v>3392.9</v>
      </c>
      <c r="H1502" s="93">
        <v>6936.6</v>
      </c>
      <c r="I1502" s="93">
        <v>2397.5457928860201</v>
      </c>
      <c r="J1502" s="93">
        <v>1193.94</v>
      </c>
      <c r="K1502" s="93">
        <v>22.04</v>
      </c>
      <c r="L1502" s="93">
        <v>2248.4899999999998</v>
      </c>
      <c r="M1502" s="93">
        <v>18714.330000000002</v>
      </c>
      <c r="N1502" s="95">
        <v>0.21</v>
      </c>
      <c r="O1502" s="95">
        <v>0.42</v>
      </c>
      <c r="P1502" s="95">
        <v>0.3</v>
      </c>
      <c r="Q1502" s="95">
        <v>7.0000000000000007E-2</v>
      </c>
      <c r="R1502" s="96">
        <v>0</v>
      </c>
    </row>
    <row r="1503" spans="1:18" ht="15" hidden="1" customHeight="1" x14ac:dyDescent="0.3">
      <c r="A1503" s="89">
        <v>2022</v>
      </c>
      <c r="B1503" s="90">
        <v>5</v>
      </c>
      <c r="C1503" s="90" t="s">
        <v>726</v>
      </c>
      <c r="D1503" s="90" t="s">
        <v>722</v>
      </c>
      <c r="E1503" s="91" t="s">
        <v>11</v>
      </c>
      <c r="F1503" s="92" t="s">
        <v>42</v>
      </c>
      <c r="G1503" s="93">
        <v>52107.199999999997</v>
      </c>
      <c r="H1503" s="93">
        <v>165319.97</v>
      </c>
      <c r="I1503" s="93">
        <v>2397.5457928860201</v>
      </c>
      <c r="J1503" s="93">
        <v>6518.96</v>
      </c>
      <c r="K1503" s="93">
        <v>65.3</v>
      </c>
      <c r="L1503" s="93">
        <v>319583.09000000003</v>
      </c>
      <c r="M1503" s="93">
        <v>620824.21</v>
      </c>
      <c r="N1503" s="95">
        <v>0.17</v>
      </c>
      <c r="O1503" s="95">
        <v>0.55000000000000004</v>
      </c>
      <c r="P1503" s="95">
        <v>0.26</v>
      </c>
      <c r="Q1503" s="95">
        <v>0.02</v>
      </c>
      <c r="R1503" s="96">
        <v>0</v>
      </c>
    </row>
    <row r="1504" spans="1:18" ht="15" hidden="1" customHeight="1" x14ac:dyDescent="0.3">
      <c r="A1504" s="89">
        <v>2022</v>
      </c>
      <c r="B1504" s="90">
        <v>5</v>
      </c>
      <c r="C1504" s="90" t="s">
        <v>726</v>
      </c>
      <c r="D1504" s="90" t="s">
        <v>722</v>
      </c>
      <c r="E1504" s="91" t="s">
        <v>11</v>
      </c>
      <c r="F1504" s="92" t="s">
        <v>43</v>
      </c>
      <c r="G1504" s="93">
        <v>2540.09</v>
      </c>
      <c r="H1504" s="93">
        <v>15564.26</v>
      </c>
      <c r="I1504" s="93">
        <v>2397.5457928860201</v>
      </c>
      <c r="J1504" s="93">
        <v>5808.66</v>
      </c>
      <c r="K1504" s="93">
        <v>920.64</v>
      </c>
      <c r="L1504" s="93">
        <v>147468.45000000001</v>
      </c>
      <c r="M1504" s="93">
        <v>185575.52</v>
      </c>
      <c r="N1504" s="95">
        <v>7.0000000000000007E-2</v>
      </c>
      <c r="O1504" s="95">
        <v>0.41</v>
      </c>
      <c r="P1504" s="95">
        <v>0.35</v>
      </c>
      <c r="Q1504" s="95">
        <v>0.15</v>
      </c>
      <c r="R1504" s="96">
        <v>0.02</v>
      </c>
    </row>
    <row r="1505" spans="1:18" ht="15" hidden="1" customHeight="1" x14ac:dyDescent="0.3">
      <c r="A1505" s="89">
        <v>2022</v>
      </c>
      <c r="B1505" s="90">
        <v>5</v>
      </c>
      <c r="C1505" s="90" t="s">
        <v>726</v>
      </c>
      <c r="D1505" s="90" t="s">
        <v>722</v>
      </c>
      <c r="E1505" s="91" t="s">
        <v>11</v>
      </c>
      <c r="F1505" s="92" t="s">
        <v>58</v>
      </c>
      <c r="G1505" s="93">
        <v>43141.46</v>
      </c>
      <c r="H1505" s="93">
        <v>159720.54999999999</v>
      </c>
      <c r="I1505" s="93">
        <v>2397.5457928860201</v>
      </c>
      <c r="J1505" s="93">
        <v>7430.03</v>
      </c>
      <c r="K1505" s="93">
        <v>158.57</v>
      </c>
      <c r="L1505" s="93">
        <v>69384.960000000006</v>
      </c>
      <c r="M1505" s="93">
        <v>371477.13</v>
      </c>
      <c r="N1505" s="95">
        <v>0.14000000000000001</v>
      </c>
      <c r="O1505" s="95">
        <v>0.53</v>
      </c>
      <c r="P1505" s="95">
        <v>0.3</v>
      </c>
      <c r="Q1505" s="95">
        <v>0.02</v>
      </c>
      <c r="R1505" s="96">
        <v>0</v>
      </c>
    </row>
    <row r="1506" spans="1:18" ht="15" hidden="1" customHeight="1" x14ac:dyDescent="0.3">
      <c r="A1506" s="89">
        <v>2022</v>
      </c>
      <c r="B1506" s="90">
        <v>5</v>
      </c>
      <c r="C1506" s="90" t="s">
        <v>726</v>
      </c>
      <c r="D1506" s="90" t="s">
        <v>722</v>
      </c>
      <c r="E1506" s="91" t="s">
        <v>11</v>
      </c>
      <c r="F1506" s="92" t="s">
        <v>44</v>
      </c>
      <c r="G1506" s="93">
        <v>25110.42</v>
      </c>
      <c r="H1506" s="93">
        <v>69765.279999999999</v>
      </c>
      <c r="I1506" s="93">
        <v>2397.5457928860201</v>
      </c>
      <c r="J1506" s="93">
        <v>6207.36</v>
      </c>
      <c r="K1506" s="93">
        <v>262.88</v>
      </c>
      <c r="L1506" s="93">
        <v>72526.36</v>
      </c>
      <c r="M1506" s="93">
        <v>215729.36</v>
      </c>
      <c r="N1506" s="95">
        <v>0.18</v>
      </c>
      <c r="O1506" s="95">
        <v>0.49</v>
      </c>
      <c r="P1506" s="95">
        <v>0.28999999999999998</v>
      </c>
      <c r="Q1506" s="95">
        <v>0.04</v>
      </c>
      <c r="R1506" s="96">
        <v>0</v>
      </c>
    </row>
    <row r="1507" spans="1:18" ht="15" hidden="1" customHeight="1" x14ac:dyDescent="0.3">
      <c r="A1507" s="89">
        <v>2022</v>
      </c>
      <c r="B1507" s="90">
        <v>5</v>
      </c>
      <c r="C1507" s="90" t="s">
        <v>726</v>
      </c>
      <c r="D1507" s="90" t="s">
        <v>722</v>
      </c>
      <c r="E1507" s="91" t="s">
        <v>11</v>
      </c>
      <c r="F1507" s="92" t="s">
        <v>51</v>
      </c>
      <c r="G1507" s="93">
        <v>10823.07</v>
      </c>
      <c r="H1507" s="93">
        <v>44964.58</v>
      </c>
      <c r="I1507" s="93">
        <v>2397.5457928860201</v>
      </c>
      <c r="J1507" s="93">
        <v>43415.57</v>
      </c>
      <c r="K1507" s="93">
        <v>3071.6</v>
      </c>
      <c r="L1507" s="93">
        <v>5288.2</v>
      </c>
      <c r="M1507" s="93">
        <v>211202.48</v>
      </c>
      <c r="N1507" s="95">
        <v>0.05</v>
      </c>
      <c r="O1507" s="95">
        <v>0.22</v>
      </c>
      <c r="P1507" s="95">
        <v>0.5</v>
      </c>
      <c r="Q1507" s="95">
        <v>0.21</v>
      </c>
      <c r="R1507" s="96">
        <v>0.01</v>
      </c>
    </row>
    <row r="1508" spans="1:18" ht="15" hidden="1" customHeight="1" x14ac:dyDescent="0.3">
      <c r="A1508" s="89">
        <v>2022</v>
      </c>
      <c r="B1508" s="90">
        <v>5</v>
      </c>
      <c r="C1508" s="90" t="s">
        <v>726</v>
      </c>
      <c r="D1508" s="90" t="s">
        <v>722</v>
      </c>
      <c r="E1508" s="91" t="s">
        <v>11</v>
      </c>
      <c r="F1508" s="92" t="s">
        <v>45</v>
      </c>
      <c r="G1508" s="93">
        <v>10307.82</v>
      </c>
      <c r="H1508" s="93">
        <v>21467.57</v>
      </c>
      <c r="I1508" s="93">
        <v>2397.5457928860201</v>
      </c>
      <c r="J1508" s="93">
        <v>5478.04</v>
      </c>
      <c r="K1508" s="93">
        <v>261.02999999999997</v>
      </c>
      <c r="L1508" s="93">
        <v>78959.66</v>
      </c>
      <c r="M1508" s="93">
        <v>134096.20000000001</v>
      </c>
      <c r="N1508" s="95">
        <v>0.19</v>
      </c>
      <c r="O1508" s="95">
        <v>0.39</v>
      </c>
      <c r="P1508" s="95">
        <v>0.32</v>
      </c>
      <c r="Q1508" s="95">
        <v>0.1</v>
      </c>
      <c r="R1508" s="96">
        <v>0</v>
      </c>
    </row>
    <row r="1509" spans="1:18" ht="15" hidden="1" customHeight="1" x14ac:dyDescent="0.3">
      <c r="A1509" s="89">
        <v>2022</v>
      </c>
      <c r="B1509" s="90">
        <v>5</v>
      </c>
      <c r="C1509" s="90" t="s">
        <v>726</v>
      </c>
      <c r="D1509" s="90" t="s">
        <v>722</v>
      </c>
      <c r="E1509" s="91" t="s">
        <v>11</v>
      </c>
      <c r="F1509" s="92" t="s">
        <v>721</v>
      </c>
      <c r="G1509" s="93">
        <v>28822.01</v>
      </c>
      <c r="H1509" s="93">
        <v>114610.16</v>
      </c>
      <c r="I1509" s="93">
        <v>2397.5457928860201</v>
      </c>
      <c r="J1509" s="93">
        <v>18761.740000000002</v>
      </c>
      <c r="K1509" s="93">
        <v>1169.82</v>
      </c>
      <c r="L1509" s="93">
        <v>53672.5</v>
      </c>
      <c r="M1509" s="93">
        <v>309330.63</v>
      </c>
      <c r="N1509" s="95">
        <v>0.11</v>
      </c>
      <c r="O1509" s="95">
        <v>0.45</v>
      </c>
      <c r="P1509" s="95">
        <v>0.36</v>
      </c>
      <c r="Q1509" s="95">
        <v>7.0000000000000007E-2</v>
      </c>
      <c r="R1509" s="96">
        <v>0</v>
      </c>
    </row>
    <row r="1510" spans="1:18" ht="15" hidden="1" customHeight="1" x14ac:dyDescent="0.3">
      <c r="A1510" s="89">
        <v>2022</v>
      </c>
      <c r="B1510" s="90">
        <v>5</v>
      </c>
      <c r="C1510" s="90" t="s">
        <v>726</v>
      </c>
      <c r="D1510" s="90" t="s">
        <v>722</v>
      </c>
      <c r="E1510" s="91" t="s">
        <v>11</v>
      </c>
      <c r="F1510" s="92" t="s">
        <v>46</v>
      </c>
      <c r="G1510" s="93">
        <v>33485.199999999997</v>
      </c>
      <c r="H1510" s="93">
        <v>67706</v>
      </c>
      <c r="I1510" s="93">
        <v>2397.5457928860201</v>
      </c>
      <c r="J1510" s="93">
        <v>2132.6999999999998</v>
      </c>
      <c r="K1510" s="93">
        <v>301.81</v>
      </c>
      <c r="L1510" s="93">
        <v>21465.53</v>
      </c>
      <c r="M1510" s="93">
        <v>149074.81</v>
      </c>
      <c r="N1510" s="95">
        <v>0.26</v>
      </c>
      <c r="O1510" s="95">
        <v>0.53</v>
      </c>
      <c r="P1510" s="95">
        <v>0.19</v>
      </c>
      <c r="Q1510" s="95">
        <v>0.02</v>
      </c>
      <c r="R1510" s="96">
        <v>0</v>
      </c>
    </row>
    <row r="1511" spans="1:18" ht="15" hidden="1" customHeight="1" x14ac:dyDescent="0.3">
      <c r="A1511" s="89">
        <v>2022</v>
      </c>
      <c r="B1511" s="90">
        <v>5</v>
      </c>
      <c r="C1511" s="90" t="s">
        <v>726</v>
      </c>
      <c r="D1511" s="90" t="s">
        <v>722</v>
      </c>
      <c r="E1511" s="91" t="s">
        <v>11</v>
      </c>
      <c r="F1511" s="92" t="s">
        <v>47</v>
      </c>
      <c r="G1511" s="93">
        <v>21610.41</v>
      </c>
      <c r="H1511" s="93">
        <v>126366.27</v>
      </c>
      <c r="I1511" s="93">
        <v>2397.5457928860201</v>
      </c>
      <c r="J1511" s="93">
        <v>312939.19</v>
      </c>
      <c r="K1511" s="93">
        <v>95710.64</v>
      </c>
      <c r="L1511" s="93">
        <v>549677.49</v>
      </c>
      <c r="M1511" s="93">
        <v>1461770.89</v>
      </c>
      <c r="N1511" s="95">
        <v>0.02</v>
      </c>
      <c r="O1511" s="95">
        <v>0.14000000000000001</v>
      </c>
      <c r="P1511" s="95">
        <v>0.39</v>
      </c>
      <c r="Q1511" s="95">
        <v>0.34</v>
      </c>
      <c r="R1511" s="96">
        <v>0.1</v>
      </c>
    </row>
    <row r="1512" spans="1:18" ht="15" hidden="1" customHeight="1" x14ac:dyDescent="0.3">
      <c r="A1512" s="89">
        <v>2022</v>
      </c>
      <c r="B1512" s="90">
        <v>5</v>
      </c>
      <c r="C1512" s="90" t="s">
        <v>726</v>
      </c>
      <c r="D1512" s="90" t="s">
        <v>722</v>
      </c>
      <c r="E1512" s="91" t="s">
        <v>11</v>
      </c>
      <c r="F1512" s="92" t="s">
        <v>48</v>
      </c>
      <c r="G1512" s="93">
        <v>4931.41</v>
      </c>
      <c r="H1512" s="93">
        <v>23648.46</v>
      </c>
      <c r="I1512" s="93">
        <v>2397.5457928860201</v>
      </c>
      <c r="J1512" s="93">
        <v>9028.6200000000008</v>
      </c>
      <c r="K1512" s="93">
        <v>359.43</v>
      </c>
      <c r="L1512" s="93">
        <v>43452.72</v>
      </c>
      <c r="M1512" s="93">
        <v>110314.47</v>
      </c>
      <c r="N1512" s="95">
        <v>7.0000000000000007E-2</v>
      </c>
      <c r="O1512" s="95">
        <v>0.35</v>
      </c>
      <c r="P1512" s="95">
        <v>0.43</v>
      </c>
      <c r="Q1512" s="95">
        <v>0.14000000000000001</v>
      </c>
      <c r="R1512" s="96">
        <v>0.01</v>
      </c>
    </row>
    <row r="1513" spans="1:18" ht="15" hidden="1" customHeight="1" x14ac:dyDescent="0.3">
      <c r="A1513" s="89">
        <v>2022</v>
      </c>
      <c r="B1513" s="90">
        <v>5</v>
      </c>
      <c r="C1513" s="90" t="s">
        <v>726</v>
      </c>
      <c r="D1513" s="90" t="s">
        <v>722</v>
      </c>
      <c r="E1513" s="91" t="s">
        <v>11</v>
      </c>
      <c r="F1513" s="92" t="s">
        <v>40</v>
      </c>
      <c r="G1513" s="93">
        <v>29425.39</v>
      </c>
      <c r="H1513" s="93">
        <v>127027.38</v>
      </c>
      <c r="I1513" s="93">
        <v>2397.5457928860201</v>
      </c>
      <c r="J1513" s="93">
        <v>9987.65</v>
      </c>
      <c r="K1513" s="93">
        <v>111.26</v>
      </c>
      <c r="L1513" s="93">
        <v>82275.08</v>
      </c>
      <c r="M1513" s="93">
        <v>326305.03999999998</v>
      </c>
      <c r="N1513" s="95">
        <v>0.12</v>
      </c>
      <c r="O1513" s="95">
        <v>0.52</v>
      </c>
      <c r="P1513" s="95">
        <v>0.32</v>
      </c>
      <c r="Q1513" s="95">
        <v>0.04</v>
      </c>
      <c r="R1513" s="96">
        <v>0</v>
      </c>
    </row>
    <row r="1514" spans="1:18" ht="15" hidden="1" customHeight="1" x14ac:dyDescent="0.3">
      <c r="A1514" s="89">
        <v>2022</v>
      </c>
      <c r="B1514" s="90">
        <v>6</v>
      </c>
      <c r="C1514" s="90" t="s">
        <v>727</v>
      </c>
      <c r="D1514" s="90" t="s">
        <v>719</v>
      </c>
      <c r="E1514" s="91" t="s">
        <v>11</v>
      </c>
      <c r="F1514" s="92" t="s">
        <v>26</v>
      </c>
      <c r="G1514" s="93">
        <v>94767.15</v>
      </c>
      <c r="H1514" s="93">
        <v>280964.68</v>
      </c>
      <c r="I1514" s="93">
        <v>2397.5457928860201</v>
      </c>
      <c r="J1514" s="93">
        <v>129948.55</v>
      </c>
      <c r="K1514" s="93">
        <v>937.45</v>
      </c>
      <c r="L1514" s="93">
        <v>274537.46999999997</v>
      </c>
      <c r="M1514" s="93">
        <v>1302393.77</v>
      </c>
      <c r="N1514" s="95">
        <v>0.09</v>
      </c>
      <c r="O1514" s="95">
        <v>0.27</v>
      </c>
      <c r="P1514" s="95">
        <v>0.51</v>
      </c>
      <c r="Q1514" s="95">
        <v>0.13</v>
      </c>
      <c r="R1514" s="96">
        <v>0</v>
      </c>
    </row>
    <row r="1515" spans="1:18" ht="15" hidden="1" customHeight="1" x14ac:dyDescent="0.3">
      <c r="A1515" s="89">
        <v>2022</v>
      </c>
      <c r="B1515" s="90">
        <v>6</v>
      </c>
      <c r="C1515" s="90" t="s">
        <v>727</v>
      </c>
      <c r="D1515" s="90" t="s">
        <v>719</v>
      </c>
      <c r="E1515" s="91" t="s">
        <v>11</v>
      </c>
      <c r="F1515" s="92" t="s">
        <v>12</v>
      </c>
      <c r="G1515" s="93">
        <v>22597.91</v>
      </c>
      <c r="H1515" s="93">
        <v>122145.56</v>
      </c>
      <c r="I1515" s="93">
        <v>2397.5457928860201</v>
      </c>
      <c r="J1515" s="93">
        <v>43373.21</v>
      </c>
      <c r="K1515" s="93">
        <v>1545.32</v>
      </c>
      <c r="L1515" s="93">
        <v>80622.080000000002</v>
      </c>
      <c r="M1515" s="93">
        <v>433311.44</v>
      </c>
      <c r="N1515" s="95">
        <v>0.06</v>
      </c>
      <c r="O1515" s="95">
        <v>0.35</v>
      </c>
      <c r="P1515" s="95">
        <v>0.46</v>
      </c>
      <c r="Q1515" s="95">
        <v>0.12</v>
      </c>
      <c r="R1515" s="96">
        <v>0</v>
      </c>
    </row>
    <row r="1516" spans="1:18" ht="15" hidden="1" customHeight="1" x14ac:dyDescent="0.3">
      <c r="A1516" s="89">
        <v>2022</v>
      </c>
      <c r="B1516" s="90">
        <v>6</v>
      </c>
      <c r="C1516" s="90" t="s">
        <v>727</v>
      </c>
      <c r="D1516" s="90" t="s">
        <v>719</v>
      </c>
      <c r="E1516" s="91" t="s">
        <v>11</v>
      </c>
      <c r="F1516" s="92" t="s">
        <v>27</v>
      </c>
      <c r="G1516" s="93">
        <v>16227.31</v>
      </c>
      <c r="H1516" s="93">
        <v>98205.9</v>
      </c>
      <c r="I1516" s="93">
        <v>2397.5457928860201</v>
      </c>
      <c r="J1516" s="93">
        <v>11976.06</v>
      </c>
      <c r="K1516" s="93">
        <v>577.35</v>
      </c>
      <c r="L1516" s="93">
        <v>18137.79</v>
      </c>
      <c r="M1516" s="93">
        <v>226689.38</v>
      </c>
      <c r="N1516" s="95">
        <v>0.08</v>
      </c>
      <c r="O1516" s="95">
        <v>0.47</v>
      </c>
      <c r="P1516" s="95">
        <v>0.39</v>
      </c>
      <c r="Q1516" s="95">
        <v>0.06</v>
      </c>
      <c r="R1516" s="96">
        <v>0</v>
      </c>
    </row>
    <row r="1517" spans="1:18" ht="15" hidden="1" customHeight="1" x14ac:dyDescent="0.3">
      <c r="A1517" s="89">
        <v>2022</v>
      </c>
      <c r="B1517" s="90">
        <v>6</v>
      </c>
      <c r="C1517" s="90" t="s">
        <v>727</v>
      </c>
      <c r="D1517" s="90" t="s">
        <v>719</v>
      </c>
      <c r="E1517" s="91" t="s">
        <v>11</v>
      </c>
      <c r="F1517" s="92" t="s">
        <v>28</v>
      </c>
      <c r="G1517" s="93">
        <v>13019.15</v>
      </c>
      <c r="H1517" s="93">
        <v>97669.48</v>
      </c>
      <c r="I1517" s="93">
        <v>2397.5457928860201</v>
      </c>
      <c r="J1517" s="93">
        <v>48376.32</v>
      </c>
      <c r="K1517" s="93">
        <v>723.27</v>
      </c>
      <c r="L1517" s="93">
        <v>6064.23</v>
      </c>
      <c r="M1517" s="93">
        <v>373104.4</v>
      </c>
      <c r="N1517" s="95">
        <v>0.04</v>
      </c>
      <c r="O1517" s="95">
        <v>0.27</v>
      </c>
      <c r="P1517" s="95">
        <v>0.56000000000000005</v>
      </c>
      <c r="Q1517" s="95">
        <v>0.13</v>
      </c>
      <c r="R1517" s="96">
        <v>0</v>
      </c>
    </row>
    <row r="1518" spans="1:18" ht="15" customHeight="1" x14ac:dyDescent="0.3">
      <c r="A1518" s="89">
        <v>2022</v>
      </c>
      <c r="B1518" s="90">
        <v>6</v>
      </c>
      <c r="C1518" s="90" t="s">
        <v>727</v>
      </c>
      <c r="D1518" s="90" t="s">
        <v>719</v>
      </c>
      <c r="E1518" s="91" t="s">
        <v>11</v>
      </c>
      <c r="F1518" s="92" t="s">
        <v>29</v>
      </c>
      <c r="G1518" s="93">
        <v>25979.03</v>
      </c>
      <c r="H1518" s="93">
        <v>85682.36</v>
      </c>
      <c r="I1518" s="93">
        <v>2397.5457928860201</v>
      </c>
      <c r="J1518" s="93">
        <v>35651.410000000003</v>
      </c>
      <c r="K1518" s="93">
        <v>2294.46</v>
      </c>
      <c r="L1518" s="93">
        <v>111066.77</v>
      </c>
      <c r="M1518" s="93">
        <v>354391.76</v>
      </c>
      <c r="N1518" s="95">
        <v>0.11</v>
      </c>
      <c r="O1518" s="95">
        <v>0.35</v>
      </c>
      <c r="P1518" s="95">
        <v>0.39</v>
      </c>
      <c r="Q1518" s="95">
        <v>0.15</v>
      </c>
      <c r="R1518" s="96">
        <v>0.01</v>
      </c>
    </row>
    <row r="1519" spans="1:18" ht="15" hidden="1" customHeight="1" x14ac:dyDescent="0.3">
      <c r="A1519" s="89">
        <v>2022</v>
      </c>
      <c r="B1519" s="90">
        <v>6</v>
      </c>
      <c r="C1519" s="90" t="s">
        <v>727</v>
      </c>
      <c r="D1519" s="90" t="s">
        <v>719</v>
      </c>
      <c r="E1519" s="91" t="s">
        <v>11</v>
      </c>
      <c r="F1519" s="92" t="s">
        <v>30</v>
      </c>
      <c r="G1519" s="93">
        <v>1667.64</v>
      </c>
      <c r="H1519" s="93">
        <v>6639.15</v>
      </c>
      <c r="I1519" s="93">
        <v>2397.5457928860201</v>
      </c>
      <c r="J1519" s="93">
        <v>778.09</v>
      </c>
      <c r="K1519" s="93">
        <v>51.76</v>
      </c>
      <c r="L1519" s="93">
        <v>217765.62</v>
      </c>
      <c r="M1519" s="93">
        <v>230086.24</v>
      </c>
      <c r="N1519" s="95">
        <v>0.14000000000000001</v>
      </c>
      <c r="O1519" s="95">
        <v>0.54</v>
      </c>
      <c r="P1519" s="95">
        <v>0.26</v>
      </c>
      <c r="Q1519" s="95">
        <v>0.06</v>
      </c>
      <c r="R1519" s="96">
        <v>0</v>
      </c>
    </row>
    <row r="1520" spans="1:18" ht="15" hidden="1" customHeight="1" x14ac:dyDescent="0.3">
      <c r="A1520" s="89">
        <v>2022</v>
      </c>
      <c r="B1520" s="90">
        <v>6</v>
      </c>
      <c r="C1520" s="90" t="s">
        <v>727</v>
      </c>
      <c r="D1520" s="90" t="s">
        <v>719</v>
      </c>
      <c r="E1520" s="91" t="s">
        <v>11</v>
      </c>
      <c r="F1520" s="92" t="s">
        <v>31</v>
      </c>
      <c r="G1520" s="93">
        <v>4107.25</v>
      </c>
      <c r="H1520" s="93">
        <v>90481.3</v>
      </c>
      <c r="I1520" s="93">
        <v>2397.5457928860201</v>
      </c>
      <c r="J1520" s="93">
        <v>16550.32</v>
      </c>
      <c r="K1520" s="93">
        <v>3967.06</v>
      </c>
      <c r="L1520" s="93">
        <v>68067.039999999994</v>
      </c>
      <c r="M1520" s="93">
        <v>251948.86</v>
      </c>
      <c r="N1520" s="95">
        <v>0.02</v>
      </c>
      <c r="O1520" s="95">
        <v>0.49</v>
      </c>
      <c r="P1520" s="95">
        <v>0.37</v>
      </c>
      <c r="Q1520" s="95">
        <v>0.09</v>
      </c>
      <c r="R1520" s="96">
        <v>0.02</v>
      </c>
    </row>
    <row r="1521" spans="1:18" ht="15" hidden="1" customHeight="1" x14ac:dyDescent="0.3">
      <c r="A1521" s="89">
        <v>2022</v>
      </c>
      <c r="B1521" s="90">
        <v>6</v>
      </c>
      <c r="C1521" s="90" t="s">
        <v>727</v>
      </c>
      <c r="D1521" s="90" t="s">
        <v>719</v>
      </c>
      <c r="E1521" s="91" t="s">
        <v>11</v>
      </c>
      <c r="F1521" s="92" t="s">
        <v>32</v>
      </c>
      <c r="G1521" s="93">
        <v>19903.830000000002</v>
      </c>
      <c r="H1521" s="93">
        <v>100288.52</v>
      </c>
      <c r="I1521" s="93">
        <v>2397.5457928860201</v>
      </c>
      <c r="J1521" s="93">
        <v>183403.85</v>
      </c>
      <c r="K1521" s="93">
        <v>23572.28</v>
      </c>
      <c r="L1521" s="93">
        <v>76077.740000000005</v>
      </c>
      <c r="M1521" s="93">
        <v>609521.87</v>
      </c>
      <c r="N1521" s="95">
        <v>0.04</v>
      </c>
      <c r="O1521" s="95">
        <v>0.19</v>
      </c>
      <c r="P1521" s="95">
        <v>0.39</v>
      </c>
      <c r="Q1521" s="95">
        <v>0.34</v>
      </c>
      <c r="R1521" s="96">
        <v>0.04</v>
      </c>
    </row>
    <row r="1522" spans="1:18" ht="15" hidden="1" customHeight="1" x14ac:dyDescent="0.3">
      <c r="A1522" s="89">
        <v>2022</v>
      </c>
      <c r="B1522" s="90">
        <v>6</v>
      </c>
      <c r="C1522" s="90" t="s">
        <v>727</v>
      </c>
      <c r="D1522" s="90" t="s">
        <v>719</v>
      </c>
      <c r="E1522" s="91" t="s">
        <v>11</v>
      </c>
      <c r="F1522" s="92" t="s">
        <v>33</v>
      </c>
      <c r="G1522" s="93">
        <v>58033.23</v>
      </c>
      <c r="H1522" s="93">
        <v>284627.46999999997</v>
      </c>
      <c r="I1522" s="93">
        <v>2397.5457928860201</v>
      </c>
      <c r="J1522" s="93">
        <v>213700.44</v>
      </c>
      <c r="K1522" s="93">
        <v>2757.43</v>
      </c>
      <c r="L1522" s="93">
        <v>38957.24</v>
      </c>
      <c r="M1522" s="93">
        <v>1352055.51</v>
      </c>
      <c r="N1522" s="95">
        <v>0.04</v>
      </c>
      <c r="O1522" s="95">
        <v>0.22</v>
      </c>
      <c r="P1522" s="95">
        <v>0.56999999999999995</v>
      </c>
      <c r="Q1522" s="95">
        <v>0.16</v>
      </c>
      <c r="R1522" s="96">
        <v>0</v>
      </c>
    </row>
    <row r="1523" spans="1:18" ht="15" hidden="1" customHeight="1" x14ac:dyDescent="0.3">
      <c r="A1523" s="89">
        <v>2022</v>
      </c>
      <c r="B1523" s="90">
        <v>6</v>
      </c>
      <c r="C1523" s="90" t="s">
        <v>727</v>
      </c>
      <c r="D1523" s="90" t="s">
        <v>719</v>
      </c>
      <c r="E1523" s="91" t="s">
        <v>11</v>
      </c>
      <c r="F1523" s="92" t="s">
        <v>34</v>
      </c>
      <c r="G1523" s="93">
        <v>118609.14</v>
      </c>
      <c r="H1523" s="93">
        <v>314442.71000000002</v>
      </c>
      <c r="I1523" s="93">
        <v>2397.5457928860201</v>
      </c>
      <c r="J1523" s="93">
        <v>20780.560000000001</v>
      </c>
      <c r="K1523" s="93">
        <v>424</v>
      </c>
      <c r="L1523" s="93">
        <v>83051.02</v>
      </c>
      <c r="M1523" s="93">
        <v>713628.98</v>
      </c>
      <c r="N1523" s="95">
        <v>0.19</v>
      </c>
      <c r="O1523" s="95">
        <v>0.5</v>
      </c>
      <c r="P1523" s="95">
        <v>0.28000000000000003</v>
      </c>
      <c r="Q1523" s="95">
        <v>0.03</v>
      </c>
      <c r="R1523" s="96">
        <v>0</v>
      </c>
    </row>
    <row r="1524" spans="1:18" ht="15" hidden="1" customHeight="1" x14ac:dyDescent="0.3">
      <c r="A1524" s="89">
        <v>2022</v>
      </c>
      <c r="B1524" s="90">
        <v>6</v>
      </c>
      <c r="C1524" s="90" t="s">
        <v>727</v>
      </c>
      <c r="D1524" s="90" t="s">
        <v>719</v>
      </c>
      <c r="E1524" s="91" t="s">
        <v>11</v>
      </c>
      <c r="F1524" s="92" t="s">
        <v>35</v>
      </c>
      <c r="G1524" s="93">
        <v>32582.25</v>
      </c>
      <c r="H1524" s="93">
        <v>137121.07999999999</v>
      </c>
      <c r="I1524" s="93">
        <v>2397.5457928860201</v>
      </c>
      <c r="J1524" s="93">
        <v>57782.85</v>
      </c>
      <c r="K1524" s="93">
        <v>1801.45</v>
      </c>
      <c r="L1524" s="93">
        <v>245192.93</v>
      </c>
      <c r="M1524" s="93">
        <v>605861.19999999995</v>
      </c>
      <c r="N1524" s="95">
        <v>0.09</v>
      </c>
      <c r="O1524" s="95">
        <v>0.38</v>
      </c>
      <c r="P1524" s="95">
        <v>0.36</v>
      </c>
      <c r="Q1524" s="95">
        <v>0.16</v>
      </c>
      <c r="R1524" s="96">
        <v>0</v>
      </c>
    </row>
    <row r="1525" spans="1:18" ht="15" hidden="1" customHeight="1" x14ac:dyDescent="0.3">
      <c r="A1525" s="89">
        <v>2022</v>
      </c>
      <c r="B1525" s="90">
        <v>6</v>
      </c>
      <c r="C1525" s="90" t="s">
        <v>727</v>
      </c>
      <c r="D1525" s="90" t="s">
        <v>719</v>
      </c>
      <c r="E1525" s="91" t="s">
        <v>11</v>
      </c>
      <c r="F1525" s="92" t="s">
        <v>36</v>
      </c>
      <c r="G1525" s="93">
        <v>9417.75</v>
      </c>
      <c r="H1525" s="93">
        <v>69563.710000000006</v>
      </c>
      <c r="I1525" s="93">
        <v>2397.5457928860201</v>
      </c>
      <c r="J1525" s="93">
        <v>33067.11</v>
      </c>
      <c r="K1525" s="93">
        <v>279.25</v>
      </c>
      <c r="L1525" s="93">
        <v>39603.269999999997</v>
      </c>
      <c r="M1525" s="93">
        <v>258886.74</v>
      </c>
      <c r="N1525" s="95">
        <v>0.04</v>
      </c>
      <c r="O1525" s="95">
        <v>0.32</v>
      </c>
      <c r="P1525" s="95">
        <v>0.49</v>
      </c>
      <c r="Q1525" s="95">
        <v>0.15</v>
      </c>
      <c r="R1525" s="96">
        <v>0</v>
      </c>
    </row>
    <row r="1526" spans="1:18" ht="15" hidden="1" customHeight="1" x14ac:dyDescent="0.3">
      <c r="A1526" s="89">
        <v>2022</v>
      </c>
      <c r="B1526" s="90">
        <v>6</v>
      </c>
      <c r="C1526" s="90" t="s">
        <v>727</v>
      </c>
      <c r="D1526" s="90" t="s">
        <v>719</v>
      </c>
      <c r="E1526" s="91" t="s">
        <v>11</v>
      </c>
      <c r="F1526" s="92" t="s">
        <v>37</v>
      </c>
      <c r="G1526" s="93">
        <v>41235.64</v>
      </c>
      <c r="H1526" s="93">
        <v>118968.55</v>
      </c>
      <c r="I1526" s="93">
        <v>2397.5457928860201</v>
      </c>
      <c r="J1526" s="93">
        <v>47610.01</v>
      </c>
      <c r="K1526" s="93">
        <v>4120.01</v>
      </c>
      <c r="L1526" s="93">
        <v>193695.65</v>
      </c>
      <c r="M1526" s="93">
        <v>524074.32</v>
      </c>
      <c r="N1526" s="95">
        <v>0.12</v>
      </c>
      <c r="O1526" s="95">
        <v>0.36</v>
      </c>
      <c r="P1526" s="95">
        <v>0.36</v>
      </c>
      <c r="Q1526" s="95">
        <v>0.14000000000000001</v>
      </c>
      <c r="R1526" s="96">
        <v>0.01</v>
      </c>
    </row>
    <row r="1527" spans="1:18" ht="15" hidden="1" customHeight="1" x14ac:dyDescent="0.3">
      <c r="A1527" s="89">
        <v>2022</v>
      </c>
      <c r="B1527" s="90">
        <v>6</v>
      </c>
      <c r="C1527" s="90" t="s">
        <v>727</v>
      </c>
      <c r="D1527" s="90" t="s">
        <v>719</v>
      </c>
      <c r="E1527" s="91" t="s">
        <v>11</v>
      </c>
      <c r="F1527" s="92" t="s">
        <v>38</v>
      </c>
      <c r="G1527" s="93">
        <v>90392.9</v>
      </c>
      <c r="H1527" s="93">
        <v>220195.29</v>
      </c>
      <c r="I1527" s="93">
        <v>2397.5457928860201</v>
      </c>
      <c r="J1527" s="93">
        <v>88328.02</v>
      </c>
      <c r="K1527" s="93">
        <v>1870.63</v>
      </c>
      <c r="L1527" s="93">
        <v>239937.18</v>
      </c>
      <c r="M1527" s="93">
        <v>927959.02</v>
      </c>
      <c r="N1527" s="95">
        <v>0.13</v>
      </c>
      <c r="O1527" s="95">
        <v>0.32</v>
      </c>
      <c r="P1527" s="95">
        <v>0.42</v>
      </c>
      <c r="Q1527" s="95">
        <v>0.13</v>
      </c>
      <c r="R1527" s="96">
        <v>0</v>
      </c>
    </row>
    <row r="1528" spans="1:18" ht="15" hidden="1" customHeight="1" x14ac:dyDescent="0.3">
      <c r="A1528" s="89">
        <v>2022</v>
      </c>
      <c r="B1528" s="90">
        <v>6</v>
      </c>
      <c r="C1528" s="90" t="s">
        <v>727</v>
      </c>
      <c r="D1528" s="90" t="s">
        <v>719</v>
      </c>
      <c r="E1528" s="91" t="s">
        <v>11</v>
      </c>
      <c r="F1528" s="92" t="s">
        <v>39</v>
      </c>
      <c r="G1528" s="93">
        <v>26259.11</v>
      </c>
      <c r="H1528" s="93">
        <v>100216.32000000001</v>
      </c>
      <c r="I1528" s="93">
        <v>2397.5457928860201</v>
      </c>
      <c r="J1528" s="93">
        <v>44081.14</v>
      </c>
      <c r="K1528" s="93">
        <v>1309.25</v>
      </c>
      <c r="L1528" s="93">
        <v>64819.35</v>
      </c>
      <c r="M1528" s="93">
        <v>331195.63</v>
      </c>
      <c r="N1528" s="95">
        <v>0.1</v>
      </c>
      <c r="O1528" s="95">
        <v>0.38</v>
      </c>
      <c r="P1528" s="95">
        <v>0.35</v>
      </c>
      <c r="Q1528" s="95">
        <v>0.17</v>
      </c>
      <c r="R1528" s="96">
        <v>0</v>
      </c>
    </row>
    <row r="1529" spans="1:18" ht="15" hidden="1" customHeight="1" x14ac:dyDescent="0.3">
      <c r="A1529" s="89">
        <v>2022</v>
      </c>
      <c r="B1529" s="90">
        <v>6</v>
      </c>
      <c r="C1529" s="90" t="s">
        <v>727</v>
      </c>
      <c r="D1529" s="90" t="s">
        <v>719</v>
      </c>
      <c r="E1529" s="91" t="s">
        <v>11</v>
      </c>
      <c r="F1529" s="92" t="s">
        <v>41</v>
      </c>
      <c r="G1529" s="93">
        <v>3800.27</v>
      </c>
      <c r="H1529" s="93">
        <v>8691.23</v>
      </c>
      <c r="I1529" s="93">
        <v>2397.5457928860201</v>
      </c>
      <c r="J1529" s="93">
        <v>485.99</v>
      </c>
      <c r="K1529" s="93">
        <v>17.62</v>
      </c>
      <c r="L1529" s="93">
        <v>1858.18</v>
      </c>
      <c r="M1529" s="93">
        <v>18714.330000000002</v>
      </c>
      <c r="N1529" s="95">
        <v>0.23</v>
      </c>
      <c r="O1529" s="95">
        <v>0.52</v>
      </c>
      <c r="P1529" s="95">
        <v>0.23</v>
      </c>
      <c r="Q1529" s="95">
        <v>0.03</v>
      </c>
      <c r="R1529" s="96">
        <v>0</v>
      </c>
    </row>
    <row r="1530" spans="1:18" ht="15" hidden="1" customHeight="1" x14ac:dyDescent="0.3">
      <c r="A1530" s="89">
        <v>2022</v>
      </c>
      <c r="B1530" s="90">
        <v>6</v>
      </c>
      <c r="C1530" s="90" t="s">
        <v>727</v>
      </c>
      <c r="D1530" s="90" t="s">
        <v>719</v>
      </c>
      <c r="E1530" s="91" t="s">
        <v>11</v>
      </c>
      <c r="F1530" s="92" t="s">
        <v>42</v>
      </c>
      <c r="G1530" s="93">
        <v>14114.59</v>
      </c>
      <c r="H1530" s="93">
        <v>135897.03</v>
      </c>
      <c r="I1530" s="93">
        <v>2397.5457928860201</v>
      </c>
      <c r="J1530" s="93">
        <v>44369.73</v>
      </c>
      <c r="K1530" s="93">
        <v>690.67</v>
      </c>
      <c r="L1530" s="93">
        <v>239734.98</v>
      </c>
      <c r="M1530" s="93">
        <v>620824.21</v>
      </c>
      <c r="N1530" s="95">
        <v>0.04</v>
      </c>
      <c r="O1530" s="95">
        <v>0.36</v>
      </c>
      <c r="P1530" s="95">
        <v>0.49</v>
      </c>
      <c r="Q1530" s="95">
        <v>0.12</v>
      </c>
      <c r="R1530" s="96">
        <v>0</v>
      </c>
    </row>
    <row r="1531" spans="1:18" ht="15" hidden="1" customHeight="1" x14ac:dyDescent="0.3">
      <c r="A1531" s="89">
        <v>2022</v>
      </c>
      <c r="B1531" s="90">
        <v>6</v>
      </c>
      <c r="C1531" s="90" t="s">
        <v>727</v>
      </c>
      <c r="D1531" s="90" t="s">
        <v>719</v>
      </c>
      <c r="E1531" s="91" t="s">
        <v>11</v>
      </c>
      <c r="F1531" s="92" t="s">
        <v>43</v>
      </c>
      <c r="G1531" s="93">
        <v>3556.24</v>
      </c>
      <c r="H1531" s="93">
        <v>18607.919999999998</v>
      </c>
      <c r="I1531" s="93">
        <v>2397.5457928860201</v>
      </c>
      <c r="J1531" s="93">
        <v>3588.97</v>
      </c>
      <c r="K1531" s="93">
        <v>230.1</v>
      </c>
      <c r="L1531" s="93">
        <v>148503.67999999999</v>
      </c>
      <c r="M1531" s="93">
        <v>185575.52</v>
      </c>
      <c r="N1531" s="95">
        <v>0.1</v>
      </c>
      <c r="O1531" s="95">
        <v>0.5</v>
      </c>
      <c r="P1531" s="95">
        <v>0.3</v>
      </c>
      <c r="Q1531" s="95">
        <v>0.1</v>
      </c>
      <c r="R1531" s="96">
        <v>0.01</v>
      </c>
    </row>
    <row r="1532" spans="1:18" ht="15" hidden="1" customHeight="1" x14ac:dyDescent="0.3">
      <c r="A1532" s="89">
        <v>2022</v>
      </c>
      <c r="B1532" s="90">
        <v>6</v>
      </c>
      <c r="C1532" s="90" t="s">
        <v>727</v>
      </c>
      <c r="D1532" s="90" t="s">
        <v>719</v>
      </c>
      <c r="E1532" s="91" t="s">
        <v>11</v>
      </c>
      <c r="F1532" s="92" t="s">
        <v>58</v>
      </c>
      <c r="G1532" s="93">
        <v>13079.15</v>
      </c>
      <c r="H1532" s="93">
        <v>124885.84</v>
      </c>
      <c r="I1532" s="93">
        <v>2397.5457928860201</v>
      </c>
      <c r="J1532" s="93">
        <v>43313.47</v>
      </c>
      <c r="K1532" s="93">
        <v>1381.81</v>
      </c>
      <c r="L1532" s="93">
        <v>9814.7800000000007</v>
      </c>
      <c r="M1532" s="93">
        <v>371477.13</v>
      </c>
      <c r="N1532" s="95">
        <v>0.04</v>
      </c>
      <c r="O1532" s="95">
        <v>0.35</v>
      </c>
      <c r="P1532" s="95">
        <v>0.49</v>
      </c>
      <c r="Q1532" s="95">
        <v>0.12</v>
      </c>
      <c r="R1532" s="96">
        <v>0</v>
      </c>
    </row>
    <row r="1533" spans="1:18" ht="15" hidden="1" customHeight="1" x14ac:dyDescent="0.3">
      <c r="A1533" s="89">
        <v>2022</v>
      </c>
      <c r="B1533" s="90">
        <v>6</v>
      </c>
      <c r="C1533" s="90" t="s">
        <v>727</v>
      </c>
      <c r="D1533" s="90" t="s">
        <v>719</v>
      </c>
      <c r="E1533" s="91" t="s">
        <v>11</v>
      </c>
      <c r="F1533" s="92" t="s">
        <v>44</v>
      </c>
      <c r="G1533" s="93">
        <v>8981.74</v>
      </c>
      <c r="H1533" s="93">
        <v>41754.480000000003</v>
      </c>
      <c r="I1533" s="93">
        <v>2397.5457928860201</v>
      </c>
      <c r="J1533" s="93">
        <v>38422.68</v>
      </c>
      <c r="K1533" s="93">
        <v>2782.49</v>
      </c>
      <c r="L1533" s="93">
        <v>44218.07</v>
      </c>
      <c r="M1533" s="93">
        <v>215729.36</v>
      </c>
      <c r="N1533" s="95">
        <v>0.05</v>
      </c>
      <c r="O1533" s="95">
        <v>0.24</v>
      </c>
      <c r="P1533" s="95">
        <v>0.46</v>
      </c>
      <c r="Q1533" s="95">
        <v>0.22</v>
      </c>
      <c r="R1533" s="96">
        <v>0.02</v>
      </c>
    </row>
    <row r="1534" spans="1:18" ht="15" hidden="1" customHeight="1" x14ac:dyDescent="0.3">
      <c r="A1534" s="89">
        <v>2022</v>
      </c>
      <c r="B1534" s="90">
        <v>6</v>
      </c>
      <c r="C1534" s="90" t="s">
        <v>727</v>
      </c>
      <c r="D1534" s="90" t="s">
        <v>719</v>
      </c>
      <c r="E1534" s="91" t="s">
        <v>11</v>
      </c>
      <c r="F1534" s="92" t="s">
        <v>51</v>
      </c>
      <c r="G1534" s="93">
        <v>5223.58</v>
      </c>
      <c r="H1534" s="93">
        <v>43883.49</v>
      </c>
      <c r="I1534" s="93">
        <v>2397.5457928860201</v>
      </c>
      <c r="J1534" s="93">
        <v>42023.55</v>
      </c>
      <c r="K1534" s="93">
        <v>3196.09</v>
      </c>
      <c r="L1534" s="93">
        <v>2816.02</v>
      </c>
      <c r="M1534" s="93">
        <v>211202.48</v>
      </c>
      <c r="N1534" s="95">
        <v>0.03</v>
      </c>
      <c r="O1534" s="95">
        <v>0.21</v>
      </c>
      <c r="P1534" s="95">
        <v>0.55000000000000004</v>
      </c>
      <c r="Q1534" s="95">
        <v>0.2</v>
      </c>
      <c r="R1534" s="96">
        <v>0.02</v>
      </c>
    </row>
    <row r="1535" spans="1:18" ht="15" hidden="1" customHeight="1" x14ac:dyDescent="0.3">
      <c r="A1535" s="89">
        <v>2022</v>
      </c>
      <c r="B1535" s="90">
        <v>6</v>
      </c>
      <c r="C1535" s="90" t="s">
        <v>727</v>
      </c>
      <c r="D1535" s="90" t="s">
        <v>719</v>
      </c>
      <c r="E1535" s="91" t="s">
        <v>11</v>
      </c>
      <c r="F1535" s="92" t="s">
        <v>45</v>
      </c>
      <c r="G1535" s="93">
        <v>7678.31</v>
      </c>
      <c r="H1535" s="93">
        <v>27021.65</v>
      </c>
      <c r="I1535" s="93">
        <v>2397.5457928860201</v>
      </c>
      <c r="J1535" s="93">
        <v>12466.1</v>
      </c>
      <c r="K1535" s="93">
        <v>753.67</v>
      </c>
      <c r="L1535" s="93">
        <v>52655.65</v>
      </c>
      <c r="M1535" s="93">
        <v>134096.20000000001</v>
      </c>
      <c r="N1535" s="95">
        <v>0.09</v>
      </c>
      <c r="O1535" s="95">
        <v>0.33</v>
      </c>
      <c r="P1535" s="95">
        <v>0.41</v>
      </c>
      <c r="Q1535" s="95">
        <v>0.15</v>
      </c>
      <c r="R1535" s="96">
        <v>0.01</v>
      </c>
    </row>
    <row r="1536" spans="1:18" ht="15" hidden="1" customHeight="1" x14ac:dyDescent="0.3">
      <c r="A1536" s="89">
        <v>2022</v>
      </c>
      <c r="B1536" s="90">
        <v>6</v>
      </c>
      <c r="C1536" s="90" t="s">
        <v>727</v>
      </c>
      <c r="D1536" s="90" t="s">
        <v>719</v>
      </c>
      <c r="E1536" s="91" t="s">
        <v>11</v>
      </c>
      <c r="F1536" s="92" t="s">
        <v>721</v>
      </c>
      <c r="G1536" s="93">
        <v>9509.7999999999993</v>
      </c>
      <c r="H1536" s="93">
        <v>78863.39</v>
      </c>
      <c r="I1536" s="93">
        <v>2397.5457928860201</v>
      </c>
      <c r="J1536" s="93">
        <v>50779.3</v>
      </c>
      <c r="K1536" s="93">
        <v>2144.33</v>
      </c>
      <c r="L1536" s="93">
        <v>1049.25</v>
      </c>
      <c r="M1536" s="93">
        <v>309330.63</v>
      </c>
      <c r="N1536" s="95">
        <v>0.03</v>
      </c>
      <c r="O1536" s="95">
        <v>0.26</v>
      </c>
      <c r="P1536" s="95">
        <v>0.54</v>
      </c>
      <c r="Q1536" s="95">
        <v>0.16</v>
      </c>
      <c r="R1536" s="96">
        <v>0.01</v>
      </c>
    </row>
    <row r="1537" spans="1:18" ht="15" hidden="1" customHeight="1" x14ac:dyDescent="0.3">
      <c r="A1537" s="89">
        <v>2022</v>
      </c>
      <c r="B1537" s="90">
        <v>6</v>
      </c>
      <c r="C1537" s="90" t="s">
        <v>727</v>
      </c>
      <c r="D1537" s="90" t="s">
        <v>719</v>
      </c>
      <c r="E1537" s="91" t="s">
        <v>11</v>
      </c>
      <c r="F1537" s="92" t="s">
        <v>46</v>
      </c>
      <c r="G1537" s="93">
        <v>17763.150000000001</v>
      </c>
      <c r="H1537" s="93">
        <v>63948.28</v>
      </c>
      <c r="I1537" s="93">
        <v>2397.5457928860201</v>
      </c>
      <c r="J1537" s="93">
        <v>9551</v>
      </c>
      <c r="K1537" s="93">
        <v>1385.93</v>
      </c>
      <c r="L1537" s="93">
        <v>4949.09</v>
      </c>
      <c r="M1537" s="93">
        <v>149074.81</v>
      </c>
      <c r="N1537" s="95">
        <v>0.12</v>
      </c>
      <c r="O1537" s="95">
        <v>0.44</v>
      </c>
      <c r="P1537" s="95">
        <v>0.36</v>
      </c>
      <c r="Q1537" s="95">
        <v>7.0000000000000007E-2</v>
      </c>
      <c r="R1537" s="96">
        <v>0.01</v>
      </c>
    </row>
    <row r="1538" spans="1:18" ht="15" hidden="1" customHeight="1" x14ac:dyDescent="0.3">
      <c r="A1538" s="89">
        <v>2022</v>
      </c>
      <c r="B1538" s="90">
        <v>6</v>
      </c>
      <c r="C1538" s="90" t="s">
        <v>727</v>
      </c>
      <c r="D1538" s="90" t="s">
        <v>719</v>
      </c>
      <c r="E1538" s="91" t="s">
        <v>11</v>
      </c>
      <c r="F1538" s="92" t="s">
        <v>47</v>
      </c>
      <c r="G1538" s="93">
        <v>3399.89</v>
      </c>
      <c r="H1538" s="93">
        <v>19363.86</v>
      </c>
      <c r="I1538" s="93">
        <v>2397.5457928860201</v>
      </c>
      <c r="J1538" s="93">
        <v>55674.04</v>
      </c>
      <c r="K1538" s="93">
        <v>21769.22</v>
      </c>
      <c r="L1538" s="93">
        <v>1297797.8999999999</v>
      </c>
      <c r="M1538" s="93">
        <v>1461770.89</v>
      </c>
      <c r="N1538" s="95">
        <v>0.02</v>
      </c>
      <c r="O1538" s="95">
        <v>0.12</v>
      </c>
      <c r="P1538" s="95">
        <v>0.39</v>
      </c>
      <c r="Q1538" s="95">
        <v>0.34</v>
      </c>
      <c r="R1538" s="96">
        <v>0.13</v>
      </c>
    </row>
    <row r="1539" spans="1:18" ht="15" hidden="1" customHeight="1" x14ac:dyDescent="0.3">
      <c r="A1539" s="89">
        <v>2022</v>
      </c>
      <c r="B1539" s="90">
        <v>6</v>
      </c>
      <c r="C1539" s="90" t="s">
        <v>727</v>
      </c>
      <c r="D1539" s="90" t="s">
        <v>719</v>
      </c>
      <c r="E1539" s="91" t="s">
        <v>11</v>
      </c>
      <c r="F1539" s="92" t="s">
        <v>48</v>
      </c>
      <c r="G1539" s="93">
        <v>2703.22</v>
      </c>
      <c r="H1539" s="93">
        <v>17470.150000000001</v>
      </c>
      <c r="I1539" s="93">
        <v>2397.5457928860201</v>
      </c>
      <c r="J1539" s="93">
        <v>30360.33</v>
      </c>
      <c r="K1539" s="93">
        <v>1696.32</v>
      </c>
      <c r="L1539" s="93">
        <v>9312.7900000000009</v>
      </c>
      <c r="M1539" s="93">
        <v>110314.47</v>
      </c>
      <c r="N1539" s="95">
        <v>0.03</v>
      </c>
      <c r="O1539" s="95">
        <v>0.17</v>
      </c>
      <c r="P1539" s="95">
        <v>0.48</v>
      </c>
      <c r="Q1539" s="95">
        <v>0.3</v>
      </c>
      <c r="R1539" s="96">
        <v>0.02</v>
      </c>
    </row>
    <row r="1540" spans="1:18" ht="15" hidden="1" customHeight="1" x14ac:dyDescent="0.3">
      <c r="A1540" s="89">
        <v>2022</v>
      </c>
      <c r="B1540" s="90">
        <v>6</v>
      </c>
      <c r="C1540" s="90" t="s">
        <v>727</v>
      </c>
      <c r="D1540" s="90" t="s">
        <v>719</v>
      </c>
      <c r="E1540" s="91" t="s">
        <v>11</v>
      </c>
      <c r="F1540" s="92" t="s">
        <v>40</v>
      </c>
      <c r="G1540" s="93">
        <v>21694.36</v>
      </c>
      <c r="H1540" s="93">
        <v>149499.04</v>
      </c>
      <c r="I1540" s="93">
        <v>2397.5457928860201</v>
      </c>
      <c r="J1540" s="93">
        <v>15016.46</v>
      </c>
      <c r="K1540" s="93">
        <v>385.21</v>
      </c>
      <c r="L1540" s="93">
        <v>25547.31</v>
      </c>
      <c r="M1540" s="93">
        <v>326305.03999999998</v>
      </c>
      <c r="N1540" s="95">
        <v>7.0000000000000007E-2</v>
      </c>
      <c r="O1540" s="95">
        <v>0.5</v>
      </c>
      <c r="P1540" s="95">
        <v>0.38</v>
      </c>
      <c r="Q1540" s="95">
        <v>0.05</v>
      </c>
      <c r="R1540" s="96">
        <v>0</v>
      </c>
    </row>
    <row r="1541" spans="1:18" ht="15" hidden="1" customHeight="1" x14ac:dyDescent="0.3">
      <c r="A1541" s="89">
        <v>2022</v>
      </c>
      <c r="B1541" s="90">
        <v>6</v>
      </c>
      <c r="C1541" s="90" t="s">
        <v>727</v>
      </c>
      <c r="D1541" s="90" t="s">
        <v>722</v>
      </c>
      <c r="E1541" s="91" t="s">
        <v>11</v>
      </c>
      <c r="F1541" s="92" t="s">
        <v>26</v>
      </c>
      <c r="G1541" s="93">
        <v>80682.490000000005</v>
      </c>
      <c r="H1541" s="93">
        <v>202370.2</v>
      </c>
      <c r="I1541" s="93">
        <v>2397.5457928860201</v>
      </c>
      <c r="J1541" s="93">
        <v>255042.08</v>
      </c>
      <c r="K1541" s="93">
        <v>4583.03</v>
      </c>
      <c r="L1541" s="93">
        <v>299149.17</v>
      </c>
      <c r="M1541" s="93">
        <v>1302393.77</v>
      </c>
      <c r="N1541" s="95">
        <v>0.08</v>
      </c>
      <c r="O1541" s="95">
        <v>0.2</v>
      </c>
      <c r="P1541" s="95">
        <v>0.46</v>
      </c>
      <c r="Q1541" s="95">
        <v>0.25</v>
      </c>
      <c r="R1541" s="96">
        <v>0</v>
      </c>
    </row>
    <row r="1542" spans="1:18" ht="15" hidden="1" customHeight="1" x14ac:dyDescent="0.3">
      <c r="A1542" s="89">
        <v>2022</v>
      </c>
      <c r="B1542" s="90">
        <v>6</v>
      </c>
      <c r="C1542" s="90" t="s">
        <v>727</v>
      </c>
      <c r="D1542" s="90" t="s">
        <v>722</v>
      </c>
      <c r="E1542" s="91" t="s">
        <v>11</v>
      </c>
      <c r="F1542" s="92" t="s">
        <v>12</v>
      </c>
      <c r="G1542" s="93">
        <v>18606.95</v>
      </c>
      <c r="H1542" s="93">
        <v>113201.93</v>
      </c>
      <c r="I1542" s="93">
        <v>2397.5457928860201</v>
      </c>
      <c r="J1542" s="93">
        <v>65229.21</v>
      </c>
      <c r="K1542" s="93">
        <v>3075.09</v>
      </c>
      <c r="L1542" s="93">
        <v>55733.59</v>
      </c>
      <c r="M1542" s="93">
        <v>433311.44</v>
      </c>
      <c r="N1542" s="95">
        <v>0.05</v>
      </c>
      <c r="O1542" s="95">
        <v>0.3</v>
      </c>
      <c r="P1542" s="95">
        <v>0.47</v>
      </c>
      <c r="Q1542" s="95">
        <v>0.17</v>
      </c>
      <c r="R1542" s="96">
        <v>0.01</v>
      </c>
    </row>
    <row r="1543" spans="1:18" ht="15" hidden="1" customHeight="1" x14ac:dyDescent="0.3">
      <c r="A1543" s="89">
        <v>2022</v>
      </c>
      <c r="B1543" s="90">
        <v>6</v>
      </c>
      <c r="C1543" s="90" t="s">
        <v>727</v>
      </c>
      <c r="D1543" s="90" t="s">
        <v>722</v>
      </c>
      <c r="E1543" s="91" t="s">
        <v>11</v>
      </c>
      <c r="F1543" s="92" t="s">
        <v>27</v>
      </c>
      <c r="G1543" s="93">
        <v>5109.32</v>
      </c>
      <c r="H1543" s="93">
        <v>64172.9</v>
      </c>
      <c r="I1543" s="93">
        <v>2397.5457928860201</v>
      </c>
      <c r="J1543" s="93">
        <v>35468.99</v>
      </c>
      <c r="K1543" s="93">
        <v>2651.82</v>
      </c>
      <c r="L1543" s="93">
        <v>2320.5700000000002</v>
      </c>
      <c r="M1543" s="93">
        <v>226689.38</v>
      </c>
      <c r="N1543" s="95">
        <v>0.02</v>
      </c>
      <c r="O1543" s="95">
        <v>0.28999999999999998</v>
      </c>
      <c r="P1543" s="95">
        <v>0.52</v>
      </c>
      <c r="Q1543" s="95">
        <v>0.16</v>
      </c>
      <c r="R1543" s="96">
        <v>0.01</v>
      </c>
    </row>
    <row r="1544" spans="1:18" ht="15" hidden="1" customHeight="1" x14ac:dyDescent="0.3">
      <c r="A1544" s="89">
        <v>2022</v>
      </c>
      <c r="B1544" s="90">
        <v>6</v>
      </c>
      <c r="C1544" s="90" t="s">
        <v>727</v>
      </c>
      <c r="D1544" s="90" t="s">
        <v>722</v>
      </c>
      <c r="E1544" s="91" t="s">
        <v>11</v>
      </c>
      <c r="F1544" s="92" t="s">
        <v>28</v>
      </c>
      <c r="G1544" s="93">
        <v>10129.77</v>
      </c>
      <c r="H1544" s="93">
        <v>68536.78</v>
      </c>
      <c r="I1544" s="93">
        <v>2397.5457928860201</v>
      </c>
      <c r="J1544" s="93">
        <v>64941.440000000002</v>
      </c>
      <c r="K1544" s="93">
        <v>2823.02</v>
      </c>
      <c r="L1544" s="93">
        <v>5479.05</v>
      </c>
      <c r="M1544" s="93">
        <v>373104.4</v>
      </c>
      <c r="N1544" s="95">
        <v>0.03</v>
      </c>
      <c r="O1544" s="95">
        <v>0.19</v>
      </c>
      <c r="P1544" s="95">
        <v>0.6</v>
      </c>
      <c r="Q1544" s="95">
        <v>0.18</v>
      </c>
      <c r="R1544" s="96">
        <v>0.01</v>
      </c>
    </row>
    <row r="1545" spans="1:18" ht="15" customHeight="1" x14ac:dyDescent="0.3">
      <c r="A1545" s="89">
        <v>2022</v>
      </c>
      <c r="B1545" s="90">
        <v>6</v>
      </c>
      <c r="C1545" s="90" t="s">
        <v>727</v>
      </c>
      <c r="D1545" s="90" t="s">
        <v>722</v>
      </c>
      <c r="E1545" s="91" t="s">
        <v>11</v>
      </c>
      <c r="F1545" s="92" t="s">
        <v>29</v>
      </c>
      <c r="G1545" s="93">
        <v>14142.2</v>
      </c>
      <c r="H1545" s="93">
        <v>60295.28</v>
      </c>
      <c r="I1545" s="93">
        <v>2397.5457928860201</v>
      </c>
      <c r="J1545" s="93">
        <v>67245.25</v>
      </c>
      <c r="K1545" s="93">
        <v>12748.88</v>
      </c>
      <c r="L1545" s="93">
        <v>101417.89</v>
      </c>
      <c r="M1545" s="93">
        <v>354391.76</v>
      </c>
      <c r="N1545" s="95">
        <v>0.06</v>
      </c>
      <c r="O1545" s="95">
        <v>0.24</v>
      </c>
      <c r="P1545" s="95">
        <v>0.39</v>
      </c>
      <c r="Q1545" s="95">
        <v>0.27</v>
      </c>
      <c r="R1545" s="96">
        <v>0.05</v>
      </c>
    </row>
    <row r="1546" spans="1:18" ht="15" hidden="1" customHeight="1" x14ac:dyDescent="0.3">
      <c r="A1546" s="89">
        <v>2022</v>
      </c>
      <c r="B1546" s="90">
        <v>6</v>
      </c>
      <c r="C1546" s="90" t="s">
        <v>727</v>
      </c>
      <c r="D1546" s="90" t="s">
        <v>722</v>
      </c>
      <c r="E1546" s="91" t="s">
        <v>11</v>
      </c>
      <c r="F1546" s="92" t="s">
        <v>30</v>
      </c>
      <c r="G1546" s="93">
        <v>908.64</v>
      </c>
      <c r="H1546" s="93">
        <v>4964.22</v>
      </c>
      <c r="I1546" s="93">
        <v>2397.5457928860201</v>
      </c>
      <c r="J1546" s="93">
        <v>905.68</v>
      </c>
      <c r="K1546" s="93">
        <v>49.6</v>
      </c>
      <c r="L1546" s="93">
        <v>220079.74</v>
      </c>
      <c r="M1546" s="93">
        <v>230086.24</v>
      </c>
      <c r="N1546" s="95">
        <v>0.09</v>
      </c>
      <c r="O1546" s="95">
        <v>0.5</v>
      </c>
      <c r="P1546" s="95">
        <v>0.32</v>
      </c>
      <c r="Q1546" s="95">
        <v>0.09</v>
      </c>
      <c r="R1546" s="96">
        <v>0</v>
      </c>
    </row>
    <row r="1547" spans="1:18" ht="15" hidden="1" customHeight="1" x14ac:dyDescent="0.3">
      <c r="A1547" s="89">
        <v>2022</v>
      </c>
      <c r="B1547" s="90">
        <v>6</v>
      </c>
      <c r="C1547" s="90" t="s">
        <v>727</v>
      </c>
      <c r="D1547" s="90" t="s">
        <v>722</v>
      </c>
      <c r="E1547" s="91" t="s">
        <v>11</v>
      </c>
      <c r="F1547" s="92" t="s">
        <v>31</v>
      </c>
      <c r="G1547" s="93">
        <v>2276.29</v>
      </c>
      <c r="H1547" s="93">
        <v>85636.54</v>
      </c>
      <c r="I1547" s="93">
        <v>2397.5457928860201</v>
      </c>
      <c r="J1547" s="93">
        <v>20314.29</v>
      </c>
      <c r="K1547" s="93">
        <v>3490.82</v>
      </c>
      <c r="L1547" s="93">
        <v>50421.89</v>
      </c>
      <c r="M1547" s="93">
        <v>251948.86</v>
      </c>
      <c r="N1547" s="95">
        <v>0.01</v>
      </c>
      <c r="O1547" s="95">
        <v>0.42</v>
      </c>
      <c r="P1547" s="95">
        <v>0.45</v>
      </c>
      <c r="Q1547" s="95">
        <v>0.1</v>
      </c>
      <c r="R1547" s="96">
        <v>0.02</v>
      </c>
    </row>
    <row r="1548" spans="1:18" ht="15" hidden="1" customHeight="1" x14ac:dyDescent="0.3">
      <c r="A1548" s="89">
        <v>2022</v>
      </c>
      <c r="B1548" s="90">
        <v>6</v>
      </c>
      <c r="C1548" s="90" t="s">
        <v>727</v>
      </c>
      <c r="D1548" s="90" t="s">
        <v>722</v>
      </c>
      <c r="E1548" s="91" t="s">
        <v>11</v>
      </c>
      <c r="F1548" s="92" t="s">
        <v>32</v>
      </c>
      <c r="G1548" s="93">
        <v>18537.22</v>
      </c>
      <c r="H1548" s="93">
        <v>87206.79</v>
      </c>
      <c r="I1548" s="93">
        <v>2397.5457928860201</v>
      </c>
      <c r="J1548" s="93">
        <v>202183.67999999999</v>
      </c>
      <c r="K1548" s="93">
        <v>80653.66</v>
      </c>
      <c r="L1548" s="93">
        <v>50190.64</v>
      </c>
      <c r="M1548" s="93">
        <v>609521.87</v>
      </c>
      <c r="N1548" s="95">
        <v>0.03</v>
      </c>
      <c r="O1548" s="95">
        <v>0.16</v>
      </c>
      <c r="P1548" s="95">
        <v>0.31</v>
      </c>
      <c r="Q1548" s="95">
        <v>0.36</v>
      </c>
      <c r="R1548" s="96">
        <v>0.14000000000000001</v>
      </c>
    </row>
    <row r="1549" spans="1:18" ht="15" hidden="1" customHeight="1" x14ac:dyDescent="0.3">
      <c r="A1549" s="89">
        <v>2022</v>
      </c>
      <c r="B1549" s="90">
        <v>6</v>
      </c>
      <c r="C1549" s="90" t="s">
        <v>727</v>
      </c>
      <c r="D1549" s="90" t="s">
        <v>722</v>
      </c>
      <c r="E1549" s="91" t="s">
        <v>11</v>
      </c>
      <c r="F1549" s="92" t="s">
        <v>33</v>
      </c>
      <c r="G1549" s="93">
        <v>34942.54</v>
      </c>
      <c r="H1549" s="93">
        <v>159278.73000000001</v>
      </c>
      <c r="I1549" s="93">
        <v>2397.5457928860201</v>
      </c>
      <c r="J1549" s="93">
        <v>301207.24</v>
      </c>
      <c r="K1549" s="93">
        <v>6774.61</v>
      </c>
      <c r="L1549" s="93">
        <v>295589.96999999997</v>
      </c>
      <c r="M1549" s="93">
        <v>1352055.51</v>
      </c>
      <c r="N1549" s="95">
        <v>0.03</v>
      </c>
      <c r="O1549" s="95">
        <v>0.15</v>
      </c>
      <c r="P1549" s="95">
        <v>0.52</v>
      </c>
      <c r="Q1549" s="95">
        <v>0.28999999999999998</v>
      </c>
      <c r="R1549" s="96">
        <v>0.01</v>
      </c>
    </row>
    <row r="1550" spans="1:18" ht="15" hidden="1" customHeight="1" x14ac:dyDescent="0.3">
      <c r="A1550" s="89">
        <v>2022</v>
      </c>
      <c r="B1550" s="90">
        <v>6</v>
      </c>
      <c r="C1550" s="90" t="s">
        <v>727</v>
      </c>
      <c r="D1550" s="90" t="s">
        <v>722</v>
      </c>
      <c r="E1550" s="91" t="s">
        <v>11</v>
      </c>
      <c r="F1550" s="92" t="s">
        <v>34</v>
      </c>
      <c r="G1550" s="93">
        <v>50465.04</v>
      </c>
      <c r="H1550" s="93">
        <v>275842.15999999997</v>
      </c>
      <c r="I1550" s="93">
        <v>2397.5457928860201</v>
      </c>
      <c r="J1550" s="93">
        <v>45354.18</v>
      </c>
      <c r="K1550" s="93">
        <v>2099.8200000000002</v>
      </c>
      <c r="L1550" s="93">
        <v>61535.41</v>
      </c>
      <c r="M1550" s="93">
        <v>713628.98</v>
      </c>
      <c r="N1550" s="95">
        <v>0.08</v>
      </c>
      <c r="O1550" s="95">
        <v>0.42</v>
      </c>
      <c r="P1550" s="95">
        <v>0.43</v>
      </c>
      <c r="Q1550" s="95">
        <v>7.0000000000000007E-2</v>
      </c>
      <c r="R1550" s="96">
        <v>0</v>
      </c>
    </row>
    <row r="1551" spans="1:18" ht="15" hidden="1" customHeight="1" x14ac:dyDescent="0.3">
      <c r="A1551" s="89">
        <v>2022</v>
      </c>
      <c r="B1551" s="90">
        <v>6</v>
      </c>
      <c r="C1551" s="90" t="s">
        <v>727</v>
      </c>
      <c r="D1551" s="90" t="s">
        <v>722</v>
      </c>
      <c r="E1551" s="91" t="s">
        <v>11</v>
      </c>
      <c r="F1551" s="92" t="s">
        <v>35</v>
      </c>
      <c r="G1551" s="93">
        <v>28292.92</v>
      </c>
      <c r="H1551" s="93">
        <v>141585.9</v>
      </c>
      <c r="I1551" s="93">
        <v>2397.5457928860201</v>
      </c>
      <c r="J1551" s="93">
        <v>75390.179999999993</v>
      </c>
      <c r="K1551" s="93">
        <v>4823.83</v>
      </c>
      <c r="L1551" s="93">
        <v>236185.07</v>
      </c>
      <c r="M1551" s="93">
        <v>605861.19999999995</v>
      </c>
      <c r="N1551" s="95">
        <v>0.08</v>
      </c>
      <c r="O1551" s="95">
        <v>0.38</v>
      </c>
      <c r="P1551" s="95">
        <v>0.32</v>
      </c>
      <c r="Q1551" s="95">
        <v>0.2</v>
      </c>
      <c r="R1551" s="96">
        <v>0.01</v>
      </c>
    </row>
    <row r="1552" spans="1:18" ht="15" hidden="1" customHeight="1" x14ac:dyDescent="0.3">
      <c r="A1552" s="89">
        <v>2022</v>
      </c>
      <c r="B1552" s="90">
        <v>6</v>
      </c>
      <c r="C1552" s="90" t="s">
        <v>727</v>
      </c>
      <c r="D1552" s="90" t="s">
        <v>722</v>
      </c>
      <c r="E1552" s="91" t="s">
        <v>11</v>
      </c>
      <c r="F1552" s="92" t="s">
        <v>36</v>
      </c>
      <c r="G1552" s="93">
        <v>10780.25</v>
      </c>
      <c r="H1552" s="93">
        <v>66051.39</v>
      </c>
      <c r="I1552" s="93">
        <v>2397.5457928860201</v>
      </c>
      <c r="J1552" s="93">
        <v>52282.6</v>
      </c>
      <c r="K1552" s="93">
        <v>4349.97</v>
      </c>
      <c r="L1552" s="93">
        <v>37889.56</v>
      </c>
      <c r="M1552" s="93">
        <v>258886.74</v>
      </c>
      <c r="N1552" s="95">
        <v>0.05</v>
      </c>
      <c r="O1552" s="95">
        <v>0.3</v>
      </c>
      <c r="P1552" s="95">
        <v>0.4</v>
      </c>
      <c r="Q1552" s="95">
        <v>0.24</v>
      </c>
      <c r="R1552" s="96">
        <v>0.02</v>
      </c>
    </row>
    <row r="1553" spans="1:18" ht="15" hidden="1" customHeight="1" x14ac:dyDescent="0.3">
      <c r="A1553" s="89">
        <v>2022</v>
      </c>
      <c r="B1553" s="90">
        <v>6</v>
      </c>
      <c r="C1553" s="90" t="s">
        <v>727</v>
      </c>
      <c r="D1553" s="90" t="s">
        <v>722</v>
      </c>
      <c r="E1553" s="91" t="s">
        <v>11</v>
      </c>
      <c r="F1553" s="92" t="s">
        <v>37</v>
      </c>
      <c r="G1553" s="93">
        <v>28580.080000000002</v>
      </c>
      <c r="H1553" s="93">
        <v>109700.87</v>
      </c>
      <c r="I1553" s="93">
        <v>2397.5457928860201</v>
      </c>
      <c r="J1553" s="93">
        <v>63677.7</v>
      </c>
      <c r="K1553" s="93">
        <v>7259.83</v>
      </c>
      <c r="L1553" s="93">
        <v>182612.16</v>
      </c>
      <c r="M1553" s="93">
        <v>524074.32</v>
      </c>
      <c r="N1553" s="95">
        <v>0.08</v>
      </c>
      <c r="O1553" s="95">
        <v>0.32</v>
      </c>
      <c r="P1553" s="95">
        <v>0.39</v>
      </c>
      <c r="Q1553" s="95">
        <v>0.19</v>
      </c>
      <c r="R1553" s="96">
        <v>0.02</v>
      </c>
    </row>
    <row r="1554" spans="1:18" ht="15" hidden="1" customHeight="1" x14ac:dyDescent="0.3">
      <c r="A1554" s="89">
        <v>2022</v>
      </c>
      <c r="B1554" s="90">
        <v>6</v>
      </c>
      <c r="C1554" s="90" t="s">
        <v>727</v>
      </c>
      <c r="D1554" s="90" t="s">
        <v>722</v>
      </c>
      <c r="E1554" s="91" t="s">
        <v>11</v>
      </c>
      <c r="F1554" s="92" t="s">
        <v>38</v>
      </c>
      <c r="G1554" s="93">
        <v>79529.820000000007</v>
      </c>
      <c r="H1554" s="93">
        <v>204087.6</v>
      </c>
      <c r="I1554" s="93">
        <v>2397.5457928860201</v>
      </c>
      <c r="J1554" s="93">
        <v>135310.23000000001</v>
      </c>
      <c r="K1554" s="93">
        <v>7248.18</v>
      </c>
      <c r="L1554" s="93">
        <v>188123.61</v>
      </c>
      <c r="M1554" s="93">
        <v>927959.02</v>
      </c>
      <c r="N1554" s="95">
        <v>0.11</v>
      </c>
      <c r="O1554" s="95">
        <v>0.28000000000000003</v>
      </c>
      <c r="P1554" s="95">
        <v>0.42</v>
      </c>
      <c r="Q1554" s="95">
        <v>0.18</v>
      </c>
      <c r="R1554" s="96">
        <v>0.01</v>
      </c>
    </row>
    <row r="1555" spans="1:18" ht="15" hidden="1" customHeight="1" x14ac:dyDescent="0.3">
      <c r="A1555" s="89">
        <v>2022</v>
      </c>
      <c r="B1555" s="90">
        <v>6</v>
      </c>
      <c r="C1555" s="90" t="s">
        <v>727</v>
      </c>
      <c r="D1555" s="90" t="s">
        <v>722</v>
      </c>
      <c r="E1555" s="91" t="s">
        <v>11</v>
      </c>
      <c r="F1555" s="92" t="s">
        <v>39</v>
      </c>
      <c r="G1555" s="93">
        <v>13070.39</v>
      </c>
      <c r="H1555" s="93">
        <v>78140.41</v>
      </c>
      <c r="I1555" s="93">
        <v>2397.5457928860201</v>
      </c>
      <c r="J1555" s="93">
        <v>77989.83</v>
      </c>
      <c r="K1555" s="93">
        <v>26968.62</v>
      </c>
      <c r="L1555" s="93">
        <v>25455.75</v>
      </c>
      <c r="M1555" s="93">
        <v>331195.63</v>
      </c>
      <c r="N1555" s="95">
        <v>0.04</v>
      </c>
      <c r="O1555" s="95">
        <v>0.26</v>
      </c>
      <c r="P1555" s="95">
        <v>0.36</v>
      </c>
      <c r="Q1555" s="95">
        <v>0.26</v>
      </c>
      <c r="R1555" s="96">
        <v>0.09</v>
      </c>
    </row>
    <row r="1556" spans="1:18" ht="15" hidden="1" customHeight="1" x14ac:dyDescent="0.3">
      <c r="A1556" s="89">
        <v>2022</v>
      </c>
      <c r="B1556" s="90">
        <v>6</v>
      </c>
      <c r="C1556" s="90" t="s">
        <v>727</v>
      </c>
      <c r="D1556" s="90" t="s">
        <v>722</v>
      </c>
      <c r="E1556" s="91" t="s">
        <v>11</v>
      </c>
      <c r="F1556" s="92" t="s">
        <v>41</v>
      </c>
      <c r="G1556" s="93">
        <v>5730.29</v>
      </c>
      <c r="H1556" s="93">
        <v>6843.77</v>
      </c>
      <c r="I1556" s="93">
        <v>2397.5457928860201</v>
      </c>
      <c r="J1556" s="93">
        <v>71.510000000000005</v>
      </c>
      <c r="K1556" s="93">
        <v>2.76</v>
      </c>
      <c r="L1556" s="93">
        <v>4595.83</v>
      </c>
      <c r="M1556" s="93">
        <v>18714.330000000002</v>
      </c>
      <c r="N1556" s="95">
        <v>0.41</v>
      </c>
      <c r="O1556" s="95">
        <v>0.48</v>
      </c>
      <c r="P1556" s="95">
        <v>0.1</v>
      </c>
      <c r="Q1556" s="95">
        <v>0.01</v>
      </c>
      <c r="R1556" s="96">
        <v>0</v>
      </c>
    </row>
    <row r="1557" spans="1:18" ht="15" hidden="1" customHeight="1" x14ac:dyDescent="0.3">
      <c r="A1557" s="89">
        <v>2022</v>
      </c>
      <c r="B1557" s="90">
        <v>6</v>
      </c>
      <c r="C1557" s="90" t="s">
        <v>727</v>
      </c>
      <c r="D1557" s="90" t="s">
        <v>722</v>
      </c>
      <c r="E1557" s="91" t="s">
        <v>11</v>
      </c>
      <c r="F1557" s="92" t="s">
        <v>42</v>
      </c>
      <c r="G1557" s="93">
        <v>10714.6</v>
      </c>
      <c r="H1557" s="93">
        <v>108189.61</v>
      </c>
      <c r="I1557" s="93">
        <v>2397.5457928860201</v>
      </c>
      <c r="J1557" s="93">
        <v>73313.53</v>
      </c>
      <c r="K1557" s="93">
        <v>4289.6400000000003</v>
      </c>
      <c r="L1557" s="93">
        <v>180397.28</v>
      </c>
      <c r="M1557" s="93">
        <v>620824.21</v>
      </c>
      <c r="N1557" s="95">
        <v>0.02</v>
      </c>
      <c r="O1557" s="95">
        <v>0.25</v>
      </c>
      <c r="P1557" s="95">
        <v>0.55000000000000004</v>
      </c>
      <c r="Q1557" s="95">
        <v>0.17</v>
      </c>
      <c r="R1557" s="96">
        <v>0.01</v>
      </c>
    </row>
    <row r="1558" spans="1:18" ht="15" hidden="1" customHeight="1" x14ac:dyDescent="0.3">
      <c r="A1558" s="89">
        <v>2022</v>
      </c>
      <c r="B1558" s="90">
        <v>6</v>
      </c>
      <c r="C1558" s="90" t="s">
        <v>727</v>
      </c>
      <c r="D1558" s="90" t="s">
        <v>722</v>
      </c>
      <c r="E1558" s="91" t="s">
        <v>11</v>
      </c>
      <c r="F1558" s="92" t="s">
        <v>43</v>
      </c>
      <c r="G1558" s="93">
        <v>2279.9499999999998</v>
      </c>
      <c r="H1558" s="93">
        <v>16433.13</v>
      </c>
      <c r="I1558" s="93">
        <v>2397.5457928860201</v>
      </c>
      <c r="J1558" s="93">
        <v>5580.02</v>
      </c>
      <c r="K1558" s="93">
        <v>678.78</v>
      </c>
      <c r="L1558" s="93">
        <v>142846.16</v>
      </c>
      <c r="M1558" s="93">
        <v>185575.52</v>
      </c>
      <c r="N1558" s="95">
        <v>0.05</v>
      </c>
      <c r="O1558" s="95">
        <v>0.38</v>
      </c>
      <c r="P1558" s="95">
        <v>0.42</v>
      </c>
      <c r="Q1558" s="95">
        <v>0.13</v>
      </c>
      <c r="R1558" s="96">
        <v>0.02</v>
      </c>
    </row>
    <row r="1559" spans="1:18" ht="15" hidden="1" customHeight="1" x14ac:dyDescent="0.3">
      <c r="A1559" s="89">
        <v>2022</v>
      </c>
      <c r="B1559" s="90">
        <v>6</v>
      </c>
      <c r="C1559" s="90" t="s">
        <v>727</v>
      </c>
      <c r="D1559" s="90" t="s">
        <v>722</v>
      </c>
      <c r="E1559" s="91" t="s">
        <v>11</v>
      </c>
      <c r="F1559" s="92" t="s">
        <v>58</v>
      </c>
      <c r="G1559" s="93">
        <v>8450.7800000000007</v>
      </c>
      <c r="H1559" s="93">
        <v>102640.81</v>
      </c>
      <c r="I1559" s="93">
        <v>2397.5457928860201</v>
      </c>
      <c r="J1559" s="93">
        <v>58796.07</v>
      </c>
      <c r="K1559" s="93">
        <v>3775.31</v>
      </c>
      <c r="L1559" s="93">
        <v>6725.58</v>
      </c>
      <c r="M1559" s="93">
        <v>371477.13</v>
      </c>
      <c r="N1559" s="95">
        <v>0.02</v>
      </c>
      <c r="O1559" s="95">
        <v>0.28000000000000003</v>
      </c>
      <c r="P1559" s="95">
        <v>0.52</v>
      </c>
      <c r="Q1559" s="95">
        <v>0.16</v>
      </c>
      <c r="R1559" s="96">
        <v>0.01</v>
      </c>
    </row>
    <row r="1560" spans="1:18" ht="15" hidden="1" customHeight="1" x14ac:dyDescent="0.3">
      <c r="A1560" s="89">
        <v>2022</v>
      </c>
      <c r="B1560" s="90">
        <v>6</v>
      </c>
      <c r="C1560" s="90" t="s">
        <v>727</v>
      </c>
      <c r="D1560" s="90" t="s">
        <v>722</v>
      </c>
      <c r="E1560" s="91" t="s">
        <v>11</v>
      </c>
      <c r="F1560" s="92" t="s">
        <v>44</v>
      </c>
      <c r="G1560" s="93">
        <v>10720.68</v>
      </c>
      <c r="H1560" s="93">
        <v>27230.74</v>
      </c>
      <c r="I1560" s="93">
        <v>2397.5457928860201</v>
      </c>
      <c r="J1560" s="93">
        <v>54272.66</v>
      </c>
      <c r="K1560" s="93">
        <v>7277.22</v>
      </c>
      <c r="L1560" s="93">
        <v>55414.33</v>
      </c>
      <c r="M1560" s="93">
        <v>215729.36</v>
      </c>
      <c r="N1560" s="95">
        <v>7.0000000000000007E-2</v>
      </c>
      <c r="O1560" s="95">
        <v>0.17</v>
      </c>
      <c r="P1560" s="95">
        <v>0.38</v>
      </c>
      <c r="Q1560" s="95">
        <v>0.34</v>
      </c>
      <c r="R1560" s="96">
        <v>0.05</v>
      </c>
    </row>
    <row r="1561" spans="1:18" ht="15" hidden="1" customHeight="1" x14ac:dyDescent="0.3">
      <c r="A1561" s="89">
        <v>2022</v>
      </c>
      <c r="B1561" s="90">
        <v>6</v>
      </c>
      <c r="C1561" s="90" t="s">
        <v>727</v>
      </c>
      <c r="D1561" s="90" t="s">
        <v>722</v>
      </c>
      <c r="E1561" s="91" t="s">
        <v>11</v>
      </c>
      <c r="F1561" s="92" t="s">
        <v>51</v>
      </c>
      <c r="G1561" s="93">
        <v>3349.5</v>
      </c>
      <c r="H1561" s="93">
        <v>26064.98</v>
      </c>
      <c r="I1561" s="93">
        <v>2397.5457928860201</v>
      </c>
      <c r="J1561" s="93">
        <v>67899.679999999993</v>
      </c>
      <c r="K1561" s="93">
        <v>6700.61</v>
      </c>
      <c r="L1561" s="93">
        <v>1600.92</v>
      </c>
      <c r="M1561" s="93">
        <v>211202.48</v>
      </c>
      <c r="N1561" s="95">
        <v>0.02</v>
      </c>
      <c r="O1561" s="95">
        <v>0.12</v>
      </c>
      <c r="P1561" s="95">
        <v>0.5</v>
      </c>
      <c r="Q1561" s="95">
        <v>0.32</v>
      </c>
      <c r="R1561" s="96">
        <v>0.03</v>
      </c>
    </row>
    <row r="1562" spans="1:18" ht="15" hidden="1" customHeight="1" x14ac:dyDescent="0.3">
      <c r="A1562" s="89">
        <v>2022</v>
      </c>
      <c r="B1562" s="90">
        <v>6</v>
      </c>
      <c r="C1562" s="90" t="s">
        <v>727</v>
      </c>
      <c r="D1562" s="90" t="s">
        <v>722</v>
      </c>
      <c r="E1562" s="91" t="s">
        <v>11</v>
      </c>
      <c r="F1562" s="92" t="s">
        <v>45</v>
      </c>
      <c r="G1562" s="93">
        <v>4849.51</v>
      </c>
      <c r="H1562" s="93">
        <v>20310.689999999999</v>
      </c>
      <c r="I1562" s="93">
        <v>2397.5457928860201</v>
      </c>
      <c r="J1562" s="93">
        <v>23728.16</v>
      </c>
      <c r="K1562" s="93">
        <v>3756.59</v>
      </c>
      <c r="L1562" s="93">
        <v>49353.62</v>
      </c>
      <c r="M1562" s="93">
        <v>134096.20000000001</v>
      </c>
      <c r="N1562" s="95">
        <v>0.06</v>
      </c>
      <c r="O1562" s="95">
        <v>0.24</v>
      </c>
      <c r="P1562" s="95">
        <v>0.38</v>
      </c>
      <c r="Q1562" s="95">
        <v>0.28000000000000003</v>
      </c>
      <c r="R1562" s="96">
        <v>0.04</v>
      </c>
    </row>
    <row r="1563" spans="1:18" ht="15" hidden="1" customHeight="1" x14ac:dyDescent="0.3">
      <c r="A1563" s="89">
        <v>2022</v>
      </c>
      <c r="B1563" s="90">
        <v>6</v>
      </c>
      <c r="C1563" s="90" t="s">
        <v>727</v>
      </c>
      <c r="D1563" s="90" t="s">
        <v>722</v>
      </c>
      <c r="E1563" s="91" t="s">
        <v>11</v>
      </c>
      <c r="F1563" s="92" t="s">
        <v>721</v>
      </c>
      <c r="G1563" s="93">
        <v>5751.85</v>
      </c>
      <c r="H1563" s="93">
        <v>63607.27</v>
      </c>
      <c r="I1563" s="93">
        <v>2397.5457928860201</v>
      </c>
      <c r="J1563" s="93">
        <v>70964.78</v>
      </c>
      <c r="K1563" s="93">
        <v>3604.47</v>
      </c>
      <c r="L1563" s="93">
        <v>135.47999999999999</v>
      </c>
      <c r="M1563" s="93">
        <v>309330.63</v>
      </c>
      <c r="N1563" s="95">
        <v>0.02</v>
      </c>
      <c r="O1563" s="95">
        <v>0.21</v>
      </c>
      <c r="P1563" s="95">
        <v>0.53</v>
      </c>
      <c r="Q1563" s="95">
        <v>0.23</v>
      </c>
      <c r="R1563" s="96">
        <v>0.01</v>
      </c>
    </row>
    <row r="1564" spans="1:18" ht="15" hidden="1" customHeight="1" x14ac:dyDescent="0.3">
      <c r="A1564" s="89">
        <v>2022</v>
      </c>
      <c r="B1564" s="90">
        <v>6</v>
      </c>
      <c r="C1564" s="90" t="s">
        <v>727</v>
      </c>
      <c r="D1564" s="90" t="s">
        <v>722</v>
      </c>
      <c r="E1564" s="91" t="s">
        <v>11</v>
      </c>
      <c r="F1564" s="92" t="s">
        <v>46</v>
      </c>
      <c r="G1564" s="93">
        <v>12240.58</v>
      </c>
      <c r="H1564" s="93">
        <v>56470.29</v>
      </c>
      <c r="I1564" s="93">
        <v>2397.5457928860201</v>
      </c>
      <c r="J1564" s="93">
        <v>14249.7</v>
      </c>
      <c r="K1564" s="93">
        <v>1595.28</v>
      </c>
      <c r="L1564" s="93">
        <v>9131.7900000000009</v>
      </c>
      <c r="M1564" s="93">
        <v>149074.81</v>
      </c>
      <c r="N1564" s="95">
        <v>0.09</v>
      </c>
      <c r="O1564" s="95">
        <v>0.4</v>
      </c>
      <c r="P1564" s="95">
        <v>0.4</v>
      </c>
      <c r="Q1564" s="95">
        <v>0.1</v>
      </c>
      <c r="R1564" s="96">
        <v>0.01</v>
      </c>
    </row>
    <row r="1565" spans="1:18" ht="15" hidden="1" customHeight="1" x14ac:dyDescent="0.3">
      <c r="A1565" s="89">
        <v>2022</v>
      </c>
      <c r="B1565" s="90">
        <v>6</v>
      </c>
      <c r="C1565" s="90" t="s">
        <v>727</v>
      </c>
      <c r="D1565" s="90" t="s">
        <v>722</v>
      </c>
      <c r="E1565" s="91" t="s">
        <v>11</v>
      </c>
      <c r="F1565" s="92" t="s">
        <v>47</v>
      </c>
      <c r="G1565" s="93">
        <v>12678.48</v>
      </c>
      <c r="H1565" s="93">
        <v>76595.210000000006</v>
      </c>
      <c r="I1565" s="93">
        <v>2397.5457928860201</v>
      </c>
      <c r="J1565" s="93">
        <v>99875.72</v>
      </c>
      <c r="K1565" s="93">
        <v>27519.38</v>
      </c>
      <c r="L1565" s="93">
        <v>1084561.1200000001</v>
      </c>
      <c r="M1565" s="93">
        <v>1461770.89</v>
      </c>
      <c r="N1565" s="95">
        <v>0.03</v>
      </c>
      <c r="O1565" s="95">
        <v>0.2</v>
      </c>
      <c r="P1565" s="95">
        <v>0.43</v>
      </c>
      <c r="Q1565" s="95">
        <v>0.26</v>
      </c>
      <c r="R1565" s="96">
        <v>7.0000000000000007E-2</v>
      </c>
    </row>
    <row r="1566" spans="1:18" ht="15" hidden="1" customHeight="1" x14ac:dyDescent="0.3">
      <c r="A1566" s="89">
        <v>2022</v>
      </c>
      <c r="B1566" s="90">
        <v>6</v>
      </c>
      <c r="C1566" s="90" t="s">
        <v>727</v>
      </c>
      <c r="D1566" s="90" t="s">
        <v>722</v>
      </c>
      <c r="E1566" s="91" t="s">
        <v>11</v>
      </c>
      <c r="F1566" s="92" t="s">
        <v>48</v>
      </c>
      <c r="G1566" s="93">
        <v>1731.14</v>
      </c>
      <c r="H1566" s="93">
        <v>6176.98</v>
      </c>
      <c r="I1566" s="93">
        <v>2397.5457928860201</v>
      </c>
      <c r="J1566" s="93">
        <v>50852.53</v>
      </c>
      <c r="K1566" s="93">
        <v>21792.06</v>
      </c>
      <c r="L1566" s="93">
        <v>8770.18</v>
      </c>
      <c r="M1566" s="93">
        <v>110314.47</v>
      </c>
      <c r="N1566" s="95">
        <v>0.02</v>
      </c>
      <c r="O1566" s="95">
        <v>0.06</v>
      </c>
      <c r="P1566" s="95">
        <v>0.21</v>
      </c>
      <c r="Q1566" s="95">
        <v>0.5</v>
      </c>
      <c r="R1566" s="96">
        <v>0.21</v>
      </c>
    </row>
    <row r="1567" spans="1:18" ht="15" hidden="1" customHeight="1" x14ac:dyDescent="0.3">
      <c r="A1567" s="89">
        <v>2022</v>
      </c>
      <c r="B1567" s="90">
        <v>6</v>
      </c>
      <c r="C1567" s="90" t="s">
        <v>727</v>
      </c>
      <c r="D1567" s="90" t="s">
        <v>722</v>
      </c>
      <c r="E1567" s="91" t="s">
        <v>11</v>
      </c>
      <c r="F1567" s="92" t="s">
        <v>40</v>
      </c>
      <c r="G1567" s="93">
        <v>13457.16</v>
      </c>
      <c r="H1567" s="93">
        <v>134590.63</v>
      </c>
      <c r="I1567" s="93">
        <v>2397.5457928860201</v>
      </c>
      <c r="J1567" s="93">
        <v>22114.54</v>
      </c>
      <c r="K1567" s="93">
        <v>762.27</v>
      </c>
      <c r="L1567" s="93">
        <v>9167.44</v>
      </c>
      <c r="M1567" s="93">
        <v>326305.03999999998</v>
      </c>
      <c r="N1567" s="95">
        <v>0.04</v>
      </c>
      <c r="O1567" s="95">
        <v>0.42</v>
      </c>
      <c r="P1567" s="95">
        <v>0.46</v>
      </c>
      <c r="Q1567" s="95">
        <v>7.0000000000000007E-2</v>
      </c>
      <c r="R1567" s="96">
        <v>0</v>
      </c>
    </row>
    <row r="1568" spans="1:18" ht="15" hidden="1" customHeight="1" x14ac:dyDescent="0.3">
      <c r="A1568" s="89">
        <v>2022</v>
      </c>
      <c r="B1568" s="90">
        <v>7</v>
      </c>
      <c r="C1568" s="90" t="s">
        <v>728</v>
      </c>
      <c r="D1568" s="90" t="s">
        <v>719</v>
      </c>
      <c r="E1568" s="91" t="s">
        <v>11</v>
      </c>
      <c r="F1568" s="92" t="s">
        <v>26</v>
      </c>
      <c r="G1568" s="93">
        <v>57514.3</v>
      </c>
      <c r="H1568" s="93">
        <v>185104.24</v>
      </c>
      <c r="I1568" s="93">
        <v>2397.5457928860201</v>
      </c>
      <c r="J1568" s="93">
        <v>346787.33</v>
      </c>
      <c r="K1568" s="93">
        <v>12228.91</v>
      </c>
      <c r="L1568" s="93">
        <v>272922.75</v>
      </c>
      <c r="M1568" s="93">
        <v>1302393.77</v>
      </c>
      <c r="N1568" s="95">
        <v>0.06</v>
      </c>
      <c r="O1568" s="95">
        <v>0.18</v>
      </c>
      <c r="P1568" s="95">
        <v>0.42</v>
      </c>
      <c r="Q1568" s="95">
        <v>0.34</v>
      </c>
      <c r="R1568" s="96">
        <v>0.01</v>
      </c>
    </row>
    <row r="1569" spans="1:18" ht="15" hidden="1" customHeight="1" x14ac:dyDescent="0.3">
      <c r="A1569" s="89">
        <v>2022</v>
      </c>
      <c r="B1569" s="90">
        <v>7</v>
      </c>
      <c r="C1569" s="90" t="s">
        <v>728</v>
      </c>
      <c r="D1569" s="90" t="s">
        <v>719</v>
      </c>
      <c r="E1569" s="91" t="s">
        <v>11</v>
      </c>
      <c r="F1569" s="92" t="s">
        <v>12</v>
      </c>
      <c r="G1569" s="93">
        <v>13964.79</v>
      </c>
      <c r="H1569" s="93">
        <v>67786.63</v>
      </c>
      <c r="I1569" s="93">
        <v>2397.5457928860201</v>
      </c>
      <c r="J1569" s="93">
        <v>59824.02</v>
      </c>
      <c r="K1569" s="93">
        <v>6411.55</v>
      </c>
      <c r="L1569" s="93">
        <v>169243.23</v>
      </c>
      <c r="M1569" s="93">
        <v>433311.44</v>
      </c>
      <c r="N1569" s="95">
        <v>0.05</v>
      </c>
      <c r="O1569" s="95">
        <v>0.26</v>
      </c>
      <c r="P1569" s="95">
        <v>0.44</v>
      </c>
      <c r="Q1569" s="95">
        <v>0.23</v>
      </c>
      <c r="R1569" s="96">
        <v>0.02</v>
      </c>
    </row>
    <row r="1570" spans="1:18" ht="15" hidden="1" customHeight="1" x14ac:dyDescent="0.3">
      <c r="A1570" s="89">
        <v>2022</v>
      </c>
      <c r="B1570" s="90">
        <v>7</v>
      </c>
      <c r="C1570" s="90" t="s">
        <v>728</v>
      </c>
      <c r="D1570" s="90" t="s">
        <v>719</v>
      </c>
      <c r="E1570" s="91" t="s">
        <v>11</v>
      </c>
      <c r="F1570" s="92" t="s">
        <v>27</v>
      </c>
      <c r="G1570" s="93">
        <v>18568.75</v>
      </c>
      <c r="H1570" s="93">
        <v>98255.91</v>
      </c>
      <c r="I1570" s="93">
        <v>2397.5457928860201</v>
      </c>
      <c r="J1570" s="93">
        <v>16784.7</v>
      </c>
      <c r="K1570" s="93">
        <v>754.81</v>
      </c>
      <c r="L1570" s="93">
        <v>12993.66</v>
      </c>
      <c r="M1570" s="93">
        <v>226689.38</v>
      </c>
      <c r="N1570" s="95">
        <v>0.09</v>
      </c>
      <c r="O1570" s="95">
        <v>0.46</v>
      </c>
      <c r="P1570" s="95">
        <v>0.37</v>
      </c>
      <c r="Q1570" s="95">
        <v>0.08</v>
      </c>
      <c r="R1570" s="96">
        <v>0</v>
      </c>
    </row>
    <row r="1571" spans="1:18" ht="15" hidden="1" customHeight="1" x14ac:dyDescent="0.3">
      <c r="A1571" s="89">
        <v>2022</v>
      </c>
      <c r="B1571" s="90">
        <v>7</v>
      </c>
      <c r="C1571" s="90" t="s">
        <v>728</v>
      </c>
      <c r="D1571" s="90" t="s">
        <v>719</v>
      </c>
      <c r="E1571" s="91" t="s">
        <v>11</v>
      </c>
      <c r="F1571" s="92" t="s">
        <v>28</v>
      </c>
      <c r="G1571" s="93">
        <v>10146.91</v>
      </c>
      <c r="H1571" s="93">
        <v>63318.62</v>
      </c>
      <c r="I1571" s="93">
        <v>2397.5457928860201</v>
      </c>
      <c r="J1571" s="93">
        <v>60132.63</v>
      </c>
      <c r="K1571" s="93">
        <v>3298.5</v>
      </c>
      <c r="L1571" s="93">
        <v>36209.29</v>
      </c>
      <c r="M1571" s="93">
        <v>373104.4</v>
      </c>
      <c r="N1571" s="95">
        <v>0.03</v>
      </c>
      <c r="O1571" s="95">
        <v>0.19</v>
      </c>
      <c r="P1571" s="95">
        <v>0.59</v>
      </c>
      <c r="Q1571" s="95">
        <v>0.18</v>
      </c>
      <c r="R1571" s="96">
        <v>0.01</v>
      </c>
    </row>
    <row r="1572" spans="1:18" ht="15" customHeight="1" x14ac:dyDescent="0.3">
      <c r="A1572" s="89">
        <v>2022</v>
      </c>
      <c r="B1572" s="90">
        <v>7</v>
      </c>
      <c r="C1572" s="90" t="s">
        <v>728</v>
      </c>
      <c r="D1572" s="90" t="s">
        <v>719</v>
      </c>
      <c r="E1572" s="91" t="s">
        <v>11</v>
      </c>
      <c r="F1572" s="92" t="s">
        <v>29</v>
      </c>
      <c r="G1572" s="93">
        <v>20403.080000000002</v>
      </c>
      <c r="H1572" s="93">
        <v>72301.75</v>
      </c>
      <c r="I1572" s="93">
        <v>2397.5457928860201</v>
      </c>
      <c r="J1572" s="93">
        <v>46963.27</v>
      </c>
      <c r="K1572" s="93">
        <v>7317.91</v>
      </c>
      <c r="L1572" s="93">
        <v>118635.48</v>
      </c>
      <c r="M1572" s="93">
        <v>354391.76</v>
      </c>
      <c r="N1572" s="95">
        <v>0.09</v>
      </c>
      <c r="O1572" s="95">
        <v>0.31</v>
      </c>
      <c r="P1572" s="95">
        <v>0.38</v>
      </c>
      <c r="Q1572" s="95">
        <v>0.2</v>
      </c>
      <c r="R1572" s="96">
        <v>0.03</v>
      </c>
    </row>
    <row r="1573" spans="1:18" ht="15" hidden="1" customHeight="1" x14ac:dyDescent="0.3">
      <c r="A1573" s="89">
        <v>2022</v>
      </c>
      <c r="B1573" s="90">
        <v>7</v>
      </c>
      <c r="C1573" s="90" t="s">
        <v>728</v>
      </c>
      <c r="D1573" s="90" t="s">
        <v>719</v>
      </c>
      <c r="E1573" s="91" t="s">
        <v>11</v>
      </c>
      <c r="F1573" s="92" t="s">
        <v>30</v>
      </c>
      <c r="G1573" s="93">
        <v>1009.43</v>
      </c>
      <c r="H1573" s="93">
        <v>4096.25</v>
      </c>
      <c r="I1573" s="93">
        <v>2397.5457928860201</v>
      </c>
      <c r="J1573" s="93">
        <v>935.36</v>
      </c>
      <c r="K1573" s="93">
        <v>31.58</v>
      </c>
      <c r="L1573" s="93">
        <v>221352.82</v>
      </c>
      <c r="M1573" s="93">
        <v>230086.24</v>
      </c>
      <c r="N1573" s="95">
        <v>0.12</v>
      </c>
      <c r="O1573" s="95">
        <v>0.47</v>
      </c>
      <c r="P1573" s="95">
        <v>0.3</v>
      </c>
      <c r="Q1573" s="95">
        <v>0.11</v>
      </c>
      <c r="R1573" s="96">
        <v>0</v>
      </c>
    </row>
    <row r="1574" spans="1:18" ht="15" hidden="1" customHeight="1" x14ac:dyDescent="0.3">
      <c r="A1574" s="89">
        <v>2022</v>
      </c>
      <c r="B1574" s="90">
        <v>7</v>
      </c>
      <c r="C1574" s="90" t="s">
        <v>728</v>
      </c>
      <c r="D1574" s="90" t="s">
        <v>719</v>
      </c>
      <c r="E1574" s="91" t="s">
        <v>11</v>
      </c>
      <c r="F1574" s="92" t="s">
        <v>31</v>
      </c>
      <c r="G1574" s="93">
        <v>3518.05</v>
      </c>
      <c r="H1574" s="93">
        <v>102055.86</v>
      </c>
      <c r="I1574" s="93">
        <v>2397.5457928860201</v>
      </c>
      <c r="J1574" s="93">
        <v>13508.35</v>
      </c>
      <c r="K1574" s="93">
        <v>2850.92</v>
      </c>
      <c r="L1574" s="93">
        <v>60566.73</v>
      </c>
      <c r="M1574" s="93">
        <v>251948.86</v>
      </c>
      <c r="N1574" s="95">
        <v>0.02</v>
      </c>
      <c r="O1574" s="95">
        <v>0.53</v>
      </c>
      <c r="P1574" s="95">
        <v>0.36</v>
      </c>
      <c r="Q1574" s="95">
        <v>7.0000000000000007E-2</v>
      </c>
      <c r="R1574" s="96">
        <v>0.01</v>
      </c>
    </row>
    <row r="1575" spans="1:18" ht="15" hidden="1" customHeight="1" x14ac:dyDescent="0.3">
      <c r="A1575" s="89">
        <v>2022</v>
      </c>
      <c r="B1575" s="90">
        <v>7</v>
      </c>
      <c r="C1575" s="90" t="s">
        <v>728</v>
      </c>
      <c r="D1575" s="90" t="s">
        <v>719</v>
      </c>
      <c r="E1575" s="91" t="s">
        <v>11</v>
      </c>
      <c r="F1575" s="92" t="s">
        <v>32</v>
      </c>
      <c r="G1575" s="93">
        <v>23016.67</v>
      </c>
      <c r="H1575" s="93">
        <v>117218.32</v>
      </c>
      <c r="I1575" s="93">
        <v>2397.5457928860201</v>
      </c>
      <c r="J1575" s="93">
        <v>181257.23</v>
      </c>
      <c r="K1575" s="93">
        <v>37515.050000000003</v>
      </c>
      <c r="L1575" s="93">
        <v>44689.7</v>
      </c>
      <c r="M1575" s="93">
        <v>609521.87</v>
      </c>
      <c r="N1575" s="95">
        <v>0.04</v>
      </c>
      <c r="O1575" s="95">
        <v>0.21</v>
      </c>
      <c r="P1575" s="95">
        <v>0.36</v>
      </c>
      <c r="Q1575" s="95">
        <v>0.32</v>
      </c>
      <c r="R1575" s="96">
        <v>7.0000000000000007E-2</v>
      </c>
    </row>
    <row r="1576" spans="1:18" ht="15" hidden="1" customHeight="1" x14ac:dyDescent="0.3">
      <c r="A1576" s="89">
        <v>2022</v>
      </c>
      <c r="B1576" s="90">
        <v>7</v>
      </c>
      <c r="C1576" s="90" t="s">
        <v>728</v>
      </c>
      <c r="D1576" s="90" t="s">
        <v>719</v>
      </c>
      <c r="E1576" s="91" t="s">
        <v>11</v>
      </c>
      <c r="F1576" s="92" t="s">
        <v>33</v>
      </c>
      <c r="G1576" s="93">
        <v>26254.31</v>
      </c>
      <c r="H1576" s="93">
        <v>155729.35</v>
      </c>
      <c r="I1576" s="93">
        <v>2397.5457928860201</v>
      </c>
      <c r="J1576" s="93">
        <v>508025.79</v>
      </c>
      <c r="K1576" s="93">
        <v>31061.14</v>
      </c>
      <c r="L1576" s="93">
        <v>46770.01</v>
      </c>
      <c r="M1576" s="93">
        <v>1352055.51</v>
      </c>
      <c r="N1576" s="95">
        <v>0.02</v>
      </c>
      <c r="O1576" s="95">
        <v>0.12</v>
      </c>
      <c r="P1576" s="95">
        <v>0.45</v>
      </c>
      <c r="Q1576" s="95">
        <v>0.39</v>
      </c>
      <c r="R1576" s="96">
        <v>0.02</v>
      </c>
    </row>
    <row r="1577" spans="1:18" ht="15" hidden="1" customHeight="1" x14ac:dyDescent="0.3">
      <c r="A1577" s="89">
        <v>2022</v>
      </c>
      <c r="B1577" s="90">
        <v>7</v>
      </c>
      <c r="C1577" s="90" t="s">
        <v>728</v>
      </c>
      <c r="D1577" s="90" t="s">
        <v>719</v>
      </c>
      <c r="E1577" s="91" t="s">
        <v>11</v>
      </c>
      <c r="F1577" s="92" t="s">
        <v>34</v>
      </c>
      <c r="G1577" s="93">
        <v>45741.36</v>
      </c>
      <c r="H1577" s="93">
        <v>230550.21</v>
      </c>
      <c r="I1577" s="93">
        <v>2397.5457928860201</v>
      </c>
      <c r="J1577" s="93">
        <v>63825.95</v>
      </c>
      <c r="K1577" s="93">
        <v>3658.32</v>
      </c>
      <c r="L1577" s="93">
        <v>98300.46</v>
      </c>
      <c r="M1577" s="93">
        <v>713628.98</v>
      </c>
      <c r="N1577" s="95">
        <v>7.0000000000000007E-2</v>
      </c>
      <c r="O1577" s="95">
        <v>0.37</v>
      </c>
      <c r="P1577" s="95">
        <v>0.44</v>
      </c>
      <c r="Q1577" s="95">
        <v>0.1</v>
      </c>
      <c r="R1577" s="96">
        <v>0.01</v>
      </c>
    </row>
    <row r="1578" spans="1:18" ht="15" hidden="1" customHeight="1" x14ac:dyDescent="0.3">
      <c r="A1578" s="89">
        <v>2022</v>
      </c>
      <c r="B1578" s="90">
        <v>7</v>
      </c>
      <c r="C1578" s="90" t="s">
        <v>728</v>
      </c>
      <c r="D1578" s="90" t="s">
        <v>719</v>
      </c>
      <c r="E1578" s="91" t="s">
        <v>11</v>
      </c>
      <c r="F1578" s="92" t="s">
        <v>35</v>
      </c>
      <c r="G1578" s="93">
        <v>25268.880000000001</v>
      </c>
      <c r="H1578" s="93">
        <v>109834.26</v>
      </c>
      <c r="I1578" s="93">
        <v>2397.5457928860201</v>
      </c>
      <c r="J1578" s="93">
        <v>65084.99</v>
      </c>
      <c r="K1578" s="93">
        <v>8440.32</v>
      </c>
      <c r="L1578" s="93">
        <v>296037.95</v>
      </c>
      <c r="M1578" s="93">
        <v>605861.19999999995</v>
      </c>
      <c r="N1578" s="95">
        <v>0.08</v>
      </c>
      <c r="O1578" s="95">
        <v>0.35</v>
      </c>
      <c r="P1578" s="95">
        <v>0.33</v>
      </c>
      <c r="Q1578" s="95">
        <v>0.21</v>
      </c>
      <c r="R1578" s="96">
        <v>0.03</v>
      </c>
    </row>
    <row r="1579" spans="1:18" ht="15" hidden="1" customHeight="1" x14ac:dyDescent="0.3">
      <c r="A1579" s="89">
        <v>2022</v>
      </c>
      <c r="B1579" s="90">
        <v>7</v>
      </c>
      <c r="C1579" s="90" t="s">
        <v>728</v>
      </c>
      <c r="D1579" s="90" t="s">
        <v>719</v>
      </c>
      <c r="E1579" s="91" t="s">
        <v>11</v>
      </c>
      <c r="F1579" s="92" t="s">
        <v>36</v>
      </c>
      <c r="G1579" s="93">
        <v>12081.37</v>
      </c>
      <c r="H1579" s="93">
        <v>75825.08</v>
      </c>
      <c r="I1579" s="93">
        <v>2397.5457928860201</v>
      </c>
      <c r="J1579" s="93">
        <v>44470.38</v>
      </c>
      <c r="K1579" s="93">
        <v>2785.31</v>
      </c>
      <c r="L1579" s="93">
        <v>36219.58</v>
      </c>
      <c r="M1579" s="93">
        <v>258886.74</v>
      </c>
      <c r="N1579" s="95">
        <v>0.05</v>
      </c>
      <c r="O1579" s="95">
        <v>0.34</v>
      </c>
      <c r="P1579" s="95">
        <v>0.39</v>
      </c>
      <c r="Q1579" s="95">
        <v>0.2</v>
      </c>
      <c r="R1579" s="96">
        <v>0.01</v>
      </c>
    </row>
    <row r="1580" spans="1:18" ht="15" hidden="1" customHeight="1" x14ac:dyDescent="0.3">
      <c r="A1580" s="89">
        <v>2022</v>
      </c>
      <c r="B1580" s="90">
        <v>7</v>
      </c>
      <c r="C1580" s="90" t="s">
        <v>728</v>
      </c>
      <c r="D1580" s="90" t="s">
        <v>719</v>
      </c>
      <c r="E1580" s="91" t="s">
        <v>11</v>
      </c>
      <c r="F1580" s="92" t="s">
        <v>37</v>
      </c>
      <c r="G1580" s="93">
        <v>29806.48</v>
      </c>
      <c r="H1580" s="93">
        <v>113130.34</v>
      </c>
      <c r="I1580" s="93">
        <v>2397.5457928860201</v>
      </c>
      <c r="J1580" s="93">
        <v>55224.15</v>
      </c>
      <c r="K1580" s="93">
        <v>6684.32</v>
      </c>
      <c r="L1580" s="93">
        <v>195204.37</v>
      </c>
      <c r="M1580" s="93">
        <v>524074.32</v>
      </c>
      <c r="N1580" s="95">
        <v>0.09</v>
      </c>
      <c r="O1580" s="95">
        <v>0.34</v>
      </c>
      <c r="P1580" s="95">
        <v>0.38</v>
      </c>
      <c r="Q1580" s="95">
        <v>0.17</v>
      </c>
      <c r="R1580" s="96">
        <v>0.02</v>
      </c>
    </row>
    <row r="1581" spans="1:18" ht="15" hidden="1" customHeight="1" x14ac:dyDescent="0.3">
      <c r="A1581" s="89">
        <v>2022</v>
      </c>
      <c r="B1581" s="90">
        <v>7</v>
      </c>
      <c r="C1581" s="90" t="s">
        <v>728</v>
      </c>
      <c r="D1581" s="90" t="s">
        <v>719</v>
      </c>
      <c r="E1581" s="91" t="s">
        <v>11</v>
      </c>
      <c r="F1581" s="92" t="s">
        <v>720</v>
      </c>
      <c r="G1581" s="93">
        <v>69487.649999999994</v>
      </c>
      <c r="H1581" s="93">
        <v>180384.68</v>
      </c>
      <c r="I1581" s="93">
        <v>2397.5457928860201</v>
      </c>
      <c r="J1581" s="93">
        <v>120252.31</v>
      </c>
      <c r="K1581" s="93">
        <v>9547.4500000000007</v>
      </c>
      <c r="L1581" s="93">
        <v>263518.78000000003</v>
      </c>
      <c r="M1581" s="93">
        <v>927959.02</v>
      </c>
      <c r="N1581" s="95">
        <v>0.1</v>
      </c>
      <c r="O1581" s="95">
        <v>0.27</v>
      </c>
      <c r="P1581" s="95">
        <v>0.43</v>
      </c>
      <c r="Q1581" s="95">
        <v>0.18</v>
      </c>
      <c r="R1581" s="96">
        <v>0.01</v>
      </c>
    </row>
    <row r="1582" spans="1:18" ht="15" hidden="1" customHeight="1" x14ac:dyDescent="0.3">
      <c r="A1582" s="89">
        <v>2022</v>
      </c>
      <c r="B1582" s="90">
        <v>7</v>
      </c>
      <c r="C1582" s="90" t="s">
        <v>728</v>
      </c>
      <c r="D1582" s="90" t="s">
        <v>719</v>
      </c>
      <c r="E1582" s="91" t="s">
        <v>11</v>
      </c>
      <c r="F1582" s="92" t="s">
        <v>39</v>
      </c>
      <c r="G1582" s="93">
        <v>32264.36</v>
      </c>
      <c r="H1582" s="93">
        <v>104597.55</v>
      </c>
      <c r="I1582" s="93">
        <v>2397.5457928860201</v>
      </c>
      <c r="J1582" s="93">
        <v>51913.14</v>
      </c>
      <c r="K1582" s="93">
        <v>6202.41</v>
      </c>
      <c r="L1582" s="93">
        <v>44190.22</v>
      </c>
      <c r="M1582" s="93">
        <v>331195.63</v>
      </c>
      <c r="N1582" s="95">
        <v>0.11</v>
      </c>
      <c r="O1582" s="95">
        <v>0.36</v>
      </c>
      <c r="P1582" s="95">
        <v>0.32</v>
      </c>
      <c r="Q1582" s="95">
        <v>0.18</v>
      </c>
      <c r="R1582" s="96">
        <v>0.02</v>
      </c>
    </row>
    <row r="1583" spans="1:18" ht="15" hidden="1" customHeight="1" x14ac:dyDescent="0.3">
      <c r="A1583" s="89">
        <v>2022</v>
      </c>
      <c r="B1583" s="90">
        <v>7</v>
      </c>
      <c r="C1583" s="90" t="s">
        <v>728</v>
      </c>
      <c r="D1583" s="90" t="s">
        <v>719</v>
      </c>
      <c r="E1583" s="91" t="s">
        <v>11</v>
      </c>
      <c r="F1583" s="92" t="s">
        <v>41</v>
      </c>
      <c r="G1583" s="93">
        <v>6679.24</v>
      </c>
      <c r="H1583" s="93">
        <v>8022.75</v>
      </c>
      <c r="I1583" s="93">
        <v>2397.5457928860201</v>
      </c>
      <c r="J1583" s="93">
        <v>322.29000000000002</v>
      </c>
      <c r="K1583" s="93">
        <v>4.41</v>
      </c>
      <c r="L1583" s="93">
        <v>1041.6600000000001</v>
      </c>
      <c r="M1583" s="93">
        <v>18714.330000000002</v>
      </c>
      <c r="N1583" s="95">
        <v>0.38</v>
      </c>
      <c r="O1583" s="95">
        <v>0.45</v>
      </c>
      <c r="P1583" s="95">
        <v>0.15</v>
      </c>
      <c r="Q1583" s="95">
        <v>0.02</v>
      </c>
      <c r="R1583" s="96">
        <v>0</v>
      </c>
    </row>
    <row r="1584" spans="1:18" ht="15" hidden="1" customHeight="1" x14ac:dyDescent="0.3">
      <c r="A1584" s="89">
        <v>2022</v>
      </c>
      <c r="B1584" s="90">
        <v>7</v>
      </c>
      <c r="C1584" s="90" t="s">
        <v>728</v>
      </c>
      <c r="D1584" s="90" t="s">
        <v>719</v>
      </c>
      <c r="E1584" s="91" t="s">
        <v>11</v>
      </c>
      <c r="F1584" s="92" t="s">
        <v>42</v>
      </c>
      <c r="G1584" s="93">
        <v>13082.07</v>
      </c>
      <c r="H1584" s="93">
        <v>152111.67000000001</v>
      </c>
      <c r="I1584" s="93">
        <v>2397.5457928860201</v>
      </c>
      <c r="J1584" s="93">
        <v>67555.34</v>
      </c>
      <c r="K1584" s="93">
        <v>8372.91</v>
      </c>
      <c r="L1584" s="93">
        <v>151981.16</v>
      </c>
      <c r="M1584" s="93">
        <v>620824.21</v>
      </c>
      <c r="N1584" s="95">
        <v>0.03</v>
      </c>
      <c r="O1584" s="95">
        <v>0.32</v>
      </c>
      <c r="P1584" s="95">
        <v>0.49</v>
      </c>
      <c r="Q1584" s="95">
        <v>0.14000000000000001</v>
      </c>
      <c r="R1584" s="96">
        <v>0.02</v>
      </c>
    </row>
    <row r="1585" spans="1:18" ht="15" hidden="1" customHeight="1" x14ac:dyDescent="0.3">
      <c r="A1585" s="89">
        <v>2022</v>
      </c>
      <c r="B1585" s="90">
        <v>7</v>
      </c>
      <c r="C1585" s="90" t="s">
        <v>728</v>
      </c>
      <c r="D1585" s="90" t="s">
        <v>719</v>
      </c>
      <c r="E1585" s="91" t="s">
        <v>11</v>
      </c>
      <c r="F1585" s="92" t="s">
        <v>43</v>
      </c>
      <c r="G1585" s="93">
        <v>2647.28</v>
      </c>
      <c r="H1585" s="93">
        <v>15318.76</v>
      </c>
      <c r="I1585" s="93">
        <v>2397.5457928860201</v>
      </c>
      <c r="J1585" s="93">
        <v>4697.8599999999997</v>
      </c>
      <c r="K1585" s="93">
        <v>608.48</v>
      </c>
      <c r="L1585" s="93">
        <v>148000.82</v>
      </c>
      <c r="M1585" s="93">
        <v>185575.52</v>
      </c>
      <c r="N1585" s="95">
        <v>7.0000000000000007E-2</v>
      </c>
      <c r="O1585" s="95">
        <v>0.41</v>
      </c>
      <c r="P1585" s="95">
        <v>0.38</v>
      </c>
      <c r="Q1585" s="95">
        <v>0.13</v>
      </c>
      <c r="R1585" s="96">
        <v>0.02</v>
      </c>
    </row>
    <row r="1586" spans="1:18" ht="15" hidden="1" customHeight="1" x14ac:dyDescent="0.3">
      <c r="A1586" s="89">
        <v>2022</v>
      </c>
      <c r="B1586" s="90">
        <v>7</v>
      </c>
      <c r="C1586" s="90" t="s">
        <v>728</v>
      </c>
      <c r="D1586" s="90" t="s">
        <v>719</v>
      </c>
      <c r="E1586" s="91" t="s">
        <v>11</v>
      </c>
      <c r="F1586" s="92" t="s">
        <v>58</v>
      </c>
      <c r="G1586" s="93">
        <v>7817.97</v>
      </c>
      <c r="H1586" s="93">
        <v>104702.24</v>
      </c>
      <c r="I1586" s="93">
        <v>2397.5457928860201</v>
      </c>
      <c r="J1586" s="93">
        <v>57027.3</v>
      </c>
      <c r="K1586" s="93">
        <v>4735.62</v>
      </c>
      <c r="L1586" s="93">
        <v>22854</v>
      </c>
      <c r="M1586" s="93">
        <v>371477.13</v>
      </c>
      <c r="N1586" s="95">
        <v>0.02</v>
      </c>
      <c r="O1586" s="95">
        <v>0.3</v>
      </c>
      <c r="P1586" s="95">
        <v>0.5</v>
      </c>
      <c r="Q1586" s="95">
        <v>0.16</v>
      </c>
      <c r="R1586" s="96">
        <v>0.01</v>
      </c>
    </row>
    <row r="1587" spans="1:18" ht="15" hidden="1" customHeight="1" x14ac:dyDescent="0.3">
      <c r="A1587" s="89">
        <v>2022</v>
      </c>
      <c r="B1587" s="90">
        <v>7</v>
      </c>
      <c r="C1587" s="90" t="s">
        <v>728</v>
      </c>
      <c r="D1587" s="90" t="s">
        <v>719</v>
      </c>
      <c r="E1587" s="91" t="s">
        <v>11</v>
      </c>
      <c r="F1587" s="92" t="s">
        <v>44</v>
      </c>
      <c r="G1587" s="93">
        <v>9331.86</v>
      </c>
      <c r="H1587" s="93">
        <v>38663.15</v>
      </c>
      <c r="I1587" s="93">
        <v>2397.5457928860201</v>
      </c>
      <c r="J1587" s="93">
        <v>44329.2</v>
      </c>
      <c r="K1587" s="93">
        <v>4206.17</v>
      </c>
      <c r="L1587" s="93">
        <v>46534.54</v>
      </c>
      <c r="M1587" s="93">
        <v>215729.36</v>
      </c>
      <c r="N1587" s="95">
        <v>0.06</v>
      </c>
      <c r="O1587" s="95">
        <v>0.23</v>
      </c>
      <c r="P1587" s="95">
        <v>0.43</v>
      </c>
      <c r="Q1587" s="95">
        <v>0.26</v>
      </c>
      <c r="R1587" s="96">
        <v>0.02</v>
      </c>
    </row>
    <row r="1588" spans="1:18" ht="15" hidden="1" customHeight="1" x14ac:dyDescent="0.3">
      <c r="A1588" s="89">
        <v>2022</v>
      </c>
      <c r="B1588" s="90">
        <v>7</v>
      </c>
      <c r="C1588" s="90" t="s">
        <v>728</v>
      </c>
      <c r="D1588" s="90" t="s">
        <v>719</v>
      </c>
      <c r="E1588" s="91" t="s">
        <v>11</v>
      </c>
      <c r="F1588" s="92" t="s">
        <v>51</v>
      </c>
      <c r="G1588" s="93">
        <v>1444.77</v>
      </c>
      <c r="H1588" s="93">
        <v>13856.99</v>
      </c>
      <c r="I1588" s="93">
        <v>2397.5457928860201</v>
      </c>
      <c r="J1588" s="93">
        <v>90991.8</v>
      </c>
      <c r="K1588" s="93">
        <v>38857.129999999997</v>
      </c>
      <c r="L1588" s="93">
        <v>2602.98</v>
      </c>
      <c r="M1588" s="93">
        <v>211202.48</v>
      </c>
      <c r="N1588" s="95">
        <v>0.01</v>
      </c>
      <c r="O1588" s="95">
        <v>7.0000000000000007E-2</v>
      </c>
      <c r="P1588" s="95">
        <v>0.3</v>
      </c>
      <c r="Q1588" s="95">
        <v>0.44</v>
      </c>
      <c r="R1588" s="96">
        <v>0.19</v>
      </c>
    </row>
    <row r="1589" spans="1:18" ht="15" hidden="1" customHeight="1" x14ac:dyDescent="0.3">
      <c r="A1589" s="89">
        <v>2022</v>
      </c>
      <c r="B1589" s="90">
        <v>7</v>
      </c>
      <c r="C1589" s="90" t="s">
        <v>728</v>
      </c>
      <c r="D1589" s="90" t="s">
        <v>719</v>
      </c>
      <c r="E1589" s="91" t="s">
        <v>11</v>
      </c>
      <c r="F1589" s="92" t="s">
        <v>45</v>
      </c>
      <c r="G1589" s="93">
        <v>5974.06</v>
      </c>
      <c r="H1589" s="93">
        <v>23090.03</v>
      </c>
      <c r="I1589" s="93">
        <v>2397.5457928860201</v>
      </c>
      <c r="J1589" s="93">
        <v>19764.009999999998</v>
      </c>
      <c r="K1589" s="93">
        <v>4024.65</v>
      </c>
      <c r="L1589" s="93">
        <v>51278.36</v>
      </c>
      <c r="M1589" s="93">
        <v>134096.20000000001</v>
      </c>
      <c r="N1589" s="95">
        <v>7.0000000000000007E-2</v>
      </c>
      <c r="O1589" s="95">
        <v>0.28000000000000003</v>
      </c>
      <c r="P1589" s="95">
        <v>0.36</v>
      </c>
      <c r="Q1589" s="95">
        <v>0.24</v>
      </c>
      <c r="R1589" s="96">
        <v>0.05</v>
      </c>
    </row>
    <row r="1590" spans="1:18" ht="15" hidden="1" customHeight="1" x14ac:dyDescent="0.3">
      <c r="A1590" s="89">
        <v>2022</v>
      </c>
      <c r="B1590" s="90">
        <v>7</v>
      </c>
      <c r="C1590" s="90" t="s">
        <v>728</v>
      </c>
      <c r="D1590" s="90" t="s">
        <v>719</v>
      </c>
      <c r="E1590" s="91" t="s">
        <v>11</v>
      </c>
      <c r="F1590" s="92" t="s">
        <v>721</v>
      </c>
      <c r="G1590" s="93">
        <v>3490</v>
      </c>
      <c r="H1590" s="93">
        <v>36260.19</v>
      </c>
      <c r="I1590" s="93">
        <v>2397.5457928860201</v>
      </c>
      <c r="J1590" s="93">
        <v>37110.949999999997</v>
      </c>
      <c r="K1590" s="93">
        <v>1528.6</v>
      </c>
      <c r="L1590" s="93">
        <v>141397.25</v>
      </c>
      <c r="M1590" s="93">
        <v>309330.63</v>
      </c>
      <c r="N1590" s="95">
        <v>0.02</v>
      </c>
      <c r="O1590" s="95">
        <v>0.22</v>
      </c>
      <c r="P1590" s="95">
        <v>0.53</v>
      </c>
      <c r="Q1590" s="95">
        <v>0.22</v>
      </c>
      <c r="R1590" s="96">
        <v>0.01</v>
      </c>
    </row>
    <row r="1591" spans="1:18" ht="15" hidden="1" customHeight="1" x14ac:dyDescent="0.3">
      <c r="A1591" s="89">
        <v>2022</v>
      </c>
      <c r="B1591" s="90">
        <v>7</v>
      </c>
      <c r="C1591" s="90" t="s">
        <v>728</v>
      </c>
      <c r="D1591" s="90" t="s">
        <v>719</v>
      </c>
      <c r="E1591" s="91" t="s">
        <v>11</v>
      </c>
      <c r="F1591" s="92" t="s">
        <v>46</v>
      </c>
      <c r="G1591" s="93">
        <v>5225.41</v>
      </c>
      <c r="H1591" s="93">
        <v>40373.99</v>
      </c>
      <c r="I1591" s="93">
        <v>2397.5457928860201</v>
      </c>
      <c r="J1591" s="93">
        <v>33226.04</v>
      </c>
      <c r="K1591" s="93">
        <v>4894.1899999999996</v>
      </c>
      <c r="L1591" s="93">
        <v>1621.05</v>
      </c>
      <c r="M1591" s="93">
        <v>149074.81</v>
      </c>
      <c r="N1591" s="95">
        <v>0.04</v>
      </c>
      <c r="O1591" s="95">
        <v>0.27</v>
      </c>
      <c r="P1591" s="95">
        <v>0.43</v>
      </c>
      <c r="Q1591" s="95">
        <v>0.23</v>
      </c>
      <c r="R1591" s="96">
        <v>0.03</v>
      </c>
    </row>
    <row r="1592" spans="1:18" ht="15" hidden="1" customHeight="1" x14ac:dyDescent="0.3">
      <c r="A1592" s="89">
        <v>2022</v>
      </c>
      <c r="B1592" s="90">
        <v>7</v>
      </c>
      <c r="C1592" s="90" t="s">
        <v>728</v>
      </c>
      <c r="D1592" s="90" t="s">
        <v>719</v>
      </c>
      <c r="E1592" s="91" t="s">
        <v>11</v>
      </c>
      <c r="F1592" s="92" t="s">
        <v>47</v>
      </c>
      <c r="G1592" s="93">
        <v>24659.94</v>
      </c>
      <c r="H1592" s="93">
        <v>128663.99</v>
      </c>
      <c r="I1592" s="93">
        <v>2397.5457928860201</v>
      </c>
      <c r="J1592" s="93">
        <v>136941.15</v>
      </c>
      <c r="K1592" s="93">
        <v>34836.6</v>
      </c>
      <c r="L1592" s="93">
        <v>888149.47</v>
      </c>
      <c r="M1592" s="93">
        <v>1442794.64</v>
      </c>
      <c r="N1592" s="95">
        <v>0.04</v>
      </c>
      <c r="O1592" s="95">
        <v>0.23</v>
      </c>
      <c r="P1592" s="95">
        <v>0.41</v>
      </c>
      <c r="Q1592" s="95">
        <v>0.25</v>
      </c>
      <c r="R1592" s="96">
        <v>0.06</v>
      </c>
    </row>
    <row r="1593" spans="1:18" ht="15" hidden="1" customHeight="1" x14ac:dyDescent="0.3">
      <c r="A1593" s="89">
        <v>2022</v>
      </c>
      <c r="B1593" s="90">
        <v>7</v>
      </c>
      <c r="C1593" s="90" t="s">
        <v>728</v>
      </c>
      <c r="D1593" s="90" t="s">
        <v>719</v>
      </c>
      <c r="E1593" s="91" t="s">
        <v>11</v>
      </c>
      <c r="F1593" s="92" t="s">
        <v>48</v>
      </c>
      <c r="G1593" s="93">
        <v>2844.19</v>
      </c>
      <c r="H1593" s="93">
        <v>13192.35</v>
      </c>
      <c r="I1593" s="93">
        <v>2397.5457928860201</v>
      </c>
      <c r="J1593" s="93">
        <v>43173.89</v>
      </c>
      <c r="K1593" s="93">
        <v>8190.81</v>
      </c>
      <c r="L1593" s="93">
        <v>8675.23</v>
      </c>
      <c r="M1593" s="93">
        <v>110314.47</v>
      </c>
      <c r="N1593" s="95">
        <v>0.03</v>
      </c>
      <c r="O1593" s="95">
        <v>0.13</v>
      </c>
      <c r="P1593" s="95">
        <v>0.34</v>
      </c>
      <c r="Q1593" s="95">
        <v>0.42</v>
      </c>
      <c r="R1593" s="96">
        <v>0.08</v>
      </c>
    </row>
    <row r="1594" spans="1:18" ht="15" hidden="1" customHeight="1" x14ac:dyDescent="0.3">
      <c r="A1594" s="89">
        <v>2022</v>
      </c>
      <c r="B1594" s="90">
        <v>7</v>
      </c>
      <c r="C1594" s="90" t="s">
        <v>728</v>
      </c>
      <c r="D1594" s="90" t="s">
        <v>719</v>
      </c>
      <c r="E1594" s="91" t="s">
        <v>11</v>
      </c>
      <c r="F1594" s="92" t="s">
        <v>40</v>
      </c>
      <c r="G1594" s="93">
        <v>9314.94</v>
      </c>
      <c r="H1594" s="93">
        <v>84302.15</v>
      </c>
      <c r="I1594" s="93">
        <v>2397.5457928860201</v>
      </c>
      <c r="J1594" s="93">
        <v>15970.38</v>
      </c>
      <c r="K1594" s="93">
        <v>1768.69</v>
      </c>
      <c r="L1594" s="93">
        <v>127583.13</v>
      </c>
      <c r="M1594" s="93">
        <v>326305.03999999998</v>
      </c>
      <c r="N1594" s="95">
        <v>0.05</v>
      </c>
      <c r="O1594" s="95">
        <v>0.42</v>
      </c>
      <c r="P1594" s="95">
        <v>0.44</v>
      </c>
      <c r="Q1594" s="95">
        <v>0.08</v>
      </c>
      <c r="R1594" s="96">
        <v>0.01</v>
      </c>
    </row>
    <row r="1595" spans="1:18" ht="15" hidden="1" customHeight="1" x14ac:dyDescent="0.3">
      <c r="A1595" s="89">
        <v>2022</v>
      </c>
      <c r="B1595" s="90">
        <v>7</v>
      </c>
      <c r="C1595" s="90" t="s">
        <v>728</v>
      </c>
      <c r="D1595" s="90" t="s">
        <v>722</v>
      </c>
      <c r="E1595" s="91" t="s">
        <v>11</v>
      </c>
      <c r="F1595" s="92" t="s">
        <v>26</v>
      </c>
      <c r="G1595" s="93">
        <v>47383.91</v>
      </c>
      <c r="H1595" s="93">
        <v>141168.66</v>
      </c>
      <c r="I1595" s="93">
        <v>2397.5457928860201</v>
      </c>
      <c r="J1595" s="93">
        <v>450042.32</v>
      </c>
      <c r="K1595" s="93">
        <v>39094.54</v>
      </c>
      <c r="L1595" s="93">
        <v>279339.56</v>
      </c>
      <c r="M1595" s="93">
        <v>1302393.77</v>
      </c>
      <c r="N1595" s="95">
        <v>0.05</v>
      </c>
      <c r="O1595" s="95">
        <v>0.14000000000000001</v>
      </c>
      <c r="P1595" s="95">
        <v>0.34</v>
      </c>
      <c r="Q1595" s="95">
        <v>0.44</v>
      </c>
      <c r="R1595" s="96">
        <v>0.04</v>
      </c>
    </row>
    <row r="1596" spans="1:18" ht="15" hidden="1" customHeight="1" x14ac:dyDescent="0.3">
      <c r="A1596" s="89">
        <v>2022</v>
      </c>
      <c r="B1596" s="90">
        <v>7</v>
      </c>
      <c r="C1596" s="90" t="s">
        <v>728</v>
      </c>
      <c r="D1596" s="90" t="s">
        <v>722</v>
      </c>
      <c r="E1596" s="91" t="s">
        <v>11</v>
      </c>
      <c r="F1596" s="92" t="s">
        <v>12</v>
      </c>
      <c r="G1596" s="93">
        <v>5861.93</v>
      </c>
      <c r="H1596" s="93">
        <v>61822.65</v>
      </c>
      <c r="I1596" s="93">
        <v>2397.5457928860201</v>
      </c>
      <c r="J1596" s="93">
        <v>137009</v>
      </c>
      <c r="K1596" s="93">
        <v>60387.01</v>
      </c>
      <c r="L1596" s="93">
        <v>51527.31</v>
      </c>
      <c r="M1596" s="93">
        <v>433311.44</v>
      </c>
      <c r="N1596" s="95">
        <v>0.02</v>
      </c>
      <c r="O1596" s="95">
        <v>0.16</v>
      </c>
      <c r="P1596" s="95">
        <v>0.31</v>
      </c>
      <c r="Q1596" s="95">
        <v>0.36</v>
      </c>
      <c r="R1596" s="96">
        <v>0.16</v>
      </c>
    </row>
    <row r="1597" spans="1:18" ht="15" hidden="1" customHeight="1" x14ac:dyDescent="0.3">
      <c r="A1597" s="89">
        <v>2022</v>
      </c>
      <c r="B1597" s="90">
        <v>7</v>
      </c>
      <c r="C1597" s="90" t="s">
        <v>728</v>
      </c>
      <c r="D1597" s="90" t="s">
        <v>722</v>
      </c>
      <c r="E1597" s="91" t="s">
        <v>11</v>
      </c>
      <c r="F1597" s="92" t="s">
        <v>27</v>
      </c>
      <c r="G1597" s="93">
        <v>6053.59</v>
      </c>
      <c r="H1597" s="93">
        <v>62379.3</v>
      </c>
      <c r="I1597" s="93">
        <v>2397.5457928860201</v>
      </c>
      <c r="J1597" s="93">
        <v>47253.43</v>
      </c>
      <c r="K1597" s="93">
        <v>9049.52</v>
      </c>
      <c r="L1597" s="93">
        <v>5823.11</v>
      </c>
      <c r="M1597" s="93">
        <v>226689.38</v>
      </c>
      <c r="N1597" s="95">
        <v>0.03</v>
      </c>
      <c r="O1597" s="95">
        <v>0.28000000000000003</v>
      </c>
      <c r="P1597" s="95">
        <v>0.44</v>
      </c>
      <c r="Q1597" s="95">
        <v>0.21</v>
      </c>
      <c r="R1597" s="96">
        <v>0.04</v>
      </c>
    </row>
    <row r="1598" spans="1:18" ht="15" hidden="1" customHeight="1" x14ac:dyDescent="0.3">
      <c r="A1598" s="89">
        <v>2022</v>
      </c>
      <c r="B1598" s="90">
        <v>7</v>
      </c>
      <c r="C1598" s="90" t="s">
        <v>728</v>
      </c>
      <c r="D1598" s="90" t="s">
        <v>722</v>
      </c>
      <c r="E1598" s="91" t="s">
        <v>11</v>
      </c>
      <c r="F1598" s="92" t="s">
        <v>28</v>
      </c>
      <c r="G1598" s="93">
        <v>3901.97</v>
      </c>
      <c r="H1598" s="93">
        <v>17547.32</v>
      </c>
      <c r="I1598" s="93">
        <v>2397.5457928860201</v>
      </c>
      <c r="J1598" s="93">
        <v>198483.73</v>
      </c>
      <c r="K1598" s="93">
        <v>54070.83</v>
      </c>
      <c r="L1598" s="93">
        <v>4461.99</v>
      </c>
      <c r="M1598" s="93">
        <v>373104.4</v>
      </c>
      <c r="N1598" s="95">
        <v>0.01</v>
      </c>
      <c r="O1598" s="95">
        <v>0.05</v>
      </c>
      <c r="P1598" s="95">
        <v>0.26</v>
      </c>
      <c r="Q1598" s="95">
        <v>0.54</v>
      </c>
      <c r="R1598" s="96">
        <v>0.15</v>
      </c>
    </row>
    <row r="1599" spans="1:18" ht="15" customHeight="1" x14ac:dyDescent="0.3">
      <c r="A1599" s="89">
        <v>2022</v>
      </c>
      <c r="B1599" s="90">
        <v>7</v>
      </c>
      <c r="C1599" s="90" t="s">
        <v>728</v>
      </c>
      <c r="D1599" s="90" t="s">
        <v>722</v>
      </c>
      <c r="E1599" s="91" t="s">
        <v>11</v>
      </c>
      <c r="F1599" s="92" t="s">
        <v>29</v>
      </c>
      <c r="G1599" s="93">
        <v>9611.86</v>
      </c>
      <c r="H1599" s="93">
        <v>47983.839999999997</v>
      </c>
      <c r="I1599" s="93">
        <v>2397.5457928860201</v>
      </c>
      <c r="J1599" s="93">
        <v>78870.19</v>
      </c>
      <c r="K1599" s="93">
        <v>27960.59</v>
      </c>
      <c r="L1599" s="93">
        <v>100742.6</v>
      </c>
      <c r="M1599" s="93">
        <v>354391.76</v>
      </c>
      <c r="N1599" s="95">
        <v>0.04</v>
      </c>
      <c r="O1599" s="95">
        <v>0.19</v>
      </c>
      <c r="P1599" s="95">
        <v>0.35</v>
      </c>
      <c r="Q1599" s="95">
        <v>0.31</v>
      </c>
      <c r="R1599" s="96">
        <v>0.11</v>
      </c>
    </row>
    <row r="1600" spans="1:18" ht="15" hidden="1" customHeight="1" x14ac:dyDescent="0.3">
      <c r="A1600" s="89">
        <v>2022</v>
      </c>
      <c r="B1600" s="90">
        <v>7</v>
      </c>
      <c r="C1600" s="90" t="s">
        <v>728</v>
      </c>
      <c r="D1600" s="90" t="s">
        <v>722</v>
      </c>
      <c r="E1600" s="91" t="s">
        <v>11</v>
      </c>
      <c r="F1600" s="92" t="s">
        <v>30</v>
      </c>
      <c r="G1600" s="93">
        <v>296.47000000000003</v>
      </c>
      <c r="H1600" s="93">
        <v>7537.86</v>
      </c>
      <c r="I1600" s="93">
        <v>2397.5457928860201</v>
      </c>
      <c r="J1600" s="93">
        <v>1771.83</v>
      </c>
      <c r="K1600" s="93">
        <v>209.9</v>
      </c>
      <c r="L1600" s="93">
        <v>215930.92</v>
      </c>
      <c r="M1600" s="93">
        <v>230086.24</v>
      </c>
      <c r="N1600" s="95">
        <v>0.02</v>
      </c>
      <c r="O1600" s="95">
        <v>0.53</v>
      </c>
      <c r="P1600" s="95">
        <v>0.31</v>
      </c>
      <c r="Q1600" s="95">
        <v>0.13</v>
      </c>
      <c r="R1600" s="96">
        <v>0.01</v>
      </c>
    </row>
    <row r="1601" spans="1:18" ht="15" hidden="1" customHeight="1" x14ac:dyDescent="0.3">
      <c r="A1601" s="89">
        <v>2022</v>
      </c>
      <c r="B1601" s="90">
        <v>7</v>
      </c>
      <c r="C1601" s="90" t="s">
        <v>728</v>
      </c>
      <c r="D1601" s="90" t="s">
        <v>722</v>
      </c>
      <c r="E1601" s="91" t="s">
        <v>11</v>
      </c>
      <c r="F1601" s="92" t="s">
        <v>31</v>
      </c>
      <c r="G1601" s="93">
        <v>1490.18</v>
      </c>
      <c r="H1601" s="93">
        <v>73359.520000000004</v>
      </c>
      <c r="I1601" s="93">
        <v>2397.5457928860201</v>
      </c>
      <c r="J1601" s="93">
        <v>28127.32</v>
      </c>
      <c r="K1601" s="93">
        <v>7082.56</v>
      </c>
      <c r="L1601" s="93">
        <v>44954.06</v>
      </c>
      <c r="M1601" s="93">
        <v>251948.86</v>
      </c>
      <c r="N1601" s="95">
        <v>0.01</v>
      </c>
      <c r="O1601" s="95">
        <v>0.35</v>
      </c>
      <c r="P1601" s="95">
        <v>0.47</v>
      </c>
      <c r="Q1601" s="95">
        <v>0.14000000000000001</v>
      </c>
      <c r="R1601" s="96">
        <v>0.03</v>
      </c>
    </row>
    <row r="1602" spans="1:18" ht="15" hidden="1" customHeight="1" x14ac:dyDescent="0.3">
      <c r="A1602" s="89">
        <v>2022</v>
      </c>
      <c r="B1602" s="90">
        <v>7</v>
      </c>
      <c r="C1602" s="90" t="s">
        <v>728</v>
      </c>
      <c r="D1602" s="90" t="s">
        <v>722</v>
      </c>
      <c r="E1602" s="91" t="s">
        <v>11</v>
      </c>
      <c r="F1602" s="92" t="s">
        <v>32</v>
      </c>
      <c r="G1602" s="93">
        <v>10146.76</v>
      </c>
      <c r="H1602" s="93">
        <v>88464.98</v>
      </c>
      <c r="I1602" s="93">
        <v>2397.5457928860201</v>
      </c>
      <c r="J1602" s="93">
        <v>205719.22</v>
      </c>
      <c r="K1602" s="93">
        <v>98145.56</v>
      </c>
      <c r="L1602" s="93">
        <v>41731.79</v>
      </c>
      <c r="M1602" s="93">
        <v>609521.87</v>
      </c>
      <c r="N1602" s="95">
        <v>0.02</v>
      </c>
      <c r="O1602" s="95">
        <v>0.16</v>
      </c>
      <c r="P1602" s="95">
        <v>0.28999999999999998</v>
      </c>
      <c r="Q1602" s="95">
        <v>0.36</v>
      </c>
      <c r="R1602" s="96">
        <v>0.17</v>
      </c>
    </row>
    <row r="1603" spans="1:18" ht="15" hidden="1" customHeight="1" x14ac:dyDescent="0.3">
      <c r="A1603" s="89">
        <v>2022</v>
      </c>
      <c r="B1603" s="90">
        <v>7</v>
      </c>
      <c r="C1603" s="90" t="s">
        <v>728</v>
      </c>
      <c r="D1603" s="90" t="s">
        <v>722</v>
      </c>
      <c r="E1603" s="91" t="s">
        <v>11</v>
      </c>
      <c r="F1603" s="92" t="s">
        <v>33</v>
      </c>
      <c r="G1603" s="93">
        <v>21131.16</v>
      </c>
      <c r="H1603" s="93">
        <v>95035.68</v>
      </c>
      <c r="I1603" s="93">
        <v>2397.5457928860201</v>
      </c>
      <c r="J1603" s="93">
        <v>646158.46</v>
      </c>
      <c r="K1603" s="93">
        <v>28551.58</v>
      </c>
      <c r="L1603" s="93">
        <v>36725.81</v>
      </c>
      <c r="M1603" s="93">
        <v>1352055.51</v>
      </c>
      <c r="N1603" s="95">
        <v>0.02</v>
      </c>
      <c r="O1603" s="95">
        <v>7.0000000000000007E-2</v>
      </c>
      <c r="P1603" s="95">
        <v>0.4</v>
      </c>
      <c r="Q1603" s="95">
        <v>0.49</v>
      </c>
      <c r="R1603" s="96">
        <v>0.02</v>
      </c>
    </row>
    <row r="1604" spans="1:18" ht="15" hidden="1" customHeight="1" x14ac:dyDescent="0.3">
      <c r="A1604" s="89">
        <v>2022</v>
      </c>
      <c r="B1604" s="90">
        <v>7</v>
      </c>
      <c r="C1604" s="90" t="s">
        <v>728</v>
      </c>
      <c r="D1604" s="90" t="s">
        <v>722</v>
      </c>
      <c r="E1604" s="91" t="s">
        <v>11</v>
      </c>
      <c r="F1604" s="92" t="s">
        <v>34</v>
      </c>
      <c r="G1604" s="93">
        <v>24576.17</v>
      </c>
      <c r="H1604" s="93">
        <v>142236.07</v>
      </c>
      <c r="I1604" s="93">
        <v>2397.5457928860201</v>
      </c>
      <c r="J1604" s="93">
        <v>159924.70000000001</v>
      </c>
      <c r="K1604" s="93">
        <v>12730.21</v>
      </c>
      <c r="L1604" s="93">
        <v>76917.25</v>
      </c>
      <c r="M1604" s="93">
        <v>713628.98</v>
      </c>
      <c r="N1604" s="95">
        <v>0.04</v>
      </c>
      <c r="O1604" s="95">
        <v>0.22</v>
      </c>
      <c r="P1604" s="95">
        <v>0.47</v>
      </c>
      <c r="Q1604" s="95">
        <v>0.25</v>
      </c>
      <c r="R1604" s="96">
        <v>0.02</v>
      </c>
    </row>
    <row r="1605" spans="1:18" ht="15" hidden="1" customHeight="1" x14ac:dyDescent="0.3">
      <c r="A1605" s="89">
        <v>2022</v>
      </c>
      <c r="B1605" s="90">
        <v>7</v>
      </c>
      <c r="C1605" s="90" t="s">
        <v>728</v>
      </c>
      <c r="D1605" s="90" t="s">
        <v>722</v>
      </c>
      <c r="E1605" s="91" t="s">
        <v>11</v>
      </c>
      <c r="F1605" s="92" t="s">
        <v>35</v>
      </c>
      <c r="G1605" s="93">
        <v>15441.76</v>
      </c>
      <c r="H1605" s="93">
        <v>94899.48</v>
      </c>
      <c r="I1605" s="93">
        <v>2397.5457928860201</v>
      </c>
      <c r="J1605" s="93">
        <v>94121.85</v>
      </c>
      <c r="K1605" s="93">
        <v>50012.959999999999</v>
      </c>
      <c r="L1605" s="93">
        <v>270165.23</v>
      </c>
      <c r="M1605" s="93">
        <v>605861.19999999995</v>
      </c>
      <c r="N1605" s="95">
        <v>0.05</v>
      </c>
      <c r="O1605" s="95">
        <v>0.28000000000000003</v>
      </c>
      <c r="P1605" s="95">
        <v>0.24</v>
      </c>
      <c r="Q1605" s="95">
        <v>0.28000000000000003</v>
      </c>
      <c r="R1605" s="96">
        <v>0.15</v>
      </c>
    </row>
    <row r="1606" spans="1:18" ht="15" hidden="1" customHeight="1" x14ac:dyDescent="0.3">
      <c r="A1606" s="89">
        <v>2022</v>
      </c>
      <c r="B1606" s="90">
        <v>7</v>
      </c>
      <c r="C1606" s="90" t="s">
        <v>728</v>
      </c>
      <c r="D1606" s="90" t="s">
        <v>722</v>
      </c>
      <c r="E1606" s="91" t="s">
        <v>11</v>
      </c>
      <c r="F1606" s="92" t="s">
        <v>36</v>
      </c>
      <c r="G1606" s="93">
        <v>5553.4</v>
      </c>
      <c r="H1606" s="93">
        <v>55441.03</v>
      </c>
      <c r="I1606" s="93">
        <v>2397.5457928860201</v>
      </c>
      <c r="J1606" s="93">
        <v>64445.34</v>
      </c>
      <c r="K1606" s="93">
        <v>8941.58</v>
      </c>
      <c r="L1606" s="93">
        <v>35517.160000000003</v>
      </c>
      <c r="M1606" s="93">
        <v>258886.74</v>
      </c>
      <c r="N1606" s="95">
        <v>0.02</v>
      </c>
      <c r="O1606" s="95">
        <v>0.25</v>
      </c>
      <c r="P1606" s="95">
        <v>0.4</v>
      </c>
      <c r="Q1606" s="95">
        <v>0.28999999999999998</v>
      </c>
      <c r="R1606" s="96">
        <v>0.04</v>
      </c>
    </row>
    <row r="1607" spans="1:18" ht="15" hidden="1" customHeight="1" x14ac:dyDescent="0.3">
      <c r="A1607" s="89">
        <v>2022</v>
      </c>
      <c r="B1607" s="90">
        <v>7</v>
      </c>
      <c r="C1607" s="90" t="s">
        <v>728</v>
      </c>
      <c r="D1607" s="90" t="s">
        <v>722</v>
      </c>
      <c r="E1607" s="91" t="s">
        <v>11</v>
      </c>
      <c r="F1607" s="92" t="s">
        <v>37</v>
      </c>
      <c r="G1607" s="93">
        <v>11587.75</v>
      </c>
      <c r="H1607" s="93">
        <v>77714.92</v>
      </c>
      <c r="I1607" s="93">
        <v>2397.5457928860201</v>
      </c>
      <c r="J1607" s="93">
        <v>96264.55</v>
      </c>
      <c r="K1607" s="93">
        <v>24646.61</v>
      </c>
      <c r="L1607" s="93">
        <v>170304.55</v>
      </c>
      <c r="M1607" s="93">
        <v>524074.32</v>
      </c>
      <c r="N1607" s="95">
        <v>0.03</v>
      </c>
      <c r="O1607" s="95">
        <v>0.22</v>
      </c>
      <c r="P1607" s="95">
        <v>0.41</v>
      </c>
      <c r="Q1607" s="95">
        <v>0.27</v>
      </c>
      <c r="R1607" s="96">
        <v>7.0000000000000007E-2</v>
      </c>
    </row>
    <row r="1608" spans="1:18" ht="15" hidden="1" customHeight="1" x14ac:dyDescent="0.3">
      <c r="A1608" s="89">
        <v>2022</v>
      </c>
      <c r="B1608" s="90">
        <v>7</v>
      </c>
      <c r="C1608" s="90" t="s">
        <v>728</v>
      </c>
      <c r="D1608" s="90" t="s">
        <v>722</v>
      </c>
      <c r="E1608" s="91" t="s">
        <v>11</v>
      </c>
      <c r="F1608" s="92" t="s">
        <v>720</v>
      </c>
      <c r="G1608" s="93">
        <v>47983.360000000001</v>
      </c>
      <c r="H1608" s="93">
        <v>112485.17</v>
      </c>
      <c r="I1608" s="93">
        <v>2397.5457928860201</v>
      </c>
      <c r="J1608" s="93">
        <v>309127.46000000002</v>
      </c>
      <c r="K1608" s="93">
        <v>78496</v>
      </c>
      <c r="L1608" s="93">
        <v>178071.89</v>
      </c>
      <c r="M1608" s="93">
        <v>927959.02</v>
      </c>
      <c r="N1608" s="95">
        <v>0.06</v>
      </c>
      <c r="O1608" s="95">
        <v>0.15</v>
      </c>
      <c r="P1608" s="95">
        <v>0.27</v>
      </c>
      <c r="Q1608" s="95">
        <v>0.41</v>
      </c>
      <c r="R1608" s="96">
        <v>0.1</v>
      </c>
    </row>
    <row r="1609" spans="1:18" ht="15" hidden="1" customHeight="1" x14ac:dyDescent="0.3">
      <c r="A1609" s="89">
        <v>2022</v>
      </c>
      <c r="B1609" s="90">
        <v>7</v>
      </c>
      <c r="C1609" s="90" t="s">
        <v>728</v>
      </c>
      <c r="D1609" s="90" t="s">
        <v>722</v>
      </c>
      <c r="E1609" s="91" t="s">
        <v>11</v>
      </c>
      <c r="F1609" s="92" t="s">
        <v>39</v>
      </c>
      <c r="G1609" s="93">
        <v>16492.7</v>
      </c>
      <c r="H1609" s="93">
        <v>90022.39</v>
      </c>
      <c r="I1609" s="93">
        <v>2397.5457928860201</v>
      </c>
      <c r="J1609" s="93">
        <v>80421.86</v>
      </c>
      <c r="K1609" s="93">
        <v>15637.94</v>
      </c>
      <c r="L1609" s="93">
        <v>34311.74</v>
      </c>
      <c r="M1609" s="93">
        <v>331195.63</v>
      </c>
      <c r="N1609" s="95">
        <v>0.06</v>
      </c>
      <c r="O1609" s="95">
        <v>0.3</v>
      </c>
      <c r="P1609" s="95">
        <v>0.32</v>
      </c>
      <c r="Q1609" s="95">
        <v>0.27</v>
      </c>
      <c r="R1609" s="96">
        <v>0.05</v>
      </c>
    </row>
    <row r="1610" spans="1:18" ht="15" hidden="1" customHeight="1" x14ac:dyDescent="0.3">
      <c r="A1610" s="89">
        <v>2022</v>
      </c>
      <c r="B1610" s="90">
        <v>7</v>
      </c>
      <c r="C1610" s="90" t="s">
        <v>728</v>
      </c>
      <c r="D1610" s="90" t="s">
        <v>722</v>
      </c>
      <c r="E1610" s="91" t="s">
        <v>11</v>
      </c>
      <c r="F1610" s="92" t="s">
        <v>41</v>
      </c>
      <c r="G1610" s="93">
        <v>1733.02</v>
      </c>
      <c r="H1610" s="93">
        <v>7564.78</v>
      </c>
      <c r="I1610" s="93">
        <v>2397.5457928860201</v>
      </c>
      <c r="J1610" s="93">
        <v>1325.55</v>
      </c>
      <c r="K1610" s="93">
        <v>90.87</v>
      </c>
      <c r="L1610" s="93">
        <v>1617.78</v>
      </c>
      <c r="M1610" s="93">
        <v>18714.330000000002</v>
      </c>
      <c r="N1610" s="95">
        <v>0.1</v>
      </c>
      <c r="O1610" s="95">
        <v>0.44</v>
      </c>
      <c r="P1610" s="95">
        <v>0.37</v>
      </c>
      <c r="Q1610" s="95">
        <v>0.08</v>
      </c>
      <c r="R1610" s="96">
        <v>0.01</v>
      </c>
    </row>
    <row r="1611" spans="1:18" ht="15" hidden="1" customHeight="1" x14ac:dyDescent="0.3">
      <c r="A1611" s="89">
        <v>2022</v>
      </c>
      <c r="B1611" s="90">
        <v>7</v>
      </c>
      <c r="C1611" s="90" t="s">
        <v>728</v>
      </c>
      <c r="D1611" s="90" t="s">
        <v>722</v>
      </c>
      <c r="E1611" s="91" t="s">
        <v>11</v>
      </c>
      <c r="F1611" s="92" t="s">
        <v>42</v>
      </c>
      <c r="G1611" s="93">
        <v>5144.3599999999997</v>
      </c>
      <c r="H1611" s="93">
        <v>79360.95</v>
      </c>
      <c r="I1611" s="93">
        <v>2397.5457928860201</v>
      </c>
      <c r="J1611" s="93">
        <v>131036.74</v>
      </c>
      <c r="K1611" s="93">
        <v>31130.38</v>
      </c>
      <c r="L1611" s="93">
        <v>172681.31</v>
      </c>
      <c r="M1611" s="93">
        <v>620824.21</v>
      </c>
      <c r="N1611" s="95">
        <v>0.01</v>
      </c>
      <c r="O1611" s="95">
        <v>0.18</v>
      </c>
      <c r="P1611" s="95">
        <v>0.45</v>
      </c>
      <c r="Q1611" s="95">
        <v>0.28999999999999998</v>
      </c>
      <c r="R1611" s="96">
        <v>7.0000000000000007E-2</v>
      </c>
    </row>
    <row r="1612" spans="1:18" ht="15" hidden="1" customHeight="1" x14ac:dyDescent="0.3">
      <c r="A1612" s="89">
        <v>2022</v>
      </c>
      <c r="B1612" s="90">
        <v>7</v>
      </c>
      <c r="C1612" s="90" t="s">
        <v>728</v>
      </c>
      <c r="D1612" s="90" t="s">
        <v>722</v>
      </c>
      <c r="E1612" s="91" t="s">
        <v>11</v>
      </c>
      <c r="F1612" s="92" t="s">
        <v>43</v>
      </c>
      <c r="G1612" s="93">
        <v>2071.7399999999998</v>
      </c>
      <c r="H1612" s="93">
        <v>24177.18</v>
      </c>
      <c r="I1612" s="93">
        <v>2397.5457928860201</v>
      </c>
      <c r="J1612" s="93">
        <v>11764.93</v>
      </c>
      <c r="K1612" s="93">
        <v>2426.25</v>
      </c>
      <c r="L1612" s="93">
        <v>119263.03</v>
      </c>
      <c r="M1612" s="93">
        <v>185575.52</v>
      </c>
      <c r="N1612" s="95">
        <v>0.03</v>
      </c>
      <c r="O1612" s="95">
        <v>0.36</v>
      </c>
      <c r="P1612" s="95">
        <v>0.39</v>
      </c>
      <c r="Q1612" s="95">
        <v>0.18</v>
      </c>
      <c r="R1612" s="96">
        <v>0.04</v>
      </c>
    </row>
    <row r="1613" spans="1:18" ht="15" hidden="1" customHeight="1" x14ac:dyDescent="0.3">
      <c r="A1613" s="89">
        <v>2022</v>
      </c>
      <c r="B1613" s="90">
        <v>7</v>
      </c>
      <c r="C1613" s="90" t="s">
        <v>728</v>
      </c>
      <c r="D1613" s="90" t="s">
        <v>722</v>
      </c>
      <c r="E1613" s="91" t="s">
        <v>11</v>
      </c>
      <c r="F1613" s="92" t="s">
        <v>58</v>
      </c>
      <c r="G1613" s="93">
        <v>4084.72</v>
      </c>
      <c r="H1613" s="93">
        <v>52981.91</v>
      </c>
      <c r="I1613" s="93">
        <v>2397.5457928860201</v>
      </c>
      <c r="J1613" s="93">
        <v>123345.71</v>
      </c>
      <c r="K1613" s="93">
        <v>33104.199999999997</v>
      </c>
      <c r="L1613" s="93">
        <v>6849.98</v>
      </c>
      <c r="M1613" s="93">
        <v>371477.13</v>
      </c>
      <c r="N1613" s="95">
        <v>0.01</v>
      </c>
      <c r="O1613" s="95">
        <v>0.15</v>
      </c>
      <c r="P1613" s="95">
        <v>0.41</v>
      </c>
      <c r="Q1613" s="95">
        <v>0.34</v>
      </c>
      <c r="R1613" s="96">
        <v>0.09</v>
      </c>
    </row>
    <row r="1614" spans="1:18" ht="15" hidden="1" customHeight="1" x14ac:dyDescent="0.3">
      <c r="A1614" s="89">
        <v>2022</v>
      </c>
      <c r="B1614" s="90">
        <v>7</v>
      </c>
      <c r="C1614" s="90" t="s">
        <v>728</v>
      </c>
      <c r="D1614" s="90" t="s">
        <v>722</v>
      </c>
      <c r="E1614" s="91" t="s">
        <v>11</v>
      </c>
      <c r="F1614" s="92" t="s">
        <v>44</v>
      </c>
      <c r="G1614" s="93">
        <v>4178.92</v>
      </c>
      <c r="H1614" s="93">
        <v>19749.41</v>
      </c>
      <c r="I1614" s="93">
        <v>2397.5457928860201</v>
      </c>
      <c r="J1614" s="93">
        <v>72619.94</v>
      </c>
      <c r="K1614" s="93">
        <v>15652.86</v>
      </c>
      <c r="L1614" s="93">
        <v>46391.39</v>
      </c>
      <c r="M1614" s="93">
        <v>215729.36</v>
      </c>
      <c r="N1614" s="95">
        <v>0.02</v>
      </c>
      <c r="O1614" s="95">
        <v>0.12</v>
      </c>
      <c r="P1614" s="95">
        <v>0.34</v>
      </c>
      <c r="Q1614" s="95">
        <v>0.43</v>
      </c>
      <c r="R1614" s="96">
        <v>0.09</v>
      </c>
    </row>
    <row r="1615" spans="1:18" ht="15" hidden="1" customHeight="1" x14ac:dyDescent="0.3">
      <c r="A1615" s="89">
        <v>2022</v>
      </c>
      <c r="B1615" s="90">
        <v>7</v>
      </c>
      <c r="C1615" s="90" t="s">
        <v>728</v>
      </c>
      <c r="D1615" s="90" t="s">
        <v>722</v>
      </c>
      <c r="E1615" s="91" t="s">
        <v>11</v>
      </c>
      <c r="F1615" s="92" t="s">
        <v>51</v>
      </c>
      <c r="G1615" s="93">
        <v>1733.23</v>
      </c>
      <c r="H1615" s="93">
        <v>13663.35</v>
      </c>
      <c r="I1615" s="93">
        <v>2397.5457928860201</v>
      </c>
      <c r="J1615" s="93">
        <v>96001.62</v>
      </c>
      <c r="K1615" s="93">
        <v>39150.76</v>
      </c>
      <c r="L1615" s="93">
        <v>2013.95</v>
      </c>
      <c r="M1615" s="93">
        <v>211202.48</v>
      </c>
      <c r="N1615" s="95">
        <v>0.01</v>
      </c>
      <c r="O1615" s="95">
        <v>7.0000000000000007E-2</v>
      </c>
      <c r="P1615" s="95">
        <v>0.28000000000000003</v>
      </c>
      <c r="Q1615" s="95">
        <v>0.46</v>
      </c>
      <c r="R1615" s="96">
        <v>0.19</v>
      </c>
    </row>
    <row r="1616" spans="1:18" ht="15" hidden="1" customHeight="1" x14ac:dyDescent="0.3">
      <c r="A1616" s="89">
        <v>2022</v>
      </c>
      <c r="B1616" s="90">
        <v>7</v>
      </c>
      <c r="C1616" s="90" t="s">
        <v>728</v>
      </c>
      <c r="D1616" s="90" t="s">
        <v>722</v>
      </c>
      <c r="E1616" s="91" t="s">
        <v>11</v>
      </c>
      <c r="F1616" s="92" t="s">
        <v>45</v>
      </c>
      <c r="G1616" s="93">
        <v>2736.23</v>
      </c>
      <c r="H1616" s="93">
        <v>14255.68</v>
      </c>
      <c r="I1616" s="93">
        <v>2397.5457928860201</v>
      </c>
      <c r="J1616" s="93">
        <v>30810.95</v>
      </c>
      <c r="K1616" s="93">
        <v>12443</v>
      </c>
      <c r="L1616" s="93">
        <v>49831.23</v>
      </c>
      <c r="M1616" s="93">
        <v>134096.20000000001</v>
      </c>
      <c r="N1616" s="95">
        <v>0.03</v>
      </c>
      <c r="O1616" s="95">
        <v>0.17</v>
      </c>
      <c r="P1616" s="95">
        <v>0.28999999999999998</v>
      </c>
      <c r="Q1616" s="95">
        <v>0.37</v>
      </c>
      <c r="R1616" s="96">
        <v>0.15</v>
      </c>
    </row>
    <row r="1617" spans="1:18" ht="15" hidden="1" customHeight="1" x14ac:dyDescent="0.3">
      <c r="A1617" s="89">
        <v>2022</v>
      </c>
      <c r="B1617" s="90">
        <v>7</v>
      </c>
      <c r="C1617" s="90" t="s">
        <v>728</v>
      </c>
      <c r="D1617" s="90" t="s">
        <v>722</v>
      </c>
      <c r="E1617" s="91" t="s">
        <v>11</v>
      </c>
      <c r="F1617" s="92" t="s">
        <v>721</v>
      </c>
      <c r="G1617" s="93">
        <v>2037.15</v>
      </c>
      <c r="H1617" s="93">
        <v>25669.77</v>
      </c>
      <c r="I1617" s="93">
        <v>2397.5457928860201</v>
      </c>
      <c r="J1617" s="93">
        <v>133699.16</v>
      </c>
      <c r="K1617" s="93">
        <v>36103.980000000003</v>
      </c>
      <c r="L1617" s="93">
        <v>710.16</v>
      </c>
      <c r="M1617" s="93">
        <v>309330.63</v>
      </c>
      <c r="N1617" s="95">
        <v>0.01</v>
      </c>
      <c r="O1617" s="95">
        <v>0.08</v>
      </c>
      <c r="P1617" s="95">
        <v>0.36</v>
      </c>
      <c r="Q1617" s="95">
        <v>0.43</v>
      </c>
      <c r="R1617" s="96">
        <v>0.12</v>
      </c>
    </row>
    <row r="1618" spans="1:18" ht="15" hidden="1" customHeight="1" x14ac:dyDescent="0.3">
      <c r="A1618" s="89">
        <v>2022</v>
      </c>
      <c r="B1618" s="90">
        <v>7</v>
      </c>
      <c r="C1618" s="90" t="s">
        <v>728</v>
      </c>
      <c r="D1618" s="90" t="s">
        <v>722</v>
      </c>
      <c r="E1618" s="91" t="s">
        <v>11</v>
      </c>
      <c r="F1618" s="92" t="s">
        <v>46</v>
      </c>
      <c r="G1618" s="93">
        <v>7641.43</v>
      </c>
      <c r="H1618" s="93">
        <v>37608.160000000003</v>
      </c>
      <c r="I1618" s="93">
        <v>2397.5457928860201</v>
      </c>
      <c r="J1618" s="93">
        <v>36177.269999999997</v>
      </c>
      <c r="K1618" s="93">
        <v>10159.31</v>
      </c>
      <c r="L1618" s="93">
        <v>6620.16</v>
      </c>
      <c r="M1618" s="93">
        <v>149074.81</v>
      </c>
      <c r="N1618" s="95">
        <v>0.05</v>
      </c>
      <c r="O1618" s="95">
        <v>0.26</v>
      </c>
      <c r="P1618" s="95">
        <v>0.36</v>
      </c>
      <c r="Q1618" s="95">
        <v>0.25</v>
      </c>
      <c r="R1618" s="96">
        <v>7.0000000000000007E-2</v>
      </c>
    </row>
    <row r="1619" spans="1:18" ht="15" hidden="1" customHeight="1" x14ac:dyDescent="0.3">
      <c r="A1619" s="89">
        <v>2022</v>
      </c>
      <c r="B1619" s="90">
        <v>7</v>
      </c>
      <c r="C1619" s="90" t="s">
        <v>728</v>
      </c>
      <c r="D1619" s="90" t="s">
        <v>722</v>
      </c>
      <c r="E1619" s="91" t="s">
        <v>11</v>
      </c>
      <c r="F1619" s="92" t="s">
        <v>47</v>
      </c>
      <c r="G1619" s="93">
        <v>24501.68</v>
      </c>
      <c r="H1619" s="93">
        <v>105814.27</v>
      </c>
      <c r="I1619" s="93">
        <v>2397.5457928860201</v>
      </c>
      <c r="J1619" s="93">
        <v>166353.43</v>
      </c>
      <c r="K1619" s="93">
        <v>55033.599999999999</v>
      </c>
      <c r="L1619" s="93">
        <v>882933.36</v>
      </c>
      <c r="M1619" s="93">
        <v>1461770.89</v>
      </c>
      <c r="N1619" s="95">
        <v>0.04</v>
      </c>
      <c r="O1619" s="95">
        <v>0.18</v>
      </c>
      <c r="P1619" s="95">
        <v>0.39</v>
      </c>
      <c r="Q1619" s="95">
        <v>0.28999999999999998</v>
      </c>
      <c r="R1619" s="96">
        <v>0.1</v>
      </c>
    </row>
    <row r="1620" spans="1:18" ht="15" hidden="1" customHeight="1" x14ac:dyDescent="0.3">
      <c r="A1620" s="89">
        <v>2022</v>
      </c>
      <c r="B1620" s="90">
        <v>7</v>
      </c>
      <c r="C1620" s="90" t="s">
        <v>728</v>
      </c>
      <c r="D1620" s="90" t="s">
        <v>722</v>
      </c>
      <c r="E1620" s="91" t="s">
        <v>11</v>
      </c>
      <c r="F1620" s="92" t="s">
        <v>48</v>
      </c>
      <c r="G1620" s="93">
        <v>988.76</v>
      </c>
      <c r="H1620" s="93">
        <v>5275.15</v>
      </c>
      <c r="I1620" s="93">
        <v>2397.5457928860201</v>
      </c>
      <c r="J1620" s="93">
        <v>50630.36</v>
      </c>
      <c r="K1620" s="93">
        <v>26025.05</v>
      </c>
      <c r="L1620" s="93">
        <v>8871.01</v>
      </c>
      <c r="M1620" s="93">
        <v>110314.47</v>
      </c>
      <c r="N1620" s="95">
        <v>0.01</v>
      </c>
      <c r="O1620" s="95">
        <v>0.05</v>
      </c>
      <c r="P1620" s="95">
        <v>0.18</v>
      </c>
      <c r="Q1620" s="95">
        <v>0.5</v>
      </c>
      <c r="R1620" s="96">
        <v>0.26</v>
      </c>
    </row>
    <row r="1621" spans="1:18" ht="15" hidden="1" customHeight="1" x14ac:dyDescent="0.3">
      <c r="A1621" s="89">
        <v>2022</v>
      </c>
      <c r="B1621" s="90">
        <v>7</v>
      </c>
      <c r="C1621" s="90" t="s">
        <v>728</v>
      </c>
      <c r="D1621" s="90" t="s">
        <v>722</v>
      </c>
      <c r="E1621" s="91" t="s">
        <v>11</v>
      </c>
      <c r="F1621" s="92" t="s">
        <v>40</v>
      </c>
      <c r="G1621" s="93">
        <v>6238.65</v>
      </c>
      <c r="H1621" s="93">
        <v>102966.84</v>
      </c>
      <c r="I1621" s="93">
        <v>2397.5457928860201</v>
      </c>
      <c r="J1621" s="93">
        <v>47426.080000000002</v>
      </c>
      <c r="K1621" s="93">
        <v>9780.9</v>
      </c>
      <c r="L1621" s="93">
        <v>6005.67</v>
      </c>
      <c r="M1621" s="93">
        <v>326305.03999999998</v>
      </c>
      <c r="N1621" s="95">
        <v>0.02</v>
      </c>
      <c r="O1621" s="95">
        <v>0.32</v>
      </c>
      <c r="P1621" s="95">
        <v>0.48</v>
      </c>
      <c r="Q1621" s="95">
        <v>0.15</v>
      </c>
      <c r="R1621" s="96">
        <v>0.03</v>
      </c>
    </row>
    <row r="1622" spans="1:18" ht="15" hidden="1" customHeight="1" x14ac:dyDescent="0.3">
      <c r="A1622" s="89">
        <v>2022</v>
      </c>
      <c r="B1622" s="90">
        <v>8</v>
      </c>
      <c r="C1622" s="90" t="s">
        <v>729</v>
      </c>
      <c r="D1622" s="90" t="s">
        <v>719</v>
      </c>
      <c r="E1622" s="91" t="s">
        <v>11</v>
      </c>
      <c r="F1622" s="92" t="s">
        <v>40</v>
      </c>
      <c r="G1622" s="93">
        <v>13267.75</v>
      </c>
      <c r="H1622" s="93">
        <v>163201.22</v>
      </c>
      <c r="I1622" s="93">
        <v>2397.5457928860201</v>
      </c>
      <c r="J1622" s="93">
        <v>15100.13</v>
      </c>
      <c r="K1622" s="93">
        <v>1846.96</v>
      </c>
      <c r="L1622" s="93">
        <v>13690.68</v>
      </c>
      <c r="M1622" s="93">
        <v>326305.03999999998</v>
      </c>
      <c r="N1622" s="95">
        <v>0.04</v>
      </c>
      <c r="O1622" s="95">
        <v>0.52</v>
      </c>
      <c r="P1622" s="95">
        <v>0.38</v>
      </c>
      <c r="Q1622" s="95">
        <v>0.05</v>
      </c>
      <c r="R1622" s="96">
        <v>0.01</v>
      </c>
    </row>
    <row r="1623" spans="1:18" ht="15" hidden="1" customHeight="1" x14ac:dyDescent="0.3">
      <c r="A1623" s="89">
        <v>2022</v>
      </c>
      <c r="B1623" s="90">
        <v>8</v>
      </c>
      <c r="C1623" s="90" t="s">
        <v>729</v>
      </c>
      <c r="D1623" s="90" t="s">
        <v>722</v>
      </c>
      <c r="E1623" s="91" t="s">
        <v>11</v>
      </c>
      <c r="F1623" s="92" t="s">
        <v>26</v>
      </c>
      <c r="G1623" s="93">
        <v>78057.95</v>
      </c>
      <c r="H1623" s="93">
        <v>255865.15</v>
      </c>
      <c r="I1623" s="93">
        <v>2397.5457928860201</v>
      </c>
      <c r="J1623" s="93">
        <v>71616.759999999995</v>
      </c>
      <c r="K1623" s="93">
        <v>941.64</v>
      </c>
      <c r="L1623" s="93">
        <v>571849.34</v>
      </c>
      <c r="M1623" s="93">
        <v>1302393.77</v>
      </c>
      <c r="N1623" s="95">
        <v>0.11</v>
      </c>
      <c r="O1623" s="95">
        <v>0.35</v>
      </c>
      <c r="P1623" s="95">
        <v>0.44</v>
      </c>
      <c r="Q1623" s="95">
        <v>0.1</v>
      </c>
      <c r="R1623" s="96">
        <v>0</v>
      </c>
    </row>
    <row r="1624" spans="1:18" ht="15" hidden="1" customHeight="1" x14ac:dyDescent="0.3">
      <c r="A1624" s="89">
        <v>2022</v>
      </c>
      <c r="B1624" s="90">
        <v>8</v>
      </c>
      <c r="C1624" s="90" t="s">
        <v>729</v>
      </c>
      <c r="D1624" s="90" t="s">
        <v>722</v>
      </c>
      <c r="E1624" s="91" t="s">
        <v>11</v>
      </c>
      <c r="F1624" s="92" t="s">
        <v>12</v>
      </c>
      <c r="G1624" s="93">
        <v>10578.58</v>
      </c>
      <c r="H1624" s="93">
        <v>109658.87</v>
      </c>
      <c r="I1624" s="93">
        <v>2397.5457928860201</v>
      </c>
      <c r="J1624" s="93">
        <v>81226.740000000005</v>
      </c>
      <c r="K1624" s="93">
        <v>3377.08</v>
      </c>
      <c r="L1624" s="93">
        <v>50730.29</v>
      </c>
      <c r="M1624" s="93">
        <v>433311.44</v>
      </c>
      <c r="N1624" s="95">
        <v>0.03</v>
      </c>
      <c r="O1624" s="95">
        <v>0.28999999999999998</v>
      </c>
      <c r="P1624" s="95">
        <v>0.46</v>
      </c>
      <c r="Q1624" s="95">
        <v>0.21</v>
      </c>
      <c r="R1624" s="96">
        <v>0.01</v>
      </c>
    </row>
    <row r="1625" spans="1:18" ht="15" hidden="1" customHeight="1" x14ac:dyDescent="0.3">
      <c r="A1625" s="89">
        <v>2022</v>
      </c>
      <c r="B1625" s="90">
        <v>8</v>
      </c>
      <c r="C1625" s="90" t="s">
        <v>729</v>
      </c>
      <c r="D1625" s="90" t="s">
        <v>722</v>
      </c>
      <c r="E1625" s="91" t="s">
        <v>11</v>
      </c>
      <c r="F1625" s="92" t="s">
        <v>27</v>
      </c>
      <c r="G1625" s="93">
        <v>19831.72</v>
      </c>
      <c r="H1625" s="93">
        <v>108065.63</v>
      </c>
      <c r="I1625" s="93">
        <v>2397.5457928860201</v>
      </c>
      <c r="J1625" s="93">
        <v>12071.14</v>
      </c>
      <c r="K1625" s="93">
        <v>205.74</v>
      </c>
      <c r="L1625" s="93">
        <v>11275</v>
      </c>
      <c r="M1625" s="93">
        <v>226689.38</v>
      </c>
      <c r="N1625" s="95">
        <v>0.09</v>
      </c>
      <c r="O1625" s="95">
        <v>0.5</v>
      </c>
      <c r="P1625" s="95">
        <v>0.35</v>
      </c>
      <c r="Q1625" s="95">
        <v>0.06</v>
      </c>
      <c r="R1625" s="96">
        <v>0</v>
      </c>
    </row>
    <row r="1626" spans="1:18" ht="15" hidden="1" customHeight="1" x14ac:dyDescent="0.3">
      <c r="A1626" s="89">
        <v>2022</v>
      </c>
      <c r="B1626" s="90">
        <v>8</v>
      </c>
      <c r="C1626" s="90" t="s">
        <v>729</v>
      </c>
      <c r="D1626" s="90" t="s">
        <v>722</v>
      </c>
      <c r="E1626" s="91" t="s">
        <v>11</v>
      </c>
      <c r="F1626" s="92" t="s">
        <v>28</v>
      </c>
      <c r="G1626" s="93">
        <v>6591.68</v>
      </c>
      <c r="H1626" s="93">
        <v>67404.899999999994</v>
      </c>
      <c r="I1626" s="93">
        <v>2397.5457928860201</v>
      </c>
      <c r="J1626" s="93">
        <v>46803.76</v>
      </c>
      <c r="K1626" s="93">
        <v>1178.9000000000001</v>
      </c>
      <c r="L1626" s="93">
        <v>3801.58</v>
      </c>
      <c r="M1626" s="93">
        <v>373104.4</v>
      </c>
      <c r="N1626" s="95">
        <v>0.02</v>
      </c>
      <c r="O1626" s="95">
        <v>0.18</v>
      </c>
      <c r="P1626" s="95">
        <v>0.67</v>
      </c>
      <c r="Q1626" s="95">
        <v>0.13</v>
      </c>
      <c r="R1626" s="96">
        <v>0</v>
      </c>
    </row>
    <row r="1627" spans="1:18" ht="15" customHeight="1" x14ac:dyDescent="0.3">
      <c r="A1627" s="89">
        <v>2022</v>
      </c>
      <c r="B1627" s="90">
        <v>8</v>
      </c>
      <c r="C1627" s="90" t="s">
        <v>729</v>
      </c>
      <c r="D1627" s="90" t="s">
        <v>722</v>
      </c>
      <c r="E1627" s="91" t="s">
        <v>11</v>
      </c>
      <c r="F1627" s="92" t="s">
        <v>29</v>
      </c>
      <c r="G1627" s="93">
        <v>19992.650000000001</v>
      </c>
      <c r="H1627" s="93">
        <v>94045.85</v>
      </c>
      <c r="I1627" s="93">
        <v>2397.5457928860201</v>
      </c>
      <c r="J1627" s="93">
        <v>30101.99</v>
      </c>
      <c r="K1627" s="93">
        <v>2543.84</v>
      </c>
      <c r="L1627" s="93">
        <v>100813.82</v>
      </c>
      <c r="M1627" s="93">
        <v>354391.76</v>
      </c>
      <c r="N1627" s="95">
        <v>0.08</v>
      </c>
      <c r="O1627" s="95">
        <v>0.37</v>
      </c>
      <c r="P1627" s="95">
        <v>0.42</v>
      </c>
      <c r="Q1627" s="95">
        <v>0.12</v>
      </c>
      <c r="R1627" s="96">
        <v>0.01</v>
      </c>
    </row>
    <row r="1628" spans="1:18" ht="15" hidden="1" customHeight="1" x14ac:dyDescent="0.3">
      <c r="A1628" s="89">
        <v>2022</v>
      </c>
      <c r="B1628" s="90">
        <v>8</v>
      </c>
      <c r="C1628" s="90" t="s">
        <v>729</v>
      </c>
      <c r="D1628" s="90" t="s">
        <v>722</v>
      </c>
      <c r="E1628" s="91" t="s">
        <v>11</v>
      </c>
      <c r="F1628" s="92" t="s">
        <v>30</v>
      </c>
      <c r="G1628" s="93">
        <v>1622.12</v>
      </c>
      <c r="H1628" s="93">
        <v>8189.45</v>
      </c>
      <c r="I1628" s="93">
        <v>2397.5457928860201</v>
      </c>
      <c r="J1628" s="93">
        <v>748.25</v>
      </c>
      <c r="K1628" s="93">
        <v>85.68</v>
      </c>
      <c r="L1628" s="93">
        <v>216873.68</v>
      </c>
      <c r="M1628" s="93">
        <v>230086.24</v>
      </c>
      <c r="N1628" s="95">
        <v>0.12</v>
      </c>
      <c r="O1628" s="95">
        <v>0.62</v>
      </c>
      <c r="P1628" s="95">
        <v>0.19</v>
      </c>
      <c r="Q1628" s="95">
        <v>0.06</v>
      </c>
      <c r="R1628" s="96">
        <v>0.01</v>
      </c>
    </row>
    <row r="1629" spans="1:18" ht="15" hidden="1" customHeight="1" x14ac:dyDescent="0.3">
      <c r="A1629" s="89">
        <v>2022</v>
      </c>
      <c r="B1629" s="90">
        <v>8</v>
      </c>
      <c r="C1629" s="90" t="s">
        <v>729</v>
      </c>
      <c r="D1629" s="90" t="s">
        <v>722</v>
      </c>
      <c r="E1629" s="91" t="s">
        <v>11</v>
      </c>
      <c r="F1629" s="92" t="s">
        <v>31</v>
      </c>
      <c r="G1629" s="93">
        <v>1941.36</v>
      </c>
      <c r="H1629" s="93">
        <v>86362.79</v>
      </c>
      <c r="I1629" s="93">
        <v>2397.5457928860201</v>
      </c>
      <c r="J1629" s="93">
        <v>19951.34</v>
      </c>
      <c r="K1629" s="93">
        <v>5662.41</v>
      </c>
      <c r="L1629" s="93">
        <v>56440.04</v>
      </c>
      <c r="M1629" s="93">
        <v>251948.86</v>
      </c>
      <c r="N1629" s="95">
        <v>0.01</v>
      </c>
      <c r="O1629" s="95">
        <v>0.44</v>
      </c>
      <c r="P1629" s="95">
        <v>0.42</v>
      </c>
      <c r="Q1629" s="95">
        <v>0.1</v>
      </c>
      <c r="R1629" s="96">
        <v>0.03</v>
      </c>
    </row>
    <row r="1630" spans="1:18" ht="15" hidden="1" customHeight="1" x14ac:dyDescent="0.3">
      <c r="A1630" s="89">
        <v>2022</v>
      </c>
      <c r="B1630" s="90">
        <v>8</v>
      </c>
      <c r="C1630" s="90" t="s">
        <v>729</v>
      </c>
      <c r="D1630" s="90" t="s">
        <v>722</v>
      </c>
      <c r="E1630" s="91" t="s">
        <v>11</v>
      </c>
      <c r="F1630" s="92" t="s">
        <v>32</v>
      </c>
      <c r="G1630" s="93">
        <v>20737.57</v>
      </c>
      <c r="H1630" s="93">
        <v>131262.81</v>
      </c>
      <c r="I1630" s="93">
        <v>2397.5457928860201</v>
      </c>
      <c r="J1630" s="93">
        <v>163740.19</v>
      </c>
      <c r="K1630" s="93">
        <v>24232.639999999999</v>
      </c>
      <c r="L1630" s="93">
        <v>63301.89</v>
      </c>
      <c r="M1630" s="93">
        <v>609521.87</v>
      </c>
      <c r="N1630" s="95">
        <v>0.04</v>
      </c>
      <c r="O1630" s="95">
        <v>0.24</v>
      </c>
      <c r="P1630" s="95">
        <v>0.38</v>
      </c>
      <c r="Q1630" s="95">
        <v>0.3</v>
      </c>
      <c r="R1630" s="96">
        <v>0.04</v>
      </c>
    </row>
    <row r="1631" spans="1:18" ht="15" hidden="1" customHeight="1" x14ac:dyDescent="0.3">
      <c r="A1631" s="89">
        <v>2022</v>
      </c>
      <c r="B1631" s="90">
        <v>8</v>
      </c>
      <c r="C1631" s="90" t="s">
        <v>729</v>
      </c>
      <c r="D1631" s="90" t="s">
        <v>722</v>
      </c>
      <c r="E1631" s="91" t="s">
        <v>11</v>
      </c>
      <c r="F1631" s="92" t="s">
        <v>33</v>
      </c>
      <c r="G1631" s="93">
        <v>49129.43</v>
      </c>
      <c r="H1631" s="93">
        <v>356308.95</v>
      </c>
      <c r="I1631" s="93">
        <v>2397.5457928860201</v>
      </c>
      <c r="J1631" s="93">
        <v>118108.71</v>
      </c>
      <c r="K1631" s="93">
        <v>887.22</v>
      </c>
      <c r="L1631" s="93">
        <v>141042.25</v>
      </c>
      <c r="M1631" s="93">
        <v>1352055.51</v>
      </c>
      <c r="N1631" s="95">
        <v>0.04</v>
      </c>
      <c r="O1631" s="95">
        <v>0.28999999999999998</v>
      </c>
      <c r="P1631" s="95">
        <v>0.56999999999999995</v>
      </c>
      <c r="Q1631" s="95">
        <v>0.1</v>
      </c>
      <c r="R1631" s="96">
        <v>0</v>
      </c>
    </row>
    <row r="1632" spans="1:18" ht="15" hidden="1" customHeight="1" x14ac:dyDescent="0.3">
      <c r="A1632" s="89">
        <v>2022</v>
      </c>
      <c r="B1632" s="90">
        <v>8</v>
      </c>
      <c r="C1632" s="90" t="s">
        <v>729</v>
      </c>
      <c r="D1632" s="90" t="s">
        <v>722</v>
      </c>
      <c r="E1632" s="91" t="s">
        <v>11</v>
      </c>
      <c r="F1632" s="92" t="s">
        <v>34</v>
      </c>
      <c r="G1632" s="93">
        <v>45765.77</v>
      </c>
      <c r="H1632" s="93">
        <v>243923.44</v>
      </c>
      <c r="I1632" s="93">
        <v>2397.5457928860201</v>
      </c>
      <c r="J1632" s="93">
        <v>27645.72</v>
      </c>
      <c r="K1632" s="93">
        <v>857.77</v>
      </c>
      <c r="L1632" s="93">
        <v>89430.56</v>
      </c>
      <c r="M1632" s="93">
        <v>713628.98</v>
      </c>
      <c r="N1632" s="95">
        <v>7.0000000000000007E-2</v>
      </c>
      <c r="O1632" s="95">
        <v>0.39</v>
      </c>
      <c r="P1632" s="95">
        <v>0.49</v>
      </c>
      <c r="Q1632" s="95">
        <v>0.04</v>
      </c>
      <c r="R1632" s="96">
        <v>0</v>
      </c>
    </row>
    <row r="1633" spans="1:18" ht="15" hidden="1" customHeight="1" x14ac:dyDescent="0.3">
      <c r="A1633" s="89">
        <v>2022</v>
      </c>
      <c r="B1633" s="90">
        <v>8</v>
      </c>
      <c r="C1633" s="90" t="s">
        <v>729</v>
      </c>
      <c r="D1633" s="90" t="s">
        <v>722</v>
      </c>
      <c r="E1633" s="91" t="s">
        <v>11</v>
      </c>
      <c r="F1633" s="92" t="s">
        <v>35</v>
      </c>
      <c r="G1633" s="93">
        <v>24227.43</v>
      </c>
      <c r="H1633" s="93">
        <v>158595.82999999999</v>
      </c>
      <c r="I1633" s="93">
        <v>2397.5457928860201</v>
      </c>
      <c r="J1633" s="93">
        <v>44343.72</v>
      </c>
      <c r="K1633" s="93">
        <v>2634.31</v>
      </c>
      <c r="L1633" s="93">
        <v>244256.32</v>
      </c>
      <c r="M1633" s="93">
        <v>605861.19999999995</v>
      </c>
      <c r="N1633" s="95">
        <v>7.0000000000000007E-2</v>
      </c>
      <c r="O1633" s="95">
        <v>0.44</v>
      </c>
      <c r="P1633" s="95">
        <v>0.36</v>
      </c>
      <c r="Q1633" s="95">
        <v>0.12</v>
      </c>
      <c r="R1633" s="96">
        <v>0.01</v>
      </c>
    </row>
    <row r="1634" spans="1:18" ht="15" hidden="1" customHeight="1" x14ac:dyDescent="0.3">
      <c r="A1634" s="89">
        <v>2022</v>
      </c>
      <c r="B1634" s="90">
        <v>8</v>
      </c>
      <c r="C1634" s="90" t="s">
        <v>729</v>
      </c>
      <c r="D1634" s="90" t="s">
        <v>722</v>
      </c>
      <c r="E1634" s="91" t="s">
        <v>11</v>
      </c>
      <c r="F1634" s="92" t="s">
        <v>36</v>
      </c>
      <c r="G1634" s="93">
        <v>8052.14</v>
      </c>
      <c r="H1634" s="93">
        <v>89961.68</v>
      </c>
      <c r="I1634" s="93">
        <v>2397.5457928860201</v>
      </c>
      <c r="J1634" s="93">
        <v>26014.34</v>
      </c>
      <c r="K1634" s="93">
        <v>430.69</v>
      </c>
      <c r="L1634" s="93">
        <v>33030.120000000003</v>
      </c>
      <c r="M1634" s="93">
        <v>258886.74</v>
      </c>
      <c r="N1634" s="95">
        <v>0.04</v>
      </c>
      <c r="O1634" s="95">
        <v>0.4</v>
      </c>
      <c r="P1634" s="95">
        <v>0.45</v>
      </c>
      <c r="Q1634" s="95">
        <v>0.12</v>
      </c>
      <c r="R1634" s="96">
        <v>0</v>
      </c>
    </row>
    <row r="1635" spans="1:18" ht="15" hidden="1" customHeight="1" x14ac:dyDescent="0.3">
      <c r="A1635" s="89">
        <v>2022</v>
      </c>
      <c r="B1635" s="90">
        <v>8</v>
      </c>
      <c r="C1635" s="90" t="s">
        <v>729</v>
      </c>
      <c r="D1635" s="90" t="s">
        <v>722</v>
      </c>
      <c r="E1635" s="91" t="s">
        <v>11</v>
      </c>
      <c r="F1635" s="92" t="s">
        <v>37</v>
      </c>
      <c r="G1635" s="93">
        <v>22331.27</v>
      </c>
      <c r="H1635" s="93">
        <v>139616.16</v>
      </c>
      <c r="I1635" s="93">
        <v>2397.5457928860201</v>
      </c>
      <c r="J1635" s="93">
        <v>46447.71</v>
      </c>
      <c r="K1635" s="93">
        <v>1615.36</v>
      </c>
      <c r="L1635" s="93">
        <v>165949.31</v>
      </c>
      <c r="M1635" s="93">
        <v>524074.32</v>
      </c>
      <c r="N1635" s="95">
        <v>0.06</v>
      </c>
      <c r="O1635" s="95">
        <v>0.39</v>
      </c>
      <c r="P1635" s="95">
        <v>0.41</v>
      </c>
      <c r="Q1635" s="95">
        <v>0.13</v>
      </c>
      <c r="R1635" s="96">
        <v>0</v>
      </c>
    </row>
    <row r="1636" spans="1:18" ht="15" hidden="1" customHeight="1" x14ac:dyDescent="0.3">
      <c r="A1636" s="89">
        <v>2022</v>
      </c>
      <c r="B1636" s="90">
        <v>8</v>
      </c>
      <c r="C1636" s="90" t="s">
        <v>729</v>
      </c>
      <c r="D1636" s="90" t="s">
        <v>722</v>
      </c>
      <c r="E1636" s="91" t="s">
        <v>11</v>
      </c>
      <c r="F1636" s="92" t="s">
        <v>38</v>
      </c>
      <c r="G1636" s="93">
        <v>84351.679999999993</v>
      </c>
      <c r="H1636" s="93">
        <v>229780.46</v>
      </c>
      <c r="I1636" s="93">
        <v>2397.5457928860201</v>
      </c>
      <c r="J1636" s="93">
        <v>59403.8</v>
      </c>
      <c r="K1636" s="93">
        <v>1259.18</v>
      </c>
      <c r="L1636" s="93">
        <v>228131.83</v>
      </c>
      <c r="M1636" s="93">
        <v>927959.02</v>
      </c>
      <c r="N1636" s="95">
        <v>0.12</v>
      </c>
      <c r="O1636" s="95">
        <v>0.33</v>
      </c>
      <c r="P1636" s="95">
        <v>0.46</v>
      </c>
      <c r="Q1636" s="95">
        <v>0.08</v>
      </c>
      <c r="R1636" s="96">
        <v>0</v>
      </c>
    </row>
    <row r="1637" spans="1:18" ht="15" hidden="1" customHeight="1" x14ac:dyDescent="0.3">
      <c r="A1637" s="89">
        <v>2022</v>
      </c>
      <c r="B1637" s="90">
        <v>8</v>
      </c>
      <c r="C1637" s="90" t="s">
        <v>729</v>
      </c>
      <c r="D1637" s="90" t="s">
        <v>722</v>
      </c>
      <c r="E1637" s="91" t="s">
        <v>11</v>
      </c>
      <c r="F1637" s="92" t="s">
        <v>39</v>
      </c>
      <c r="G1637" s="93">
        <v>28503.02</v>
      </c>
      <c r="H1637" s="93">
        <v>117695.95</v>
      </c>
      <c r="I1637" s="93">
        <v>2397.5457928860201</v>
      </c>
      <c r="J1637" s="93">
        <v>36934.76</v>
      </c>
      <c r="K1637" s="93">
        <v>2682.51</v>
      </c>
      <c r="L1637" s="93">
        <v>46280.800000000003</v>
      </c>
      <c r="M1637" s="93">
        <v>331195.63</v>
      </c>
      <c r="N1637" s="95">
        <v>0.1</v>
      </c>
      <c r="O1637" s="95">
        <v>0.41</v>
      </c>
      <c r="P1637" s="95">
        <v>0.35</v>
      </c>
      <c r="Q1637" s="95">
        <v>0.13</v>
      </c>
      <c r="R1637" s="96">
        <v>0.01</v>
      </c>
    </row>
    <row r="1638" spans="1:18" ht="15" hidden="1" customHeight="1" x14ac:dyDescent="0.3">
      <c r="A1638" s="89">
        <v>2022</v>
      </c>
      <c r="B1638" s="90">
        <v>8</v>
      </c>
      <c r="C1638" s="90" t="s">
        <v>729</v>
      </c>
      <c r="D1638" s="90" t="s">
        <v>722</v>
      </c>
      <c r="E1638" s="91" t="s">
        <v>11</v>
      </c>
      <c r="F1638" s="92" t="s">
        <v>41</v>
      </c>
      <c r="G1638" s="93">
        <v>4011.93</v>
      </c>
      <c r="H1638" s="93">
        <v>8722.59</v>
      </c>
      <c r="I1638" s="93">
        <v>2397.5457928860201</v>
      </c>
      <c r="J1638" s="93">
        <v>916.93</v>
      </c>
      <c r="K1638" s="93">
        <v>47.88</v>
      </c>
      <c r="L1638" s="93">
        <v>696.54</v>
      </c>
      <c r="M1638" s="93">
        <v>18714.330000000002</v>
      </c>
      <c r="N1638" s="95">
        <v>0.22</v>
      </c>
      <c r="O1638" s="95">
        <v>0.48</v>
      </c>
      <c r="P1638" s="95">
        <v>0.24</v>
      </c>
      <c r="Q1638" s="95">
        <v>0.05</v>
      </c>
      <c r="R1638" s="96">
        <v>0</v>
      </c>
    </row>
    <row r="1639" spans="1:18" ht="15" hidden="1" customHeight="1" x14ac:dyDescent="0.3">
      <c r="A1639" s="89">
        <v>2022</v>
      </c>
      <c r="B1639" s="90">
        <v>8</v>
      </c>
      <c r="C1639" s="90" t="s">
        <v>729</v>
      </c>
      <c r="D1639" s="90" t="s">
        <v>722</v>
      </c>
      <c r="E1639" s="91" t="s">
        <v>11</v>
      </c>
      <c r="F1639" s="92" t="s">
        <v>42</v>
      </c>
      <c r="G1639" s="93">
        <v>6230.72</v>
      </c>
      <c r="H1639" s="93">
        <v>108837.03</v>
      </c>
      <c r="I1639" s="93">
        <v>2397.5457928860201</v>
      </c>
      <c r="J1639" s="93">
        <v>85845.99</v>
      </c>
      <c r="K1639" s="93">
        <v>5772.8</v>
      </c>
      <c r="L1639" s="93">
        <v>186337.93</v>
      </c>
      <c r="M1639" s="93">
        <v>620824.21</v>
      </c>
      <c r="N1639" s="95">
        <v>0.01</v>
      </c>
      <c r="O1639" s="95">
        <v>0.25</v>
      </c>
      <c r="P1639" s="95">
        <v>0.52</v>
      </c>
      <c r="Q1639" s="95">
        <v>0.2</v>
      </c>
      <c r="R1639" s="96">
        <v>0.01</v>
      </c>
    </row>
    <row r="1640" spans="1:18" ht="15" hidden="1" customHeight="1" x14ac:dyDescent="0.3">
      <c r="A1640" s="89">
        <v>2022</v>
      </c>
      <c r="B1640" s="90">
        <v>8</v>
      </c>
      <c r="C1640" s="90" t="s">
        <v>729</v>
      </c>
      <c r="D1640" s="90" t="s">
        <v>722</v>
      </c>
      <c r="E1640" s="91" t="s">
        <v>11</v>
      </c>
      <c r="F1640" s="92" t="s">
        <v>43</v>
      </c>
      <c r="G1640" s="93">
        <v>2504.21</v>
      </c>
      <c r="H1640" s="93">
        <v>18590.509999999998</v>
      </c>
      <c r="I1640" s="93">
        <v>2397.5457928860201</v>
      </c>
      <c r="J1640" s="93">
        <v>9308.89</v>
      </c>
      <c r="K1640" s="93">
        <v>2118.67</v>
      </c>
      <c r="L1640" s="93">
        <v>135737.39000000001</v>
      </c>
      <c r="M1640" s="93">
        <v>185575.52</v>
      </c>
      <c r="N1640" s="95">
        <v>0.05</v>
      </c>
      <c r="O1640" s="95">
        <v>0.37</v>
      </c>
      <c r="P1640" s="95">
        <v>0.35</v>
      </c>
      <c r="Q1640" s="95">
        <v>0.19</v>
      </c>
      <c r="R1640" s="96">
        <v>0.04</v>
      </c>
    </row>
    <row r="1641" spans="1:18" ht="15" hidden="1" customHeight="1" x14ac:dyDescent="0.3">
      <c r="A1641" s="89">
        <v>2022</v>
      </c>
      <c r="B1641" s="90">
        <v>8</v>
      </c>
      <c r="C1641" s="90" t="s">
        <v>729</v>
      </c>
      <c r="D1641" s="90" t="s">
        <v>722</v>
      </c>
      <c r="E1641" s="91" t="s">
        <v>11</v>
      </c>
      <c r="F1641" s="92" t="s">
        <v>58</v>
      </c>
      <c r="G1641" s="93">
        <v>8951.31</v>
      </c>
      <c r="H1641" s="93">
        <v>115003.14</v>
      </c>
      <c r="I1641" s="93">
        <v>2397.5457928860201</v>
      </c>
      <c r="J1641" s="93">
        <v>49879.85</v>
      </c>
      <c r="K1641" s="93">
        <v>1552.4</v>
      </c>
      <c r="L1641" s="93">
        <v>4396.66</v>
      </c>
      <c r="M1641" s="93">
        <v>371477.13</v>
      </c>
      <c r="N1641" s="95">
        <v>0.02</v>
      </c>
      <c r="O1641" s="95">
        <v>0.31</v>
      </c>
      <c r="P1641" s="95">
        <v>0.52</v>
      </c>
      <c r="Q1641" s="95">
        <v>0.14000000000000001</v>
      </c>
      <c r="R1641" s="96">
        <v>0</v>
      </c>
    </row>
    <row r="1642" spans="1:18" ht="15" hidden="1" customHeight="1" x14ac:dyDescent="0.3">
      <c r="A1642" s="89">
        <v>2022</v>
      </c>
      <c r="B1642" s="90">
        <v>8</v>
      </c>
      <c r="C1642" s="90" t="s">
        <v>729</v>
      </c>
      <c r="D1642" s="90" t="s">
        <v>722</v>
      </c>
      <c r="E1642" s="91" t="s">
        <v>11</v>
      </c>
      <c r="F1642" s="92" t="s">
        <v>44</v>
      </c>
      <c r="G1642" s="93">
        <v>7069.32</v>
      </c>
      <c r="H1642" s="93">
        <v>50661.919999999998</v>
      </c>
      <c r="I1642" s="93">
        <v>2397.5457928860201</v>
      </c>
      <c r="J1642" s="93">
        <v>20875.09</v>
      </c>
      <c r="K1642" s="93">
        <v>341.53</v>
      </c>
      <c r="L1642" s="93">
        <v>44479.76</v>
      </c>
      <c r="M1642" s="93">
        <v>215729.36</v>
      </c>
      <c r="N1642" s="95">
        <v>0.04</v>
      </c>
      <c r="O1642" s="95">
        <v>0.3</v>
      </c>
      <c r="P1642" s="95">
        <v>0.54</v>
      </c>
      <c r="Q1642" s="95">
        <v>0.12</v>
      </c>
      <c r="R1642" s="96">
        <v>0</v>
      </c>
    </row>
    <row r="1643" spans="1:18" ht="15" hidden="1" customHeight="1" x14ac:dyDescent="0.3">
      <c r="A1643" s="89">
        <v>2022</v>
      </c>
      <c r="B1643" s="90">
        <v>8</v>
      </c>
      <c r="C1643" s="90" t="s">
        <v>729</v>
      </c>
      <c r="D1643" s="90" t="s">
        <v>722</v>
      </c>
      <c r="E1643" s="91" t="s">
        <v>11</v>
      </c>
      <c r="F1643" s="92" t="s">
        <v>51</v>
      </c>
      <c r="G1643" s="93">
        <v>2414.39</v>
      </c>
      <c r="H1643" s="93">
        <v>40711.360000000001</v>
      </c>
      <c r="I1643" s="93">
        <v>2397.5457928860201</v>
      </c>
      <c r="J1643" s="93">
        <v>31038.58</v>
      </c>
      <c r="K1643" s="93">
        <v>2508</v>
      </c>
      <c r="L1643" s="93">
        <v>1203.8</v>
      </c>
      <c r="M1643" s="93">
        <v>211202.48</v>
      </c>
      <c r="N1643" s="95">
        <v>0.01</v>
      </c>
      <c r="O1643" s="95">
        <v>0.19</v>
      </c>
      <c r="P1643" s="95">
        <v>0.63</v>
      </c>
      <c r="Q1643" s="95">
        <v>0.15</v>
      </c>
      <c r="R1643" s="96">
        <v>0.01</v>
      </c>
    </row>
    <row r="1644" spans="1:18" ht="15" hidden="1" customHeight="1" x14ac:dyDescent="0.3">
      <c r="A1644" s="89">
        <v>2022</v>
      </c>
      <c r="B1644" s="90">
        <v>8</v>
      </c>
      <c r="C1644" s="90" t="s">
        <v>729</v>
      </c>
      <c r="D1644" s="90" t="s">
        <v>722</v>
      </c>
      <c r="E1644" s="91" t="s">
        <v>11</v>
      </c>
      <c r="F1644" s="92" t="s">
        <v>45</v>
      </c>
      <c r="G1644" s="93">
        <v>6726.21</v>
      </c>
      <c r="H1644" s="93">
        <v>27383.03</v>
      </c>
      <c r="I1644" s="93">
        <v>2397.5457928860201</v>
      </c>
      <c r="J1644" s="93">
        <v>14749.32</v>
      </c>
      <c r="K1644" s="93">
        <v>2302.1999999999998</v>
      </c>
      <c r="L1644" s="93">
        <v>50545.4</v>
      </c>
      <c r="M1644" s="93">
        <v>134096.20000000001</v>
      </c>
      <c r="N1644" s="95">
        <v>0.08</v>
      </c>
      <c r="O1644" s="95">
        <v>0.33</v>
      </c>
      <c r="P1644" s="95">
        <v>0.39</v>
      </c>
      <c r="Q1644" s="95">
        <v>0.18</v>
      </c>
      <c r="R1644" s="96">
        <v>0.03</v>
      </c>
    </row>
    <row r="1645" spans="1:18" ht="15" hidden="1" customHeight="1" x14ac:dyDescent="0.3">
      <c r="A1645" s="89">
        <v>2022</v>
      </c>
      <c r="B1645" s="90">
        <v>8</v>
      </c>
      <c r="C1645" s="90" t="s">
        <v>729</v>
      </c>
      <c r="D1645" s="90" t="s">
        <v>722</v>
      </c>
      <c r="E1645" s="91" t="s">
        <v>11</v>
      </c>
      <c r="F1645" s="92" t="s">
        <v>721</v>
      </c>
      <c r="G1645" s="93">
        <v>8767.9500000000007</v>
      </c>
      <c r="H1645" s="93">
        <v>127228.57</v>
      </c>
      <c r="I1645" s="93">
        <v>2397.5457928860201</v>
      </c>
      <c r="J1645" s="93">
        <v>31289.59</v>
      </c>
      <c r="K1645" s="93">
        <v>1304.43</v>
      </c>
      <c r="L1645" s="93">
        <v>2645.65</v>
      </c>
      <c r="M1645" s="93">
        <v>309330.63</v>
      </c>
      <c r="N1645" s="95">
        <v>0.03</v>
      </c>
      <c r="O1645" s="95">
        <v>0.41</v>
      </c>
      <c r="P1645" s="95">
        <v>0.45</v>
      </c>
      <c r="Q1645" s="95">
        <v>0.1</v>
      </c>
      <c r="R1645" s="96">
        <v>0</v>
      </c>
    </row>
    <row r="1646" spans="1:18" ht="15" hidden="1" customHeight="1" x14ac:dyDescent="0.3">
      <c r="A1646" s="89">
        <v>2022</v>
      </c>
      <c r="B1646" s="90">
        <v>8</v>
      </c>
      <c r="C1646" s="90" t="s">
        <v>729</v>
      </c>
      <c r="D1646" s="90" t="s">
        <v>722</v>
      </c>
      <c r="E1646" s="91" t="s">
        <v>11</v>
      </c>
      <c r="F1646" s="92" t="s">
        <v>46</v>
      </c>
      <c r="G1646" s="93">
        <v>7771.12</v>
      </c>
      <c r="H1646" s="93">
        <v>61052.19</v>
      </c>
      <c r="I1646" s="93">
        <v>2397.5457928860201</v>
      </c>
      <c r="J1646" s="93">
        <v>20710.47</v>
      </c>
      <c r="K1646" s="93">
        <v>3560.5</v>
      </c>
      <c r="L1646" s="93">
        <v>1156.3900000000001</v>
      </c>
      <c r="M1646" s="93">
        <v>149074.81</v>
      </c>
      <c r="N1646" s="95">
        <v>0.05</v>
      </c>
      <c r="O1646" s="95">
        <v>0.41</v>
      </c>
      <c r="P1646" s="95">
        <v>0.37</v>
      </c>
      <c r="Q1646" s="95">
        <v>0.14000000000000001</v>
      </c>
      <c r="R1646" s="96">
        <v>0.02</v>
      </c>
    </row>
    <row r="1647" spans="1:18" ht="15" hidden="1" customHeight="1" x14ac:dyDescent="0.3">
      <c r="A1647" s="89">
        <v>2022</v>
      </c>
      <c r="B1647" s="90">
        <v>8</v>
      </c>
      <c r="C1647" s="90" t="s">
        <v>729</v>
      </c>
      <c r="D1647" s="90" t="s">
        <v>722</v>
      </c>
      <c r="E1647" s="91" t="s">
        <v>11</v>
      </c>
      <c r="F1647" s="92" t="s">
        <v>47</v>
      </c>
      <c r="G1647" s="93">
        <v>12970.07</v>
      </c>
      <c r="H1647" s="93">
        <v>119266.18</v>
      </c>
      <c r="I1647" s="93">
        <v>2397.5457928860201</v>
      </c>
      <c r="J1647" s="93">
        <v>447526.44</v>
      </c>
      <c r="K1647" s="93">
        <v>264001.03999999998</v>
      </c>
      <c r="L1647" s="93">
        <v>260616.25</v>
      </c>
      <c r="M1647" s="93">
        <v>1461770.89</v>
      </c>
      <c r="N1647" s="95">
        <v>0.01</v>
      </c>
      <c r="O1647" s="95">
        <v>0.1</v>
      </c>
      <c r="P1647" s="95">
        <v>0.3</v>
      </c>
      <c r="Q1647" s="95">
        <v>0.37</v>
      </c>
      <c r="R1647" s="96">
        <v>0.22</v>
      </c>
    </row>
    <row r="1648" spans="1:18" ht="15" hidden="1" customHeight="1" x14ac:dyDescent="0.3">
      <c r="A1648" s="89">
        <v>2022</v>
      </c>
      <c r="B1648" s="90">
        <v>8</v>
      </c>
      <c r="C1648" s="90" t="s">
        <v>729</v>
      </c>
      <c r="D1648" s="90" t="s">
        <v>722</v>
      </c>
      <c r="E1648" s="91" t="s">
        <v>11</v>
      </c>
      <c r="F1648" s="92" t="s">
        <v>48</v>
      </c>
      <c r="G1648" s="93">
        <v>2676.4</v>
      </c>
      <c r="H1648" s="93">
        <v>14907.88</v>
      </c>
      <c r="I1648" s="93">
        <v>2397.5457928860201</v>
      </c>
      <c r="J1648" s="93">
        <v>34844.720000000001</v>
      </c>
      <c r="K1648" s="93">
        <v>1196.6099999999999</v>
      </c>
      <c r="L1648" s="93">
        <v>8532.51</v>
      </c>
      <c r="M1648" s="93">
        <v>110314.47</v>
      </c>
      <c r="N1648" s="95">
        <v>0.03</v>
      </c>
      <c r="O1648" s="95">
        <v>0.15</v>
      </c>
      <c r="P1648" s="95">
        <v>0.47</v>
      </c>
      <c r="Q1648" s="95">
        <v>0.34</v>
      </c>
      <c r="R1648" s="96">
        <v>0.01</v>
      </c>
    </row>
    <row r="1649" spans="1:18" ht="15" hidden="1" customHeight="1" x14ac:dyDescent="0.3">
      <c r="A1649" s="89">
        <v>2022</v>
      </c>
      <c r="B1649" s="90">
        <v>8</v>
      </c>
      <c r="C1649" s="90" t="s">
        <v>729</v>
      </c>
      <c r="D1649" s="90" t="s">
        <v>722</v>
      </c>
      <c r="E1649" s="91" t="s">
        <v>11</v>
      </c>
      <c r="F1649" s="92" t="s">
        <v>40</v>
      </c>
      <c r="G1649" s="93">
        <v>18351.32</v>
      </c>
      <c r="H1649" s="93">
        <v>192800.81</v>
      </c>
      <c r="I1649" s="93">
        <v>2397.5457928860201</v>
      </c>
      <c r="J1649" s="93">
        <v>8587.18</v>
      </c>
      <c r="K1649" s="93">
        <v>121.06</v>
      </c>
      <c r="L1649" s="93">
        <v>8491.85</v>
      </c>
      <c r="M1649" s="93">
        <v>326305.03999999998</v>
      </c>
      <c r="N1649" s="95">
        <v>0.06</v>
      </c>
      <c r="O1649" s="95">
        <v>0.61</v>
      </c>
      <c r="P1649" s="95">
        <v>0.31</v>
      </c>
      <c r="Q1649" s="95">
        <v>0.03</v>
      </c>
      <c r="R1649" s="96">
        <v>0</v>
      </c>
    </row>
    <row r="1650" spans="1:18" ht="15" hidden="1" customHeight="1" x14ac:dyDescent="0.3">
      <c r="A1650" s="89">
        <v>2022</v>
      </c>
      <c r="B1650" s="90">
        <v>9</v>
      </c>
      <c r="C1650" s="90" t="s">
        <v>730</v>
      </c>
      <c r="D1650" s="90" t="s">
        <v>719</v>
      </c>
      <c r="E1650" s="91" t="s">
        <v>11</v>
      </c>
      <c r="F1650" s="92" t="s">
        <v>26</v>
      </c>
      <c r="G1650" s="93">
        <v>86668.11</v>
      </c>
      <c r="H1650" s="93">
        <v>375860.84</v>
      </c>
      <c r="I1650" s="93">
        <v>2397.5457928860201</v>
      </c>
      <c r="J1650" s="93">
        <v>62207.73</v>
      </c>
      <c r="K1650" s="93">
        <v>1215.81</v>
      </c>
      <c r="L1650" s="93">
        <v>259405.36</v>
      </c>
      <c r="M1650" s="93">
        <v>1302393.77</v>
      </c>
      <c r="N1650" s="95">
        <v>0.08</v>
      </c>
      <c r="O1650" s="95">
        <v>0.36</v>
      </c>
      <c r="P1650" s="95">
        <v>0.5</v>
      </c>
      <c r="Q1650" s="95">
        <v>0.06</v>
      </c>
      <c r="R1650" s="96">
        <v>0</v>
      </c>
    </row>
    <row r="1651" spans="1:18" ht="15" hidden="1" customHeight="1" x14ac:dyDescent="0.3">
      <c r="A1651" s="89">
        <v>2022</v>
      </c>
      <c r="B1651" s="90">
        <v>9</v>
      </c>
      <c r="C1651" s="90" t="s">
        <v>730</v>
      </c>
      <c r="D1651" s="90" t="s">
        <v>719</v>
      </c>
      <c r="E1651" s="91" t="s">
        <v>11</v>
      </c>
      <c r="F1651" s="92" t="s">
        <v>12</v>
      </c>
      <c r="G1651" s="93">
        <v>15401.66</v>
      </c>
      <c r="H1651" s="93">
        <v>130778.52</v>
      </c>
      <c r="I1651" s="93">
        <v>2397.5457928860201</v>
      </c>
      <c r="J1651" s="93">
        <v>60438.16</v>
      </c>
      <c r="K1651" s="93">
        <v>2310.7600000000002</v>
      </c>
      <c r="L1651" s="93">
        <v>48401.52</v>
      </c>
      <c r="M1651" s="93">
        <v>433311.44</v>
      </c>
      <c r="N1651" s="95">
        <v>0.04</v>
      </c>
      <c r="O1651" s="95">
        <v>0.34</v>
      </c>
      <c r="P1651" s="95">
        <v>0.46</v>
      </c>
      <c r="Q1651" s="95">
        <v>0.16</v>
      </c>
      <c r="R1651" s="96">
        <v>0.01</v>
      </c>
    </row>
    <row r="1652" spans="1:18" ht="15" hidden="1" customHeight="1" x14ac:dyDescent="0.3">
      <c r="A1652" s="89">
        <v>2022</v>
      </c>
      <c r="B1652" s="90">
        <v>9</v>
      </c>
      <c r="C1652" s="90" t="s">
        <v>730</v>
      </c>
      <c r="D1652" s="90" t="s">
        <v>719</v>
      </c>
      <c r="E1652" s="91" t="s">
        <v>11</v>
      </c>
      <c r="F1652" s="92" t="s">
        <v>27</v>
      </c>
      <c r="G1652" s="93">
        <v>30884.16</v>
      </c>
      <c r="H1652" s="93">
        <v>127367.64</v>
      </c>
      <c r="I1652" s="93">
        <v>2397.5457928860201</v>
      </c>
      <c r="J1652" s="93">
        <v>4518.2</v>
      </c>
      <c r="K1652" s="93">
        <v>213.66</v>
      </c>
      <c r="L1652" s="93">
        <v>7874.7</v>
      </c>
      <c r="M1652" s="93">
        <v>226689.38</v>
      </c>
      <c r="N1652" s="95">
        <v>0.14000000000000001</v>
      </c>
      <c r="O1652" s="95">
        <v>0.57999999999999996</v>
      </c>
      <c r="P1652" s="95">
        <v>0.26</v>
      </c>
      <c r="Q1652" s="95">
        <v>0.02</v>
      </c>
      <c r="R1652" s="96">
        <v>0</v>
      </c>
    </row>
    <row r="1653" spans="1:18" ht="15" hidden="1" customHeight="1" x14ac:dyDescent="0.3">
      <c r="A1653" s="89">
        <v>2022</v>
      </c>
      <c r="B1653" s="90">
        <v>9</v>
      </c>
      <c r="C1653" s="90" t="s">
        <v>730</v>
      </c>
      <c r="D1653" s="90" t="s">
        <v>719</v>
      </c>
      <c r="E1653" s="91" t="s">
        <v>11</v>
      </c>
      <c r="F1653" s="92" t="s">
        <v>28</v>
      </c>
      <c r="G1653" s="93">
        <v>12308.2</v>
      </c>
      <c r="H1653" s="93">
        <v>139015.66</v>
      </c>
      <c r="I1653" s="93">
        <v>2397.5457928860201</v>
      </c>
      <c r="J1653" s="93">
        <v>15061.88</v>
      </c>
      <c r="K1653" s="93">
        <v>814.4</v>
      </c>
      <c r="L1653" s="93">
        <v>3743.21</v>
      </c>
      <c r="M1653" s="93">
        <v>373104.4</v>
      </c>
      <c r="N1653" s="95">
        <v>0.03</v>
      </c>
      <c r="O1653" s="95">
        <v>0.38</v>
      </c>
      <c r="P1653" s="95">
        <v>0.55000000000000004</v>
      </c>
      <c r="Q1653" s="95">
        <v>0.04</v>
      </c>
      <c r="R1653" s="96">
        <v>0</v>
      </c>
    </row>
    <row r="1654" spans="1:18" ht="15" customHeight="1" x14ac:dyDescent="0.3">
      <c r="A1654" s="89">
        <v>2022</v>
      </c>
      <c r="B1654" s="90">
        <v>9</v>
      </c>
      <c r="C1654" s="90" t="s">
        <v>730</v>
      </c>
      <c r="D1654" s="90" t="s">
        <v>719</v>
      </c>
      <c r="E1654" s="91" t="s">
        <v>11</v>
      </c>
      <c r="F1654" s="92" t="s">
        <v>29</v>
      </c>
      <c r="G1654" s="93">
        <v>26193.95</v>
      </c>
      <c r="H1654" s="93">
        <v>115107.84</v>
      </c>
      <c r="I1654" s="93">
        <v>2397.5457928860201</v>
      </c>
      <c r="J1654" s="93">
        <v>27135.32</v>
      </c>
      <c r="K1654" s="93">
        <v>3099.26</v>
      </c>
      <c r="L1654" s="93">
        <v>81209.16</v>
      </c>
      <c r="M1654" s="93">
        <v>354391.76</v>
      </c>
      <c r="N1654" s="95">
        <v>0.1</v>
      </c>
      <c r="O1654" s="95">
        <v>0.42</v>
      </c>
      <c r="P1654" s="95">
        <v>0.37</v>
      </c>
      <c r="Q1654" s="95">
        <v>0.1</v>
      </c>
      <c r="R1654" s="96">
        <v>0.01</v>
      </c>
    </row>
    <row r="1655" spans="1:18" ht="15" hidden="1" customHeight="1" x14ac:dyDescent="0.3">
      <c r="A1655" s="89">
        <v>2022</v>
      </c>
      <c r="B1655" s="90">
        <v>9</v>
      </c>
      <c r="C1655" s="90" t="s">
        <v>730</v>
      </c>
      <c r="D1655" s="90" t="s">
        <v>719</v>
      </c>
      <c r="E1655" s="91" t="s">
        <v>11</v>
      </c>
      <c r="F1655" s="92" t="s">
        <v>30</v>
      </c>
      <c r="G1655" s="93">
        <v>1912.3</v>
      </c>
      <c r="H1655" s="93">
        <v>7717.72</v>
      </c>
      <c r="I1655" s="93">
        <v>2397.5457928860201</v>
      </c>
      <c r="J1655" s="93">
        <v>1214.1099999999999</v>
      </c>
      <c r="K1655" s="93">
        <v>69.36</v>
      </c>
      <c r="L1655" s="93">
        <v>216488.44</v>
      </c>
      <c r="M1655" s="93">
        <v>230086.24</v>
      </c>
      <c r="N1655" s="95">
        <v>0.14000000000000001</v>
      </c>
      <c r="O1655" s="95">
        <v>0.56999999999999995</v>
      </c>
      <c r="P1655" s="95">
        <v>0.2</v>
      </c>
      <c r="Q1655" s="95">
        <v>0.09</v>
      </c>
      <c r="R1655" s="96">
        <v>0.01</v>
      </c>
    </row>
    <row r="1656" spans="1:18" ht="15" hidden="1" customHeight="1" x14ac:dyDescent="0.3">
      <c r="A1656" s="89">
        <v>2022</v>
      </c>
      <c r="B1656" s="90">
        <v>9</v>
      </c>
      <c r="C1656" s="90" t="s">
        <v>730</v>
      </c>
      <c r="D1656" s="90" t="s">
        <v>719</v>
      </c>
      <c r="E1656" s="91" t="s">
        <v>11</v>
      </c>
      <c r="F1656" s="92" t="s">
        <v>31</v>
      </c>
      <c r="G1656" s="93">
        <v>2194.36</v>
      </c>
      <c r="H1656" s="93">
        <v>72684.289999999994</v>
      </c>
      <c r="I1656" s="93">
        <v>2397.5457928860201</v>
      </c>
      <c r="J1656" s="93">
        <v>26899.119999999999</v>
      </c>
      <c r="K1656" s="93">
        <v>5964.69</v>
      </c>
      <c r="L1656" s="93">
        <v>52107.75</v>
      </c>
      <c r="M1656" s="93">
        <v>251948.86</v>
      </c>
      <c r="N1656" s="95">
        <v>0.01</v>
      </c>
      <c r="O1656" s="95">
        <v>0.36</v>
      </c>
      <c r="P1656" s="95">
        <v>0.46</v>
      </c>
      <c r="Q1656" s="95">
        <v>0.13</v>
      </c>
      <c r="R1656" s="96">
        <v>0.03</v>
      </c>
    </row>
    <row r="1657" spans="1:18" ht="15" hidden="1" customHeight="1" x14ac:dyDescent="0.3">
      <c r="A1657" s="89">
        <v>2022</v>
      </c>
      <c r="B1657" s="90">
        <v>9</v>
      </c>
      <c r="C1657" s="90" t="s">
        <v>730</v>
      </c>
      <c r="D1657" s="90" t="s">
        <v>719</v>
      </c>
      <c r="E1657" s="91" t="s">
        <v>11</v>
      </c>
      <c r="F1657" s="92" t="s">
        <v>32</v>
      </c>
      <c r="G1657" s="93">
        <v>26504.43</v>
      </c>
      <c r="H1657" s="93">
        <v>186662.75</v>
      </c>
      <c r="I1657" s="93">
        <v>2397.5457928860201</v>
      </c>
      <c r="J1657" s="93">
        <v>99164.49</v>
      </c>
      <c r="K1657" s="93">
        <v>5833.15</v>
      </c>
      <c r="L1657" s="93">
        <v>42267.86</v>
      </c>
      <c r="M1657" s="93">
        <v>609521.87</v>
      </c>
      <c r="N1657" s="95">
        <v>0.05</v>
      </c>
      <c r="O1657" s="95">
        <v>0.33</v>
      </c>
      <c r="P1657" s="95">
        <v>0.44</v>
      </c>
      <c r="Q1657" s="95">
        <v>0.17</v>
      </c>
      <c r="R1657" s="96">
        <v>0.01</v>
      </c>
    </row>
    <row r="1658" spans="1:18" ht="15" hidden="1" customHeight="1" x14ac:dyDescent="0.3">
      <c r="A1658" s="89">
        <v>2022</v>
      </c>
      <c r="B1658" s="90">
        <v>9</v>
      </c>
      <c r="C1658" s="90" t="s">
        <v>730</v>
      </c>
      <c r="D1658" s="90" t="s">
        <v>719</v>
      </c>
      <c r="E1658" s="91" t="s">
        <v>11</v>
      </c>
      <c r="F1658" s="92" t="s">
        <v>33</v>
      </c>
      <c r="G1658" s="93">
        <v>63620.43</v>
      </c>
      <c r="H1658" s="93">
        <v>647816.52</v>
      </c>
      <c r="I1658" s="93">
        <v>2397.5457928860201</v>
      </c>
      <c r="J1658" s="93">
        <v>25271.73</v>
      </c>
      <c r="K1658" s="93">
        <v>937.75</v>
      </c>
      <c r="L1658" s="93">
        <v>34803.379999999997</v>
      </c>
      <c r="M1658" s="93">
        <v>1352055.51</v>
      </c>
      <c r="N1658" s="95">
        <v>0.05</v>
      </c>
      <c r="O1658" s="95">
        <v>0.49</v>
      </c>
      <c r="P1658" s="95">
        <v>0.44</v>
      </c>
      <c r="Q1658" s="95">
        <v>0.02</v>
      </c>
      <c r="R1658" s="96">
        <v>0</v>
      </c>
    </row>
    <row r="1659" spans="1:18" ht="15" hidden="1" customHeight="1" x14ac:dyDescent="0.3">
      <c r="A1659" s="89">
        <v>2022</v>
      </c>
      <c r="B1659" s="90">
        <v>9</v>
      </c>
      <c r="C1659" s="90" t="s">
        <v>730</v>
      </c>
      <c r="D1659" s="90" t="s">
        <v>719</v>
      </c>
      <c r="E1659" s="91" t="s">
        <v>11</v>
      </c>
      <c r="F1659" s="92" t="s">
        <v>34</v>
      </c>
      <c r="G1659" s="93">
        <v>62892.44</v>
      </c>
      <c r="H1659" s="93">
        <v>364686.45</v>
      </c>
      <c r="I1659" s="93">
        <v>2397.5457928860201</v>
      </c>
      <c r="J1659" s="93">
        <v>15416.27</v>
      </c>
      <c r="K1659" s="93">
        <v>1112.3499999999999</v>
      </c>
      <c r="L1659" s="93">
        <v>58061.62</v>
      </c>
      <c r="M1659" s="93">
        <v>713628.98</v>
      </c>
      <c r="N1659" s="95">
        <v>0.1</v>
      </c>
      <c r="O1659" s="95">
        <v>0.56000000000000005</v>
      </c>
      <c r="P1659" s="95">
        <v>0.32</v>
      </c>
      <c r="Q1659" s="95">
        <v>0.02</v>
      </c>
      <c r="R1659" s="96">
        <v>0</v>
      </c>
    </row>
    <row r="1660" spans="1:18" ht="15" hidden="1" customHeight="1" x14ac:dyDescent="0.3">
      <c r="A1660" s="89">
        <v>2022</v>
      </c>
      <c r="B1660" s="90">
        <v>9</v>
      </c>
      <c r="C1660" s="90" t="s">
        <v>730</v>
      </c>
      <c r="D1660" s="90" t="s">
        <v>719</v>
      </c>
      <c r="E1660" s="91" t="s">
        <v>11</v>
      </c>
      <c r="F1660" s="92" t="s">
        <v>35</v>
      </c>
      <c r="G1660" s="93">
        <v>32114.720000000001</v>
      </c>
      <c r="H1660" s="93">
        <v>170091.01</v>
      </c>
      <c r="I1660" s="93">
        <v>2397.5457928860201</v>
      </c>
      <c r="J1660" s="93">
        <v>26731.03</v>
      </c>
      <c r="K1660" s="93">
        <v>1459.5</v>
      </c>
      <c r="L1660" s="93">
        <v>255255.99</v>
      </c>
      <c r="M1660" s="93">
        <v>605861.19999999995</v>
      </c>
      <c r="N1660" s="95">
        <v>0.09</v>
      </c>
      <c r="O1660" s="95">
        <v>0.49</v>
      </c>
      <c r="P1660" s="95">
        <v>0.34</v>
      </c>
      <c r="Q1660" s="95">
        <v>0.08</v>
      </c>
      <c r="R1660" s="96">
        <v>0</v>
      </c>
    </row>
    <row r="1661" spans="1:18" ht="15" hidden="1" customHeight="1" x14ac:dyDescent="0.3">
      <c r="A1661" s="89">
        <v>2022</v>
      </c>
      <c r="B1661" s="90">
        <v>9</v>
      </c>
      <c r="C1661" s="90" t="s">
        <v>730</v>
      </c>
      <c r="D1661" s="90" t="s">
        <v>719</v>
      </c>
      <c r="E1661" s="91" t="s">
        <v>11</v>
      </c>
      <c r="F1661" s="92" t="s">
        <v>36</v>
      </c>
      <c r="G1661" s="93">
        <v>5554.95</v>
      </c>
      <c r="H1661" s="93">
        <v>91944.71</v>
      </c>
      <c r="I1661" s="93">
        <v>2397.5457928860201</v>
      </c>
      <c r="J1661" s="93">
        <v>23290.69</v>
      </c>
      <c r="K1661" s="93">
        <v>175.68</v>
      </c>
      <c r="L1661" s="93">
        <v>32883.96</v>
      </c>
      <c r="M1661" s="93">
        <v>258886.74</v>
      </c>
      <c r="N1661" s="95">
        <v>0.02</v>
      </c>
      <c r="O1661" s="95">
        <v>0.41</v>
      </c>
      <c r="P1661" s="95">
        <v>0.46</v>
      </c>
      <c r="Q1661" s="95">
        <v>0.1</v>
      </c>
      <c r="R1661" s="96">
        <v>0</v>
      </c>
    </row>
    <row r="1662" spans="1:18" ht="15" hidden="1" customHeight="1" x14ac:dyDescent="0.3">
      <c r="A1662" s="89">
        <v>2022</v>
      </c>
      <c r="B1662" s="90">
        <v>9</v>
      </c>
      <c r="C1662" s="90" t="s">
        <v>730</v>
      </c>
      <c r="D1662" s="90" t="s">
        <v>719</v>
      </c>
      <c r="E1662" s="91" t="s">
        <v>11</v>
      </c>
      <c r="F1662" s="92" t="s">
        <v>37</v>
      </c>
      <c r="G1662" s="93">
        <v>27589.58</v>
      </c>
      <c r="H1662" s="93">
        <v>172340.78</v>
      </c>
      <c r="I1662" s="93">
        <v>2397.5457928860201</v>
      </c>
      <c r="J1662" s="93">
        <v>33249</v>
      </c>
      <c r="K1662" s="93">
        <v>1963.39</v>
      </c>
      <c r="L1662" s="93">
        <v>152415.79999999999</v>
      </c>
      <c r="M1662" s="93">
        <v>524074.32</v>
      </c>
      <c r="N1662" s="95">
        <v>7.0000000000000007E-2</v>
      </c>
      <c r="O1662" s="95">
        <v>0.46</v>
      </c>
      <c r="P1662" s="95">
        <v>0.37</v>
      </c>
      <c r="Q1662" s="95">
        <v>0.09</v>
      </c>
      <c r="R1662" s="96">
        <v>0.01</v>
      </c>
    </row>
    <row r="1663" spans="1:18" ht="15" hidden="1" customHeight="1" x14ac:dyDescent="0.3">
      <c r="A1663" s="89">
        <v>2022</v>
      </c>
      <c r="B1663" s="90">
        <v>9</v>
      </c>
      <c r="C1663" s="90" t="s">
        <v>730</v>
      </c>
      <c r="D1663" s="90" t="s">
        <v>719</v>
      </c>
      <c r="E1663" s="91" t="s">
        <v>11</v>
      </c>
      <c r="F1663" s="92" t="s">
        <v>38</v>
      </c>
      <c r="G1663" s="93">
        <v>82629.179999999993</v>
      </c>
      <c r="H1663" s="93">
        <v>272535.76</v>
      </c>
      <c r="I1663" s="93">
        <v>2397.5457928860201</v>
      </c>
      <c r="J1663" s="93">
        <v>51868.27</v>
      </c>
      <c r="K1663" s="93">
        <v>679.46</v>
      </c>
      <c r="L1663" s="93">
        <v>192275.82</v>
      </c>
      <c r="M1663" s="93">
        <v>927959.02</v>
      </c>
      <c r="N1663" s="95">
        <v>0.11</v>
      </c>
      <c r="O1663" s="95">
        <v>0.37</v>
      </c>
      <c r="P1663" s="95">
        <v>0.45</v>
      </c>
      <c r="Q1663" s="95">
        <v>7.0000000000000007E-2</v>
      </c>
      <c r="R1663" s="96">
        <v>0</v>
      </c>
    </row>
    <row r="1664" spans="1:18" ht="15" hidden="1" customHeight="1" x14ac:dyDescent="0.3">
      <c r="A1664" s="89">
        <v>2022</v>
      </c>
      <c r="B1664" s="90">
        <v>9</v>
      </c>
      <c r="C1664" s="90" t="s">
        <v>730</v>
      </c>
      <c r="D1664" s="90" t="s">
        <v>719</v>
      </c>
      <c r="E1664" s="91" t="s">
        <v>11</v>
      </c>
      <c r="F1664" s="92" t="s">
        <v>39</v>
      </c>
      <c r="G1664" s="93">
        <v>47559.57</v>
      </c>
      <c r="H1664" s="93">
        <v>135497.21</v>
      </c>
      <c r="I1664" s="93">
        <v>2397.5457928860201</v>
      </c>
      <c r="J1664" s="93">
        <v>17073.900000000001</v>
      </c>
      <c r="K1664" s="93">
        <v>126.87</v>
      </c>
      <c r="L1664" s="93">
        <v>45646.9</v>
      </c>
      <c r="M1664" s="93">
        <v>331195.63</v>
      </c>
      <c r="N1664" s="95">
        <v>0.17</v>
      </c>
      <c r="O1664" s="95">
        <v>0.47</v>
      </c>
      <c r="P1664" s="95">
        <v>0.3</v>
      </c>
      <c r="Q1664" s="95">
        <v>0.06</v>
      </c>
      <c r="R1664" s="96">
        <v>0</v>
      </c>
    </row>
    <row r="1665" spans="1:18" ht="15" hidden="1" customHeight="1" x14ac:dyDescent="0.3">
      <c r="A1665" s="89">
        <v>2022</v>
      </c>
      <c r="B1665" s="90">
        <v>9</v>
      </c>
      <c r="C1665" s="90" t="s">
        <v>730</v>
      </c>
      <c r="D1665" s="90" t="s">
        <v>719</v>
      </c>
      <c r="E1665" s="91" t="s">
        <v>11</v>
      </c>
      <c r="F1665" s="92" t="s">
        <v>41</v>
      </c>
      <c r="G1665" s="93">
        <v>4204.12</v>
      </c>
      <c r="H1665" s="93">
        <v>7427.5</v>
      </c>
      <c r="I1665" s="93">
        <v>2397.5457928860201</v>
      </c>
      <c r="J1665" s="93">
        <v>810.98</v>
      </c>
      <c r="K1665" s="93">
        <v>52.86</v>
      </c>
      <c r="L1665" s="93">
        <v>2565.4899999999998</v>
      </c>
      <c r="M1665" s="93">
        <v>18714.330000000002</v>
      </c>
      <c r="N1665" s="95">
        <v>0.26</v>
      </c>
      <c r="O1665" s="95">
        <v>0.46</v>
      </c>
      <c r="P1665" s="95">
        <v>0.23</v>
      </c>
      <c r="Q1665" s="95">
        <v>0.05</v>
      </c>
      <c r="R1665" s="96">
        <v>0</v>
      </c>
    </row>
    <row r="1666" spans="1:18" ht="15" hidden="1" customHeight="1" x14ac:dyDescent="0.3">
      <c r="A1666" s="89">
        <v>2022</v>
      </c>
      <c r="B1666" s="90">
        <v>9</v>
      </c>
      <c r="C1666" s="90" t="s">
        <v>730</v>
      </c>
      <c r="D1666" s="90" t="s">
        <v>719</v>
      </c>
      <c r="E1666" s="91" t="s">
        <v>11</v>
      </c>
      <c r="F1666" s="92" t="s">
        <v>42</v>
      </c>
      <c r="G1666" s="93">
        <v>8356.82</v>
      </c>
      <c r="H1666" s="93">
        <v>163574.71</v>
      </c>
      <c r="I1666" s="93">
        <v>2397.5457928860201</v>
      </c>
      <c r="J1666" s="93">
        <v>51898.28</v>
      </c>
      <c r="K1666" s="93">
        <v>5453.06</v>
      </c>
      <c r="L1666" s="93">
        <v>142789.38</v>
      </c>
      <c r="M1666" s="93">
        <v>620824.21</v>
      </c>
      <c r="N1666" s="95">
        <v>0.02</v>
      </c>
      <c r="O1666" s="95">
        <v>0.34</v>
      </c>
      <c r="P1666" s="95">
        <v>0.52</v>
      </c>
      <c r="Q1666" s="95">
        <v>0.11</v>
      </c>
      <c r="R1666" s="96">
        <v>0.01</v>
      </c>
    </row>
    <row r="1667" spans="1:18" ht="15" hidden="1" customHeight="1" x14ac:dyDescent="0.3">
      <c r="A1667" s="89">
        <v>2022</v>
      </c>
      <c r="B1667" s="90">
        <v>9</v>
      </c>
      <c r="C1667" s="90" t="s">
        <v>730</v>
      </c>
      <c r="D1667" s="90" t="s">
        <v>719</v>
      </c>
      <c r="E1667" s="91" t="s">
        <v>11</v>
      </c>
      <c r="F1667" s="92" t="s">
        <v>43</v>
      </c>
      <c r="G1667" s="93">
        <v>3155.73</v>
      </c>
      <c r="H1667" s="93">
        <v>19520.310000000001</v>
      </c>
      <c r="I1667" s="93">
        <v>2397.5457928860201</v>
      </c>
      <c r="J1667" s="93">
        <v>9172.81</v>
      </c>
      <c r="K1667" s="93">
        <v>1998.74</v>
      </c>
      <c r="L1667" s="93">
        <v>135194.23000000001</v>
      </c>
      <c r="M1667" s="93">
        <v>185575.52</v>
      </c>
      <c r="N1667" s="95">
        <v>0.06</v>
      </c>
      <c r="O1667" s="95">
        <v>0.39</v>
      </c>
      <c r="P1667" s="95">
        <v>0.33</v>
      </c>
      <c r="Q1667" s="95">
        <v>0.18</v>
      </c>
      <c r="R1667" s="96">
        <v>0.04</v>
      </c>
    </row>
    <row r="1668" spans="1:18" ht="15" hidden="1" customHeight="1" x14ac:dyDescent="0.3">
      <c r="A1668" s="89">
        <v>2022</v>
      </c>
      <c r="B1668" s="90">
        <v>9</v>
      </c>
      <c r="C1668" s="90" t="s">
        <v>730</v>
      </c>
      <c r="D1668" s="90" t="s">
        <v>719</v>
      </c>
      <c r="E1668" s="91" t="s">
        <v>11</v>
      </c>
      <c r="F1668" s="92" t="s">
        <v>58</v>
      </c>
      <c r="G1668" s="93">
        <v>11059.05</v>
      </c>
      <c r="H1668" s="93">
        <v>147101.53</v>
      </c>
      <c r="I1668" s="93">
        <v>2397.5457928860201</v>
      </c>
      <c r="J1668" s="93">
        <v>32222.14</v>
      </c>
      <c r="K1668" s="93">
        <v>873.15</v>
      </c>
      <c r="L1668" s="93">
        <v>4122.8500000000004</v>
      </c>
      <c r="M1668" s="93">
        <v>371477.13</v>
      </c>
      <c r="N1668" s="95">
        <v>0.03</v>
      </c>
      <c r="O1668" s="95">
        <v>0.4</v>
      </c>
      <c r="P1668" s="95">
        <v>0.48</v>
      </c>
      <c r="Q1668" s="95">
        <v>0.09</v>
      </c>
      <c r="R1668" s="96">
        <v>0</v>
      </c>
    </row>
    <row r="1669" spans="1:18" ht="15" hidden="1" customHeight="1" x14ac:dyDescent="0.3">
      <c r="A1669" s="89">
        <v>2022</v>
      </c>
      <c r="B1669" s="90">
        <v>9</v>
      </c>
      <c r="C1669" s="90" t="s">
        <v>730</v>
      </c>
      <c r="D1669" s="90" t="s">
        <v>719</v>
      </c>
      <c r="E1669" s="91" t="s">
        <v>11</v>
      </c>
      <c r="F1669" s="92" t="s">
        <v>44</v>
      </c>
      <c r="G1669" s="93">
        <v>5635.35</v>
      </c>
      <c r="H1669" s="93">
        <v>34488.65</v>
      </c>
      <c r="I1669" s="93">
        <v>2397.5457928860201</v>
      </c>
      <c r="J1669" s="93">
        <v>40321.230000000003</v>
      </c>
      <c r="K1669" s="93">
        <v>1792.93</v>
      </c>
      <c r="L1669" s="93">
        <v>44823.73</v>
      </c>
      <c r="M1669" s="93">
        <v>215729.36</v>
      </c>
      <c r="N1669" s="95">
        <v>0.03</v>
      </c>
      <c r="O1669" s="95">
        <v>0.2</v>
      </c>
      <c r="P1669" s="95">
        <v>0.52</v>
      </c>
      <c r="Q1669" s="95">
        <v>0.24</v>
      </c>
      <c r="R1669" s="96">
        <v>0.01</v>
      </c>
    </row>
    <row r="1670" spans="1:18" ht="15" hidden="1" customHeight="1" x14ac:dyDescent="0.3">
      <c r="A1670" s="89">
        <v>2022</v>
      </c>
      <c r="B1670" s="90">
        <v>9</v>
      </c>
      <c r="C1670" s="90" t="s">
        <v>730</v>
      </c>
      <c r="D1670" s="90" t="s">
        <v>719</v>
      </c>
      <c r="E1670" s="91" t="s">
        <v>11</v>
      </c>
      <c r="F1670" s="92" t="s">
        <v>51</v>
      </c>
      <c r="G1670" s="93">
        <v>790.44</v>
      </c>
      <c r="H1670" s="93">
        <v>23461.71</v>
      </c>
      <c r="I1670" s="93">
        <v>2397.5457928860201</v>
      </c>
      <c r="J1670" s="93">
        <v>49164.23</v>
      </c>
      <c r="K1670" s="93">
        <v>7739.12</v>
      </c>
      <c r="L1670" s="93">
        <v>2238.83</v>
      </c>
      <c r="M1670" s="93">
        <v>211202.48</v>
      </c>
      <c r="N1670" s="95">
        <v>0</v>
      </c>
      <c r="O1670" s="95">
        <v>0.11</v>
      </c>
      <c r="P1670" s="95">
        <v>0.61</v>
      </c>
      <c r="Q1670" s="95">
        <v>0.24</v>
      </c>
      <c r="R1670" s="96">
        <v>0.04</v>
      </c>
    </row>
    <row r="1671" spans="1:18" ht="15" hidden="1" customHeight="1" x14ac:dyDescent="0.3">
      <c r="A1671" s="89">
        <v>2022</v>
      </c>
      <c r="B1671" s="90">
        <v>9</v>
      </c>
      <c r="C1671" s="90" t="s">
        <v>730</v>
      </c>
      <c r="D1671" s="90" t="s">
        <v>719</v>
      </c>
      <c r="E1671" s="91" t="s">
        <v>11</v>
      </c>
      <c r="F1671" s="92" t="s">
        <v>45</v>
      </c>
      <c r="G1671" s="93">
        <v>8168.8</v>
      </c>
      <c r="H1671" s="93">
        <v>29327.15</v>
      </c>
      <c r="I1671" s="93">
        <v>2397.5457928860201</v>
      </c>
      <c r="J1671" s="93">
        <v>13826.09</v>
      </c>
      <c r="K1671" s="93">
        <v>2505.52</v>
      </c>
      <c r="L1671" s="93">
        <v>48799.37</v>
      </c>
      <c r="M1671" s="93">
        <v>134096.20000000001</v>
      </c>
      <c r="N1671" s="95">
        <v>0.1</v>
      </c>
      <c r="O1671" s="95">
        <v>0.34</v>
      </c>
      <c r="P1671" s="95">
        <v>0.37</v>
      </c>
      <c r="Q1671" s="95">
        <v>0.16</v>
      </c>
      <c r="R1671" s="96">
        <v>0.03</v>
      </c>
    </row>
    <row r="1672" spans="1:18" ht="15" hidden="1" customHeight="1" x14ac:dyDescent="0.3">
      <c r="A1672" s="89">
        <v>2022</v>
      </c>
      <c r="B1672" s="90">
        <v>9</v>
      </c>
      <c r="C1672" s="90" t="s">
        <v>730</v>
      </c>
      <c r="D1672" s="90" t="s">
        <v>719</v>
      </c>
      <c r="E1672" s="91" t="s">
        <v>11</v>
      </c>
      <c r="F1672" s="92" t="s">
        <v>721</v>
      </c>
      <c r="G1672" s="93">
        <v>17895.47</v>
      </c>
      <c r="H1672" s="93">
        <v>164569.85</v>
      </c>
      <c r="I1672" s="93">
        <v>2397.5457928860201</v>
      </c>
      <c r="J1672" s="93">
        <v>14041.61</v>
      </c>
      <c r="K1672" s="93">
        <v>851.54</v>
      </c>
      <c r="L1672" s="93">
        <v>519.35</v>
      </c>
      <c r="M1672" s="93">
        <v>309330.63</v>
      </c>
      <c r="N1672" s="95">
        <v>0.06</v>
      </c>
      <c r="O1672" s="95">
        <v>0.53</v>
      </c>
      <c r="P1672" s="95">
        <v>0.36</v>
      </c>
      <c r="Q1672" s="95">
        <v>0.05</v>
      </c>
      <c r="R1672" s="96">
        <v>0</v>
      </c>
    </row>
    <row r="1673" spans="1:18" ht="15" hidden="1" customHeight="1" x14ac:dyDescent="0.3">
      <c r="A1673" s="89">
        <v>2022</v>
      </c>
      <c r="B1673" s="90">
        <v>9</v>
      </c>
      <c r="C1673" s="90" t="s">
        <v>730</v>
      </c>
      <c r="D1673" s="90" t="s">
        <v>719</v>
      </c>
      <c r="E1673" s="91" t="s">
        <v>11</v>
      </c>
      <c r="F1673" s="92" t="s">
        <v>46</v>
      </c>
      <c r="G1673" s="93">
        <v>2878.54</v>
      </c>
      <c r="H1673" s="93">
        <v>49715.87</v>
      </c>
      <c r="I1673" s="93">
        <v>2397.5457928860201</v>
      </c>
      <c r="J1673" s="93">
        <v>26993.79</v>
      </c>
      <c r="K1673" s="93">
        <v>5510.28</v>
      </c>
      <c r="L1673" s="93">
        <v>1706.8</v>
      </c>
      <c r="M1673" s="93">
        <v>149074.81</v>
      </c>
      <c r="N1673" s="95">
        <v>0.02</v>
      </c>
      <c r="O1673" s="95">
        <v>0.34</v>
      </c>
      <c r="P1673" s="95">
        <v>0.42</v>
      </c>
      <c r="Q1673" s="95">
        <v>0.18</v>
      </c>
      <c r="R1673" s="96">
        <v>0.04</v>
      </c>
    </row>
    <row r="1674" spans="1:18" ht="15" hidden="1" customHeight="1" x14ac:dyDescent="0.3">
      <c r="A1674" s="89">
        <v>2022</v>
      </c>
      <c r="B1674" s="90">
        <v>9</v>
      </c>
      <c r="C1674" s="90" t="s">
        <v>730</v>
      </c>
      <c r="D1674" s="90" t="s">
        <v>719</v>
      </c>
      <c r="E1674" s="91" t="s">
        <v>11</v>
      </c>
      <c r="F1674" s="92" t="s">
        <v>47</v>
      </c>
      <c r="G1674" s="93">
        <v>10004.52</v>
      </c>
      <c r="H1674" s="93">
        <v>76226.23</v>
      </c>
      <c r="I1674" s="93">
        <v>2397.5457928860201</v>
      </c>
      <c r="J1674" s="93">
        <v>521683.08</v>
      </c>
      <c r="K1674" s="93">
        <v>328166.02</v>
      </c>
      <c r="L1674" s="93">
        <v>191168.2</v>
      </c>
      <c r="M1674" s="93">
        <v>1461770.89</v>
      </c>
      <c r="N1674" s="95">
        <v>0.01</v>
      </c>
      <c r="O1674" s="95">
        <v>0.06</v>
      </c>
      <c r="P1674" s="95">
        <v>0.26</v>
      </c>
      <c r="Q1674" s="95">
        <v>0.41</v>
      </c>
      <c r="R1674" s="96">
        <v>0.26</v>
      </c>
    </row>
    <row r="1675" spans="1:18" ht="15" hidden="1" customHeight="1" x14ac:dyDescent="0.3">
      <c r="A1675" s="89">
        <v>2022</v>
      </c>
      <c r="B1675" s="90">
        <v>9</v>
      </c>
      <c r="C1675" s="90" t="s">
        <v>730</v>
      </c>
      <c r="D1675" s="90" t="s">
        <v>719</v>
      </c>
      <c r="E1675" s="91" t="s">
        <v>11</v>
      </c>
      <c r="F1675" s="92" t="s">
        <v>48</v>
      </c>
      <c r="G1675" s="93">
        <v>4027.44</v>
      </c>
      <c r="H1675" s="93">
        <v>26001.83</v>
      </c>
      <c r="I1675" s="93">
        <v>2397.5457928860201</v>
      </c>
      <c r="J1675" s="93">
        <v>18926.36</v>
      </c>
      <c r="K1675" s="93">
        <v>1159.29</v>
      </c>
      <c r="L1675" s="93">
        <v>8492.26</v>
      </c>
      <c r="M1675" s="93">
        <v>110314.47</v>
      </c>
      <c r="N1675" s="95">
        <v>0.04</v>
      </c>
      <c r="O1675" s="95">
        <v>0.26</v>
      </c>
      <c r="P1675" s="95">
        <v>0.51</v>
      </c>
      <c r="Q1675" s="95">
        <v>0.19</v>
      </c>
      <c r="R1675" s="96">
        <v>0.01</v>
      </c>
    </row>
    <row r="1676" spans="1:18" ht="15" hidden="1" customHeight="1" x14ac:dyDescent="0.3">
      <c r="A1676" s="89">
        <v>2022</v>
      </c>
      <c r="B1676" s="90">
        <v>9</v>
      </c>
      <c r="C1676" s="90" t="s">
        <v>730</v>
      </c>
      <c r="D1676" s="90" t="s">
        <v>719</v>
      </c>
      <c r="E1676" s="91" t="s">
        <v>11</v>
      </c>
      <c r="F1676" s="92" t="s">
        <v>40</v>
      </c>
      <c r="G1676" s="93">
        <v>24655.24</v>
      </c>
      <c r="H1676" s="93">
        <v>186432.98</v>
      </c>
      <c r="I1676" s="93">
        <v>2397.5457928860201</v>
      </c>
      <c r="J1676" s="93">
        <v>8783.75</v>
      </c>
      <c r="K1676" s="93">
        <v>125.47</v>
      </c>
      <c r="L1676" s="93">
        <v>5103</v>
      </c>
      <c r="M1676" s="93">
        <v>326305.03999999998</v>
      </c>
      <c r="N1676" s="95">
        <v>0.08</v>
      </c>
      <c r="O1676" s="95">
        <v>0.57999999999999996</v>
      </c>
      <c r="P1676" s="95">
        <v>0.32</v>
      </c>
      <c r="Q1676" s="95">
        <v>0.03</v>
      </c>
      <c r="R1676" s="96">
        <v>0</v>
      </c>
    </row>
    <row r="1677" spans="1:18" ht="15" hidden="1" customHeight="1" x14ac:dyDescent="0.3">
      <c r="A1677" s="89">
        <v>2022</v>
      </c>
      <c r="B1677" s="90">
        <v>9</v>
      </c>
      <c r="C1677" s="90" t="s">
        <v>730</v>
      </c>
      <c r="D1677" s="90" t="s">
        <v>722</v>
      </c>
      <c r="E1677" s="91" t="s">
        <v>11</v>
      </c>
      <c r="F1677" s="92" t="s">
        <v>26</v>
      </c>
      <c r="G1677" s="93">
        <v>76674.64</v>
      </c>
      <c r="H1677" s="93">
        <v>400415.08</v>
      </c>
      <c r="I1677" s="93">
        <v>2397.5457928860201</v>
      </c>
      <c r="J1677" s="93">
        <v>21350.01</v>
      </c>
      <c r="K1677" s="93">
        <v>1108.78</v>
      </c>
      <c r="L1677" s="93">
        <v>260507.79</v>
      </c>
      <c r="M1677" s="93">
        <v>1302393.77</v>
      </c>
      <c r="N1677" s="95">
        <v>7.0000000000000007E-2</v>
      </c>
      <c r="O1677" s="95">
        <v>0.38</v>
      </c>
      <c r="P1677" s="95">
        <v>0.52</v>
      </c>
      <c r="Q1677" s="95">
        <v>0.02</v>
      </c>
      <c r="R1677" s="96">
        <v>0</v>
      </c>
    </row>
    <row r="1678" spans="1:18" ht="15" hidden="1" customHeight="1" x14ac:dyDescent="0.3">
      <c r="A1678" s="89">
        <v>2022</v>
      </c>
      <c r="B1678" s="90">
        <v>9</v>
      </c>
      <c r="C1678" s="90" t="s">
        <v>730</v>
      </c>
      <c r="D1678" s="90" t="s">
        <v>722</v>
      </c>
      <c r="E1678" s="91" t="s">
        <v>11</v>
      </c>
      <c r="F1678" s="92" t="s">
        <v>12</v>
      </c>
      <c r="G1678" s="93">
        <v>16332.91</v>
      </c>
      <c r="H1678" s="93">
        <v>210707.96</v>
      </c>
      <c r="I1678" s="93">
        <v>2397.5457928860201</v>
      </c>
      <c r="J1678" s="93">
        <v>6100.53</v>
      </c>
      <c r="K1678" s="93">
        <v>139.91</v>
      </c>
      <c r="L1678" s="93">
        <v>54712.94</v>
      </c>
      <c r="M1678" s="93">
        <v>433311.44</v>
      </c>
      <c r="N1678" s="95">
        <v>0.04</v>
      </c>
      <c r="O1678" s="95">
        <v>0.56000000000000005</v>
      </c>
      <c r="P1678" s="95">
        <v>0.38</v>
      </c>
      <c r="Q1678" s="95">
        <v>0.02</v>
      </c>
      <c r="R1678" s="96">
        <v>0</v>
      </c>
    </row>
    <row r="1679" spans="1:18" ht="15" hidden="1" customHeight="1" x14ac:dyDescent="0.3">
      <c r="A1679" s="89">
        <v>2022</v>
      </c>
      <c r="B1679" s="90">
        <v>9</v>
      </c>
      <c r="C1679" s="90" t="s">
        <v>730</v>
      </c>
      <c r="D1679" s="90" t="s">
        <v>722</v>
      </c>
      <c r="E1679" s="91" t="s">
        <v>11</v>
      </c>
      <c r="F1679" s="92" t="s">
        <v>27</v>
      </c>
      <c r="G1679" s="93">
        <v>6757.85</v>
      </c>
      <c r="H1679" s="93">
        <v>120290.13</v>
      </c>
      <c r="I1679" s="93">
        <v>2397.5457928860201</v>
      </c>
      <c r="J1679" s="93">
        <v>9755.16</v>
      </c>
      <c r="K1679" s="93">
        <v>1012.52</v>
      </c>
      <c r="L1679" s="93">
        <v>9772.56</v>
      </c>
      <c r="M1679" s="93">
        <v>226689.38</v>
      </c>
      <c r="N1679" s="95">
        <v>0.03</v>
      </c>
      <c r="O1679" s="95">
        <v>0.55000000000000004</v>
      </c>
      <c r="P1679" s="95">
        <v>0.36</v>
      </c>
      <c r="Q1679" s="95">
        <v>0.04</v>
      </c>
      <c r="R1679" s="96">
        <v>0</v>
      </c>
    </row>
    <row r="1680" spans="1:18" ht="15" hidden="1" customHeight="1" x14ac:dyDescent="0.3">
      <c r="A1680" s="89">
        <v>2022</v>
      </c>
      <c r="B1680" s="90">
        <v>9</v>
      </c>
      <c r="C1680" s="90" t="s">
        <v>730</v>
      </c>
      <c r="D1680" s="90" t="s">
        <v>722</v>
      </c>
      <c r="E1680" s="91" t="s">
        <v>11</v>
      </c>
      <c r="F1680" s="92" t="s">
        <v>28</v>
      </c>
      <c r="G1680" s="93">
        <v>10101.16</v>
      </c>
      <c r="H1680" s="93">
        <v>184228.62</v>
      </c>
      <c r="I1680" s="93">
        <v>2397.5457928860201</v>
      </c>
      <c r="J1680" s="93">
        <v>5253.58</v>
      </c>
      <c r="K1680" s="93">
        <v>208.96</v>
      </c>
      <c r="L1680" s="93">
        <v>3496.35</v>
      </c>
      <c r="M1680" s="93">
        <v>373104.4</v>
      </c>
      <c r="N1680" s="95">
        <v>0.03</v>
      </c>
      <c r="O1680" s="95">
        <v>0.5</v>
      </c>
      <c r="P1680" s="95">
        <v>0.46</v>
      </c>
      <c r="Q1680" s="95">
        <v>0.01</v>
      </c>
      <c r="R1680" s="96">
        <v>0</v>
      </c>
    </row>
    <row r="1681" spans="1:18" ht="15" customHeight="1" x14ac:dyDescent="0.3">
      <c r="A1681" s="89">
        <v>2022</v>
      </c>
      <c r="B1681" s="90">
        <v>9</v>
      </c>
      <c r="C1681" s="90" t="s">
        <v>730</v>
      </c>
      <c r="D1681" s="90" t="s">
        <v>722</v>
      </c>
      <c r="E1681" s="91" t="s">
        <v>11</v>
      </c>
      <c r="F1681" s="92" t="s">
        <v>29</v>
      </c>
      <c r="G1681" s="93">
        <v>18397.62</v>
      </c>
      <c r="H1681" s="93">
        <v>93083.88</v>
      </c>
      <c r="I1681" s="93">
        <v>2397.5457928860201</v>
      </c>
      <c r="J1681" s="93">
        <v>33439.85</v>
      </c>
      <c r="K1681" s="93">
        <v>2740.91</v>
      </c>
      <c r="L1681" s="93">
        <v>92702.02</v>
      </c>
      <c r="M1681" s="93">
        <v>354391.76</v>
      </c>
      <c r="N1681" s="95">
        <v>7.0000000000000007E-2</v>
      </c>
      <c r="O1681" s="95">
        <v>0.36</v>
      </c>
      <c r="P1681" s="95">
        <v>0.44</v>
      </c>
      <c r="Q1681" s="95">
        <v>0.13</v>
      </c>
      <c r="R1681" s="96">
        <v>0.01</v>
      </c>
    </row>
    <row r="1682" spans="1:18" ht="15" hidden="1" customHeight="1" x14ac:dyDescent="0.3">
      <c r="A1682" s="89">
        <v>2022</v>
      </c>
      <c r="B1682" s="90">
        <v>9</v>
      </c>
      <c r="C1682" s="90" t="s">
        <v>730</v>
      </c>
      <c r="D1682" s="90" t="s">
        <v>722</v>
      </c>
      <c r="E1682" s="91" t="s">
        <v>11</v>
      </c>
      <c r="F1682" s="92" t="s">
        <v>30</v>
      </c>
      <c r="G1682" s="93">
        <v>1993.65</v>
      </c>
      <c r="H1682" s="93">
        <v>8291.75</v>
      </c>
      <c r="I1682" s="93">
        <v>2397.5457928860201</v>
      </c>
      <c r="J1682" s="93">
        <v>1085.69</v>
      </c>
      <c r="K1682" s="93">
        <v>175.19</v>
      </c>
      <c r="L1682" s="93">
        <v>215742.41</v>
      </c>
      <c r="M1682" s="93">
        <v>230086.24</v>
      </c>
      <c r="N1682" s="95">
        <v>0.14000000000000001</v>
      </c>
      <c r="O1682" s="95">
        <v>0.57999999999999996</v>
      </c>
      <c r="P1682" s="95">
        <v>0.2</v>
      </c>
      <c r="Q1682" s="95">
        <v>0.08</v>
      </c>
      <c r="R1682" s="96">
        <v>0.01</v>
      </c>
    </row>
    <row r="1683" spans="1:18" ht="15" hidden="1" customHeight="1" x14ac:dyDescent="0.3">
      <c r="A1683" s="89">
        <v>2022</v>
      </c>
      <c r="B1683" s="90">
        <v>9</v>
      </c>
      <c r="C1683" s="90" t="s">
        <v>730</v>
      </c>
      <c r="D1683" s="90" t="s">
        <v>722</v>
      </c>
      <c r="E1683" s="91" t="s">
        <v>11</v>
      </c>
      <c r="F1683" s="92" t="s">
        <v>31</v>
      </c>
      <c r="G1683" s="93">
        <v>5936.16</v>
      </c>
      <c r="H1683" s="93">
        <v>87686.63</v>
      </c>
      <c r="I1683" s="93">
        <v>2397.5457928860201</v>
      </c>
      <c r="J1683" s="93">
        <v>21751.94</v>
      </c>
      <c r="K1683" s="93">
        <v>4699.82</v>
      </c>
      <c r="L1683" s="93">
        <v>53262.18</v>
      </c>
      <c r="M1683" s="93">
        <v>251948.86</v>
      </c>
      <c r="N1683" s="95">
        <v>0.03</v>
      </c>
      <c r="O1683" s="95">
        <v>0.44</v>
      </c>
      <c r="P1683" s="95">
        <v>0.4</v>
      </c>
      <c r="Q1683" s="95">
        <v>0.11</v>
      </c>
      <c r="R1683" s="96">
        <v>0.02</v>
      </c>
    </row>
    <row r="1684" spans="1:18" ht="15" hidden="1" customHeight="1" x14ac:dyDescent="0.3">
      <c r="A1684" s="89">
        <v>2022</v>
      </c>
      <c r="B1684" s="90">
        <v>9</v>
      </c>
      <c r="C1684" s="90" t="s">
        <v>730</v>
      </c>
      <c r="D1684" s="90" t="s">
        <v>722</v>
      </c>
      <c r="E1684" s="91" t="s">
        <v>11</v>
      </c>
      <c r="F1684" s="92" t="s">
        <v>32</v>
      </c>
      <c r="G1684" s="93">
        <v>12584.06</v>
      </c>
      <c r="H1684" s="93">
        <v>176602.83</v>
      </c>
      <c r="I1684" s="93">
        <v>2397.5457928860201</v>
      </c>
      <c r="J1684" s="93">
        <v>107415.66</v>
      </c>
      <c r="K1684" s="93">
        <v>6047</v>
      </c>
      <c r="L1684" s="93">
        <v>35234.97</v>
      </c>
      <c r="M1684" s="93">
        <v>609521.87</v>
      </c>
      <c r="N1684" s="95">
        <v>0.02</v>
      </c>
      <c r="O1684" s="95">
        <v>0.31</v>
      </c>
      <c r="P1684" s="95">
        <v>0.47</v>
      </c>
      <c r="Q1684" s="95">
        <v>0.19</v>
      </c>
      <c r="R1684" s="96">
        <v>0.01</v>
      </c>
    </row>
    <row r="1685" spans="1:18" ht="15" hidden="1" customHeight="1" x14ac:dyDescent="0.3">
      <c r="A1685" s="89">
        <v>2022</v>
      </c>
      <c r="B1685" s="90">
        <v>9</v>
      </c>
      <c r="C1685" s="90" t="s">
        <v>730</v>
      </c>
      <c r="D1685" s="90" t="s">
        <v>722</v>
      </c>
      <c r="E1685" s="91" t="s">
        <v>11</v>
      </c>
      <c r="F1685" s="92" t="s">
        <v>33</v>
      </c>
      <c r="G1685" s="93">
        <v>41288.239999999998</v>
      </c>
      <c r="H1685" s="93">
        <v>538064.18999999994</v>
      </c>
      <c r="I1685" s="93">
        <v>2397.5457928860201</v>
      </c>
      <c r="J1685" s="93">
        <v>27878.51</v>
      </c>
      <c r="K1685" s="93">
        <v>1125.52</v>
      </c>
      <c r="L1685" s="93">
        <v>34750.78</v>
      </c>
      <c r="M1685" s="93">
        <v>1352055.51</v>
      </c>
      <c r="N1685" s="95">
        <v>0.03</v>
      </c>
      <c r="O1685" s="95">
        <v>0.41</v>
      </c>
      <c r="P1685" s="95">
        <v>0.54</v>
      </c>
      <c r="Q1685" s="95">
        <v>0.02</v>
      </c>
      <c r="R1685" s="96">
        <v>0</v>
      </c>
    </row>
    <row r="1686" spans="1:18" ht="15" hidden="1" customHeight="1" x14ac:dyDescent="0.3">
      <c r="A1686" s="89">
        <v>2022</v>
      </c>
      <c r="B1686" s="90">
        <v>9</v>
      </c>
      <c r="C1686" s="90" t="s">
        <v>730</v>
      </c>
      <c r="D1686" s="90" t="s">
        <v>722</v>
      </c>
      <c r="E1686" s="91" t="s">
        <v>11</v>
      </c>
      <c r="F1686" s="92" t="s">
        <v>34</v>
      </c>
      <c r="G1686" s="93">
        <v>35416.35</v>
      </c>
      <c r="H1686" s="93">
        <v>383540.13</v>
      </c>
      <c r="I1686" s="93">
        <v>2397.5457928860201</v>
      </c>
      <c r="J1686" s="93">
        <v>13570.23</v>
      </c>
      <c r="K1686" s="93">
        <v>788.24</v>
      </c>
      <c r="L1686" s="93">
        <v>72624.210000000006</v>
      </c>
      <c r="M1686" s="93">
        <v>713628.98</v>
      </c>
      <c r="N1686" s="95">
        <v>0.06</v>
      </c>
      <c r="O1686" s="95">
        <v>0.6</v>
      </c>
      <c r="P1686" s="95">
        <v>0.32</v>
      </c>
      <c r="Q1686" s="95">
        <v>0.02</v>
      </c>
      <c r="R1686" s="96">
        <v>0</v>
      </c>
    </row>
    <row r="1687" spans="1:18" ht="15" hidden="1" customHeight="1" x14ac:dyDescent="0.3">
      <c r="A1687" s="89">
        <v>2022</v>
      </c>
      <c r="B1687" s="90">
        <v>9</v>
      </c>
      <c r="C1687" s="90" t="s">
        <v>730</v>
      </c>
      <c r="D1687" s="90" t="s">
        <v>722</v>
      </c>
      <c r="E1687" s="91" t="s">
        <v>11</v>
      </c>
      <c r="F1687" s="92" t="s">
        <v>35</v>
      </c>
      <c r="G1687" s="93">
        <v>33621.089999999997</v>
      </c>
      <c r="H1687" s="93">
        <v>208705.89</v>
      </c>
      <c r="I1687" s="93">
        <v>2397.5457928860201</v>
      </c>
      <c r="J1687" s="93">
        <v>10422.549999999999</v>
      </c>
      <c r="K1687" s="93">
        <v>725.41</v>
      </c>
      <c r="L1687" s="93">
        <v>248122.86</v>
      </c>
      <c r="M1687" s="93">
        <v>605861.19999999995</v>
      </c>
      <c r="N1687" s="95">
        <v>0.09</v>
      </c>
      <c r="O1687" s="95">
        <v>0.57999999999999996</v>
      </c>
      <c r="P1687" s="95">
        <v>0.28999999999999998</v>
      </c>
      <c r="Q1687" s="95">
        <v>0.03</v>
      </c>
      <c r="R1687" s="96">
        <v>0</v>
      </c>
    </row>
    <row r="1688" spans="1:18" ht="15" hidden="1" customHeight="1" x14ac:dyDescent="0.3">
      <c r="A1688" s="89">
        <v>2022</v>
      </c>
      <c r="B1688" s="90">
        <v>9</v>
      </c>
      <c r="C1688" s="90" t="s">
        <v>730</v>
      </c>
      <c r="D1688" s="90" t="s">
        <v>722</v>
      </c>
      <c r="E1688" s="91" t="s">
        <v>11</v>
      </c>
      <c r="F1688" s="92" t="s">
        <v>36</v>
      </c>
      <c r="G1688" s="93">
        <v>7113.94</v>
      </c>
      <c r="H1688" s="93">
        <v>109934.32</v>
      </c>
      <c r="I1688" s="93">
        <v>2397.5457928860201</v>
      </c>
      <c r="J1688" s="93">
        <v>12841.26</v>
      </c>
      <c r="K1688" s="93">
        <v>28.35</v>
      </c>
      <c r="L1688" s="93">
        <v>34341.19</v>
      </c>
      <c r="M1688" s="93">
        <v>258886.74</v>
      </c>
      <c r="N1688" s="95">
        <v>0.03</v>
      </c>
      <c r="O1688" s="95">
        <v>0.49</v>
      </c>
      <c r="P1688" s="95">
        <v>0.42</v>
      </c>
      <c r="Q1688" s="95">
        <v>0.06</v>
      </c>
      <c r="R1688" s="96">
        <v>0</v>
      </c>
    </row>
    <row r="1689" spans="1:18" ht="15" hidden="1" customHeight="1" x14ac:dyDescent="0.3">
      <c r="A1689" s="89">
        <v>2022</v>
      </c>
      <c r="B1689" s="90">
        <v>9</v>
      </c>
      <c r="C1689" s="90" t="s">
        <v>730</v>
      </c>
      <c r="D1689" s="90" t="s">
        <v>722</v>
      </c>
      <c r="E1689" s="91" t="s">
        <v>11</v>
      </c>
      <c r="F1689" s="92" t="s">
        <v>37</v>
      </c>
      <c r="G1689" s="93">
        <v>10850.41</v>
      </c>
      <c r="H1689" s="93">
        <v>135694.85</v>
      </c>
      <c r="I1689" s="93">
        <v>2397.5457928860201</v>
      </c>
      <c r="J1689" s="93">
        <v>46777.54</v>
      </c>
      <c r="K1689" s="93">
        <v>2101.75</v>
      </c>
      <c r="L1689" s="93">
        <v>158759.91</v>
      </c>
      <c r="M1689" s="93">
        <v>524074.32</v>
      </c>
      <c r="N1689" s="95">
        <v>0.03</v>
      </c>
      <c r="O1689" s="95">
        <v>0.37</v>
      </c>
      <c r="P1689" s="95">
        <v>0.47</v>
      </c>
      <c r="Q1689" s="95">
        <v>0.13</v>
      </c>
      <c r="R1689" s="96">
        <v>0.01</v>
      </c>
    </row>
    <row r="1690" spans="1:18" ht="15" hidden="1" customHeight="1" x14ac:dyDescent="0.3">
      <c r="A1690" s="89">
        <v>2022</v>
      </c>
      <c r="B1690" s="90">
        <v>9</v>
      </c>
      <c r="C1690" s="90" t="s">
        <v>730</v>
      </c>
      <c r="D1690" s="90" t="s">
        <v>722</v>
      </c>
      <c r="E1690" s="91" t="s">
        <v>11</v>
      </c>
      <c r="F1690" s="92" t="s">
        <v>720</v>
      </c>
      <c r="G1690" s="93">
        <v>69744.990000000005</v>
      </c>
      <c r="H1690" s="93">
        <v>343038.62</v>
      </c>
      <c r="I1690" s="93">
        <v>2397.5457928860201</v>
      </c>
      <c r="J1690" s="93">
        <v>15657.75</v>
      </c>
      <c r="K1690" s="93">
        <v>401.02</v>
      </c>
      <c r="L1690" s="93">
        <v>188205.26</v>
      </c>
      <c r="M1690" s="93">
        <v>927959.02</v>
      </c>
      <c r="N1690" s="95">
        <v>0.09</v>
      </c>
      <c r="O1690" s="95">
        <v>0.46</v>
      </c>
      <c r="P1690" s="95">
        <v>0.42</v>
      </c>
      <c r="Q1690" s="95">
        <v>0.02</v>
      </c>
      <c r="R1690" s="96">
        <v>0</v>
      </c>
    </row>
    <row r="1691" spans="1:18" ht="15" hidden="1" customHeight="1" x14ac:dyDescent="0.3">
      <c r="A1691" s="89">
        <v>2022</v>
      </c>
      <c r="B1691" s="90">
        <v>9</v>
      </c>
      <c r="C1691" s="90" t="s">
        <v>730</v>
      </c>
      <c r="D1691" s="90" t="s">
        <v>722</v>
      </c>
      <c r="E1691" s="91" t="s">
        <v>11</v>
      </c>
      <c r="F1691" s="92" t="s">
        <v>39</v>
      </c>
      <c r="G1691" s="93">
        <v>14828.45</v>
      </c>
      <c r="H1691" s="93">
        <v>138542.04999999999</v>
      </c>
      <c r="I1691" s="93">
        <v>2397.5457928860201</v>
      </c>
      <c r="J1691" s="93">
        <v>32469.279999999999</v>
      </c>
      <c r="K1691" s="93">
        <v>261.54000000000002</v>
      </c>
      <c r="L1691" s="93">
        <v>17559.97</v>
      </c>
      <c r="M1691" s="93">
        <v>331195.63</v>
      </c>
      <c r="N1691" s="95">
        <v>0.05</v>
      </c>
      <c r="O1691" s="95">
        <v>0.44</v>
      </c>
      <c r="P1691" s="95">
        <v>0.41</v>
      </c>
      <c r="Q1691" s="95">
        <v>0.1</v>
      </c>
      <c r="R1691" s="96">
        <v>0</v>
      </c>
    </row>
    <row r="1692" spans="1:18" ht="15" hidden="1" customHeight="1" x14ac:dyDescent="0.3">
      <c r="A1692" s="89">
        <v>2022</v>
      </c>
      <c r="B1692" s="90">
        <v>9</v>
      </c>
      <c r="C1692" s="90" t="s">
        <v>730</v>
      </c>
      <c r="D1692" s="90" t="s">
        <v>722</v>
      </c>
      <c r="E1692" s="91" t="s">
        <v>11</v>
      </c>
      <c r="F1692" s="92" t="s">
        <v>41</v>
      </c>
      <c r="G1692" s="93">
        <v>6366.46</v>
      </c>
      <c r="H1692" s="93">
        <v>5622.57</v>
      </c>
      <c r="I1692" s="93">
        <v>2397.5457928860201</v>
      </c>
      <c r="J1692" s="93">
        <v>373.01</v>
      </c>
      <c r="K1692" s="93">
        <v>42.36</v>
      </c>
      <c r="L1692" s="93">
        <v>3941.3</v>
      </c>
      <c r="M1692" s="93">
        <v>18714.330000000002</v>
      </c>
      <c r="N1692" s="95">
        <v>0.43</v>
      </c>
      <c r="O1692" s="95">
        <v>0.38</v>
      </c>
      <c r="P1692" s="95">
        <v>0.16</v>
      </c>
      <c r="Q1692" s="95">
        <v>0.03</v>
      </c>
      <c r="R1692" s="96">
        <v>0</v>
      </c>
    </row>
    <row r="1693" spans="1:18" ht="15" hidden="1" customHeight="1" x14ac:dyDescent="0.3">
      <c r="A1693" s="89">
        <v>2022</v>
      </c>
      <c r="B1693" s="90">
        <v>9</v>
      </c>
      <c r="C1693" s="90" t="s">
        <v>730</v>
      </c>
      <c r="D1693" s="90" t="s">
        <v>722</v>
      </c>
      <c r="E1693" s="91" t="s">
        <v>11</v>
      </c>
      <c r="F1693" s="92" t="s">
        <v>42</v>
      </c>
      <c r="G1693" s="93">
        <v>6313.01</v>
      </c>
      <c r="H1693" s="93">
        <v>148139.66</v>
      </c>
      <c r="I1693" s="93">
        <v>2397.5457928860201</v>
      </c>
      <c r="J1693" s="93">
        <v>46245.06</v>
      </c>
      <c r="K1693" s="93">
        <v>3405.36</v>
      </c>
      <c r="L1693" s="93">
        <v>158961.32999999999</v>
      </c>
      <c r="M1693" s="93">
        <v>620824.21</v>
      </c>
      <c r="N1693" s="95">
        <v>0.01</v>
      </c>
      <c r="O1693" s="95">
        <v>0.32</v>
      </c>
      <c r="P1693" s="95">
        <v>0.56000000000000005</v>
      </c>
      <c r="Q1693" s="95">
        <v>0.1</v>
      </c>
      <c r="R1693" s="96">
        <v>0.01</v>
      </c>
    </row>
    <row r="1694" spans="1:18" ht="15" hidden="1" customHeight="1" x14ac:dyDescent="0.3">
      <c r="A1694" s="89">
        <v>2022</v>
      </c>
      <c r="B1694" s="90">
        <v>9</v>
      </c>
      <c r="C1694" s="90" t="s">
        <v>730</v>
      </c>
      <c r="D1694" s="90" t="s">
        <v>722</v>
      </c>
      <c r="E1694" s="91" t="s">
        <v>11</v>
      </c>
      <c r="F1694" s="92" t="s">
        <v>43</v>
      </c>
      <c r="G1694" s="93">
        <v>4397.57</v>
      </c>
      <c r="H1694" s="93">
        <v>23212.65</v>
      </c>
      <c r="I1694" s="93">
        <v>2397.5457928860201</v>
      </c>
      <c r="J1694" s="93">
        <v>9047.6299999999992</v>
      </c>
      <c r="K1694" s="93">
        <v>1974.24</v>
      </c>
      <c r="L1694" s="93">
        <v>130763.75</v>
      </c>
      <c r="M1694" s="93">
        <v>185575.52</v>
      </c>
      <c r="N1694" s="95">
        <v>0.08</v>
      </c>
      <c r="O1694" s="95">
        <v>0.42</v>
      </c>
      <c r="P1694" s="95">
        <v>0.3</v>
      </c>
      <c r="Q1694" s="95">
        <v>0.17</v>
      </c>
      <c r="R1694" s="96">
        <v>0.04</v>
      </c>
    </row>
    <row r="1695" spans="1:18" ht="15" hidden="1" customHeight="1" x14ac:dyDescent="0.3">
      <c r="A1695" s="89">
        <v>2022</v>
      </c>
      <c r="B1695" s="90">
        <v>9</v>
      </c>
      <c r="C1695" s="90" t="s">
        <v>730</v>
      </c>
      <c r="D1695" s="90" t="s">
        <v>722</v>
      </c>
      <c r="E1695" s="91" t="s">
        <v>11</v>
      </c>
      <c r="F1695" s="92" t="s">
        <v>58</v>
      </c>
      <c r="G1695" s="93">
        <v>8377.0400000000009</v>
      </c>
      <c r="H1695" s="93">
        <v>209003.24</v>
      </c>
      <c r="I1695" s="93">
        <v>2397.5457928860201</v>
      </c>
      <c r="J1695" s="93">
        <v>4817.4399999999996</v>
      </c>
      <c r="K1695" s="93">
        <v>28.01</v>
      </c>
      <c r="L1695" s="93">
        <v>4101.9399999999996</v>
      </c>
      <c r="M1695" s="93">
        <v>371477.13</v>
      </c>
      <c r="N1695" s="95">
        <v>0.02</v>
      </c>
      <c r="O1695" s="95">
        <v>0.56999999999999995</v>
      </c>
      <c r="P1695" s="95">
        <v>0.4</v>
      </c>
      <c r="Q1695" s="95">
        <v>0.01</v>
      </c>
      <c r="R1695" s="96">
        <v>0</v>
      </c>
    </row>
    <row r="1696" spans="1:18" ht="15" hidden="1" customHeight="1" x14ac:dyDescent="0.3">
      <c r="A1696" s="89">
        <v>2022</v>
      </c>
      <c r="B1696" s="90">
        <v>9</v>
      </c>
      <c r="C1696" s="90" t="s">
        <v>730</v>
      </c>
      <c r="D1696" s="90" t="s">
        <v>722</v>
      </c>
      <c r="E1696" s="91" t="s">
        <v>11</v>
      </c>
      <c r="F1696" s="92" t="s">
        <v>44</v>
      </c>
      <c r="G1696" s="93">
        <v>5600.01</v>
      </c>
      <c r="H1696" s="93">
        <v>32756.09</v>
      </c>
      <c r="I1696" s="93">
        <v>2397.5457928860201</v>
      </c>
      <c r="J1696" s="93">
        <v>40501.120000000003</v>
      </c>
      <c r="K1696" s="93">
        <v>1845.01</v>
      </c>
      <c r="L1696" s="93">
        <v>43044.38</v>
      </c>
      <c r="M1696" s="93">
        <v>215729.36</v>
      </c>
      <c r="N1696" s="95">
        <v>0.03</v>
      </c>
      <c r="O1696" s="95">
        <v>0.19</v>
      </c>
      <c r="P1696" s="95">
        <v>0.53</v>
      </c>
      <c r="Q1696" s="95">
        <v>0.23</v>
      </c>
      <c r="R1696" s="96">
        <v>0.01</v>
      </c>
    </row>
    <row r="1697" spans="1:18" ht="15" hidden="1" customHeight="1" x14ac:dyDescent="0.3">
      <c r="A1697" s="89">
        <v>2022</v>
      </c>
      <c r="B1697" s="90">
        <v>9</v>
      </c>
      <c r="C1697" s="90" t="s">
        <v>730</v>
      </c>
      <c r="D1697" s="90" t="s">
        <v>722</v>
      </c>
      <c r="E1697" s="91" t="s">
        <v>11</v>
      </c>
      <c r="F1697" s="92" t="s">
        <v>51</v>
      </c>
      <c r="G1697" s="93">
        <v>1502.88</v>
      </c>
      <c r="H1697" s="93">
        <v>33016.269999999997</v>
      </c>
      <c r="I1697" s="93">
        <v>2397.5457928860201</v>
      </c>
      <c r="J1697" s="93">
        <v>26130.400000000001</v>
      </c>
      <c r="K1697" s="93">
        <v>2214.2800000000002</v>
      </c>
      <c r="L1697" s="93">
        <v>3351.29</v>
      </c>
      <c r="M1697" s="93">
        <v>211202.48</v>
      </c>
      <c r="N1697" s="95">
        <v>0.01</v>
      </c>
      <c r="O1697" s="95">
        <v>0.16</v>
      </c>
      <c r="P1697" s="95">
        <v>0.7</v>
      </c>
      <c r="Q1697" s="95">
        <v>0.13</v>
      </c>
      <c r="R1697" s="96">
        <v>0.01</v>
      </c>
    </row>
    <row r="1698" spans="1:18" ht="15" hidden="1" customHeight="1" x14ac:dyDescent="0.3">
      <c r="A1698" s="89">
        <v>2022</v>
      </c>
      <c r="B1698" s="90">
        <v>9</v>
      </c>
      <c r="C1698" s="90" t="s">
        <v>730</v>
      </c>
      <c r="D1698" s="90" t="s">
        <v>722</v>
      </c>
      <c r="E1698" s="91" t="s">
        <v>11</v>
      </c>
      <c r="F1698" s="92" t="s">
        <v>45</v>
      </c>
      <c r="G1698" s="93">
        <v>8927.0400000000009</v>
      </c>
      <c r="H1698" s="93">
        <v>29781.69</v>
      </c>
      <c r="I1698" s="93">
        <v>2397.5457928860201</v>
      </c>
      <c r="J1698" s="93">
        <v>13209.42</v>
      </c>
      <c r="K1698" s="93">
        <v>1785.43</v>
      </c>
      <c r="L1698" s="93">
        <v>50898.13</v>
      </c>
      <c r="M1698" s="93">
        <v>134096.20000000001</v>
      </c>
      <c r="N1698" s="95">
        <v>0.11</v>
      </c>
      <c r="O1698" s="95">
        <v>0.36</v>
      </c>
      <c r="P1698" s="95">
        <v>0.35</v>
      </c>
      <c r="Q1698" s="95">
        <v>0.16</v>
      </c>
      <c r="R1698" s="96">
        <v>0.02</v>
      </c>
    </row>
    <row r="1699" spans="1:18" ht="15" hidden="1" customHeight="1" x14ac:dyDescent="0.3">
      <c r="A1699" s="89">
        <v>2022</v>
      </c>
      <c r="B1699" s="90">
        <v>9</v>
      </c>
      <c r="C1699" s="90" t="s">
        <v>730</v>
      </c>
      <c r="D1699" s="90" t="s">
        <v>722</v>
      </c>
      <c r="E1699" s="91" t="s">
        <v>11</v>
      </c>
      <c r="F1699" s="92" t="s">
        <v>721</v>
      </c>
      <c r="G1699" s="93">
        <v>15940.01</v>
      </c>
      <c r="H1699" s="93">
        <v>198457.42</v>
      </c>
      <c r="I1699" s="93">
        <v>2397.5457928860201</v>
      </c>
      <c r="J1699" s="93">
        <v>5479.69</v>
      </c>
      <c r="K1699" s="93">
        <v>266.76</v>
      </c>
      <c r="L1699" s="93">
        <v>388.27</v>
      </c>
      <c r="M1699" s="93">
        <v>309330.63</v>
      </c>
      <c r="N1699" s="95">
        <v>0.05</v>
      </c>
      <c r="O1699" s="95">
        <v>0.64</v>
      </c>
      <c r="P1699" s="95">
        <v>0.28999999999999998</v>
      </c>
      <c r="Q1699" s="95">
        <v>0.02</v>
      </c>
      <c r="R1699" s="96">
        <v>0</v>
      </c>
    </row>
    <row r="1700" spans="1:18" ht="15" hidden="1" customHeight="1" x14ac:dyDescent="0.3">
      <c r="A1700" s="89">
        <v>2022</v>
      </c>
      <c r="B1700" s="90">
        <v>9</v>
      </c>
      <c r="C1700" s="90" t="s">
        <v>730</v>
      </c>
      <c r="D1700" s="90" t="s">
        <v>722</v>
      </c>
      <c r="E1700" s="91" t="s">
        <v>11</v>
      </c>
      <c r="F1700" s="92" t="s">
        <v>46</v>
      </c>
      <c r="G1700" s="93">
        <v>2153.5700000000002</v>
      </c>
      <c r="H1700" s="93">
        <v>54191.8</v>
      </c>
      <c r="I1700" s="93">
        <v>2397.5457928860201</v>
      </c>
      <c r="J1700" s="93">
        <v>17345.78</v>
      </c>
      <c r="K1700" s="93">
        <v>5949.97</v>
      </c>
      <c r="L1700" s="93">
        <v>3097.71</v>
      </c>
      <c r="M1700" s="93">
        <v>149074.81</v>
      </c>
      <c r="N1700" s="95">
        <v>0.01</v>
      </c>
      <c r="O1700" s="95">
        <v>0.37</v>
      </c>
      <c r="P1700" s="95">
        <v>0.45</v>
      </c>
      <c r="Q1700" s="95">
        <v>0.12</v>
      </c>
      <c r="R1700" s="96">
        <v>0.04</v>
      </c>
    </row>
    <row r="1701" spans="1:18" ht="15" hidden="1" customHeight="1" x14ac:dyDescent="0.3">
      <c r="A1701" s="89">
        <v>2022</v>
      </c>
      <c r="B1701" s="90">
        <v>9</v>
      </c>
      <c r="C1701" s="90" t="s">
        <v>730</v>
      </c>
      <c r="D1701" s="90" t="s">
        <v>722</v>
      </c>
      <c r="E1701" s="91" t="s">
        <v>11</v>
      </c>
      <c r="F1701" s="92" t="s">
        <v>47</v>
      </c>
      <c r="G1701" s="93">
        <v>4210.91</v>
      </c>
      <c r="H1701" s="93">
        <v>52598.94</v>
      </c>
      <c r="I1701" s="93">
        <v>2397.5457928860201</v>
      </c>
      <c r="J1701" s="93">
        <v>442144.5</v>
      </c>
      <c r="K1701" s="93">
        <v>427227.56</v>
      </c>
      <c r="L1701" s="93">
        <v>281022.78000000003</v>
      </c>
      <c r="M1701" s="93">
        <v>1461770.89</v>
      </c>
      <c r="N1701" s="95">
        <v>0</v>
      </c>
      <c r="O1701" s="95">
        <v>0.04</v>
      </c>
      <c r="P1701" s="95">
        <v>0.22</v>
      </c>
      <c r="Q1701" s="95">
        <v>0.37</v>
      </c>
      <c r="R1701" s="96">
        <v>0.36</v>
      </c>
    </row>
    <row r="1702" spans="1:18" ht="15" hidden="1" customHeight="1" x14ac:dyDescent="0.3">
      <c r="A1702" s="89">
        <v>2022</v>
      </c>
      <c r="B1702" s="90">
        <v>9</v>
      </c>
      <c r="C1702" s="90" t="s">
        <v>730</v>
      </c>
      <c r="D1702" s="90" t="s">
        <v>722</v>
      </c>
      <c r="E1702" s="91" t="s">
        <v>11</v>
      </c>
      <c r="F1702" s="92" t="s">
        <v>48</v>
      </c>
      <c r="G1702" s="93">
        <v>2307.4699999999998</v>
      </c>
      <c r="H1702" s="93">
        <v>22236.76</v>
      </c>
      <c r="I1702" s="93">
        <v>2397.5457928860201</v>
      </c>
      <c r="J1702" s="93">
        <v>25056.31</v>
      </c>
      <c r="K1702" s="93">
        <v>1650.26</v>
      </c>
      <c r="L1702" s="93">
        <v>8484.69</v>
      </c>
      <c r="M1702" s="93">
        <v>110314.47</v>
      </c>
      <c r="N1702" s="95">
        <v>0.02</v>
      </c>
      <c r="O1702" s="95">
        <v>0.22</v>
      </c>
      <c r="P1702" s="95">
        <v>0.5</v>
      </c>
      <c r="Q1702" s="95">
        <v>0.25</v>
      </c>
      <c r="R1702" s="96">
        <v>0.02</v>
      </c>
    </row>
    <row r="1703" spans="1:18" ht="15" hidden="1" customHeight="1" x14ac:dyDescent="0.3">
      <c r="A1703" s="89">
        <v>2022</v>
      </c>
      <c r="B1703" s="90">
        <v>9</v>
      </c>
      <c r="C1703" s="90" t="s">
        <v>730</v>
      </c>
      <c r="D1703" s="90" t="s">
        <v>722</v>
      </c>
      <c r="E1703" s="91" t="s">
        <v>11</v>
      </c>
      <c r="F1703" s="92" t="s">
        <v>40</v>
      </c>
      <c r="G1703" s="93">
        <v>48564.84</v>
      </c>
      <c r="H1703" s="93">
        <v>224286.39</v>
      </c>
      <c r="I1703" s="93">
        <v>2397.5457928860201</v>
      </c>
      <c r="J1703" s="93">
        <v>897.27</v>
      </c>
      <c r="K1703" s="93">
        <v>37.1</v>
      </c>
      <c r="L1703" s="93">
        <v>5061.18</v>
      </c>
      <c r="M1703" s="93">
        <v>326305.03999999998</v>
      </c>
      <c r="N1703" s="95">
        <v>0.15</v>
      </c>
      <c r="O1703" s="95">
        <v>0.7</v>
      </c>
      <c r="P1703" s="95">
        <v>0.15</v>
      </c>
      <c r="Q1703" s="95">
        <v>0</v>
      </c>
      <c r="R1703" s="96">
        <v>0</v>
      </c>
    </row>
    <row r="1704" spans="1:18" ht="15" hidden="1" customHeight="1" x14ac:dyDescent="0.3">
      <c r="A1704" s="89">
        <v>2022</v>
      </c>
      <c r="B1704" s="90">
        <v>10</v>
      </c>
      <c r="C1704" s="90" t="s">
        <v>731</v>
      </c>
      <c r="D1704" s="90" t="s">
        <v>719</v>
      </c>
      <c r="E1704" s="91" t="s">
        <v>11</v>
      </c>
      <c r="F1704" s="92" t="s">
        <v>26</v>
      </c>
      <c r="G1704" s="93">
        <v>183430.82</v>
      </c>
      <c r="H1704" s="93">
        <v>722457.07</v>
      </c>
      <c r="I1704" s="93">
        <v>2397.5457928860201</v>
      </c>
      <c r="J1704" s="93">
        <v>6056.49</v>
      </c>
      <c r="K1704" s="93">
        <v>47.87</v>
      </c>
      <c r="L1704" s="93">
        <v>268150.64</v>
      </c>
      <c r="M1704" s="93">
        <v>1302393.77</v>
      </c>
      <c r="N1704" s="95">
        <v>0.18</v>
      </c>
      <c r="O1704" s="95">
        <v>0.7</v>
      </c>
      <c r="P1704" s="95">
        <v>0.12</v>
      </c>
      <c r="Q1704" s="95">
        <v>0.01</v>
      </c>
      <c r="R1704" s="96">
        <v>0</v>
      </c>
    </row>
    <row r="1705" spans="1:18" ht="15" hidden="1" customHeight="1" x14ac:dyDescent="0.3">
      <c r="A1705" s="89">
        <v>2022</v>
      </c>
      <c r="B1705" s="90">
        <v>10</v>
      </c>
      <c r="C1705" s="90" t="s">
        <v>731</v>
      </c>
      <c r="D1705" s="90" t="s">
        <v>719</v>
      </c>
      <c r="E1705" s="91" t="s">
        <v>11</v>
      </c>
      <c r="F1705" s="92" t="s">
        <v>12</v>
      </c>
      <c r="G1705" s="93">
        <v>48156.37</v>
      </c>
      <c r="H1705" s="93">
        <v>252864.55</v>
      </c>
      <c r="I1705" s="93">
        <v>2397.5457928860201</v>
      </c>
      <c r="J1705" s="93">
        <v>2704.55</v>
      </c>
      <c r="K1705" s="93">
        <v>18.64</v>
      </c>
      <c r="L1705" s="93">
        <v>58259.02</v>
      </c>
      <c r="M1705" s="93">
        <v>433311.44</v>
      </c>
      <c r="N1705" s="95">
        <v>0.13</v>
      </c>
      <c r="O1705" s="95">
        <v>0.67</v>
      </c>
      <c r="P1705" s="95">
        <v>0.19</v>
      </c>
      <c r="Q1705" s="95">
        <v>0.01</v>
      </c>
      <c r="R1705" s="96">
        <v>0</v>
      </c>
    </row>
    <row r="1706" spans="1:18" ht="15" hidden="1" customHeight="1" x14ac:dyDescent="0.3">
      <c r="A1706" s="89">
        <v>2022</v>
      </c>
      <c r="B1706" s="90">
        <v>10</v>
      </c>
      <c r="C1706" s="90" t="s">
        <v>731</v>
      </c>
      <c r="D1706" s="90" t="s">
        <v>719</v>
      </c>
      <c r="E1706" s="91" t="s">
        <v>11</v>
      </c>
      <c r="F1706" s="92" t="s">
        <v>27</v>
      </c>
      <c r="G1706" s="93">
        <v>7698.73</v>
      </c>
      <c r="H1706" s="93">
        <v>120977.53</v>
      </c>
      <c r="I1706" s="93">
        <v>2397.5457928860201</v>
      </c>
      <c r="J1706" s="93">
        <v>913.64</v>
      </c>
      <c r="K1706" s="93">
        <v>4.68</v>
      </c>
      <c r="L1706" s="93">
        <v>80861.179999999993</v>
      </c>
      <c r="M1706" s="93">
        <v>226689.38</v>
      </c>
      <c r="N1706" s="95">
        <v>0.05</v>
      </c>
      <c r="O1706" s="95">
        <v>0.83</v>
      </c>
      <c r="P1706" s="95">
        <v>0.11</v>
      </c>
      <c r="Q1706" s="95">
        <v>0.01</v>
      </c>
      <c r="R1706" s="96">
        <v>0</v>
      </c>
    </row>
    <row r="1707" spans="1:18" ht="15" hidden="1" customHeight="1" x14ac:dyDescent="0.3">
      <c r="A1707" s="89">
        <v>2022</v>
      </c>
      <c r="B1707" s="90">
        <v>10</v>
      </c>
      <c r="C1707" s="90" t="s">
        <v>731</v>
      </c>
      <c r="D1707" s="90" t="s">
        <v>719</v>
      </c>
      <c r="E1707" s="91" t="s">
        <v>11</v>
      </c>
      <c r="F1707" s="92" t="s">
        <v>28</v>
      </c>
      <c r="G1707" s="93">
        <v>28428.95</v>
      </c>
      <c r="H1707" s="93">
        <v>294925.73</v>
      </c>
      <c r="I1707" s="93">
        <v>2397.5457928860201</v>
      </c>
      <c r="J1707" s="93">
        <v>1462.73</v>
      </c>
      <c r="K1707" s="93">
        <v>18.77</v>
      </c>
      <c r="L1707" s="93">
        <v>15930.88</v>
      </c>
      <c r="M1707" s="93">
        <v>373104.4</v>
      </c>
      <c r="N1707" s="95">
        <v>0.08</v>
      </c>
      <c r="O1707" s="95">
        <v>0.83</v>
      </c>
      <c r="P1707" s="95">
        <v>0.09</v>
      </c>
      <c r="Q1707" s="95">
        <v>0</v>
      </c>
      <c r="R1707" s="96">
        <v>0</v>
      </c>
    </row>
    <row r="1708" spans="1:18" ht="15" customHeight="1" x14ac:dyDescent="0.3">
      <c r="A1708" s="89">
        <v>2022</v>
      </c>
      <c r="B1708" s="90">
        <v>10</v>
      </c>
      <c r="C1708" s="90" t="s">
        <v>731</v>
      </c>
      <c r="D1708" s="90" t="s">
        <v>719</v>
      </c>
      <c r="E1708" s="91" t="s">
        <v>11</v>
      </c>
      <c r="F1708" s="92" t="s">
        <v>29</v>
      </c>
      <c r="G1708" s="93">
        <v>18768.89</v>
      </c>
      <c r="H1708" s="93">
        <v>56512.59</v>
      </c>
      <c r="I1708" s="93">
        <v>2397.5457928860201</v>
      </c>
      <c r="J1708" s="93">
        <v>4515.75</v>
      </c>
      <c r="K1708" s="93">
        <v>198.93</v>
      </c>
      <c r="L1708" s="93">
        <v>254529.28</v>
      </c>
      <c r="M1708" s="93">
        <v>354391.76</v>
      </c>
      <c r="N1708" s="95">
        <v>0.19</v>
      </c>
      <c r="O1708" s="95">
        <v>0.56999999999999995</v>
      </c>
      <c r="P1708" s="95">
        <v>0.2</v>
      </c>
      <c r="Q1708" s="95">
        <v>0.05</v>
      </c>
      <c r="R1708" s="96">
        <v>0</v>
      </c>
    </row>
    <row r="1709" spans="1:18" ht="15" hidden="1" customHeight="1" x14ac:dyDescent="0.3">
      <c r="A1709" s="89">
        <v>2022</v>
      </c>
      <c r="B1709" s="90">
        <v>10</v>
      </c>
      <c r="C1709" s="90" t="s">
        <v>731</v>
      </c>
      <c r="D1709" s="90" t="s">
        <v>719</v>
      </c>
      <c r="E1709" s="91" t="s">
        <v>11</v>
      </c>
      <c r="F1709" s="92" t="s">
        <v>30</v>
      </c>
      <c r="G1709" s="93">
        <v>2570.77</v>
      </c>
      <c r="H1709" s="93">
        <v>8097.8</v>
      </c>
      <c r="I1709" s="93">
        <v>2397.5457928860201</v>
      </c>
      <c r="J1709" s="93">
        <v>1091.29</v>
      </c>
      <c r="K1709" s="93">
        <v>90.1</v>
      </c>
      <c r="L1709" s="93">
        <v>215633.44</v>
      </c>
      <c r="M1709" s="93">
        <v>230086.24</v>
      </c>
      <c r="N1709" s="95">
        <v>0.18</v>
      </c>
      <c r="O1709" s="95">
        <v>0.56000000000000005</v>
      </c>
      <c r="P1709" s="95">
        <v>0.18</v>
      </c>
      <c r="Q1709" s="95">
        <v>0.08</v>
      </c>
      <c r="R1709" s="96">
        <v>0.01</v>
      </c>
    </row>
    <row r="1710" spans="1:18" ht="15" hidden="1" customHeight="1" x14ac:dyDescent="0.3">
      <c r="A1710" s="89">
        <v>2022</v>
      </c>
      <c r="B1710" s="90">
        <v>10</v>
      </c>
      <c r="C1710" s="90" t="s">
        <v>731</v>
      </c>
      <c r="D1710" s="90" t="s">
        <v>719</v>
      </c>
      <c r="E1710" s="91" t="s">
        <v>11</v>
      </c>
      <c r="F1710" s="92" t="s">
        <v>31</v>
      </c>
      <c r="G1710" s="93">
        <v>14074.77</v>
      </c>
      <c r="H1710" s="93">
        <v>107124.64</v>
      </c>
      <c r="I1710" s="93">
        <v>2397.5457928860201</v>
      </c>
      <c r="J1710" s="93">
        <v>17231.45</v>
      </c>
      <c r="K1710" s="93">
        <v>1907.54</v>
      </c>
      <c r="L1710" s="93">
        <v>44274.99</v>
      </c>
      <c r="M1710" s="93">
        <v>251948.86</v>
      </c>
      <c r="N1710" s="95">
        <v>7.0000000000000007E-2</v>
      </c>
      <c r="O1710" s="95">
        <v>0.52</v>
      </c>
      <c r="P1710" s="95">
        <v>0.32</v>
      </c>
      <c r="Q1710" s="95">
        <v>0.08</v>
      </c>
      <c r="R1710" s="96">
        <v>0.01</v>
      </c>
    </row>
    <row r="1711" spans="1:18" ht="15" hidden="1" customHeight="1" x14ac:dyDescent="0.3">
      <c r="A1711" s="89">
        <v>2022</v>
      </c>
      <c r="B1711" s="90">
        <v>10</v>
      </c>
      <c r="C1711" s="90" t="s">
        <v>731</v>
      </c>
      <c r="D1711" s="90" t="s">
        <v>719</v>
      </c>
      <c r="E1711" s="91" t="s">
        <v>11</v>
      </c>
      <c r="F1711" s="92" t="s">
        <v>32</v>
      </c>
      <c r="G1711" s="93">
        <v>23637.55</v>
      </c>
      <c r="H1711" s="93">
        <v>330101.38</v>
      </c>
      <c r="I1711" s="93">
        <v>2397.5457928860201</v>
      </c>
      <c r="J1711" s="93">
        <v>15124.59</v>
      </c>
      <c r="K1711" s="93">
        <v>324.02999999999997</v>
      </c>
      <c r="L1711" s="93">
        <v>62968.160000000003</v>
      </c>
      <c r="M1711" s="93">
        <v>609521.87</v>
      </c>
      <c r="N1711" s="95">
        <v>0.04</v>
      </c>
      <c r="O1711" s="95">
        <v>0.6</v>
      </c>
      <c r="P1711" s="95">
        <v>0.32</v>
      </c>
      <c r="Q1711" s="95">
        <v>0.03</v>
      </c>
      <c r="R1711" s="96">
        <v>0</v>
      </c>
    </row>
    <row r="1712" spans="1:18" ht="15" hidden="1" customHeight="1" x14ac:dyDescent="0.3">
      <c r="A1712" s="89">
        <v>2022</v>
      </c>
      <c r="B1712" s="90">
        <v>10</v>
      </c>
      <c r="C1712" s="90" t="s">
        <v>731</v>
      </c>
      <c r="D1712" s="90" t="s">
        <v>719</v>
      </c>
      <c r="E1712" s="91" t="s">
        <v>11</v>
      </c>
      <c r="F1712" s="92" t="s">
        <v>33</v>
      </c>
      <c r="G1712" s="93">
        <v>204169.29</v>
      </c>
      <c r="H1712" s="93">
        <v>879066.91</v>
      </c>
      <c r="I1712" s="93">
        <v>2397.5457928860201</v>
      </c>
      <c r="J1712" s="93">
        <v>16326.31</v>
      </c>
      <c r="K1712" s="93">
        <v>745.57</v>
      </c>
      <c r="L1712" s="93">
        <v>35795.769999999997</v>
      </c>
      <c r="M1712" s="93">
        <v>1352055.51</v>
      </c>
      <c r="N1712" s="95">
        <v>0.16</v>
      </c>
      <c r="O1712" s="95">
        <v>0.67</v>
      </c>
      <c r="P1712" s="95">
        <v>0.16</v>
      </c>
      <c r="Q1712" s="95">
        <v>0.01</v>
      </c>
      <c r="R1712" s="96">
        <v>0</v>
      </c>
    </row>
    <row r="1713" spans="1:18" ht="15" hidden="1" customHeight="1" x14ac:dyDescent="0.3">
      <c r="A1713" s="89">
        <v>2022</v>
      </c>
      <c r="B1713" s="90">
        <v>10</v>
      </c>
      <c r="C1713" s="90" t="s">
        <v>731</v>
      </c>
      <c r="D1713" s="90" t="s">
        <v>719</v>
      </c>
      <c r="E1713" s="91" t="s">
        <v>11</v>
      </c>
      <c r="F1713" s="92" t="s">
        <v>34</v>
      </c>
      <c r="G1713" s="93">
        <v>154248.59</v>
      </c>
      <c r="H1713" s="93">
        <v>377684.05</v>
      </c>
      <c r="I1713" s="93">
        <v>2397.5457928860201</v>
      </c>
      <c r="J1713" s="93">
        <v>5479.21</v>
      </c>
      <c r="K1713" s="93">
        <v>294.5</v>
      </c>
      <c r="L1713" s="93">
        <v>141642.45000000001</v>
      </c>
      <c r="M1713" s="93">
        <v>713628.98</v>
      </c>
      <c r="N1713" s="95">
        <v>0.27</v>
      </c>
      <c r="O1713" s="95">
        <v>0.66</v>
      </c>
      <c r="P1713" s="95">
        <v>0.06</v>
      </c>
      <c r="Q1713" s="95">
        <v>0.01</v>
      </c>
      <c r="R1713" s="96">
        <v>0</v>
      </c>
    </row>
    <row r="1714" spans="1:18" ht="15" hidden="1" customHeight="1" x14ac:dyDescent="0.3">
      <c r="A1714" s="89">
        <v>2022</v>
      </c>
      <c r="B1714" s="90">
        <v>10</v>
      </c>
      <c r="C1714" s="90" t="s">
        <v>731</v>
      </c>
      <c r="D1714" s="90" t="s">
        <v>719</v>
      </c>
      <c r="E1714" s="91" t="s">
        <v>11</v>
      </c>
      <c r="F1714" s="92" t="s">
        <v>35</v>
      </c>
      <c r="G1714" s="93">
        <v>41617.08</v>
      </c>
      <c r="H1714" s="93">
        <v>219979.95</v>
      </c>
      <c r="I1714" s="93">
        <v>2397.5457928860201</v>
      </c>
      <c r="J1714" s="93">
        <v>7863.33</v>
      </c>
      <c r="K1714" s="93">
        <v>1408.43</v>
      </c>
      <c r="L1714" s="93">
        <v>243227.64</v>
      </c>
      <c r="M1714" s="93">
        <v>605861.19999999995</v>
      </c>
      <c r="N1714" s="95">
        <v>0.11</v>
      </c>
      <c r="O1714" s="95">
        <v>0.61</v>
      </c>
      <c r="P1714" s="95">
        <v>0.25</v>
      </c>
      <c r="Q1714" s="95">
        <v>0.02</v>
      </c>
      <c r="R1714" s="96">
        <v>0</v>
      </c>
    </row>
    <row r="1715" spans="1:18" ht="15" hidden="1" customHeight="1" x14ac:dyDescent="0.3">
      <c r="A1715" s="89">
        <v>2022</v>
      </c>
      <c r="B1715" s="90">
        <v>10</v>
      </c>
      <c r="C1715" s="90" t="s">
        <v>731</v>
      </c>
      <c r="D1715" s="90" t="s">
        <v>719</v>
      </c>
      <c r="E1715" s="91" t="s">
        <v>11</v>
      </c>
      <c r="F1715" s="92" t="s">
        <v>36</v>
      </c>
      <c r="G1715" s="93">
        <v>11183.74</v>
      </c>
      <c r="H1715" s="93">
        <v>140399.18</v>
      </c>
      <c r="I1715" s="93">
        <v>2397.5457928860201</v>
      </c>
      <c r="J1715" s="93">
        <v>7339.62</v>
      </c>
      <c r="K1715" s="93"/>
      <c r="L1715" s="93">
        <v>38133.550000000003</v>
      </c>
      <c r="M1715" s="93">
        <v>258886.74</v>
      </c>
      <c r="N1715" s="95">
        <v>0.05</v>
      </c>
      <c r="O1715" s="95">
        <v>0.64</v>
      </c>
      <c r="P1715" s="95">
        <v>0.28000000000000003</v>
      </c>
      <c r="Q1715" s="95">
        <v>0.03</v>
      </c>
      <c r="R1715" s="96">
        <v>0</v>
      </c>
    </row>
    <row r="1716" spans="1:18" ht="15" hidden="1" customHeight="1" x14ac:dyDescent="0.3">
      <c r="A1716" s="89">
        <v>2022</v>
      </c>
      <c r="B1716" s="90">
        <v>10</v>
      </c>
      <c r="C1716" s="90" t="s">
        <v>731</v>
      </c>
      <c r="D1716" s="90" t="s">
        <v>719</v>
      </c>
      <c r="E1716" s="91" t="s">
        <v>11</v>
      </c>
      <c r="F1716" s="92" t="s">
        <v>37</v>
      </c>
      <c r="G1716" s="93">
        <v>18428.759999999998</v>
      </c>
      <c r="H1716" s="93">
        <v>130860.15</v>
      </c>
      <c r="I1716" s="93">
        <v>2397.5457928860201</v>
      </c>
      <c r="J1716" s="93">
        <v>3108.31</v>
      </c>
      <c r="K1716" s="93">
        <v>119.06</v>
      </c>
      <c r="L1716" s="93">
        <v>340427.31</v>
      </c>
      <c r="M1716" s="93">
        <v>524074.32</v>
      </c>
      <c r="N1716" s="95">
        <v>0.1</v>
      </c>
      <c r="O1716" s="95">
        <v>0.71</v>
      </c>
      <c r="P1716" s="95">
        <v>0.17</v>
      </c>
      <c r="Q1716" s="95">
        <v>0.02</v>
      </c>
      <c r="R1716" s="96">
        <v>0</v>
      </c>
    </row>
    <row r="1717" spans="1:18" ht="15" hidden="1" customHeight="1" x14ac:dyDescent="0.3">
      <c r="A1717" s="89">
        <v>2022</v>
      </c>
      <c r="B1717" s="90">
        <v>10</v>
      </c>
      <c r="C1717" s="90" t="s">
        <v>731</v>
      </c>
      <c r="D1717" s="90" t="s">
        <v>719</v>
      </c>
      <c r="E1717" s="91" t="s">
        <v>11</v>
      </c>
      <c r="F1717" s="92" t="s">
        <v>38</v>
      </c>
      <c r="G1717" s="93">
        <v>84715.24</v>
      </c>
      <c r="H1717" s="93">
        <v>420966.19</v>
      </c>
      <c r="I1717" s="93">
        <v>2397.5457928860201</v>
      </c>
      <c r="J1717" s="93">
        <v>7741.38</v>
      </c>
      <c r="K1717" s="93">
        <v>370.26</v>
      </c>
      <c r="L1717" s="93">
        <v>230492.23</v>
      </c>
      <c r="M1717" s="93">
        <v>927959.02</v>
      </c>
      <c r="N1717" s="95">
        <v>0.12</v>
      </c>
      <c r="O1717" s="95">
        <v>0.6</v>
      </c>
      <c r="P1717" s="95">
        <v>0.26</v>
      </c>
      <c r="Q1717" s="95">
        <v>0.01</v>
      </c>
      <c r="R1717" s="96">
        <v>0</v>
      </c>
    </row>
    <row r="1718" spans="1:18" ht="15" hidden="1" customHeight="1" x14ac:dyDescent="0.3">
      <c r="A1718" s="89">
        <v>2022</v>
      </c>
      <c r="B1718" s="90">
        <v>10</v>
      </c>
      <c r="C1718" s="90" t="s">
        <v>731</v>
      </c>
      <c r="D1718" s="90" t="s">
        <v>719</v>
      </c>
      <c r="E1718" s="91" t="s">
        <v>11</v>
      </c>
      <c r="F1718" s="92" t="s">
        <v>39</v>
      </c>
      <c r="G1718" s="93">
        <v>29534.639999999999</v>
      </c>
      <c r="H1718" s="93">
        <v>167483.26</v>
      </c>
      <c r="I1718" s="93">
        <v>2397.5457928860201</v>
      </c>
      <c r="J1718" s="93">
        <v>5871.47</v>
      </c>
      <c r="K1718" s="93">
        <v>56.42</v>
      </c>
      <c r="L1718" s="93">
        <v>66605.37</v>
      </c>
      <c r="M1718" s="93">
        <v>331195.63</v>
      </c>
      <c r="N1718" s="95">
        <v>0.11</v>
      </c>
      <c r="O1718" s="95">
        <v>0.63</v>
      </c>
      <c r="P1718" s="95">
        <v>0.23</v>
      </c>
      <c r="Q1718" s="95">
        <v>0.02</v>
      </c>
      <c r="R1718" s="96">
        <v>0</v>
      </c>
    </row>
    <row r="1719" spans="1:18" ht="15" hidden="1" customHeight="1" x14ac:dyDescent="0.3">
      <c r="A1719" s="89">
        <v>2022</v>
      </c>
      <c r="B1719" s="90">
        <v>10</v>
      </c>
      <c r="C1719" s="90" t="s">
        <v>731</v>
      </c>
      <c r="D1719" s="90" t="s">
        <v>719</v>
      </c>
      <c r="E1719" s="91" t="s">
        <v>11</v>
      </c>
      <c r="F1719" s="92" t="s">
        <v>41</v>
      </c>
      <c r="G1719" s="93">
        <v>14337.54</v>
      </c>
      <c r="H1719" s="93">
        <v>2881.83</v>
      </c>
      <c r="I1719" s="93">
        <v>2397.5457928860201</v>
      </c>
      <c r="J1719" s="93">
        <v>21.81</v>
      </c>
      <c r="K1719" s="93">
        <v>7.15</v>
      </c>
      <c r="L1719" s="93">
        <v>980.54</v>
      </c>
      <c r="M1719" s="93">
        <v>18714.330000000002</v>
      </c>
      <c r="N1719" s="95">
        <v>0.81</v>
      </c>
      <c r="O1719" s="95">
        <v>0.16</v>
      </c>
      <c r="P1719" s="95">
        <v>0.03</v>
      </c>
      <c r="Q1719" s="95">
        <v>0</v>
      </c>
      <c r="R1719" s="96">
        <v>0</v>
      </c>
    </row>
    <row r="1720" spans="1:18" ht="15" hidden="1" customHeight="1" x14ac:dyDescent="0.3">
      <c r="A1720" s="89">
        <v>2022</v>
      </c>
      <c r="B1720" s="90">
        <v>10</v>
      </c>
      <c r="C1720" s="90" t="s">
        <v>731</v>
      </c>
      <c r="D1720" s="90" t="s">
        <v>719</v>
      </c>
      <c r="E1720" s="91" t="s">
        <v>11</v>
      </c>
      <c r="F1720" s="92" t="s">
        <v>42</v>
      </c>
      <c r="G1720" s="93">
        <v>5813.58</v>
      </c>
      <c r="H1720" s="93">
        <v>266446.28999999998</v>
      </c>
      <c r="I1720" s="93">
        <v>2397.5457928860201</v>
      </c>
      <c r="J1720" s="93">
        <v>5866.82</v>
      </c>
      <c r="K1720" s="93">
        <v>74.760000000000005</v>
      </c>
      <c r="L1720" s="93">
        <v>150767.07999999999</v>
      </c>
      <c r="M1720" s="93">
        <v>620824.21</v>
      </c>
      <c r="N1720" s="95">
        <v>0.01</v>
      </c>
      <c r="O1720" s="95">
        <v>0.56999999999999995</v>
      </c>
      <c r="P1720" s="95">
        <v>0.41</v>
      </c>
      <c r="Q1720" s="95">
        <v>0.01</v>
      </c>
      <c r="R1720" s="96">
        <v>0</v>
      </c>
    </row>
    <row r="1721" spans="1:18" ht="15" hidden="1" customHeight="1" x14ac:dyDescent="0.3">
      <c r="A1721" s="89">
        <v>2022</v>
      </c>
      <c r="B1721" s="90">
        <v>10</v>
      </c>
      <c r="C1721" s="90" t="s">
        <v>731</v>
      </c>
      <c r="D1721" s="90" t="s">
        <v>719</v>
      </c>
      <c r="E1721" s="91" t="s">
        <v>11</v>
      </c>
      <c r="F1721" s="92" t="s">
        <v>43</v>
      </c>
      <c r="G1721" s="93">
        <v>8187.21</v>
      </c>
      <c r="H1721" s="93">
        <v>36071.279999999999</v>
      </c>
      <c r="I1721" s="93">
        <v>2397.5457928860201</v>
      </c>
      <c r="J1721" s="93">
        <v>7048.76</v>
      </c>
      <c r="K1721" s="93">
        <v>768.97</v>
      </c>
      <c r="L1721" s="93">
        <v>116291.8</v>
      </c>
      <c r="M1721" s="93">
        <v>185575.52</v>
      </c>
      <c r="N1721" s="95">
        <v>0.12</v>
      </c>
      <c r="O1721" s="95">
        <v>0.52</v>
      </c>
      <c r="P1721" s="95">
        <v>0.25</v>
      </c>
      <c r="Q1721" s="95">
        <v>0.1</v>
      </c>
      <c r="R1721" s="96">
        <v>0.01</v>
      </c>
    </row>
    <row r="1722" spans="1:18" ht="15" hidden="1" customHeight="1" x14ac:dyDescent="0.3">
      <c r="A1722" s="89">
        <v>2022</v>
      </c>
      <c r="B1722" s="90">
        <v>10</v>
      </c>
      <c r="C1722" s="90" t="s">
        <v>731</v>
      </c>
      <c r="D1722" s="90" t="s">
        <v>719</v>
      </c>
      <c r="E1722" s="91" t="s">
        <v>11</v>
      </c>
      <c r="F1722" s="92" t="s">
        <v>58</v>
      </c>
      <c r="G1722" s="93">
        <v>9748.98</v>
      </c>
      <c r="H1722" s="93">
        <v>204229.27</v>
      </c>
      <c r="I1722" s="93">
        <v>2397.5457928860201</v>
      </c>
      <c r="J1722" s="93">
        <v>5597.58</v>
      </c>
      <c r="K1722" s="93">
        <v>4.68</v>
      </c>
      <c r="L1722" s="93">
        <v>12209.91</v>
      </c>
      <c r="M1722" s="93">
        <v>371477.13</v>
      </c>
      <c r="N1722" s="95">
        <v>0.03</v>
      </c>
      <c r="O1722" s="95">
        <v>0.56999999999999995</v>
      </c>
      <c r="P1722" s="95">
        <v>0.39</v>
      </c>
      <c r="Q1722" s="95">
        <v>0.02</v>
      </c>
      <c r="R1722" s="96">
        <v>0</v>
      </c>
    </row>
    <row r="1723" spans="1:18" ht="15" hidden="1" customHeight="1" x14ac:dyDescent="0.3">
      <c r="A1723" s="89">
        <v>2022</v>
      </c>
      <c r="B1723" s="90">
        <v>10</v>
      </c>
      <c r="C1723" s="90" t="s">
        <v>731</v>
      </c>
      <c r="D1723" s="90" t="s">
        <v>719</v>
      </c>
      <c r="E1723" s="91" t="s">
        <v>11</v>
      </c>
      <c r="F1723" s="92" t="s">
        <v>44</v>
      </c>
      <c r="G1723" s="93">
        <v>9538.24</v>
      </c>
      <c r="H1723" s="93">
        <v>90488.09</v>
      </c>
      <c r="I1723" s="93">
        <v>2397.5457928860201</v>
      </c>
      <c r="J1723" s="93">
        <v>6250.68</v>
      </c>
      <c r="K1723" s="93">
        <v>246.57</v>
      </c>
      <c r="L1723" s="93">
        <v>45733.09</v>
      </c>
      <c r="M1723" s="93">
        <v>215729.36</v>
      </c>
      <c r="N1723" s="95">
        <v>0.06</v>
      </c>
      <c r="O1723" s="95">
        <v>0.53</v>
      </c>
      <c r="P1723" s="95">
        <v>0.37</v>
      </c>
      <c r="Q1723" s="95">
        <v>0.04</v>
      </c>
      <c r="R1723" s="96">
        <v>0</v>
      </c>
    </row>
    <row r="1724" spans="1:18" ht="15" hidden="1" customHeight="1" x14ac:dyDescent="0.3">
      <c r="A1724" s="89">
        <v>2022</v>
      </c>
      <c r="B1724" s="90">
        <v>10</v>
      </c>
      <c r="C1724" s="90" t="s">
        <v>731</v>
      </c>
      <c r="D1724" s="90" t="s">
        <v>719</v>
      </c>
      <c r="E1724" s="91" t="s">
        <v>11</v>
      </c>
      <c r="F1724" s="92" t="s">
        <v>51</v>
      </c>
      <c r="G1724" s="93">
        <v>8106.77</v>
      </c>
      <c r="H1724" s="93">
        <v>43319.839999999997</v>
      </c>
      <c r="I1724" s="93">
        <v>2397.5457928860201</v>
      </c>
      <c r="J1724" s="93">
        <v>27308.2</v>
      </c>
      <c r="K1724" s="93">
        <v>1970.69</v>
      </c>
      <c r="L1724" s="93">
        <v>204.17</v>
      </c>
      <c r="M1724" s="93">
        <v>211202.48</v>
      </c>
      <c r="N1724" s="95">
        <v>0.04</v>
      </c>
      <c r="O1724" s="95">
        <v>0.21</v>
      </c>
      <c r="P1724" s="95">
        <v>0.62</v>
      </c>
      <c r="Q1724" s="95">
        <v>0.13</v>
      </c>
      <c r="R1724" s="96">
        <v>0.01</v>
      </c>
    </row>
    <row r="1725" spans="1:18" ht="15" hidden="1" customHeight="1" x14ac:dyDescent="0.3">
      <c r="A1725" s="89">
        <v>2022</v>
      </c>
      <c r="B1725" s="90">
        <v>10</v>
      </c>
      <c r="C1725" s="90" t="s">
        <v>731</v>
      </c>
      <c r="D1725" s="90" t="s">
        <v>719</v>
      </c>
      <c r="E1725" s="91" t="s">
        <v>11</v>
      </c>
      <c r="F1725" s="92" t="s">
        <v>45</v>
      </c>
      <c r="G1725" s="93">
        <v>10650.58</v>
      </c>
      <c r="H1725" s="93">
        <v>29780.42</v>
      </c>
      <c r="I1725" s="93">
        <v>2397.5457928860201</v>
      </c>
      <c r="J1725" s="93">
        <v>4477.6899999999996</v>
      </c>
      <c r="K1725" s="93">
        <v>379.39</v>
      </c>
      <c r="L1725" s="93">
        <v>71533.240000000005</v>
      </c>
      <c r="M1725" s="93">
        <v>134096.20000000001</v>
      </c>
      <c r="N1725" s="95">
        <v>0.17</v>
      </c>
      <c r="O1725" s="95">
        <v>0.48</v>
      </c>
      <c r="P1725" s="95">
        <v>0.28000000000000003</v>
      </c>
      <c r="Q1725" s="95">
        <v>7.0000000000000007E-2</v>
      </c>
      <c r="R1725" s="96">
        <v>0.01</v>
      </c>
    </row>
    <row r="1726" spans="1:18" ht="15" hidden="1" customHeight="1" x14ac:dyDescent="0.3">
      <c r="A1726" s="89">
        <v>2022</v>
      </c>
      <c r="B1726" s="90">
        <v>10</v>
      </c>
      <c r="C1726" s="90" t="s">
        <v>731</v>
      </c>
      <c r="D1726" s="90" t="s">
        <v>719</v>
      </c>
      <c r="E1726" s="91" t="s">
        <v>11</v>
      </c>
      <c r="F1726" s="92" t="s">
        <v>721</v>
      </c>
      <c r="G1726" s="93">
        <v>37625.300000000003</v>
      </c>
      <c r="H1726" s="93">
        <v>217935.4</v>
      </c>
      <c r="I1726" s="93">
        <v>2397.5457928860201</v>
      </c>
      <c r="J1726" s="93">
        <v>1471.58</v>
      </c>
      <c r="K1726" s="93">
        <v>18.73</v>
      </c>
      <c r="L1726" s="93">
        <v>5222.34</v>
      </c>
      <c r="M1726" s="93">
        <v>309330.63</v>
      </c>
      <c r="N1726" s="95">
        <v>0.12</v>
      </c>
      <c r="O1726" s="95">
        <v>0.72</v>
      </c>
      <c r="P1726" s="95">
        <v>0.15</v>
      </c>
      <c r="Q1726" s="95">
        <v>0</v>
      </c>
      <c r="R1726" s="96">
        <v>0</v>
      </c>
    </row>
    <row r="1727" spans="1:18" ht="15" hidden="1" customHeight="1" x14ac:dyDescent="0.3">
      <c r="A1727" s="89">
        <v>2022</v>
      </c>
      <c r="B1727" s="90">
        <v>10</v>
      </c>
      <c r="C1727" s="90" t="s">
        <v>731</v>
      </c>
      <c r="D1727" s="90" t="s">
        <v>719</v>
      </c>
      <c r="E1727" s="91" t="s">
        <v>11</v>
      </c>
      <c r="F1727" s="92" t="s">
        <v>46</v>
      </c>
      <c r="G1727" s="93">
        <v>13098.97</v>
      </c>
      <c r="H1727" s="93">
        <v>85393.87</v>
      </c>
      <c r="I1727" s="93">
        <v>2397.5457928860201</v>
      </c>
      <c r="J1727" s="93">
        <v>6877.03</v>
      </c>
      <c r="K1727" s="93">
        <v>1945</v>
      </c>
      <c r="L1727" s="93">
        <v>9913.39</v>
      </c>
      <c r="M1727" s="93">
        <v>149074.81</v>
      </c>
      <c r="N1727" s="95">
        <v>0.09</v>
      </c>
      <c r="O1727" s="95">
        <v>0.61</v>
      </c>
      <c r="P1727" s="95">
        <v>0.23</v>
      </c>
      <c r="Q1727" s="95">
        <v>0.05</v>
      </c>
      <c r="R1727" s="96">
        <v>0.01</v>
      </c>
    </row>
    <row r="1728" spans="1:18" ht="15" hidden="1" customHeight="1" x14ac:dyDescent="0.3">
      <c r="A1728" s="89">
        <v>2022</v>
      </c>
      <c r="B1728" s="90">
        <v>10</v>
      </c>
      <c r="C1728" s="90" t="s">
        <v>731</v>
      </c>
      <c r="D1728" s="90" t="s">
        <v>719</v>
      </c>
      <c r="E1728" s="91" t="s">
        <v>11</v>
      </c>
      <c r="F1728" s="92" t="s">
        <v>47</v>
      </c>
      <c r="G1728" s="93">
        <v>24273.29</v>
      </c>
      <c r="H1728" s="93">
        <v>162928.35</v>
      </c>
      <c r="I1728" s="93">
        <v>2397.5457928860201</v>
      </c>
      <c r="J1728" s="93">
        <v>457419.81</v>
      </c>
      <c r="K1728" s="93">
        <v>79771.520000000004</v>
      </c>
      <c r="L1728" s="93">
        <v>182259.96</v>
      </c>
      <c r="M1728" s="93">
        <v>1461770.89</v>
      </c>
      <c r="N1728" s="95">
        <v>0.02</v>
      </c>
      <c r="O1728" s="95">
        <v>0.13</v>
      </c>
      <c r="P1728" s="95">
        <v>0.43</v>
      </c>
      <c r="Q1728" s="95">
        <v>0.36</v>
      </c>
      <c r="R1728" s="96">
        <v>0.06</v>
      </c>
    </row>
    <row r="1729" spans="1:18" ht="15" hidden="1" customHeight="1" x14ac:dyDescent="0.3">
      <c r="A1729" s="89">
        <v>2022</v>
      </c>
      <c r="B1729" s="90">
        <v>10</v>
      </c>
      <c r="C1729" s="90" t="s">
        <v>731</v>
      </c>
      <c r="D1729" s="90" t="s">
        <v>719</v>
      </c>
      <c r="E1729" s="91" t="s">
        <v>11</v>
      </c>
      <c r="F1729" s="92" t="s">
        <v>48</v>
      </c>
      <c r="G1729" s="93">
        <v>7046.14</v>
      </c>
      <c r="H1729" s="93">
        <v>49168.18</v>
      </c>
      <c r="I1729" s="93">
        <v>2397.5457928860201</v>
      </c>
      <c r="J1729" s="93">
        <v>6249.13</v>
      </c>
      <c r="K1729" s="93">
        <v>296.68</v>
      </c>
      <c r="L1729" s="93">
        <v>10467.31</v>
      </c>
      <c r="M1729" s="93">
        <v>110314.47</v>
      </c>
      <c r="N1729" s="95">
        <v>7.0000000000000007E-2</v>
      </c>
      <c r="O1729" s="95">
        <v>0.49</v>
      </c>
      <c r="P1729" s="95">
        <v>0.37</v>
      </c>
      <c r="Q1729" s="95">
        <v>0.06</v>
      </c>
      <c r="R1729" s="96">
        <v>0</v>
      </c>
    </row>
    <row r="1730" spans="1:18" ht="15" hidden="1" customHeight="1" x14ac:dyDescent="0.3">
      <c r="A1730" s="89">
        <v>2022</v>
      </c>
      <c r="B1730" s="90">
        <v>10</v>
      </c>
      <c r="C1730" s="90" t="s">
        <v>731</v>
      </c>
      <c r="D1730" s="90" t="s">
        <v>719</v>
      </c>
      <c r="E1730" s="91" t="s">
        <v>11</v>
      </c>
      <c r="F1730" s="92" t="s">
        <v>40</v>
      </c>
      <c r="G1730" s="93">
        <v>91379.98</v>
      </c>
      <c r="H1730" s="93">
        <v>202842.18</v>
      </c>
      <c r="I1730" s="93">
        <v>2397.5457928860201</v>
      </c>
      <c r="J1730" s="93">
        <v>676.98</v>
      </c>
      <c r="K1730" s="93">
        <v>13.93</v>
      </c>
      <c r="L1730" s="93">
        <v>9067.14</v>
      </c>
      <c r="M1730" s="93">
        <v>326305.03999999998</v>
      </c>
      <c r="N1730" s="95">
        <v>0.28999999999999998</v>
      </c>
      <c r="O1730" s="95">
        <v>0.64</v>
      </c>
      <c r="P1730" s="95">
        <v>7.0000000000000007E-2</v>
      </c>
      <c r="Q1730" s="95">
        <v>0</v>
      </c>
      <c r="R1730" s="96">
        <v>0</v>
      </c>
    </row>
    <row r="1731" spans="1:18" ht="15" hidden="1" customHeight="1" x14ac:dyDescent="0.3">
      <c r="A1731" s="89">
        <v>2022</v>
      </c>
      <c r="B1731" s="90">
        <v>11</v>
      </c>
      <c r="C1731" s="90" t="s">
        <v>732</v>
      </c>
      <c r="D1731" s="90" t="s">
        <v>719</v>
      </c>
      <c r="E1731" s="91" t="s">
        <v>11</v>
      </c>
      <c r="F1731" s="92" t="s">
        <v>26</v>
      </c>
      <c r="G1731" s="93">
        <v>433720.65</v>
      </c>
      <c r="H1731" s="93">
        <v>514734.05</v>
      </c>
      <c r="I1731" s="93">
        <v>2397.5457928860201</v>
      </c>
      <c r="J1731" s="93">
        <v>2915.93</v>
      </c>
      <c r="K1731" s="93">
        <v>14.38</v>
      </c>
      <c r="L1731" s="93">
        <v>256372.25</v>
      </c>
      <c r="M1731" s="93">
        <v>1302393.77</v>
      </c>
      <c r="N1731" s="95">
        <v>0.41</v>
      </c>
      <c r="O1731" s="95">
        <v>0.49</v>
      </c>
      <c r="P1731" s="95">
        <v>0.09</v>
      </c>
      <c r="Q1731" s="95">
        <v>0</v>
      </c>
      <c r="R1731" s="96">
        <v>0</v>
      </c>
    </row>
    <row r="1732" spans="1:18" ht="15" hidden="1" customHeight="1" x14ac:dyDescent="0.3">
      <c r="A1732" s="89">
        <v>2022</v>
      </c>
      <c r="B1732" s="90">
        <v>11</v>
      </c>
      <c r="C1732" s="90" t="s">
        <v>732</v>
      </c>
      <c r="D1732" s="90" t="s">
        <v>719</v>
      </c>
      <c r="E1732" s="91" t="s">
        <v>11</v>
      </c>
      <c r="F1732" s="92" t="s">
        <v>12</v>
      </c>
      <c r="G1732" s="93">
        <v>55792.33</v>
      </c>
      <c r="H1732" s="93">
        <v>259801.59</v>
      </c>
      <c r="I1732" s="93">
        <v>2397.5457928860201</v>
      </c>
      <c r="J1732" s="93">
        <v>2520.88</v>
      </c>
      <c r="K1732" s="93">
        <v>92.39</v>
      </c>
      <c r="L1732" s="93">
        <v>48078.559999999998</v>
      </c>
      <c r="M1732" s="93">
        <v>433311.44</v>
      </c>
      <c r="N1732" s="95">
        <v>0.14000000000000001</v>
      </c>
      <c r="O1732" s="95">
        <v>0.67</v>
      </c>
      <c r="P1732" s="95">
        <v>0.17</v>
      </c>
      <c r="Q1732" s="95">
        <v>0.01</v>
      </c>
      <c r="R1732" s="96">
        <v>0</v>
      </c>
    </row>
    <row r="1733" spans="1:18" ht="15" hidden="1" customHeight="1" x14ac:dyDescent="0.3">
      <c r="A1733" s="89">
        <v>2022</v>
      </c>
      <c r="B1733" s="90">
        <v>11</v>
      </c>
      <c r="C1733" s="90" t="s">
        <v>732</v>
      </c>
      <c r="D1733" s="90" t="s">
        <v>719</v>
      </c>
      <c r="E1733" s="91" t="s">
        <v>11</v>
      </c>
      <c r="F1733" s="92" t="s">
        <v>27</v>
      </c>
      <c r="G1733" s="93">
        <v>56342.96</v>
      </c>
      <c r="H1733" s="93">
        <v>148862.07999999999</v>
      </c>
      <c r="I1733" s="93">
        <v>2397.5457928860201</v>
      </c>
      <c r="J1733" s="93">
        <v>666.51</v>
      </c>
      <c r="K1733" s="93">
        <v>9.3699999999999992</v>
      </c>
      <c r="L1733" s="93">
        <v>9542.65</v>
      </c>
      <c r="M1733" s="93">
        <v>226689.38</v>
      </c>
      <c r="N1733" s="95">
        <v>0.26</v>
      </c>
      <c r="O1733" s="95">
        <v>0.69</v>
      </c>
      <c r="P1733" s="95">
        <v>0.05</v>
      </c>
      <c r="Q1733" s="95">
        <v>0</v>
      </c>
      <c r="R1733" s="96">
        <v>0</v>
      </c>
    </row>
    <row r="1734" spans="1:18" ht="15" hidden="1" customHeight="1" x14ac:dyDescent="0.3">
      <c r="A1734" s="89">
        <v>2022</v>
      </c>
      <c r="B1734" s="90">
        <v>11</v>
      </c>
      <c r="C1734" s="90" t="s">
        <v>732</v>
      </c>
      <c r="D1734" s="90" t="s">
        <v>719</v>
      </c>
      <c r="E1734" s="91" t="s">
        <v>11</v>
      </c>
      <c r="F1734" s="92" t="s">
        <v>28</v>
      </c>
      <c r="G1734" s="93">
        <v>67426.27</v>
      </c>
      <c r="H1734" s="93">
        <v>264404.62</v>
      </c>
      <c r="I1734" s="93">
        <v>2397.5457928860201</v>
      </c>
      <c r="J1734" s="93">
        <v>770.41</v>
      </c>
      <c r="K1734" s="93"/>
      <c r="L1734" s="93">
        <v>3332.96</v>
      </c>
      <c r="M1734" s="93">
        <v>373104.4</v>
      </c>
      <c r="N1734" s="95">
        <v>0.18</v>
      </c>
      <c r="O1734" s="95">
        <v>0.72</v>
      </c>
      <c r="P1734" s="95">
        <v>0.1</v>
      </c>
      <c r="Q1734" s="95">
        <v>0</v>
      </c>
      <c r="R1734" s="96">
        <v>0</v>
      </c>
    </row>
    <row r="1735" spans="1:18" ht="15" customHeight="1" x14ac:dyDescent="0.3">
      <c r="A1735" s="89">
        <v>2022</v>
      </c>
      <c r="B1735" s="90">
        <v>11</v>
      </c>
      <c r="C1735" s="90" t="s">
        <v>732</v>
      </c>
      <c r="D1735" s="90" t="s">
        <v>719</v>
      </c>
      <c r="E1735" s="91" t="s">
        <v>11</v>
      </c>
      <c r="F1735" s="92" t="s">
        <v>29</v>
      </c>
      <c r="G1735" s="93">
        <v>81420.320000000007</v>
      </c>
      <c r="H1735" s="93">
        <v>166104.56</v>
      </c>
      <c r="I1735" s="93">
        <v>2397.5457928860201</v>
      </c>
      <c r="J1735" s="93">
        <v>6841.72</v>
      </c>
      <c r="K1735" s="93">
        <v>366.02</v>
      </c>
      <c r="L1735" s="93">
        <v>54116.35</v>
      </c>
      <c r="M1735" s="93">
        <v>354391.76</v>
      </c>
      <c r="N1735" s="95">
        <v>0.27</v>
      </c>
      <c r="O1735" s="95">
        <v>0.55000000000000004</v>
      </c>
      <c r="P1735" s="95">
        <v>0.15</v>
      </c>
      <c r="Q1735" s="95">
        <v>0.02</v>
      </c>
      <c r="R1735" s="96">
        <v>0</v>
      </c>
    </row>
    <row r="1736" spans="1:18" ht="15" hidden="1" customHeight="1" x14ac:dyDescent="0.3">
      <c r="A1736" s="89">
        <v>2022</v>
      </c>
      <c r="B1736" s="90">
        <v>11</v>
      </c>
      <c r="C1736" s="90" t="s">
        <v>732</v>
      </c>
      <c r="D1736" s="90" t="s">
        <v>719</v>
      </c>
      <c r="E1736" s="91" t="s">
        <v>11</v>
      </c>
      <c r="F1736" s="92" t="s">
        <v>30</v>
      </c>
      <c r="G1736" s="93">
        <v>2944.36</v>
      </c>
      <c r="H1736" s="93">
        <v>8125.48</v>
      </c>
      <c r="I1736" s="93">
        <v>2397.5457928860201</v>
      </c>
      <c r="J1736" s="93">
        <v>918.55</v>
      </c>
      <c r="K1736" s="93">
        <v>120.68</v>
      </c>
      <c r="L1736" s="93">
        <v>215004.19</v>
      </c>
      <c r="M1736" s="93">
        <v>230086.24</v>
      </c>
      <c r="N1736" s="95">
        <v>0.2</v>
      </c>
      <c r="O1736" s="95">
        <v>0.54</v>
      </c>
      <c r="P1736" s="95">
        <v>0.2</v>
      </c>
      <c r="Q1736" s="95">
        <v>0.06</v>
      </c>
      <c r="R1736" s="96">
        <v>0.01</v>
      </c>
    </row>
    <row r="1737" spans="1:18" ht="15" hidden="1" customHeight="1" x14ac:dyDescent="0.3">
      <c r="A1737" s="89">
        <v>2022</v>
      </c>
      <c r="B1737" s="90">
        <v>11</v>
      </c>
      <c r="C1737" s="90" t="s">
        <v>732</v>
      </c>
      <c r="D1737" s="90" t="s">
        <v>719</v>
      </c>
      <c r="E1737" s="91" t="s">
        <v>11</v>
      </c>
      <c r="F1737" s="92" t="s">
        <v>31</v>
      </c>
      <c r="G1737" s="93">
        <v>4822.45</v>
      </c>
      <c r="H1737" s="93">
        <v>98337.43</v>
      </c>
      <c r="I1737" s="93">
        <v>2397.5457928860201</v>
      </c>
      <c r="J1737" s="93">
        <v>16158.14</v>
      </c>
      <c r="K1737" s="93">
        <v>1324.16</v>
      </c>
      <c r="L1737" s="93">
        <v>44327.39</v>
      </c>
      <c r="M1737" s="93">
        <v>251948.86</v>
      </c>
      <c r="N1737" s="95">
        <v>0.02</v>
      </c>
      <c r="O1737" s="95">
        <v>0.47</v>
      </c>
      <c r="P1737" s="95">
        <v>0.42</v>
      </c>
      <c r="Q1737" s="95">
        <v>0.08</v>
      </c>
      <c r="R1737" s="96">
        <v>0.01</v>
      </c>
    </row>
    <row r="1738" spans="1:18" ht="15" hidden="1" customHeight="1" x14ac:dyDescent="0.3">
      <c r="A1738" s="89">
        <v>2022</v>
      </c>
      <c r="B1738" s="90">
        <v>11</v>
      </c>
      <c r="C1738" s="90" t="s">
        <v>732</v>
      </c>
      <c r="D1738" s="90" t="s">
        <v>719</v>
      </c>
      <c r="E1738" s="91" t="s">
        <v>11</v>
      </c>
      <c r="F1738" s="92" t="s">
        <v>32</v>
      </c>
      <c r="G1738" s="93">
        <v>51914.74</v>
      </c>
      <c r="H1738" s="93">
        <v>437473.04</v>
      </c>
      <c r="I1738" s="93">
        <v>2397.5457928860201</v>
      </c>
      <c r="J1738" s="93">
        <v>4606.28</v>
      </c>
      <c r="K1738" s="93">
        <v>89.93</v>
      </c>
      <c r="L1738" s="93">
        <v>20926.87</v>
      </c>
      <c r="M1738" s="93">
        <v>609521.87</v>
      </c>
      <c r="N1738" s="95">
        <v>0.09</v>
      </c>
      <c r="O1738" s="95">
        <v>0.74</v>
      </c>
      <c r="P1738" s="95">
        <v>0.16</v>
      </c>
      <c r="Q1738" s="95">
        <v>0.01</v>
      </c>
      <c r="R1738" s="96">
        <v>0</v>
      </c>
    </row>
    <row r="1739" spans="1:18" ht="15" hidden="1" customHeight="1" x14ac:dyDescent="0.3">
      <c r="A1739" s="89">
        <v>2022</v>
      </c>
      <c r="B1739" s="90">
        <v>11</v>
      </c>
      <c r="C1739" s="90" t="s">
        <v>732</v>
      </c>
      <c r="D1739" s="90" t="s">
        <v>719</v>
      </c>
      <c r="E1739" s="91" t="s">
        <v>11</v>
      </c>
      <c r="F1739" s="92" t="s">
        <v>33</v>
      </c>
      <c r="G1739" s="93">
        <v>631159.46</v>
      </c>
      <c r="H1739" s="93">
        <v>532351.66</v>
      </c>
      <c r="I1739" s="93">
        <v>2397.5457928860201</v>
      </c>
      <c r="J1739" s="93">
        <v>10742.62</v>
      </c>
      <c r="K1739" s="93">
        <v>72.14</v>
      </c>
      <c r="L1739" s="93">
        <v>38436.21</v>
      </c>
      <c r="M1739" s="93">
        <v>1352055.51</v>
      </c>
      <c r="N1739" s="95">
        <v>0.48</v>
      </c>
      <c r="O1739" s="95">
        <v>0.41</v>
      </c>
      <c r="P1739" s="95">
        <v>0.11</v>
      </c>
      <c r="Q1739" s="95">
        <v>0.01</v>
      </c>
      <c r="R1739" s="96">
        <v>0</v>
      </c>
    </row>
    <row r="1740" spans="1:18" ht="15" hidden="1" customHeight="1" x14ac:dyDescent="0.3">
      <c r="A1740" s="89">
        <v>2022</v>
      </c>
      <c r="B1740" s="90">
        <v>11</v>
      </c>
      <c r="C1740" s="90" t="s">
        <v>732</v>
      </c>
      <c r="D1740" s="90" t="s">
        <v>719</v>
      </c>
      <c r="E1740" s="91" t="s">
        <v>11</v>
      </c>
      <c r="F1740" s="92" t="s">
        <v>34</v>
      </c>
      <c r="G1740" s="93">
        <v>93853.34</v>
      </c>
      <c r="H1740" s="93">
        <v>430620.21</v>
      </c>
      <c r="I1740" s="93">
        <v>2397.5457928860201</v>
      </c>
      <c r="J1740" s="93">
        <v>10001.879999999999</v>
      </c>
      <c r="K1740" s="93">
        <v>661.17</v>
      </c>
      <c r="L1740" s="93">
        <v>34226.18</v>
      </c>
      <c r="M1740" s="93">
        <v>713628.98</v>
      </c>
      <c r="N1740" s="95">
        <v>0.14000000000000001</v>
      </c>
      <c r="O1740" s="95">
        <v>0.63</v>
      </c>
      <c r="P1740" s="95">
        <v>0.21</v>
      </c>
      <c r="Q1740" s="95">
        <v>0.01</v>
      </c>
      <c r="R1740" s="96">
        <v>0</v>
      </c>
    </row>
    <row r="1741" spans="1:18" ht="15" hidden="1" customHeight="1" x14ac:dyDescent="0.3">
      <c r="A1741" s="89">
        <v>2022</v>
      </c>
      <c r="B1741" s="90">
        <v>11</v>
      </c>
      <c r="C1741" s="90" t="s">
        <v>732</v>
      </c>
      <c r="D1741" s="90" t="s">
        <v>719</v>
      </c>
      <c r="E1741" s="91" t="s">
        <v>11</v>
      </c>
      <c r="F1741" s="92" t="s">
        <v>35</v>
      </c>
      <c r="G1741" s="93">
        <v>54315.47</v>
      </c>
      <c r="H1741" s="93">
        <v>216950.26</v>
      </c>
      <c r="I1741" s="93">
        <v>2397.5457928860201</v>
      </c>
      <c r="J1741" s="93">
        <v>5902.4</v>
      </c>
      <c r="K1741" s="93">
        <v>1490.51</v>
      </c>
      <c r="L1741" s="93">
        <v>232730.28</v>
      </c>
      <c r="M1741" s="93">
        <v>605861.19999999995</v>
      </c>
      <c r="N1741" s="95">
        <v>0.15</v>
      </c>
      <c r="O1741" s="95">
        <v>0.57999999999999996</v>
      </c>
      <c r="P1741" s="95">
        <v>0.25</v>
      </c>
      <c r="Q1741" s="95">
        <v>0.02</v>
      </c>
      <c r="R1741" s="96">
        <v>0</v>
      </c>
    </row>
    <row r="1742" spans="1:18" ht="15" hidden="1" customHeight="1" x14ac:dyDescent="0.3">
      <c r="A1742" s="89">
        <v>2022</v>
      </c>
      <c r="B1742" s="90">
        <v>11</v>
      </c>
      <c r="C1742" s="90" t="s">
        <v>732</v>
      </c>
      <c r="D1742" s="90" t="s">
        <v>719</v>
      </c>
      <c r="E1742" s="91" t="s">
        <v>11</v>
      </c>
      <c r="F1742" s="92" t="s">
        <v>36</v>
      </c>
      <c r="G1742" s="93">
        <v>16700.63</v>
      </c>
      <c r="H1742" s="93">
        <v>163836.49</v>
      </c>
      <c r="I1742" s="93">
        <v>2397.5457928860201</v>
      </c>
      <c r="J1742" s="93">
        <v>1264.95</v>
      </c>
      <c r="K1742" s="93"/>
      <c r="L1742" s="93">
        <v>32511.32</v>
      </c>
      <c r="M1742" s="93">
        <v>258886.74</v>
      </c>
      <c r="N1742" s="95">
        <v>7.0000000000000007E-2</v>
      </c>
      <c r="O1742" s="95">
        <v>0.72</v>
      </c>
      <c r="P1742" s="95">
        <v>0.2</v>
      </c>
      <c r="Q1742" s="95">
        <v>0.01</v>
      </c>
      <c r="R1742" s="96">
        <v>0</v>
      </c>
    </row>
    <row r="1743" spans="1:18" ht="15" hidden="1" customHeight="1" x14ac:dyDescent="0.3">
      <c r="A1743" s="89">
        <v>2022</v>
      </c>
      <c r="B1743" s="90">
        <v>11</v>
      </c>
      <c r="C1743" s="90" t="s">
        <v>732</v>
      </c>
      <c r="D1743" s="90" t="s">
        <v>719</v>
      </c>
      <c r="E1743" s="91" t="s">
        <v>11</v>
      </c>
      <c r="F1743" s="92" t="s">
        <v>37</v>
      </c>
      <c r="G1743" s="93">
        <v>81111.100000000006</v>
      </c>
      <c r="H1743" s="93">
        <v>213595.21</v>
      </c>
      <c r="I1743" s="93">
        <v>2397.5457928860201</v>
      </c>
      <c r="J1743" s="93">
        <v>4499.41</v>
      </c>
      <c r="K1743" s="93">
        <v>77.680000000000007</v>
      </c>
      <c r="L1743" s="93">
        <v>152610.78</v>
      </c>
      <c r="M1743" s="93">
        <v>524074.32</v>
      </c>
      <c r="N1743" s="95">
        <v>0.22</v>
      </c>
      <c r="O1743" s="95">
        <v>0.57999999999999996</v>
      </c>
      <c r="P1743" s="95">
        <v>0.19</v>
      </c>
      <c r="Q1743" s="95">
        <v>0.01</v>
      </c>
      <c r="R1743" s="96">
        <v>0</v>
      </c>
    </row>
    <row r="1744" spans="1:18" ht="15" hidden="1" customHeight="1" x14ac:dyDescent="0.3">
      <c r="A1744" s="89">
        <v>2022</v>
      </c>
      <c r="B1744" s="90">
        <v>11</v>
      </c>
      <c r="C1744" s="90" t="s">
        <v>732</v>
      </c>
      <c r="D1744" s="90" t="s">
        <v>719</v>
      </c>
      <c r="E1744" s="91" t="s">
        <v>11</v>
      </c>
      <c r="F1744" s="92" t="s">
        <v>38</v>
      </c>
      <c r="G1744" s="93">
        <v>103295.08</v>
      </c>
      <c r="H1744" s="93">
        <v>432658.39</v>
      </c>
      <c r="I1744" s="93">
        <v>2397.5457928860201</v>
      </c>
      <c r="J1744" s="93">
        <v>8989.4500000000007</v>
      </c>
      <c r="K1744" s="93">
        <v>231.19</v>
      </c>
      <c r="L1744" s="93">
        <v>177729.23</v>
      </c>
      <c r="M1744" s="93">
        <v>927959.02</v>
      </c>
      <c r="N1744" s="95">
        <v>0.14000000000000001</v>
      </c>
      <c r="O1744" s="95">
        <v>0.57999999999999996</v>
      </c>
      <c r="P1744" s="95">
        <v>0.27</v>
      </c>
      <c r="Q1744" s="95">
        <v>0.01</v>
      </c>
      <c r="R1744" s="96">
        <v>0</v>
      </c>
    </row>
    <row r="1745" spans="1:18" ht="15" hidden="1" customHeight="1" x14ac:dyDescent="0.3">
      <c r="A1745" s="89">
        <v>2022</v>
      </c>
      <c r="B1745" s="90">
        <v>11</v>
      </c>
      <c r="C1745" s="90" t="s">
        <v>732</v>
      </c>
      <c r="D1745" s="90" t="s">
        <v>719</v>
      </c>
      <c r="E1745" s="91" t="s">
        <v>11</v>
      </c>
      <c r="F1745" s="92" t="s">
        <v>39</v>
      </c>
      <c r="G1745" s="93">
        <v>44020.13</v>
      </c>
      <c r="H1745" s="93">
        <v>223167.5</v>
      </c>
      <c r="I1745" s="93">
        <v>2397.5457928860201</v>
      </c>
      <c r="J1745" s="93">
        <v>2321.44</v>
      </c>
      <c r="K1745" s="93">
        <v>39.85</v>
      </c>
      <c r="L1745" s="93">
        <v>10926.97</v>
      </c>
      <c r="M1745" s="93">
        <v>331195.63</v>
      </c>
      <c r="N1745" s="95">
        <v>0.14000000000000001</v>
      </c>
      <c r="O1745" s="95">
        <v>0.7</v>
      </c>
      <c r="P1745" s="95">
        <v>0.16</v>
      </c>
      <c r="Q1745" s="95">
        <v>0.01</v>
      </c>
      <c r="R1745" s="96">
        <v>0</v>
      </c>
    </row>
    <row r="1746" spans="1:18" ht="15" hidden="1" customHeight="1" x14ac:dyDescent="0.3">
      <c r="A1746" s="89">
        <v>2022</v>
      </c>
      <c r="B1746" s="90">
        <v>11</v>
      </c>
      <c r="C1746" s="90" t="s">
        <v>732</v>
      </c>
      <c r="D1746" s="90" t="s">
        <v>719</v>
      </c>
      <c r="E1746" s="91" t="s">
        <v>11</v>
      </c>
      <c r="F1746" s="92" t="s">
        <v>41</v>
      </c>
      <c r="G1746" s="93">
        <v>16220.92</v>
      </c>
      <c r="H1746" s="93">
        <v>2142.94</v>
      </c>
      <c r="I1746" s="93">
        <v>2397.5457928860201</v>
      </c>
      <c r="J1746" s="93">
        <v>13.24</v>
      </c>
      <c r="K1746" s="93"/>
      <c r="L1746" s="93">
        <v>0</v>
      </c>
      <c r="M1746" s="93">
        <v>18714.330000000002</v>
      </c>
      <c r="N1746" s="95">
        <v>0.87</v>
      </c>
      <c r="O1746" s="95">
        <v>0.11</v>
      </c>
      <c r="P1746" s="95">
        <v>0.02</v>
      </c>
      <c r="Q1746" s="95">
        <v>0</v>
      </c>
      <c r="R1746" s="96">
        <v>0</v>
      </c>
    </row>
    <row r="1747" spans="1:18" ht="15" hidden="1" customHeight="1" x14ac:dyDescent="0.3">
      <c r="A1747" s="89">
        <v>2022</v>
      </c>
      <c r="B1747" s="90">
        <v>11</v>
      </c>
      <c r="C1747" s="90" t="s">
        <v>732</v>
      </c>
      <c r="D1747" s="90" t="s">
        <v>719</v>
      </c>
      <c r="E1747" s="91" t="s">
        <v>11</v>
      </c>
      <c r="F1747" s="92" t="s">
        <v>42</v>
      </c>
      <c r="G1747" s="93">
        <v>15379.67</v>
      </c>
      <c r="H1747" s="93">
        <v>332112.61</v>
      </c>
      <c r="I1747" s="93">
        <v>2397.5457928860201</v>
      </c>
      <c r="J1747" s="93">
        <v>47494.19</v>
      </c>
      <c r="K1747" s="93">
        <v>2280.7600000000002</v>
      </c>
      <c r="L1747" s="93">
        <v>54172.46</v>
      </c>
      <c r="M1747" s="93">
        <v>620824.21</v>
      </c>
      <c r="N1747" s="95">
        <v>0.03</v>
      </c>
      <c r="O1747" s="95">
        <v>0.59</v>
      </c>
      <c r="P1747" s="95">
        <v>0.3</v>
      </c>
      <c r="Q1747" s="95">
        <v>0.08</v>
      </c>
      <c r="R1747" s="96">
        <v>0</v>
      </c>
    </row>
    <row r="1748" spans="1:18" ht="15" hidden="1" customHeight="1" x14ac:dyDescent="0.3">
      <c r="A1748" s="89">
        <v>2022</v>
      </c>
      <c r="B1748" s="90">
        <v>11</v>
      </c>
      <c r="C1748" s="90" t="s">
        <v>732</v>
      </c>
      <c r="D1748" s="90" t="s">
        <v>719</v>
      </c>
      <c r="E1748" s="91" t="s">
        <v>11</v>
      </c>
      <c r="F1748" s="92" t="s">
        <v>43</v>
      </c>
      <c r="G1748" s="93">
        <v>4078.92</v>
      </c>
      <c r="H1748" s="93">
        <v>33941.01</v>
      </c>
      <c r="I1748" s="93">
        <v>2397.5457928860201</v>
      </c>
      <c r="J1748" s="93">
        <v>8746.0400000000009</v>
      </c>
      <c r="K1748" s="93">
        <v>766.93</v>
      </c>
      <c r="L1748" s="93">
        <v>115583.17</v>
      </c>
      <c r="M1748" s="93">
        <v>185575.52</v>
      </c>
      <c r="N1748" s="95">
        <v>0.06</v>
      </c>
      <c r="O1748" s="95">
        <v>0.48</v>
      </c>
      <c r="P1748" s="95">
        <v>0.32</v>
      </c>
      <c r="Q1748" s="95">
        <v>0.12</v>
      </c>
      <c r="R1748" s="96">
        <v>0.01</v>
      </c>
    </row>
    <row r="1749" spans="1:18" ht="15" hidden="1" customHeight="1" x14ac:dyDescent="0.3">
      <c r="A1749" s="89">
        <v>2022</v>
      </c>
      <c r="B1749" s="90">
        <v>11</v>
      </c>
      <c r="C1749" s="90" t="s">
        <v>732</v>
      </c>
      <c r="D1749" s="90" t="s">
        <v>719</v>
      </c>
      <c r="E1749" s="91" t="s">
        <v>11</v>
      </c>
      <c r="F1749" s="92" t="s">
        <v>58</v>
      </c>
      <c r="G1749" s="93">
        <v>13443.46</v>
      </c>
      <c r="H1749" s="93">
        <v>194528.92</v>
      </c>
      <c r="I1749" s="93">
        <v>2397.5457928860201</v>
      </c>
      <c r="J1749" s="93">
        <v>6473.32</v>
      </c>
      <c r="K1749" s="93">
        <v>9.32</v>
      </c>
      <c r="L1749" s="93">
        <v>4068.48</v>
      </c>
      <c r="M1749" s="93">
        <v>371477.13</v>
      </c>
      <c r="N1749" s="95">
        <v>0.04</v>
      </c>
      <c r="O1749" s="95">
        <v>0.53</v>
      </c>
      <c r="P1749" s="95">
        <v>0.42</v>
      </c>
      <c r="Q1749" s="95">
        <v>0.02</v>
      </c>
      <c r="R1749" s="96">
        <v>0</v>
      </c>
    </row>
    <row r="1750" spans="1:18" ht="15" hidden="1" customHeight="1" x14ac:dyDescent="0.3">
      <c r="A1750" s="89">
        <v>2022</v>
      </c>
      <c r="B1750" s="90">
        <v>11</v>
      </c>
      <c r="C1750" s="90" t="s">
        <v>732</v>
      </c>
      <c r="D1750" s="90" t="s">
        <v>719</v>
      </c>
      <c r="E1750" s="91" t="s">
        <v>11</v>
      </c>
      <c r="F1750" s="92" t="s">
        <v>44</v>
      </c>
      <c r="G1750" s="93">
        <v>16133.45</v>
      </c>
      <c r="H1750" s="93">
        <v>114444.69</v>
      </c>
      <c r="I1750" s="93">
        <v>2397.5457928860201</v>
      </c>
      <c r="J1750" s="93">
        <v>1849.82</v>
      </c>
      <c r="K1750" s="93">
        <v>56.88</v>
      </c>
      <c r="L1750" s="93">
        <v>40448.269999999997</v>
      </c>
      <c r="M1750" s="93">
        <v>215729.36</v>
      </c>
      <c r="N1750" s="95">
        <v>0.09</v>
      </c>
      <c r="O1750" s="95">
        <v>0.65</v>
      </c>
      <c r="P1750" s="95">
        <v>0.24</v>
      </c>
      <c r="Q1750" s="95">
        <v>0.01</v>
      </c>
      <c r="R1750" s="96">
        <v>0</v>
      </c>
    </row>
    <row r="1751" spans="1:18" ht="15" hidden="1" customHeight="1" x14ac:dyDescent="0.3">
      <c r="A1751" s="89">
        <v>2022</v>
      </c>
      <c r="B1751" s="90">
        <v>11</v>
      </c>
      <c r="C1751" s="90" t="s">
        <v>732</v>
      </c>
      <c r="D1751" s="90" t="s">
        <v>719</v>
      </c>
      <c r="E1751" s="91" t="s">
        <v>11</v>
      </c>
      <c r="F1751" s="92" t="s">
        <v>51</v>
      </c>
      <c r="G1751" s="93">
        <v>15810.63</v>
      </c>
      <c r="H1751" s="93">
        <v>28909.54</v>
      </c>
      <c r="I1751" s="93">
        <v>2397.5457928860201</v>
      </c>
      <c r="J1751" s="93">
        <v>65535.21</v>
      </c>
      <c r="K1751" s="93">
        <v>4549.0200000000004</v>
      </c>
      <c r="L1751" s="93">
        <v>241.85</v>
      </c>
      <c r="M1751" s="93">
        <v>211202.48</v>
      </c>
      <c r="N1751" s="95">
        <v>7.0000000000000007E-2</v>
      </c>
      <c r="O1751" s="95">
        <v>0.14000000000000001</v>
      </c>
      <c r="P1751" s="95">
        <v>0.46</v>
      </c>
      <c r="Q1751" s="95">
        <v>0.31</v>
      </c>
      <c r="R1751" s="96">
        <v>0.02</v>
      </c>
    </row>
    <row r="1752" spans="1:18" ht="15" hidden="1" customHeight="1" x14ac:dyDescent="0.3">
      <c r="A1752" s="89">
        <v>2022</v>
      </c>
      <c r="B1752" s="90">
        <v>11</v>
      </c>
      <c r="C1752" s="90" t="s">
        <v>732</v>
      </c>
      <c r="D1752" s="90" t="s">
        <v>719</v>
      </c>
      <c r="E1752" s="91" t="s">
        <v>11</v>
      </c>
      <c r="F1752" s="92" t="s">
        <v>45</v>
      </c>
      <c r="G1752" s="93">
        <v>31643.58</v>
      </c>
      <c r="H1752" s="93">
        <v>35539.61</v>
      </c>
      <c r="I1752" s="93">
        <v>2397.5457928860201</v>
      </c>
      <c r="J1752" s="93">
        <v>3762.5</v>
      </c>
      <c r="K1752" s="93">
        <v>161.57</v>
      </c>
      <c r="L1752" s="93">
        <v>47150.75</v>
      </c>
      <c r="M1752" s="93">
        <v>134096.20000000001</v>
      </c>
      <c r="N1752" s="95">
        <v>0.36</v>
      </c>
      <c r="O1752" s="95">
        <v>0.41</v>
      </c>
      <c r="P1752" s="95">
        <v>0.18</v>
      </c>
      <c r="Q1752" s="95">
        <v>0.04</v>
      </c>
      <c r="R1752" s="96">
        <v>0</v>
      </c>
    </row>
    <row r="1753" spans="1:18" ht="15" hidden="1" customHeight="1" x14ac:dyDescent="0.3">
      <c r="A1753" s="89">
        <v>2022</v>
      </c>
      <c r="B1753" s="90">
        <v>11</v>
      </c>
      <c r="C1753" s="90" t="s">
        <v>732</v>
      </c>
      <c r="D1753" s="90" t="s">
        <v>719</v>
      </c>
      <c r="E1753" s="91" t="s">
        <v>11</v>
      </c>
      <c r="F1753" s="92" t="s">
        <v>721</v>
      </c>
      <c r="G1753" s="93">
        <v>23956.23</v>
      </c>
      <c r="H1753" s="93">
        <v>222973.35</v>
      </c>
      <c r="I1753" s="93">
        <v>2397.5457928860201</v>
      </c>
      <c r="J1753" s="93">
        <v>2254.86</v>
      </c>
      <c r="K1753" s="93">
        <v>32.76</v>
      </c>
      <c r="L1753" s="93">
        <v>4.34</v>
      </c>
      <c r="M1753" s="93">
        <v>309330.63</v>
      </c>
      <c r="N1753" s="95">
        <v>0.08</v>
      </c>
      <c r="O1753" s="95">
        <v>0.72</v>
      </c>
      <c r="P1753" s="95">
        <v>0.19</v>
      </c>
      <c r="Q1753" s="95">
        <v>0.01</v>
      </c>
      <c r="R1753" s="96">
        <v>0</v>
      </c>
    </row>
    <row r="1754" spans="1:18" ht="15" hidden="1" customHeight="1" x14ac:dyDescent="0.3">
      <c r="A1754" s="89">
        <v>2022</v>
      </c>
      <c r="B1754" s="90">
        <v>11</v>
      </c>
      <c r="C1754" s="90" t="s">
        <v>732</v>
      </c>
      <c r="D1754" s="90" t="s">
        <v>719</v>
      </c>
      <c r="E1754" s="91" t="s">
        <v>11</v>
      </c>
      <c r="F1754" s="92" t="s">
        <v>46</v>
      </c>
      <c r="G1754" s="93">
        <v>26424.9</v>
      </c>
      <c r="H1754" s="93">
        <v>91967.06</v>
      </c>
      <c r="I1754" s="93">
        <v>2397.5457928860201</v>
      </c>
      <c r="J1754" s="93">
        <v>4887.3500000000004</v>
      </c>
      <c r="K1754" s="93">
        <v>753.92</v>
      </c>
      <c r="L1754" s="93">
        <v>654.6</v>
      </c>
      <c r="M1754" s="93">
        <v>149074.81</v>
      </c>
      <c r="N1754" s="95">
        <v>0.18</v>
      </c>
      <c r="O1754" s="95">
        <v>0.62</v>
      </c>
      <c r="P1754" s="95">
        <v>0.16</v>
      </c>
      <c r="Q1754" s="95">
        <v>0.03</v>
      </c>
      <c r="R1754" s="96">
        <v>0.01</v>
      </c>
    </row>
    <row r="1755" spans="1:18" ht="15" hidden="1" customHeight="1" x14ac:dyDescent="0.3">
      <c r="A1755" s="89">
        <v>2022</v>
      </c>
      <c r="B1755" s="90">
        <v>11</v>
      </c>
      <c r="C1755" s="90" t="s">
        <v>732</v>
      </c>
      <c r="D1755" s="90" t="s">
        <v>719</v>
      </c>
      <c r="E1755" s="91" t="s">
        <v>11</v>
      </c>
      <c r="F1755" s="92" t="s">
        <v>47</v>
      </c>
      <c r="G1755" s="93">
        <v>14043.59</v>
      </c>
      <c r="H1755" s="93">
        <v>140817.95000000001</v>
      </c>
      <c r="I1755" s="93">
        <v>2397.5457928860201</v>
      </c>
      <c r="J1755" s="93">
        <v>487287.24</v>
      </c>
      <c r="K1755" s="93">
        <v>106820.98</v>
      </c>
      <c r="L1755" s="93">
        <v>151781.79999999999</v>
      </c>
      <c r="M1755" s="93">
        <v>1461770.89</v>
      </c>
      <c r="N1755" s="95">
        <v>0.01</v>
      </c>
      <c r="O1755" s="95">
        <v>0.11</v>
      </c>
      <c r="P1755" s="95">
        <v>0.43</v>
      </c>
      <c r="Q1755" s="95">
        <v>0.37</v>
      </c>
      <c r="R1755" s="96">
        <v>0.08</v>
      </c>
    </row>
    <row r="1756" spans="1:18" ht="15" hidden="1" customHeight="1" x14ac:dyDescent="0.3">
      <c r="A1756" s="89">
        <v>2022</v>
      </c>
      <c r="B1756" s="90">
        <v>11</v>
      </c>
      <c r="C1756" s="90" t="s">
        <v>732</v>
      </c>
      <c r="D1756" s="90" t="s">
        <v>719</v>
      </c>
      <c r="E1756" s="91" t="s">
        <v>11</v>
      </c>
      <c r="F1756" s="92" t="s">
        <v>48</v>
      </c>
      <c r="G1756" s="93">
        <v>13883.06</v>
      </c>
      <c r="H1756" s="93">
        <v>58092.34</v>
      </c>
      <c r="I1756" s="93">
        <v>2397.5457928860201</v>
      </c>
      <c r="J1756" s="93">
        <v>2534.8200000000002</v>
      </c>
      <c r="K1756" s="93">
        <v>98.91</v>
      </c>
      <c r="L1756" s="93">
        <v>8293.3799999999992</v>
      </c>
      <c r="M1756" s="93">
        <v>110314.47</v>
      </c>
      <c r="N1756" s="95">
        <v>0.14000000000000001</v>
      </c>
      <c r="O1756" s="95">
        <v>0.56999999999999995</v>
      </c>
      <c r="P1756" s="95">
        <v>0.27</v>
      </c>
      <c r="Q1756" s="95">
        <v>0.02</v>
      </c>
      <c r="R1756" s="96">
        <v>0</v>
      </c>
    </row>
    <row r="1757" spans="1:18" ht="15" hidden="1" customHeight="1" x14ac:dyDescent="0.3">
      <c r="A1757" s="89">
        <v>2022</v>
      </c>
      <c r="B1757" s="90">
        <v>11</v>
      </c>
      <c r="C1757" s="90" t="s">
        <v>732</v>
      </c>
      <c r="D1757" s="90" t="s">
        <v>719</v>
      </c>
      <c r="E1757" s="91" t="s">
        <v>11</v>
      </c>
      <c r="F1757" s="92" t="s">
        <v>40</v>
      </c>
      <c r="G1757" s="93">
        <v>55499.65</v>
      </c>
      <c r="H1757" s="93">
        <v>233492.71</v>
      </c>
      <c r="I1757" s="93">
        <v>2397.5457928860201</v>
      </c>
      <c r="J1757" s="93">
        <v>1054.4100000000001</v>
      </c>
      <c r="K1757" s="93">
        <v>37.1</v>
      </c>
      <c r="L1757" s="93">
        <v>5047.1000000000004</v>
      </c>
      <c r="M1757" s="93">
        <v>326305.03999999998</v>
      </c>
      <c r="N1757" s="95">
        <v>0.17</v>
      </c>
      <c r="O1757" s="95">
        <v>0.73</v>
      </c>
      <c r="P1757" s="95">
        <v>0.1</v>
      </c>
      <c r="Q1757" s="95">
        <v>0</v>
      </c>
      <c r="R1757" s="96">
        <v>0</v>
      </c>
    </row>
    <row r="1758" spans="1:18" ht="15" hidden="1" customHeight="1" x14ac:dyDescent="0.3">
      <c r="A1758" s="89">
        <v>2022</v>
      </c>
      <c r="B1758" s="90">
        <v>11</v>
      </c>
      <c r="C1758" s="90" t="s">
        <v>732</v>
      </c>
      <c r="D1758" s="90" t="s">
        <v>722</v>
      </c>
      <c r="E1758" s="91" t="s">
        <v>11</v>
      </c>
      <c r="F1758" s="92" t="s">
        <v>26</v>
      </c>
      <c r="G1758" s="93">
        <v>353165.32</v>
      </c>
      <c r="H1758" s="93">
        <v>531093.25</v>
      </c>
      <c r="I1758" s="93">
        <v>2397.5457928860201</v>
      </c>
      <c r="J1758" s="93">
        <v>15545.34</v>
      </c>
      <c r="K1758" s="93">
        <v>138.80000000000001</v>
      </c>
      <c r="L1758" s="93">
        <v>257394.53</v>
      </c>
      <c r="M1758" s="93">
        <v>1302393.77</v>
      </c>
      <c r="N1758" s="95">
        <v>0.34</v>
      </c>
      <c r="O1758" s="95">
        <v>0.51</v>
      </c>
      <c r="P1758" s="95">
        <v>0.14000000000000001</v>
      </c>
      <c r="Q1758" s="95">
        <v>0.01</v>
      </c>
      <c r="R1758" s="96">
        <v>0</v>
      </c>
    </row>
    <row r="1759" spans="1:18" ht="15" hidden="1" customHeight="1" x14ac:dyDescent="0.3">
      <c r="A1759" s="89">
        <v>2022</v>
      </c>
      <c r="B1759" s="90">
        <v>11</v>
      </c>
      <c r="C1759" s="90" t="s">
        <v>732</v>
      </c>
      <c r="D1759" s="90" t="s">
        <v>722</v>
      </c>
      <c r="E1759" s="91" t="s">
        <v>11</v>
      </c>
      <c r="F1759" s="92" t="s">
        <v>12</v>
      </c>
      <c r="G1759" s="93">
        <v>114218.12</v>
      </c>
      <c r="H1759" s="93">
        <v>228314.36</v>
      </c>
      <c r="I1759" s="93">
        <v>2397.5457928860201</v>
      </c>
      <c r="J1759" s="93">
        <v>2294.15</v>
      </c>
      <c r="K1759" s="93">
        <v>83.7</v>
      </c>
      <c r="L1759" s="93">
        <v>48067.25</v>
      </c>
      <c r="M1759" s="93">
        <v>433311.44</v>
      </c>
      <c r="N1759" s="95">
        <v>0.3</v>
      </c>
      <c r="O1759" s="95">
        <v>0.59</v>
      </c>
      <c r="P1759" s="95">
        <v>0.1</v>
      </c>
      <c r="Q1759" s="95">
        <v>0.01</v>
      </c>
      <c r="R1759" s="96">
        <v>0</v>
      </c>
    </row>
    <row r="1760" spans="1:18" ht="15" hidden="1" customHeight="1" x14ac:dyDescent="0.3">
      <c r="A1760" s="89">
        <v>2022</v>
      </c>
      <c r="B1760" s="90">
        <v>11</v>
      </c>
      <c r="C1760" s="90" t="s">
        <v>732</v>
      </c>
      <c r="D1760" s="90" t="s">
        <v>722</v>
      </c>
      <c r="E1760" s="91" t="s">
        <v>11</v>
      </c>
      <c r="F1760" s="92" t="s">
        <v>27</v>
      </c>
      <c r="G1760" s="93">
        <v>43226.44</v>
      </c>
      <c r="H1760" s="93">
        <v>162065.34</v>
      </c>
      <c r="I1760" s="93">
        <v>2397.5457928860201</v>
      </c>
      <c r="J1760" s="93">
        <v>495.6</v>
      </c>
      <c r="K1760" s="93">
        <v>9.3699999999999992</v>
      </c>
      <c r="L1760" s="93">
        <v>6942.01</v>
      </c>
      <c r="M1760" s="93">
        <v>226689.38</v>
      </c>
      <c r="N1760" s="95">
        <v>0.2</v>
      </c>
      <c r="O1760" s="95">
        <v>0.74</v>
      </c>
      <c r="P1760" s="95">
        <v>0.06</v>
      </c>
      <c r="Q1760" s="95">
        <v>0</v>
      </c>
      <c r="R1760" s="96">
        <v>0</v>
      </c>
    </row>
    <row r="1761" spans="1:18" ht="15" hidden="1" customHeight="1" x14ac:dyDescent="0.3">
      <c r="A1761" s="89">
        <v>2022</v>
      </c>
      <c r="B1761" s="90">
        <v>11</v>
      </c>
      <c r="C1761" s="90" t="s">
        <v>732</v>
      </c>
      <c r="D1761" s="90" t="s">
        <v>722</v>
      </c>
      <c r="E1761" s="91" t="s">
        <v>11</v>
      </c>
      <c r="F1761" s="92" t="s">
        <v>28</v>
      </c>
      <c r="G1761" s="93">
        <v>189211.68</v>
      </c>
      <c r="H1761" s="93">
        <v>170406.02</v>
      </c>
      <c r="I1761" s="93">
        <v>2397.5457928860201</v>
      </c>
      <c r="J1761" s="93">
        <v>595.1</v>
      </c>
      <c r="K1761" s="93"/>
      <c r="L1761" s="93">
        <v>3227.61</v>
      </c>
      <c r="M1761" s="93">
        <v>373104.4</v>
      </c>
      <c r="N1761" s="95">
        <v>0.51</v>
      </c>
      <c r="O1761" s="95">
        <v>0.46</v>
      </c>
      <c r="P1761" s="95">
        <v>0.03</v>
      </c>
      <c r="Q1761" s="95">
        <v>0</v>
      </c>
      <c r="R1761" s="96">
        <v>0</v>
      </c>
    </row>
    <row r="1762" spans="1:18" ht="15" customHeight="1" x14ac:dyDescent="0.3">
      <c r="A1762" s="89">
        <v>2022</v>
      </c>
      <c r="B1762" s="90">
        <v>11</v>
      </c>
      <c r="C1762" s="90" t="s">
        <v>732</v>
      </c>
      <c r="D1762" s="90" t="s">
        <v>722</v>
      </c>
      <c r="E1762" s="91" t="s">
        <v>11</v>
      </c>
      <c r="F1762" s="92" t="s">
        <v>29</v>
      </c>
      <c r="G1762" s="93">
        <v>23032.21</v>
      </c>
      <c r="H1762" s="93">
        <v>70471.89</v>
      </c>
      <c r="I1762" s="93">
        <v>2397.5457928860201</v>
      </c>
      <c r="J1762" s="93">
        <v>67364.94</v>
      </c>
      <c r="K1762" s="93">
        <v>3904.23</v>
      </c>
      <c r="L1762" s="93">
        <v>73480.06</v>
      </c>
      <c r="M1762" s="93">
        <v>354391.76</v>
      </c>
      <c r="N1762" s="95">
        <v>0.08</v>
      </c>
      <c r="O1762" s="95">
        <v>0.25</v>
      </c>
      <c r="P1762" s="95">
        <v>0.41</v>
      </c>
      <c r="Q1762" s="95">
        <v>0.24</v>
      </c>
      <c r="R1762" s="96">
        <v>0.01</v>
      </c>
    </row>
    <row r="1763" spans="1:18" ht="15" hidden="1" customHeight="1" x14ac:dyDescent="0.3">
      <c r="A1763" s="89">
        <v>2022</v>
      </c>
      <c r="B1763" s="90">
        <v>11</v>
      </c>
      <c r="C1763" s="90" t="s">
        <v>732</v>
      </c>
      <c r="D1763" s="90" t="s">
        <v>722</v>
      </c>
      <c r="E1763" s="91" t="s">
        <v>11</v>
      </c>
      <c r="F1763" s="92" t="s">
        <v>30</v>
      </c>
      <c r="G1763" s="93">
        <v>4159.67</v>
      </c>
      <c r="H1763" s="93">
        <v>7645.39</v>
      </c>
      <c r="I1763" s="93">
        <v>2397.5457928860201</v>
      </c>
      <c r="J1763" s="93">
        <v>823.28</v>
      </c>
      <c r="K1763" s="93">
        <v>85.66</v>
      </c>
      <c r="L1763" s="93">
        <v>214946.01</v>
      </c>
      <c r="M1763" s="93">
        <v>230086.24</v>
      </c>
      <c r="N1763" s="95">
        <v>0.27</v>
      </c>
      <c r="O1763" s="95">
        <v>0.5</v>
      </c>
      <c r="P1763" s="95">
        <v>0.16</v>
      </c>
      <c r="Q1763" s="95">
        <v>0.05</v>
      </c>
      <c r="R1763" s="96">
        <v>0.01</v>
      </c>
    </row>
    <row r="1764" spans="1:18" ht="15" hidden="1" customHeight="1" x14ac:dyDescent="0.3">
      <c r="A1764" s="89">
        <v>2022</v>
      </c>
      <c r="B1764" s="90">
        <v>11</v>
      </c>
      <c r="C1764" s="90" t="s">
        <v>732</v>
      </c>
      <c r="D1764" s="90" t="s">
        <v>722</v>
      </c>
      <c r="E1764" s="91" t="s">
        <v>11</v>
      </c>
      <c r="F1764" s="92" t="s">
        <v>31</v>
      </c>
      <c r="G1764" s="93">
        <v>2272.17</v>
      </c>
      <c r="H1764" s="93">
        <v>54285.120000000003</v>
      </c>
      <c r="I1764" s="93">
        <v>2397.5457928860201</v>
      </c>
      <c r="J1764" s="93">
        <v>49810.54</v>
      </c>
      <c r="K1764" s="93">
        <v>10003.799999999999</v>
      </c>
      <c r="L1764" s="93">
        <v>44541.41</v>
      </c>
      <c r="M1764" s="93">
        <v>251948.86</v>
      </c>
      <c r="N1764" s="95">
        <v>0.01</v>
      </c>
      <c r="O1764" s="95">
        <v>0.26</v>
      </c>
      <c r="P1764" s="95">
        <v>0.44</v>
      </c>
      <c r="Q1764" s="95">
        <v>0.24</v>
      </c>
      <c r="R1764" s="96">
        <v>0.05</v>
      </c>
    </row>
    <row r="1765" spans="1:18" ht="15" hidden="1" customHeight="1" x14ac:dyDescent="0.3">
      <c r="A1765" s="89">
        <v>2022</v>
      </c>
      <c r="B1765" s="90">
        <v>11</v>
      </c>
      <c r="C1765" s="90" t="s">
        <v>732</v>
      </c>
      <c r="D1765" s="90" t="s">
        <v>722</v>
      </c>
      <c r="E1765" s="91" t="s">
        <v>11</v>
      </c>
      <c r="F1765" s="92" t="s">
        <v>32</v>
      </c>
      <c r="G1765" s="93">
        <v>41761.360000000001</v>
      </c>
      <c r="H1765" s="93">
        <v>325414</v>
      </c>
      <c r="I1765" s="93">
        <v>2397.5457928860201</v>
      </c>
      <c r="J1765" s="93">
        <v>33946.980000000003</v>
      </c>
      <c r="K1765" s="93">
        <v>56.59</v>
      </c>
      <c r="L1765" s="93">
        <v>23718.959999999999</v>
      </c>
      <c r="M1765" s="93">
        <v>609521.87</v>
      </c>
      <c r="N1765" s="95">
        <v>7.0000000000000007E-2</v>
      </c>
      <c r="O1765" s="95">
        <v>0.56000000000000005</v>
      </c>
      <c r="P1765" s="95">
        <v>0.32</v>
      </c>
      <c r="Q1765" s="95">
        <v>0.06</v>
      </c>
      <c r="R1765" s="96">
        <v>0</v>
      </c>
    </row>
    <row r="1766" spans="1:18" ht="15" hidden="1" customHeight="1" x14ac:dyDescent="0.3">
      <c r="A1766" s="89">
        <v>2022</v>
      </c>
      <c r="B1766" s="90">
        <v>11</v>
      </c>
      <c r="C1766" s="90" t="s">
        <v>732</v>
      </c>
      <c r="D1766" s="90" t="s">
        <v>722</v>
      </c>
      <c r="E1766" s="91" t="s">
        <v>11</v>
      </c>
      <c r="F1766" s="92" t="s">
        <v>33</v>
      </c>
      <c r="G1766" s="93">
        <v>111628.51</v>
      </c>
      <c r="H1766" s="93">
        <v>862491.31</v>
      </c>
      <c r="I1766" s="93">
        <v>2397.5457928860201</v>
      </c>
      <c r="J1766" s="93">
        <v>9361.3700000000008</v>
      </c>
      <c r="K1766" s="93">
        <v>62.53</v>
      </c>
      <c r="L1766" s="93">
        <v>34327.730000000003</v>
      </c>
      <c r="M1766" s="93">
        <v>1352055.51</v>
      </c>
      <c r="N1766" s="95">
        <v>0.08</v>
      </c>
      <c r="O1766" s="95">
        <v>0.65</v>
      </c>
      <c r="P1766" s="95">
        <v>0.25</v>
      </c>
      <c r="Q1766" s="95">
        <v>0.01</v>
      </c>
      <c r="R1766" s="96">
        <v>0</v>
      </c>
    </row>
    <row r="1767" spans="1:18" ht="15" hidden="1" customHeight="1" x14ac:dyDescent="0.3">
      <c r="A1767" s="89">
        <v>2022</v>
      </c>
      <c r="B1767" s="90">
        <v>11</v>
      </c>
      <c r="C1767" s="90" t="s">
        <v>732</v>
      </c>
      <c r="D1767" s="90" t="s">
        <v>722</v>
      </c>
      <c r="E1767" s="91" t="s">
        <v>11</v>
      </c>
      <c r="F1767" s="92" t="s">
        <v>34</v>
      </c>
      <c r="G1767" s="93">
        <v>241619.45</v>
      </c>
      <c r="H1767" s="93">
        <v>338912.98</v>
      </c>
      <c r="I1767" s="93">
        <v>2397.5457928860201</v>
      </c>
      <c r="J1767" s="93">
        <v>9777.4500000000007</v>
      </c>
      <c r="K1767" s="93">
        <v>266.64</v>
      </c>
      <c r="L1767" s="93">
        <v>48509</v>
      </c>
      <c r="M1767" s="93">
        <v>713628.98</v>
      </c>
      <c r="N1767" s="95">
        <v>0.36</v>
      </c>
      <c r="O1767" s="95">
        <v>0.51</v>
      </c>
      <c r="P1767" s="95">
        <v>0.11</v>
      </c>
      <c r="Q1767" s="95">
        <v>0.01</v>
      </c>
      <c r="R1767" s="96">
        <v>0</v>
      </c>
    </row>
    <row r="1768" spans="1:18" ht="15" hidden="1" customHeight="1" x14ac:dyDescent="0.3">
      <c r="A1768" s="89">
        <v>2022</v>
      </c>
      <c r="B1768" s="90">
        <v>11</v>
      </c>
      <c r="C1768" s="90" t="s">
        <v>732</v>
      </c>
      <c r="D1768" s="90" t="s">
        <v>722</v>
      </c>
      <c r="E1768" s="91" t="s">
        <v>11</v>
      </c>
      <c r="F1768" s="92" t="s">
        <v>35</v>
      </c>
      <c r="G1768" s="93">
        <v>117310.39</v>
      </c>
      <c r="H1768" s="93">
        <v>200995.45</v>
      </c>
      <c r="I1768" s="93">
        <v>2397.5457928860201</v>
      </c>
      <c r="J1768" s="93">
        <v>4830.03</v>
      </c>
      <c r="K1768" s="93">
        <v>955.38</v>
      </c>
      <c r="L1768" s="93">
        <v>232713.84</v>
      </c>
      <c r="M1768" s="93">
        <v>605861.19999999995</v>
      </c>
      <c r="N1768" s="95">
        <v>0.31</v>
      </c>
      <c r="O1768" s="95">
        <v>0.54</v>
      </c>
      <c r="P1768" s="95">
        <v>0.13</v>
      </c>
      <c r="Q1768" s="95">
        <v>0.01</v>
      </c>
      <c r="R1768" s="96">
        <v>0</v>
      </c>
    </row>
    <row r="1769" spans="1:18" ht="15" hidden="1" customHeight="1" x14ac:dyDescent="0.3">
      <c r="A1769" s="89">
        <v>2022</v>
      </c>
      <c r="B1769" s="90">
        <v>11</v>
      </c>
      <c r="C1769" s="90" t="s">
        <v>732</v>
      </c>
      <c r="D1769" s="90" t="s">
        <v>722</v>
      </c>
      <c r="E1769" s="91" t="s">
        <v>11</v>
      </c>
      <c r="F1769" s="92" t="s">
        <v>36</v>
      </c>
      <c r="G1769" s="93">
        <v>14132.34</v>
      </c>
      <c r="H1769" s="93">
        <v>93068.32</v>
      </c>
      <c r="I1769" s="93">
        <v>2397.5457928860201</v>
      </c>
      <c r="J1769" s="93">
        <v>24655.5</v>
      </c>
      <c r="K1769" s="93">
        <v>174.39</v>
      </c>
      <c r="L1769" s="93">
        <v>33237.17</v>
      </c>
      <c r="M1769" s="93">
        <v>258886.74</v>
      </c>
      <c r="N1769" s="95">
        <v>0.06</v>
      </c>
      <c r="O1769" s="95">
        <v>0.41</v>
      </c>
      <c r="P1769" s="95">
        <v>0.41</v>
      </c>
      <c r="Q1769" s="95">
        <v>0.11</v>
      </c>
      <c r="R1769" s="96">
        <v>0</v>
      </c>
    </row>
    <row r="1770" spans="1:18" ht="15" hidden="1" customHeight="1" x14ac:dyDescent="0.3">
      <c r="A1770" s="89">
        <v>2022</v>
      </c>
      <c r="B1770" s="90">
        <v>11</v>
      </c>
      <c r="C1770" s="90" t="s">
        <v>732</v>
      </c>
      <c r="D1770" s="90" t="s">
        <v>722</v>
      </c>
      <c r="E1770" s="91" t="s">
        <v>11</v>
      </c>
      <c r="F1770" s="92" t="s">
        <v>37</v>
      </c>
      <c r="G1770" s="93">
        <v>35979.85</v>
      </c>
      <c r="H1770" s="93">
        <v>166368.74</v>
      </c>
      <c r="I1770" s="93">
        <v>2397.5457928860201</v>
      </c>
      <c r="J1770" s="93">
        <v>39081.46</v>
      </c>
      <c r="K1770" s="93">
        <v>862.38</v>
      </c>
      <c r="L1770" s="93">
        <v>146802.66</v>
      </c>
      <c r="M1770" s="93">
        <v>524074.32</v>
      </c>
      <c r="N1770" s="95">
        <v>0.1</v>
      </c>
      <c r="O1770" s="95">
        <v>0.44</v>
      </c>
      <c r="P1770" s="95">
        <v>0.36</v>
      </c>
      <c r="Q1770" s="95">
        <v>0.1</v>
      </c>
      <c r="R1770" s="96">
        <v>0</v>
      </c>
    </row>
    <row r="1771" spans="1:18" ht="15" hidden="1" customHeight="1" x14ac:dyDescent="0.3">
      <c r="A1771" s="89">
        <v>2022</v>
      </c>
      <c r="B1771" s="90">
        <v>11</v>
      </c>
      <c r="C1771" s="90" t="s">
        <v>732</v>
      </c>
      <c r="D1771" s="90" t="s">
        <v>722</v>
      </c>
      <c r="E1771" s="91" t="s">
        <v>11</v>
      </c>
      <c r="F1771" s="92" t="s">
        <v>38</v>
      </c>
      <c r="G1771" s="93">
        <v>270966.84999999998</v>
      </c>
      <c r="H1771" s="93">
        <v>363144.91</v>
      </c>
      <c r="I1771" s="93">
        <v>2397.5457928860201</v>
      </c>
      <c r="J1771" s="93">
        <v>7620.16</v>
      </c>
      <c r="K1771" s="93">
        <v>250.03</v>
      </c>
      <c r="L1771" s="93">
        <v>177890.07</v>
      </c>
      <c r="M1771" s="93">
        <v>927959.02</v>
      </c>
      <c r="N1771" s="95">
        <v>0.36</v>
      </c>
      <c r="O1771" s="95">
        <v>0.48</v>
      </c>
      <c r="P1771" s="95">
        <v>0.14000000000000001</v>
      </c>
      <c r="Q1771" s="95">
        <v>0.01</v>
      </c>
      <c r="R1771" s="96">
        <v>0</v>
      </c>
    </row>
    <row r="1772" spans="1:18" ht="15" hidden="1" customHeight="1" x14ac:dyDescent="0.3">
      <c r="A1772" s="89">
        <v>2022</v>
      </c>
      <c r="B1772" s="90">
        <v>11</v>
      </c>
      <c r="C1772" s="90" t="s">
        <v>732</v>
      </c>
      <c r="D1772" s="90" t="s">
        <v>722</v>
      </c>
      <c r="E1772" s="91" t="s">
        <v>11</v>
      </c>
      <c r="F1772" s="92" t="s">
        <v>39</v>
      </c>
      <c r="G1772" s="93">
        <v>34010.29</v>
      </c>
      <c r="H1772" s="93">
        <v>193342.99</v>
      </c>
      <c r="I1772" s="93">
        <v>2397.5457928860201</v>
      </c>
      <c r="J1772" s="93">
        <v>15177.84</v>
      </c>
      <c r="K1772" s="93">
        <v>76.28</v>
      </c>
      <c r="L1772" s="93">
        <v>8664.33</v>
      </c>
      <c r="M1772" s="93">
        <v>331195.63</v>
      </c>
      <c r="N1772" s="95">
        <v>0.11</v>
      </c>
      <c r="O1772" s="95">
        <v>0.6</v>
      </c>
      <c r="P1772" s="95">
        <v>0.25</v>
      </c>
      <c r="Q1772" s="95">
        <v>0.05</v>
      </c>
      <c r="R1772" s="96">
        <v>0</v>
      </c>
    </row>
    <row r="1773" spans="1:18" ht="15" hidden="1" customHeight="1" x14ac:dyDescent="0.3">
      <c r="A1773" s="89">
        <v>2022</v>
      </c>
      <c r="B1773" s="90">
        <v>11</v>
      </c>
      <c r="C1773" s="90" t="s">
        <v>732</v>
      </c>
      <c r="D1773" s="90" t="s">
        <v>722</v>
      </c>
      <c r="E1773" s="91" t="s">
        <v>11</v>
      </c>
      <c r="F1773" s="92" t="s">
        <v>41</v>
      </c>
      <c r="G1773" s="93">
        <v>16774.810000000001</v>
      </c>
      <c r="H1773" s="93">
        <v>1624.9</v>
      </c>
      <c r="I1773" s="93">
        <v>2397.5457928860201</v>
      </c>
      <c r="J1773" s="93">
        <v>57.24</v>
      </c>
      <c r="K1773" s="93"/>
      <c r="L1773" s="93">
        <v>25.4</v>
      </c>
      <c r="M1773" s="93">
        <v>18714.330000000002</v>
      </c>
      <c r="N1773" s="95">
        <v>0.9</v>
      </c>
      <c r="O1773" s="95">
        <v>0.09</v>
      </c>
      <c r="P1773" s="95">
        <v>0.01</v>
      </c>
      <c r="Q1773" s="95">
        <v>0</v>
      </c>
      <c r="R1773" s="96">
        <v>0</v>
      </c>
    </row>
    <row r="1774" spans="1:18" ht="15" hidden="1" customHeight="1" x14ac:dyDescent="0.3">
      <c r="A1774" s="89">
        <v>2022</v>
      </c>
      <c r="B1774" s="90">
        <v>11</v>
      </c>
      <c r="C1774" s="90" t="s">
        <v>732</v>
      </c>
      <c r="D1774" s="90" t="s">
        <v>722</v>
      </c>
      <c r="E1774" s="91" t="s">
        <v>11</v>
      </c>
      <c r="F1774" s="92" t="s">
        <v>42</v>
      </c>
      <c r="G1774" s="93">
        <v>41773.65</v>
      </c>
      <c r="H1774" s="93">
        <v>347821.45</v>
      </c>
      <c r="I1774" s="93">
        <v>2397.5457928860201</v>
      </c>
      <c r="J1774" s="93">
        <v>3699.72</v>
      </c>
      <c r="K1774" s="93">
        <v>37.33</v>
      </c>
      <c r="L1774" s="93">
        <v>88575.23</v>
      </c>
      <c r="M1774" s="93">
        <v>620824.21</v>
      </c>
      <c r="N1774" s="95">
        <v>0.08</v>
      </c>
      <c r="O1774" s="95">
        <v>0.65</v>
      </c>
      <c r="P1774" s="95">
        <v>0.26</v>
      </c>
      <c r="Q1774" s="95">
        <v>0.01</v>
      </c>
      <c r="R1774" s="96">
        <v>0</v>
      </c>
    </row>
    <row r="1775" spans="1:18" ht="15" hidden="1" customHeight="1" x14ac:dyDescent="0.3">
      <c r="A1775" s="89">
        <v>2022</v>
      </c>
      <c r="B1775" s="90">
        <v>11</v>
      </c>
      <c r="C1775" s="90" t="s">
        <v>732</v>
      </c>
      <c r="D1775" s="90" t="s">
        <v>722</v>
      </c>
      <c r="E1775" s="91" t="s">
        <v>11</v>
      </c>
      <c r="F1775" s="92" t="s">
        <v>43</v>
      </c>
      <c r="G1775" s="93">
        <v>1931.78</v>
      </c>
      <c r="H1775" s="93">
        <v>18855.34</v>
      </c>
      <c r="I1775" s="93">
        <v>2397.5457928860201</v>
      </c>
      <c r="J1775" s="93">
        <v>19523.87</v>
      </c>
      <c r="K1775" s="93">
        <v>6190.12</v>
      </c>
      <c r="L1775" s="93">
        <v>116424.07</v>
      </c>
      <c r="M1775" s="93">
        <v>185575.52</v>
      </c>
      <c r="N1775" s="95">
        <v>0.03</v>
      </c>
      <c r="O1775" s="95">
        <v>0.27</v>
      </c>
      <c r="P1775" s="95">
        <v>0.33</v>
      </c>
      <c r="Q1775" s="95">
        <v>0.28000000000000003</v>
      </c>
      <c r="R1775" s="96">
        <v>0.09</v>
      </c>
    </row>
    <row r="1776" spans="1:18" ht="15" hidden="1" customHeight="1" x14ac:dyDescent="0.3">
      <c r="A1776" s="89">
        <v>2022</v>
      </c>
      <c r="B1776" s="90">
        <v>11</v>
      </c>
      <c r="C1776" s="90" t="s">
        <v>732</v>
      </c>
      <c r="D1776" s="90" t="s">
        <v>722</v>
      </c>
      <c r="E1776" s="91" t="s">
        <v>11</v>
      </c>
      <c r="F1776" s="92" t="s">
        <v>58</v>
      </c>
      <c r="G1776" s="93">
        <v>44444.89</v>
      </c>
      <c r="H1776" s="93">
        <v>253786.19</v>
      </c>
      <c r="I1776" s="93">
        <v>2397.5457928860201</v>
      </c>
      <c r="J1776" s="93">
        <v>1032.8399999999999</v>
      </c>
      <c r="K1776" s="93">
        <v>4.6500000000000004</v>
      </c>
      <c r="L1776" s="93">
        <v>4069.14</v>
      </c>
      <c r="M1776" s="93">
        <v>371477.13</v>
      </c>
      <c r="N1776" s="95">
        <v>0.12</v>
      </c>
      <c r="O1776" s="95">
        <v>0.69</v>
      </c>
      <c r="P1776" s="95">
        <v>0.19</v>
      </c>
      <c r="Q1776" s="95">
        <v>0</v>
      </c>
      <c r="R1776" s="96">
        <v>0</v>
      </c>
    </row>
    <row r="1777" spans="1:18" ht="15" hidden="1" customHeight="1" x14ac:dyDescent="0.3">
      <c r="A1777" s="89">
        <v>2022</v>
      </c>
      <c r="B1777" s="90">
        <v>11</v>
      </c>
      <c r="C1777" s="90" t="s">
        <v>732</v>
      </c>
      <c r="D1777" s="90" t="s">
        <v>722</v>
      </c>
      <c r="E1777" s="91" t="s">
        <v>11</v>
      </c>
      <c r="F1777" s="92" t="s">
        <v>44</v>
      </c>
      <c r="G1777" s="93">
        <v>4404.88</v>
      </c>
      <c r="H1777" s="93">
        <v>20273.509999999998</v>
      </c>
      <c r="I1777" s="93">
        <v>2397.5457928860201</v>
      </c>
      <c r="J1777" s="93">
        <v>53305.18</v>
      </c>
      <c r="K1777" s="93">
        <v>564.20000000000005</v>
      </c>
      <c r="L1777" s="93">
        <v>39714.730000000003</v>
      </c>
      <c r="M1777" s="93">
        <v>215729.36</v>
      </c>
      <c r="N1777" s="95">
        <v>0.03</v>
      </c>
      <c r="O1777" s="95">
        <v>0.12</v>
      </c>
      <c r="P1777" s="95">
        <v>0.55000000000000004</v>
      </c>
      <c r="Q1777" s="95">
        <v>0.3</v>
      </c>
      <c r="R1777" s="96">
        <v>0</v>
      </c>
    </row>
    <row r="1778" spans="1:18" ht="15" hidden="1" customHeight="1" x14ac:dyDescent="0.3">
      <c r="A1778" s="89">
        <v>2022</v>
      </c>
      <c r="B1778" s="90">
        <v>11</v>
      </c>
      <c r="C1778" s="90" t="s">
        <v>732</v>
      </c>
      <c r="D1778" s="90" t="s">
        <v>722</v>
      </c>
      <c r="E1778" s="91" t="s">
        <v>11</v>
      </c>
      <c r="F1778" s="92" t="s">
        <v>51</v>
      </c>
      <c r="G1778" s="93">
        <v>14449.95</v>
      </c>
      <c r="H1778" s="93">
        <v>27812.22</v>
      </c>
      <c r="I1778" s="93">
        <v>2397.5457928860201</v>
      </c>
      <c r="J1778" s="93">
        <v>63930.51</v>
      </c>
      <c r="K1778" s="93">
        <v>7636.36</v>
      </c>
      <c r="L1778" s="93">
        <v>421.72</v>
      </c>
      <c r="M1778" s="93">
        <v>211202.48</v>
      </c>
      <c r="N1778" s="95">
        <v>7.0000000000000007E-2</v>
      </c>
      <c r="O1778" s="95">
        <v>0.13</v>
      </c>
      <c r="P1778" s="95">
        <v>0.46</v>
      </c>
      <c r="Q1778" s="95">
        <v>0.3</v>
      </c>
      <c r="R1778" s="96">
        <v>0.04</v>
      </c>
    </row>
    <row r="1779" spans="1:18" ht="15" hidden="1" customHeight="1" x14ac:dyDescent="0.3">
      <c r="A1779" s="89">
        <v>2022</v>
      </c>
      <c r="B1779" s="90">
        <v>11</v>
      </c>
      <c r="C1779" s="90" t="s">
        <v>732</v>
      </c>
      <c r="D1779" s="90" t="s">
        <v>722</v>
      </c>
      <c r="E1779" s="91" t="s">
        <v>11</v>
      </c>
      <c r="F1779" s="92" t="s">
        <v>45</v>
      </c>
      <c r="G1779" s="93">
        <v>9644.68</v>
      </c>
      <c r="H1779" s="93">
        <v>27801.01</v>
      </c>
      <c r="I1779" s="93">
        <v>2397.5457928860201</v>
      </c>
      <c r="J1779" s="93">
        <v>10864.9</v>
      </c>
      <c r="K1779" s="93">
        <v>691.7</v>
      </c>
      <c r="L1779" s="93">
        <v>48169.42</v>
      </c>
      <c r="M1779" s="93">
        <v>134096.20000000001</v>
      </c>
      <c r="N1779" s="95">
        <v>0.11</v>
      </c>
      <c r="O1779" s="95">
        <v>0.32</v>
      </c>
      <c r="P1779" s="95">
        <v>0.43</v>
      </c>
      <c r="Q1779" s="95">
        <v>0.13</v>
      </c>
      <c r="R1779" s="96">
        <v>0.01</v>
      </c>
    </row>
    <row r="1780" spans="1:18" ht="15" hidden="1" customHeight="1" x14ac:dyDescent="0.3">
      <c r="A1780" s="89">
        <v>2022</v>
      </c>
      <c r="B1780" s="90">
        <v>11</v>
      </c>
      <c r="C1780" s="90" t="s">
        <v>732</v>
      </c>
      <c r="D1780" s="90" t="s">
        <v>722</v>
      </c>
      <c r="E1780" s="91" t="s">
        <v>11</v>
      </c>
      <c r="F1780" s="92" t="s">
        <v>721</v>
      </c>
      <c r="G1780" s="93">
        <v>89683.4</v>
      </c>
      <c r="H1780" s="93">
        <v>198144.25</v>
      </c>
      <c r="I1780" s="93">
        <v>2397.5457928860201</v>
      </c>
      <c r="J1780" s="93">
        <v>1230.8900000000001</v>
      </c>
      <c r="K1780" s="93">
        <v>37.44</v>
      </c>
      <c r="L1780" s="93">
        <v>4.34</v>
      </c>
      <c r="M1780" s="93">
        <v>309330.63</v>
      </c>
      <c r="N1780" s="95">
        <v>0.28999999999999998</v>
      </c>
      <c r="O1780" s="95">
        <v>0.64</v>
      </c>
      <c r="P1780" s="95">
        <v>7.0000000000000007E-2</v>
      </c>
      <c r="Q1780" s="95">
        <v>0</v>
      </c>
      <c r="R1780" s="96">
        <v>0</v>
      </c>
    </row>
    <row r="1781" spans="1:18" ht="15" hidden="1" customHeight="1" x14ac:dyDescent="0.3">
      <c r="A1781" s="89">
        <v>2022</v>
      </c>
      <c r="B1781" s="90">
        <v>11</v>
      </c>
      <c r="C1781" s="90" t="s">
        <v>732</v>
      </c>
      <c r="D1781" s="90" t="s">
        <v>722</v>
      </c>
      <c r="E1781" s="91" t="s">
        <v>11</v>
      </c>
      <c r="F1781" s="92" t="s">
        <v>46</v>
      </c>
      <c r="G1781" s="93">
        <v>27685.1</v>
      </c>
      <c r="H1781" s="93">
        <v>81026.62</v>
      </c>
      <c r="I1781" s="93">
        <v>2397.5457928860201</v>
      </c>
      <c r="J1781" s="93">
        <v>6416.37</v>
      </c>
      <c r="K1781" s="93">
        <v>955.13</v>
      </c>
      <c r="L1781" s="93">
        <v>519.27</v>
      </c>
      <c r="M1781" s="93">
        <v>149074.81</v>
      </c>
      <c r="N1781" s="95">
        <v>0.19</v>
      </c>
      <c r="O1781" s="95">
        <v>0.55000000000000004</v>
      </c>
      <c r="P1781" s="95">
        <v>0.22</v>
      </c>
      <c r="Q1781" s="95">
        <v>0.04</v>
      </c>
      <c r="R1781" s="96">
        <v>0.01</v>
      </c>
    </row>
    <row r="1782" spans="1:18" ht="15" hidden="1" customHeight="1" x14ac:dyDescent="0.3">
      <c r="A1782" s="89">
        <v>2022</v>
      </c>
      <c r="B1782" s="90">
        <v>11</v>
      </c>
      <c r="C1782" s="90" t="s">
        <v>732</v>
      </c>
      <c r="D1782" s="90" t="s">
        <v>722</v>
      </c>
      <c r="E1782" s="91" t="s">
        <v>11</v>
      </c>
      <c r="F1782" s="92" t="s">
        <v>47</v>
      </c>
      <c r="G1782" s="93">
        <v>9158.33</v>
      </c>
      <c r="H1782" s="93">
        <v>143505.12</v>
      </c>
      <c r="I1782" s="93">
        <v>2397.5457928860201</v>
      </c>
      <c r="J1782" s="93">
        <v>462270.59</v>
      </c>
      <c r="K1782" s="93">
        <v>62788.52</v>
      </c>
      <c r="L1782" s="93">
        <v>122895.41</v>
      </c>
      <c r="M1782" s="93">
        <v>1461770.89</v>
      </c>
      <c r="N1782" s="95">
        <v>0.01</v>
      </c>
      <c r="O1782" s="95">
        <v>0.11</v>
      </c>
      <c r="P1782" s="95">
        <v>0.49</v>
      </c>
      <c r="Q1782" s="95">
        <v>0.35</v>
      </c>
      <c r="R1782" s="96">
        <v>0.05</v>
      </c>
    </row>
    <row r="1783" spans="1:18" ht="15" hidden="1" customHeight="1" x14ac:dyDescent="0.3">
      <c r="A1783" s="89">
        <v>2022</v>
      </c>
      <c r="B1783" s="90">
        <v>11</v>
      </c>
      <c r="C1783" s="90" t="s">
        <v>732</v>
      </c>
      <c r="D1783" s="90" t="s">
        <v>722</v>
      </c>
      <c r="E1783" s="91" t="s">
        <v>11</v>
      </c>
      <c r="F1783" s="92" t="s">
        <v>48</v>
      </c>
      <c r="G1783" s="93">
        <v>5763.48</v>
      </c>
      <c r="H1783" s="93">
        <v>33200.54</v>
      </c>
      <c r="I1783" s="93">
        <v>2397.5457928860201</v>
      </c>
      <c r="J1783" s="93">
        <v>23998.37</v>
      </c>
      <c r="K1783" s="93">
        <v>865.43</v>
      </c>
      <c r="L1783" s="93">
        <v>8365.66</v>
      </c>
      <c r="M1783" s="93">
        <v>110314.47</v>
      </c>
      <c r="N1783" s="95">
        <v>0.06</v>
      </c>
      <c r="O1783" s="95">
        <v>0.33</v>
      </c>
      <c r="P1783" s="95">
        <v>0.37</v>
      </c>
      <c r="Q1783" s="95">
        <v>0.24</v>
      </c>
      <c r="R1783" s="96">
        <v>0.01</v>
      </c>
    </row>
    <row r="1784" spans="1:18" ht="15" hidden="1" customHeight="1" x14ac:dyDescent="0.3">
      <c r="A1784" s="89">
        <v>2022</v>
      </c>
      <c r="B1784" s="90">
        <v>11</v>
      </c>
      <c r="C1784" s="90" t="s">
        <v>732</v>
      </c>
      <c r="D1784" s="90" t="s">
        <v>722</v>
      </c>
      <c r="E1784" s="91" t="s">
        <v>11</v>
      </c>
      <c r="F1784" s="92" t="s">
        <v>40</v>
      </c>
      <c r="G1784" s="93">
        <v>155465.26999999999</v>
      </c>
      <c r="H1784" s="93">
        <v>151913.31</v>
      </c>
      <c r="I1784" s="93">
        <v>2397.5457928860201</v>
      </c>
      <c r="J1784" s="93">
        <v>941.27</v>
      </c>
      <c r="K1784" s="93">
        <v>9.27</v>
      </c>
      <c r="L1784" s="93">
        <v>5026.1400000000003</v>
      </c>
      <c r="M1784" s="93">
        <v>326305.03999999998</v>
      </c>
      <c r="N1784" s="95">
        <v>0.48</v>
      </c>
      <c r="O1784" s="95">
        <v>0.47</v>
      </c>
      <c r="P1784" s="95">
        <v>0.04</v>
      </c>
      <c r="Q1784" s="95">
        <v>0</v>
      </c>
      <c r="R1784" s="96">
        <v>0</v>
      </c>
    </row>
    <row r="1785" spans="1:18" ht="15" hidden="1" customHeight="1" x14ac:dyDescent="0.3">
      <c r="A1785" s="89">
        <v>2022</v>
      </c>
      <c r="B1785" s="90">
        <v>12</v>
      </c>
      <c r="C1785" s="90" t="s">
        <v>733</v>
      </c>
      <c r="D1785" s="90" t="s">
        <v>719</v>
      </c>
      <c r="E1785" s="91" t="s">
        <v>11</v>
      </c>
      <c r="F1785" s="92" t="s">
        <v>26</v>
      </c>
      <c r="G1785" s="93">
        <v>483895.15</v>
      </c>
      <c r="H1785" s="93">
        <v>319694.09000000003</v>
      </c>
      <c r="I1785" s="93">
        <v>2397.5457928860201</v>
      </c>
      <c r="J1785" s="93">
        <v>46693.55</v>
      </c>
      <c r="K1785" s="93">
        <v>1365.36</v>
      </c>
      <c r="L1785" s="93">
        <v>257442.39</v>
      </c>
      <c r="M1785" s="93">
        <v>1302393.77</v>
      </c>
      <c r="N1785" s="95">
        <v>0.46</v>
      </c>
      <c r="O1785" s="95">
        <v>0.31</v>
      </c>
      <c r="P1785" s="95">
        <v>0.18</v>
      </c>
      <c r="Q1785" s="95">
        <v>0.04</v>
      </c>
      <c r="R1785" s="96">
        <v>0</v>
      </c>
    </row>
    <row r="1786" spans="1:18" ht="15" hidden="1" customHeight="1" x14ac:dyDescent="0.3">
      <c r="A1786" s="89">
        <v>2022</v>
      </c>
      <c r="B1786" s="90">
        <v>12</v>
      </c>
      <c r="C1786" s="90" t="s">
        <v>733</v>
      </c>
      <c r="D1786" s="90" t="s">
        <v>719</v>
      </c>
      <c r="E1786" s="91" t="s">
        <v>11</v>
      </c>
      <c r="F1786" s="92" t="s">
        <v>12</v>
      </c>
      <c r="G1786" s="93">
        <v>139067.73000000001</v>
      </c>
      <c r="H1786" s="93">
        <v>213182.07</v>
      </c>
      <c r="I1786" s="93">
        <v>2397.5457928860201</v>
      </c>
      <c r="J1786" s="93">
        <v>1356.33</v>
      </c>
      <c r="K1786" s="93"/>
      <c r="L1786" s="93">
        <v>48270.46</v>
      </c>
      <c r="M1786" s="93">
        <v>433311.44</v>
      </c>
      <c r="N1786" s="95">
        <v>0.36</v>
      </c>
      <c r="O1786" s="95">
        <v>0.55000000000000004</v>
      </c>
      <c r="P1786" s="95">
        <v>0.08</v>
      </c>
      <c r="Q1786" s="95">
        <v>0</v>
      </c>
      <c r="R1786" s="96">
        <v>0</v>
      </c>
    </row>
    <row r="1787" spans="1:18" ht="15" hidden="1" customHeight="1" x14ac:dyDescent="0.3">
      <c r="A1787" s="89">
        <v>2022</v>
      </c>
      <c r="B1787" s="90">
        <v>12</v>
      </c>
      <c r="C1787" s="90" t="s">
        <v>733</v>
      </c>
      <c r="D1787" s="90" t="s">
        <v>719</v>
      </c>
      <c r="E1787" s="91" t="s">
        <v>11</v>
      </c>
      <c r="F1787" s="92" t="s">
        <v>27</v>
      </c>
      <c r="G1787" s="93">
        <v>100097.67</v>
      </c>
      <c r="H1787" s="93">
        <v>110364.75</v>
      </c>
      <c r="I1787" s="93">
        <v>2397.5457928860201</v>
      </c>
      <c r="J1787" s="93">
        <v>744.16</v>
      </c>
      <c r="K1787" s="93">
        <v>32.79</v>
      </c>
      <c r="L1787" s="93">
        <v>1575.77</v>
      </c>
      <c r="M1787" s="93">
        <v>226689.38</v>
      </c>
      <c r="N1787" s="95">
        <v>0.44</v>
      </c>
      <c r="O1787" s="95">
        <v>0.49</v>
      </c>
      <c r="P1787" s="95">
        <v>0.06</v>
      </c>
      <c r="Q1787" s="95">
        <v>0</v>
      </c>
      <c r="R1787" s="96">
        <v>0</v>
      </c>
    </row>
    <row r="1788" spans="1:18" ht="15" hidden="1" customHeight="1" x14ac:dyDescent="0.3">
      <c r="A1788" s="89">
        <v>2022</v>
      </c>
      <c r="B1788" s="90">
        <v>12</v>
      </c>
      <c r="C1788" s="90" t="s">
        <v>733</v>
      </c>
      <c r="D1788" s="90" t="s">
        <v>719</v>
      </c>
      <c r="E1788" s="91" t="s">
        <v>11</v>
      </c>
      <c r="F1788" s="92" t="s">
        <v>28</v>
      </c>
      <c r="G1788" s="93">
        <v>274124.03999999998</v>
      </c>
      <c r="H1788" s="93">
        <v>89434.68</v>
      </c>
      <c r="I1788" s="93">
        <v>2397.5457928860201</v>
      </c>
      <c r="J1788" s="93">
        <v>304.92</v>
      </c>
      <c r="K1788" s="93"/>
      <c r="L1788" s="93">
        <v>3222.91</v>
      </c>
      <c r="M1788" s="93">
        <v>373104.4</v>
      </c>
      <c r="N1788" s="95">
        <v>0.74</v>
      </c>
      <c r="O1788" s="95">
        <v>0.24</v>
      </c>
      <c r="P1788" s="95">
        <v>0.02</v>
      </c>
      <c r="Q1788" s="95">
        <v>0</v>
      </c>
      <c r="R1788" s="96">
        <v>0</v>
      </c>
    </row>
    <row r="1789" spans="1:18" ht="15" customHeight="1" x14ac:dyDescent="0.3">
      <c r="A1789" s="89">
        <v>2022</v>
      </c>
      <c r="B1789" s="90">
        <v>12</v>
      </c>
      <c r="C1789" s="90" t="s">
        <v>733</v>
      </c>
      <c r="D1789" s="90" t="s">
        <v>719</v>
      </c>
      <c r="E1789" s="91" t="s">
        <v>11</v>
      </c>
      <c r="F1789" s="92" t="s">
        <v>29</v>
      </c>
      <c r="G1789" s="93">
        <v>44646.06</v>
      </c>
      <c r="H1789" s="93">
        <v>131227.87</v>
      </c>
      <c r="I1789" s="93">
        <v>2397.5457928860201</v>
      </c>
      <c r="J1789" s="93">
        <v>16515.16</v>
      </c>
      <c r="K1789" s="93">
        <v>916.63</v>
      </c>
      <c r="L1789" s="93">
        <v>75100.87</v>
      </c>
      <c r="M1789" s="93">
        <v>354391.76</v>
      </c>
      <c r="N1789" s="95">
        <v>0.16</v>
      </c>
      <c r="O1789" s="95">
        <v>0.47</v>
      </c>
      <c r="P1789" s="95">
        <v>0.31</v>
      </c>
      <c r="Q1789" s="95">
        <v>0.06</v>
      </c>
      <c r="R1789" s="96">
        <v>0</v>
      </c>
    </row>
    <row r="1790" spans="1:18" ht="15" hidden="1" customHeight="1" x14ac:dyDescent="0.3">
      <c r="A1790" s="89">
        <v>2022</v>
      </c>
      <c r="B1790" s="90">
        <v>12</v>
      </c>
      <c r="C1790" s="90" t="s">
        <v>733</v>
      </c>
      <c r="D1790" s="90" t="s">
        <v>719</v>
      </c>
      <c r="E1790" s="91" t="s">
        <v>11</v>
      </c>
      <c r="F1790" s="92" t="s">
        <v>30</v>
      </c>
      <c r="G1790" s="93">
        <v>5194.84</v>
      </c>
      <c r="H1790" s="93">
        <v>6787.94</v>
      </c>
      <c r="I1790" s="93">
        <v>2397.5457928860201</v>
      </c>
      <c r="J1790" s="93">
        <v>876.77</v>
      </c>
      <c r="K1790" s="93">
        <v>58.57</v>
      </c>
      <c r="L1790" s="93">
        <v>214911.04</v>
      </c>
      <c r="M1790" s="93">
        <v>230086.24</v>
      </c>
      <c r="N1790" s="95">
        <v>0.34</v>
      </c>
      <c r="O1790" s="95">
        <v>0.45</v>
      </c>
      <c r="P1790" s="95">
        <v>0.15</v>
      </c>
      <c r="Q1790" s="95">
        <v>0.06</v>
      </c>
      <c r="R1790" s="96">
        <v>0</v>
      </c>
    </row>
    <row r="1791" spans="1:18" ht="15" hidden="1" customHeight="1" x14ac:dyDescent="0.3">
      <c r="A1791" s="89">
        <v>2022</v>
      </c>
      <c r="B1791" s="90">
        <v>12</v>
      </c>
      <c r="C1791" s="90" t="s">
        <v>733</v>
      </c>
      <c r="D1791" s="90" t="s">
        <v>719</v>
      </c>
      <c r="E1791" s="91" t="s">
        <v>11</v>
      </c>
      <c r="F1791" s="92" t="s">
        <v>31</v>
      </c>
      <c r="G1791" s="93">
        <v>2678.12</v>
      </c>
      <c r="H1791" s="93">
        <v>59672.65</v>
      </c>
      <c r="I1791" s="93">
        <v>2397.5457928860201</v>
      </c>
      <c r="J1791" s="93">
        <v>46484.12</v>
      </c>
      <c r="K1791" s="93">
        <v>14694.53</v>
      </c>
      <c r="L1791" s="93">
        <v>44447.11</v>
      </c>
      <c r="M1791" s="93">
        <v>251948.86</v>
      </c>
      <c r="N1791" s="95">
        <v>0.01</v>
      </c>
      <c r="O1791" s="95">
        <v>0.28999999999999998</v>
      </c>
      <c r="P1791" s="95">
        <v>0.4</v>
      </c>
      <c r="Q1791" s="95">
        <v>0.22</v>
      </c>
      <c r="R1791" s="96">
        <v>7.0000000000000007E-2</v>
      </c>
    </row>
    <row r="1792" spans="1:18" ht="15" hidden="1" customHeight="1" x14ac:dyDescent="0.3">
      <c r="A1792" s="89">
        <v>2022</v>
      </c>
      <c r="B1792" s="90">
        <v>12</v>
      </c>
      <c r="C1792" s="90" t="s">
        <v>733</v>
      </c>
      <c r="D1792" s="90" t="s">
        <v>719</v>
      </c>
      <c r="E1792" s="91" t="s">
        <v>11</v>
      </c>
      <c r="F1792" s="92" t="s">
        <v>32</v>
      </c>
      <c r="G1792" s="93">
        <v>67265.279999999999</v>
      </c>
      <c r="H1792" s="93">
        <v>318273.40000000002</v>
      </c>
      <c r="I1792" s="93">
        <v>2397.5457928860201</v>
      </c>
      <c r="J1792" s="93">
        <v>11781.97</v>
      </c>
      <c r="K1792" s="93">
        <v>28.08</v>
      </c>
      <c r="L1792" s="93">
        <v>20420.3</v>
      </c>
      <c r="M1792" s="93">
        <v>609521.87</v>
      </c>
      <c r="N1792" s="95">
        <v>0.11</v>
      </c>
      <c r="O1792" s="95">
        <v>0.54</v>
      </c>
      <c r="P1792" s="95">
        <v>0.33</v>
      </c>
      <c r="Q1792" s="95">
        <v>0.02</v>
      </c>
      <c r="R1792" s="96">
        <v>0</v>
      </c>
    </row>
    <row r="1793" spans="1:18" ht="15" hidden="1" customHeight="1" x14ac:dyDescent="0.3">
      <c r="A1793" s="89">
        <v>2022</v>
      </c>
      <c r="B1793" s="90">
        <v>12</v>
      </c>
      <c r="C1793" s="90" t="s">
        <v>733</v>
      </c>
      <c r="D1793" s="90" t="s">
        <v>719</v>
      </c>
      <c r="E1793" s="91" t="s">
        <v>11</v>
      </c>
      <c r="F1793" s="92" t="s">
        <v>33</v>
      </c>
      <c r="G1793" s="93">
        <v>850944.91</v>
      </c>
      <c r="H1793" s="93">
        <v>280834.87</v>
      </c>
      <c r="I1793" s="93">
        <v>2397.5457928860201</v>
      </c>
      <c r="J1793" s="93">
        <v>36060.720000000001</v>
      </c>
      <c r="K1793" s="93">
        <v>1299.26</v>
      </c>
      <c r="L1793" s="93">
        <v>34348.75</v>
      </c>
      <c r="M1793" s="93">
        <v>1352055.51</v>
      </c>
      <c r="N1793" s="95">
        <v>0.65</v>
      </c>
      <c r="O1793" s="95">
        <v>0.21</v>
      </c>
      <c r="P1793" s="95">
        <v>0.11</v>
      </c>
      <c r="Q1793" s="95">
        <v>0.03</v>
      </c>
      <c r="R1793" s="96">
        <v>0</v>
      </c>
    </row>
    <row r="1794" spans="1:18" ht="15" hidden="1" customHeight="1" x14ac:dyDescent="0.3">
      <c r="A1794" s="89">
        <v>2022</v>
      </c>
      <c r="B1794" s="90">
        <v>12</v>
      </c>
      <c r="C1794" s="90" t="s">
        <v>733</v>
      </c>
      <c r="D1794" s="90" t="s">
        <v>719</v>
      </c>
      <c r="E1794" s="91" t="s">
        <v>11</v>
      </c>
      <c r="F1794" s="92" t="s">
        <v>34</v>
      </c>
      <c r="G1794" s="93">
        <v>391412.36</v>
      </c>
      <c r="H1794" s="93">
        <v>221540.09</v>
      </c>
      <c r="I1794" s="93">
        <v>2397.5457928860201</v>
      </c>
      <c r="J1794" s="93">
        <v>5438.1</v>
      </c>
      <c r="K1794" s="93">
        <v>318.89</v>
      </c>
      <c r="L1794" s="93">
        <v>49911.13</v>
      </c>
      <c r="M1794" s="93">
        <v>713628.98</v>
      </c>
      <c r="N1794" s="95">
        <v>0.59</v>
      </c>
      <c r="O1794" s="95">
        <v>0.33</v>
      </c>
      <c r="P1794" s="95">
        <v>7.0000000000000007E-2</v>
      </c>
      <c r="Q1794" s="95">
        <v>0.01</v>
      </c>
      <c r="R1794" s="96">
        <v>0</v>
      </c>
    </row>
    <row r="1795" spans="1:18" ht="15" hidden="1" customHeight="1" x14ac:dyDescent="0.3">
      <c r="A1795" s="89">
        <v>2022</v>
      </c>
      <c r="B1795" s="90">
        <v>12</v>
      </c>
      <c r="C1795" s="90" t="s">
        <v>733</v>
      </c>
      <c r="D1795" s="90" t="s">
        <v>719</v>
      </c>
      <c r="E1795" s="91" t="s">
        <v>11</v>
      </c>
      <c r="F1795" s="92" t="s">
        <v>35</v>
      </c>
      <c r="G1795" s="93">
        <v>133952.09</v>
      </c>
      <c r="H1795" s="93">
        <v>193249.39</v>
      </c>
      <c r="I1795" s="93">
        <v>2397.5457928860201</v>
      </c>
      <c r="J1795" s="93">
        <v>3878.5</v>
      </c>
      <c r="K1795" s="93">
        <v>540.34</v>
      </c>
      <c r="L1795" s="93">
        <v>232210.14</v>
      </c>
      <c r="M1795" s="93">
        <v>605861.19999999995</v>
      </c>
      <c r="N1795" s="95">
        <v>0.36</v>
      </c>
      <c r="O1795" s="95">
        <v>0.52</v>
      </c>
      <c r="P1795" s="95">
        <v>0.11</v>
      </c>
      <c r="Q1795" s="95">
        <v>0.01</v>
      </c>
      <c r="R1795" s="96">
        <v>0</v>
      </c>
    </row>
    <row r="1796" spans="1:18" ht="15" hidden="1" customHeight="1" x14ac:dyDescent="0.3">
      <c r="A1796" s="89">
        <v>2022</v>
      </c>
      <c r="B1796" s="90">
        <v>12</v>
      </c>
      <c r="C1796" s="90" t="s">
        <v>733</v>
      </c>
      <c r="D1796" s="90" t="s">
        <v>719</v>
      </c>
      <c r="E1796" s="91" t="s">
        <v>11</v>
      </c>
      <c r="F1796" s="92" t="s">
        <v>36</v>
      </c>
      <c r="G1796" s="93">
        <v>34873.019999999997</v>
      </c>
      <c r="H1796" s="93">
        <v>129664.35</v>
      </c>
      <c r="I1796" s="93">
        <v>2397.5457928860201</v>
      </c>
      <c r="J1796" s="93">
        <v>4573.16</v>
      </c>
      <c r="K1796" s="93">
        <v>18.899999999999999</v>
      </c>
      <c r="L1796" s="93">
        <v>32237.71</v>
      </c>
      <c r="M1796" s="93">
        <v>258886.74</v>
      </c>
      <c r="N1796" s="95">
        <v>0.15</v>
      </c>
      <c r="O1796" s="95">
        <v>0.56999999999999995</v>
      </c>
      <c r="P1796" s="95">
        <v>0.25</v>
      </c>
      <c r="Q1796" s="95">
        <v>0.02</v>
      </c>
      <c r="R1796" s="96">
        <v>0</v>
      </c>
    </row>
    <row r="1797" spans="1:18" ht="15" hidden="1" customHeight="1" x14ac:dyDescent="0.3">
      <c r="A1797" s="89">
        <v>2022</v>
      </c>
      <c r="B1797" s="90">
        <v>12</v>
      </c>
      <c r="C1797" s="90" t="s">
        <v>733</v>
      </c>
      <c r="D1797" s="90" t="s">
        <v>719</v>
      </c>
      <c r="E1797" s="91" t="s">
        <v>11</v>
      </c>
      <c r="F1797" s="92" t="s">
        <v>37</v>
      </c>
      <c r="G1797" s="93">
        <v>66795.460000000006</v>
      </c>
      <c r="H1797" s="93">
        <v>215403.51999999999</v>
      </c>
      <c r="I1797" s="93">
        <v>2397.5457928860201</v>
      </c>
      <c r="J1797" s="93">
        <v>8481.7199999999993</v>
      </c>
      <c r="K1797" s="93">
        <v>417.05</v>
      </c>
      <c r="L1797" s="93">
        <v>145230.88</v>
      </c>
      <c r="M1797" s="93">
        <v>524074.32</v>
      </c>
      <c r="N1797" s="95">
        <v>0.18</v>
      </c>
      <c r="O1797" s="95">
        <v>0.56999999999999995</v>
      </c>
      <c r="P1797" s="95">
        <v>0.23</v>
      </c>
      <c r="Q1797" s="95">
        <v>0.02</v>
      </c>
      <c r="R1797" s="96">
        <v>0</v>
      </c>
    </row>
    <row r="1798" spans="1:18" ht="15" hidden="1" customHeight="1" x14ac:dyDescent="0.3">
      <c r="A1798" s="89">
        <v>2022</v>
      </c>
      <c r="B1798" s="90">
        <v>12</v>
      </c>
      <c r="C1798" s="90" t="s">
        <v>733</v>
      </c>
      <c r="D1798" s="90" t="s">
        <v>719</v>
      </c>
      <c r="E1798" s="91" t="s">
        <v>11</v>
      </c>
      <c r="F1798" s="92" t="s">
        <v>38</v>
      </c>
      <c r="G1798" s="93">
        <v>480486.96</v>
      </c>
      <c r="H1798" s="93">
        <v>211057.04</v>
      </c>
      <c r="I1798" s="93">
        <v>2397.5457928860201</v>
      </c>
      <c r="J1798" s="93">
        <v>3738.38</v>
      </c>
      <c r="K1798" s="93">
        <v>138.21</v>
      </c>
      <c r="L1798" s="93">
        <v>184809.5</v>
      </c>
      <c r="M1798" s="93">
        <v>927959.02</v>
      </c>
      <c r="N1798" s="95">
        <v>0.65</v>
      </c>
      <c r="O1798" s="95">
        <v>0.28000000000000003</v>
      </c>
      <c r="P1798" s="95">
        <v>0.06</v>
      </c>
      <c r="Q1798" s="95">
        <v>0.01</v>
      </c>
      <c r="R1798" s="96">
        <v>0</v>
      </c>
    </row>
    <row r="1799" spans="1:18" ht="15" hidden="1" customHeight="1" x14ac:dyDescent="0.3">
      <c r="A1799" s="89">
        <v>2022</v>
      </c>
      <c r="B1799" s="90">
        <v>12</v>
      </c>
      <c r="C1799" s="90" t="s">
        <v>733</v>
      </c>
      <c r="D1799" s="90" t="s">
        <v>719</v>
      </c>
      <c r="E1799" s="91" t="s">
        <v>11</v>
      </c>
      <c r="F1799" s="92" t="s">
        <v>39</v>
      </c>
      <c r="G1799" s="93">
        <v>96285.43</v>
      </c>
      <c r="H1799" s="93">
        <v>181048.5</v>
      </c>
      <c r="I1799" s="93">
        <v>2397.5457928860201</v>
      </c>
      <c r="J1799" s="93">
        <v>3350.1</v>
      </c>
      <c r="K1799" s="93">
        <v>99.2</v>
      </c>
      <c r="L1799" s="93">
        <v>7468.5</v>
      </c>
      <c r="M1799" s="93">
        <v>331195.63</v>
      </c>
      <c r="N1799" s="95">
        <v>0.3</v>
      </c>
      <c r="O1799" s="95">
        <v>0.56000000000000005</v>
      </c>
      <c r="P1799" s="95">
        <v>0.13</v>
      </c>
      <c r="Q1799" s="95">
        <v>0.01</v>
      </c>
      <c r="R1799" s="96">
        <v>0</v>
      </c>
    </row>
    <row r="1800" spans="1:18" ht="15" hidden="1" customHeight="1" x14ac:dyDescent="0.3">
      <c r="A1800" s="89">
        <v>2022</v>
      </c>
      <c r="B1800" s="90">
        <v>12</v>
      </c>
      <c r="C1800" s="90" t="s">
        <v>733</v>
      </c>
      <c r="D1800" s="90" t="s">
        <v>719</v>
      </c>
      <c r="E1800" s="91" t="s">
        <v>11</v>
      </c>
      <c r="F1800" s="92" t="s">
        <v>41</v>
      </c>
      <c r="G1800" s="93">
        <v>14275.34</v>
      </c>
      <c r="H1800" s="93">
        <v>3724.55</v>
      </c>
      <c r="I1800" s="93">
        <v>2397.5457928860201</v>
      </c>
      <c r="J1800" s="93">
        <v>47.61</v>
      </c>
      <c r="K1800" s="93">
        <v>9.82</v>
      </c>
      <c r="L1800" s="93">
        <v>0</v>
      </c>
      <c r="M1800" s="93">
        <v>18714.330000000002</v>
      </c>
      <c r="N1800" s="95">
        <v>0.76</v>
      </c>
      <c r="O1800" s="95">
        <v>0.2</v>
      </c>
      <c r="P1800" s="95">
        <v>0.04</v>
      </c>
      <c r="Q1800" s="95">
        <v>0</v>
      </c>
      <c r="R1800" s="96">
        <v>0</v>
      </c>
    </row>
    <row r="1801" spans="1:18" ht="15" hidden="1" customHeight="1" x14ac:dyDescent="0.3">
      <c r="A1801" s="89">
        <v>2022</v>
      </c>
      <c r="B1801" s="90">
        <v>12</v>
      </c>
      <c r="C1801" s="90" t="s">
        <v>733</v>
      </c>
      <c r="D1801" s="90" t="s">
        <v>719</v>
      </c>
      <c r="E1801" s="91" t="s">
        <v>11</v>
      </c>
      <c r="F1801" s="92" t="s">
        <v>42</v>
      </c>
      <c r="G1801" s="93">
        <v>84339.16</v>
      </c>
      <c r="H1801" s="93">
        <v>320484.03999999998</v>
      </c>
      <c r="I1801" s="93">
        <v>2397.5457928860201</v>
      </c>
      <c r="J1801" s="93">
        <v>19859.45</v>
      </c>
      <c r="K1801" s="93">
        <v>4827.3900000000003</v>
      </c>
      <c r="L1801" s="93">
        <v>76785.09</v>
      </c>
      <c r="M1801" s="93">
        <v>620824.21</v>
      </c>
      <c r="N1801" s="95">
        <v>0.16</v>
      </c>
      <c r="O1801" s="95">
        <v>0.59</v>
      </c>
      <c r="P1801" s="95">
        <v>0.21</v>
      </c>
      <c r="Q1801" s="95">
        <v>0.04</v>
      </c>
      <c r="R1801" s="96">
        <v>0.01</v>
      </c>
    </row>
    <row r="1802" spans="1:18" ht="15" hidden="1" customHeight="1" x14ac:dyDescent="0.3">
      <c r="A1802" s="89">
        <v>2022</v>
      </c>
      <c r="B1802" s="90">
        <v>12</v>
      </c>
      <c r="C1802" s="90" t="s">
        <v>733</v>
      </c>
      <c r="D1802" s="90" t="s">
        <v>719</v>
      </c>
      <c r="E1802" s="91" t="s">
        <v>11</v>
      </c>
      <c r="F1802" s="92" t="s">
        <v>43</v>
      </c>
      <c r="G1802" s="93">
        <v>3727.98</v>
      </c>
      <c r="H1802" s="93">
        <v>24259.93</v>
      </c>
      <c r="I1802" s="93">
        <v>2397.5457928860201</v>
      </c>
      <c r="J1802" s="93">
        <v>14841.53</v>
      </c>
      <c r="K1802" s="93">
        <v>3838.72</v>
      </c>
      <c r="L1802" s="93">
        <v>116318.35</v>
      </c>
      <c r="M1802" s="93">
        <v>185575.52</v>
      </c>
      <c r="N1802" s="95">
        <v>0.05</v>
      </c>
      <c r="O1802" s="95">
        <v>0.35</v>
      </c>
      <c r="P1802" s="95">
        <v>0.33</v>
      </c>
      <c r="Q1802" s="95">
        <v>0.21</v>
      </c>
      <c r="R1802" s="96">
        <v>0.06</v>
      </c>
    </row>
    <row r="1803" spans="1:18" ht="15" hidden="1" customHeight="1" x14ac:dyDescent="0.3">
      <c r="A1803" s="89">
        <v>2022</v>
      </c>
      <c r="B1803" s="90">
        <v>12</v>
      </c>
      <c r="C1803" s="90" t="s">
        <v>733</v>
      </c>
      <c r="D1803" s="90" t="s">
        <v>719</v>
      </c>
      <c r="E1803" s="91" t="s">
        <v>11</v>
      </c>
      <c r="F1803" s="92" t="s">
        <v>58</v>
      </c>
      <c r="G1803" s="93">
        <v>95264.44</v>
      </c>
      <c r="H1803" s="93">
        <v>229002.82</v>
      </c>
      <c r="I1803" s="93">
        <v>2397.5457928860201</v>
      </c>
      <c r="J1803" s="93">
        <v>446.74</v>
      </c>
      <c r="K1803" s="93"/>
      <c r="L1803" s="93">
        <v>4054.52</v>
      </c>
      <c r="M1803" s="93">
        <v>371477.13</v>
      </c>
      <c r="N1803" s="95">
        <v>0.26</v>
      </c>
      <c r="O1803" s="95">
        <v>0.62</v>
      </c>
      <c r="P1803" s="95">
        <v>0.12</v>
      </c>
      <c r="Q1803" s="95">
        <v>0</v>
      </c>
      <c r="R1803" s="96">
        <v>0</v>
      </c>
    </row>
    <row r="1804" spans="1:18" ht="15" hidden="1" customHeight="1" x14ac:dyDescent="0.3">
      <c r="A1804" s="89">
        <v>2022</v>
      </c>
      <c r="B1804" s="90">
        <v>12</v>
      </c>
      <c r="C1804" s="90" t="s">
        <v>733</v>
      </c>
      <c r="D1804" s="90" t="s">
        <v>719</v>
      </c>
      <c r="E1804" s="91" t="s">
        <v>11</v>
      </c>
      <c r="F1804" s="92" t="s">
        <v>44</v>
      </c>
      <c r="G1804" s="93">
        <v>8572.66</v>
      </c>
      <c r="H1804" s="93">
        <v>62076.93</v>
      </c>
      <c r="I1804" s="93">
        <v>2397.5457928860201</v>
      </c>
      <c r="J1804" s="93">
        <v>12736.07</v>
      </c>
      <c r="K1804" s="93">
        <v>90.13</v>
      </c>
      <c r="L1804" s="93">
        <v>38981.910000000003</v>
      </c>
      <c r="M1804" s="93">
        <v>215729.36</v>
      </c>
      <c r="N1804" s="95">
        <v>0.05</v>
      </c>
      <c r="O1804" s="95">
        <v>0.35</v>
      </c>
      <c r="P1804" s="95">
        <v>0.53</v>
      </c>
      <c r="Q1804" s="95">
        <v>7.0000000000000007E-2</v>
      </c>
      <c r="R1804" s="96">
        <v>0</v>
      </c>
    </row>
    <row r="1805" spans="1:18" ht="15" hidden="1" customHeight="1" x14ac:dyDescent="0.3">
      <c r="A1805" s="89">
        <v>2022</v>
      </c>
      <c r="B1805" s="90">
        <v>12</v>
      </c>
      <c r="C1805" s="90" t="s">
        <v>733</v>
      </c>
      <c r="D1805" s="90" t="s">
        <v>719</v>
      </c>
      <c r="E1805" s="91" t="s">
        <v>11</v>
      </c>
      <c r="F1805" s="92" t="s">
        <v>51</v>
      </c>
      <c r="G1805" s="93">
        <v>14988.48</v>
      </c>
      <c r="H1805" s="93">
        <v>33957.519999999997</v>
      </c>
      <c r="I1805" s="93">
        <v>2397.5457928860201</v>
      </c>
      <c r="J1805" s="93">
        <v>25297.71</v>
      </c>
      <c r="K1805" s="93">
        <v>1516.07</v>
      </c>
      <c r="L1805" s="93">
        <v>92.3</v>
      </c>
      <c r="M1805" s="93">
        <v>211202.48</v>
      </c>
      <c r="N1805" s="95">
        <v>7.0000000000000007E-2</v>
      </c>
      <c r="O1805" s="95">
        <v>0.16</v>
      </c>
      <c r="P1805" s="95">
        <v>0.64</v>
      </c>
      <c r="Q1805" s="95">
        <v>0.12</v>
      </c>
      <c r="R1805" s="96">
        <v>0.01</v>
      </c>
    </row>
    <row r="1806" spans="1:18" ht="15" hidden="1" customHeight="1" x14ac:dyDescent="0.3">
      <c r="A1806" s="89">
        <v>2022</v>
      </c>
      <c r="B1806" s="90">
        <v>12</v>
      </c>
      <c r="C1806" s="90" t="s">
        <v>733</v>
      </c>
      <c r="D1806" s="90" t="s">
        <v>719</v>
      </c>
      <c r="E1806" s="91" t="s">
        <v>11</v>
      </c>
      <c r="F1806" s="92" t="s">
        <v>45</v>
      </c>
      <c r="G1806" s="93">
        <v>9158.14</v>
      </c>
      <c r="H1806" s="93">
        <v>34317.57</v>
      </c>
      <c r="I1806" s="93">
        <v>2397.5457928860201</v>
      </c>
      <c r="J1806" s="93">
        <v>8134.87</v>
      </c>
      <c r="K1806" s="93">
        <v>283.02999999999997</v>
      </c>
      <c r="L1806" s="93">
        <v>48111.34</v>
      </c>
      <c r="M1806" s="93">
        <v>134096.20000000001</v>
      </c>
      <c r="N1806" s="95">
        <v>0.11</v>
      </c>
      <c r="O1806" s="95">
        <v>0.4</v>
      </c>
      <c r="P1806" s="95">
        <v>0.4</v>
      </c>
      <c r="Q1806" s="95">
        <v>0.09</v>
      </c>
      <c r="R1806" s="96">
        <v>0</v>
      </c>
    </row>
    <row r="1807" spans="1:18" ht="15" hidden="1" customHeight="1" x14ac:dyDescent="0.3">
      <c r="A1807" s="89">
        <v>2022</v>
      </c>
      <c r="B1807" s="90">
        <v>12</v>
      </c>
      <c r="C1807" s="90" t="s">
        <v>733</v>
      </c>
      <c r="D1807" s="90" t="s">
        <v>719</v>
      </c>
      <c r="E1807" s="91" t="s">
        <v>11</v>
      </c>
      <c r="F1807" s="92" t="s">
        <v>721</v>
      </c>
      <c r="G1807" s="93">
        <v>155023.1</v>
      </c>
      <c r="H1807" s="93">
        <v>141165.95000000001</v>
      </c>
      <c r="I1807" s="93">
        <v>2397.5457928860201</v>
      </c>
      <c r="J1807" s="93">
        <v>580.39</v>
      </c>
      <c r="K1807" s="93">
        <v>18.72</v>
      </c>
      <c r="L1807" s="93">
        <v>4.34</v>
      </c>
      <c r="M1807" s="93">
        <v>309330.63</v>
      </c>
      <c r="N1807" s="95">
        <v>0.5</v>
      </c>
      <c r="O1807" s="95">
        <v>0.46</v>
      </c>
      <c r="P1807" s="95">
        <v>0.04</v>
      </c>
      <c r="Q1807" s="95">
        <v>0</v>
      </c>
      <c r="R1807" s="96">
        <v>0</v>
      </c>
    </row>
    <row r="1808" spans="1:18" ht="15" hidden="1" customHeight="1" x14ac:dyDescent="0.3">
      <c r="A1808" s="89">
        <v>2022</v>
      </c>
      <c r="B1808" s="90">
        <v>12</v>
      </c>
      <c r="C1808" s="90" t="s">
        <v>733</v>
      </c>
      <c r="D1808" s="90" t="s">
        <v>719</v>
      </c>
      <c r="E1808" s="91" t="s">
        <v>11</v>
      </c>
      <c r="F1808" s="92" t="s">
        <v>46</v>
      </c>
      <c r="G1808" s="93">
        <v>23880.71</v>
      </c>
      <c r="H1808" s="93">
        <v>65113.85</v>
      </c>
      <c r="I1808" s="93">
        <v>2397.5457928860201</v>
      </c>
      <c r="J1808" s="93">
        <v>13055.16</v>
      </c>
      <c r="K1808" s="93">
        <v>1348.23</v>
      </c>
      <c r="L1808" s="93">
        <v>482.81</v>
      </c>
      <c r="M1808" s="93">
        <v>149074.81</v>
      </c>
      <c r="N1808" s="95">
        <v>0.16</v>
      </c>
      <c r="O1808" s="95">
        <v>0.44</v>
      </c>
      <c r="P1808" s="95">
        <v>0.3</v>
      </c>
      <c r="Q1808" s="95">
        <v>0.09</v>
      </c>
      <c r="R1808" s="96">
        <v>0.01</v>
      </c>
    </row>
    <row r="1809" spans="1:18" ht="15" hidden="1" customHeight="1" x14ac:dyDescent="0.3">
      <c r="A1809" s="89">
        <v>2022</v>
      </c>
      <c r="B1809" s="90">
        <v>12</v>
      </c>
      <c r="C1809" s="90" t="s">
        <v>733</v>
      </c>
      <c r="D1809" s="90" t="s">
        <v>719</v>
      </c>
      <c r="E1809" s="91" t="s">
        <v>11</v>
      </c>
      <c r="F1809" s="92" t="s">
        <v>47</v>
      </c>
      <c r="G1809" s="93">
        <v>10995.77</v>
      </c>
      <c r="H1809" s="93">
        <v>148447.62</v>
      </c>
      <c r="I1809" s="93">
        <v>2397.5457928860201</v>
      </c>
      <c r="J1809" s="93">
        <v>506754.58</v>
      </c>
      <c r="K1809" s="93">
        <v>78090.240000000005</v>
      </c>
      <c r="L1809" s="93">
        <v>139708.82999999999</v>
      </c>
      <c r="M1809" s="93">
        <v>1461770.89</v>
      </c>
      <c r="N1809" s="95">
        <v>0.01</v>
      </c>
      <c r="O1809" s="95">
        <v>0.11</v>
      </c>
      <c r="P1809" s="95">
        <v>0.44</v>
      </c>
      <c r="Q1809" s="95">
        <v>0.38</v>
      </c>
      <c r="R1809" s="96">
        <v>0.06</v>
      </c>
    </row>
    <row r="1810" spans="1:18" ht="15" hidden="1" customHeight="1" x14ac:dyDescent="0.3">
      <c r="A1810" s="89">
        <v>2022</v>
      </c>
      <c r="B1810" s="90">
        <v>12</v>
      </c>
      <c r="C1810" s="90" t="s">
        <v>733</v>
      </c>
      <c r="D1810" s="90" t="s">
        <v>719</v>
      </c>
      <c r="E1810" s="91" t="s">
        <v>11</v>
      </c>
      <c r="F1810" s="92" t="s">
        <v>48</v>
      </c>
      <c r="G1810" s="93">
        <v>19001.75</v>
      </c>
      <c r="H1810" s="93">
        <v>53649.279999999999</v>
      </c>
      <c r="I1810" s="93">
        <v>2397.5457928860201</v>
      </c>
      <c r="J1810" s="93">
        <v>2122.63</v>
      </c>
      <c r="K1810" s="93">
        <v>42.41</v>
      </c>
      <c r="L1810" s="93">
        <v>8284.09</v>
      </c>
      <c r="M1810" s="93">
        <v>110314.47</v>
      </c>
      <c r="N1810" s="95">
        <v>0.19</v>
      </c>
      <c r="O1810" s="95">
        <v>0.53</v>
      </c>
      <c r="P1810" s="95">
        <v>0.27</v>
      </c>
      <c r="Q1810" s="95">
        <v>0.02</v>
      </c>
      <c r="R1810" s="96">
        <v>0</v>
      </c>
    </row>
    <row r="1811" spans="1:18" ht="15" hidden="1" customHeight="1" x14ac:dyDescent="0.3">
      <c r="A1811" s="89">
        <v>2022</v>
      </c>
      <c r="B1811" s="90">
        <v>12</v>
      </c>
      <c r="C1811" s="90" t="s">
        <v>733</v>
      </c>
      <c r="D1811" s="90" t="s">
        <v>719</v>
      </c>
      <c r="E1811" s="91" t="s">
        <v>11</v>
      </c>
      <c r="F1811" s="92" t="s">
        <v>40</v>
      </c>
      <c r="G1811" s="93">
        <v>184568.31</v>
      </c>
      <c r="H1811" s="93">
        <v>123607.35</v>
      </c>
      <c r="I1811" s="93">
        <v>2397.5457928860201</v>
      </c>
      <c r="J1811" s="93">
        <v>1256.6500000000001</v>
      </c>
      <c r="K1811" s="93">
        <v>13.91</v>
      </c>
      <c r="L1811" s="93">
        <v>5040.1400000000003</v>
      </c>
      <c r="M1811" s="93">
        <v>326305.03999999998</v>
      </c>
      <c r="N1811" s="95">
        <v>0.56999999999999995</v>
      </c>
      <c r="O1811" s="95">
        <v>0.38</v>
      </c>
      <c r="P1811" s="95">
        <v>0.04</v>
      </c>
      <c r="Q1811" s="95">
        <v>0</v>
      </c>
      <c r="R1811" s="96">
        <v>0</v>
      </c>
    </row>
    <row r="1812" spans="1:18" ht="15" hidden="1" customHeight="1" x14ac:dyDescent="0.3">
      <c r="A1812" s="89">
        <v>2022</v>
      </c>
      <c r="B1812" s="90">
        <v>12</v>
      </c>
      <c r="C1812" s="90" t="s">
        <v>733</v>
      </c>
      <c r="D1812" s="90" t="s">
        <v>722</v>
      </c>
      <c r="E1812" s="91" t="s">
        <v>11</v>
      </c>
      <c r="F1812" s="92" t="s">
        <v>40</v>
      </c>
      <c r="G1812" s="93">
        <v>112949.893</v>
      </c>
      <c r="H1812" s="93">
        <v>175830.96900000001</v>
      </c>
      <c r="I1812" s="93">
        <v>2397.5457928860201</v>
      </c>
      <c r="J1812" s="93">
        <v>1553.168189</v>
      </c>
      <c r="K1812" s="93">
        <v>13.932361719999999</v>
      </c>
      <c r="L1812" s="93">
        <v>7399.11</v>
      </c>
      <c r="M1812" s="93">
        <v>326305.03999999998</v>
      </c>
      <c r="N1812" s="95">
        <v>0.35</v>
      </c>
      <c r="O1812" s="95">
        <v>0.55000000000000004</v>
      </c>
      <c r="P1812" s="95">
        <v>0.09</v>
      </c>
      <c r="Q1812" s="95">
        <v>0</v>
      </c>
      <c r="R1812" s="96">
        <v>0</v>
      </c>
    </row>
    <row r="1813" spans="1:18" ht="15" hidden="1" customHeight="1" x14ac:dyDescent="0.3">
      <c r="A1813" s="89">
        <v>2023</v>
      </c>
      <c r="B1813" s="90">
        <v>1</v>
      </c>
      <c r="C1813" s="90" t="s">
        <v>718</v>
      </c>
      <c r="D1813" s="90" t="s">
        <v>719</v>
      </c>
      <c r="E1813" s="91" t="s">
        <v>11</v>
      </c>
      <c r="F1813" s="92" t="s">
        <v>12</v>
      </c>
      <c r="G1813" s="93">
        <v>96027.68</v>
      </c>
      <c r="H1813" s="93">
        <v>204542.92</v>
      </c>
      <c r="I1813" s="93">
        <v>2397.5457928860201</v>
      </c>
      <c r="J1813" s="93">
        <v>6433.63</v>
      </c>
      <c r="K1813" s="93">
        <v>139.79</v>
      </c>
      <c r="L1813" s="93">
        <v>47590.03</v>
      </c>
      <c r="M1813" s="93">
        <v>433311.44</v>
      </c>
      <c r="N1813" s="95">
        <v>0.25</v>
      </c>
      <c r="O1813" s="95">
        <v>0.53</v>
      </c>
      <c r="P1813" s="95">
        <v>0.2</v>
      </c>
      <c r="Q1813" s="95">
        <v>0.02</v>
      </c>
      <c r="R1813" s="96">
        <v>0</v>
      </c>
    </row>
    <row r="1814" spans="1:18" ht="15" hidden="1" customHeight="1" x14ac:dyDescent="0.3">
      <c r="A1814" s="89">
        <v>2023</v>
      </c>
      <c r="B1814" s="90">
        <v>1</v>
      </c>
      <c r="C1814" s="90" t="s">
        <v>718</v>
      </c>
      <c r="D1814" s="90" t="s">
        <v>719</v>
      </c>
      <c r="E1814" s="91" t="s">
        <v>11</v>
      </c>
      <c r="F1814" s="92" t="s">
        <v>26</v>
      </c>
      <c r="G1814" s="93">
        <v>516363.24</v>
      </c>
      <c r="H1814" s="93">
        <v>415324.2</v>
      </c>
      <c r="I1814" s="93">
        <v>2397.5457928860201</v>
      </c>
      <c r="J1814" s="93">
        <v>6922.73</v>
      </c>
      <c r="K1814" s="93">
        <v>66.95</v>
      </c>
      <c r="L1814" s="93">
        <v>257259.09</v>
      </c>
      <c r="M1814" s="93">
        <v>1302393.77</v>
      </c>
      <c r="N1814" s="95">
        <v>0.49</v>
      </c>
      <c r="O1814" s="95">
        <v>0.4</v>
      </c>
      <c r="P1814" s="95">
        <v>0.1</v>
      </c>
      <c r="Q1814" s="95">
        <v>0.01</v>
      </c>
      <c r="R1814" s="96">
        <v>0</v>
      </c>
    </row>
    <row r="1815" spans="1:18" ht="15" hidden="1" customHeight="1" x14ac:dyDescent="0.3">
      <c r="A1815" s="89">
        <v>2023</v>
      </c>
      <c r="B1815" s="90">
        <v>1</v>
      </c>
      <c r="C1815" s="90" t="s">
        <v>718</v>
      </c>
      <c r="D1815" s="90" t="s">
        <v>719</v>
      </c>
      <c r="E1815" s="91" t="s">
        <v>11</v>
      </c>
      <c r="F1815" s="92" t="s">
        <v>27</v>
      </c>
      <c r="G1815" s="93">
        <v>47336.35</v>
      </c>
      <c r="H1815" s="93">
        <v>133497.41</v>
      </c>
      <c r="I1815" s="93">
        <v>2397.5457928860201</v>
      </c>
      <c r="J1815" s="93">
        <v>3111.27</v>
      </c>
      <c r="K1815" s="93">
        <v>139.97</v>
      </c>
      <c r="L1815" s="93">
        <v>2786.41</v>
      </c>
      <c r="M1815" s="93">
        <v>226689.38</v>
      </c>
      <c r="N1815" s="95">
        <v>0.21</v>
      </c>
      <c r="O1815" s="95">
        <v>0.6</v>
      </c>
      <c r="P1815" s="95">
        <v>0.18</v>
      </c>
      <c r="Q1815" s="95">
        <v>0.01</v>
      </c>
      <c r="R1815" s="96">
        <v>0</v>
      </c>
    </row>
    <row r="1816" spans="1:18" ht="15" hidden="1" customHeight="1" x14ac:dyDescent="0.3">
      <c r="A1816" s="89">
        <v>2023</v>
      </c>
      <c r="B1816" s="90">
        <v>1</v>
      </c>
      <c r="C1816" s="90" t="s">
        <v>718</v>
      </c>
      <c r="D1816" s="90" t="s">
        <v>719</v>
      </c>
      <c r="E1816" s="91" t="s">
        <v>11</v>
      </c>
      <c r="F1816" s="92" t="s">
        <v>28</v>
      </c>
      <c r="G1816" s="93">
        <v>125444.94</v>
      </c>
      <c r="H1816" s="93">
        <v>154102.15</v>
      </c>
      <c r="I1816" s="93">
        <v>2397.5457928860201</v>
      </c>
      <c r="J1816" s="93">
        <v>4234.59</v>
      </c>
      <c r="K1816" s="93">
        <v>46.89</v>
      </c>
      <c r="L1816" s="93">
        <v>4304.57</v>
      </c>
      <c r="M1816" s="93">
        <v>373104.4</v>
      </c>
      <c r="N1816" s="95">
        <v>0.34</v>
      </c>
      <c r="O1816" s="95">
        <v>0.42</v>
      </c>
      <c r="P1816" s="95">
        <v>0.23</v>
      </c>
      <c r="Q1816" s="95">
        <v>0.01</v>
      </c>
      <c r="R1816" s="96">
        <v>0</v>
      </c>
    </row>
    <row r="1817" spans="1:18" ht="15" customHeight="1" x14ac:dyDescent="0.3">
      <c r="A1817" s="89">
        <v>2023</v>
      </c>
      <c r="B1817" s="90">
        <v>1</v>
      </c>
      <c r="C1817" s="90" t="s">
        <v>718</v>
      </c>
      <c r="D1817" s="90" t="s">
        <v>719</v>
      </c>
      <c r="E1817" s="91" t="s">
        <v>11</v>
      </c>
      <c r="F1817" s="92" t="s">
        <v>29</v>
      </c>
      <c r="G1817" s="93">
        <v>89559.54</v>
      </c>
      <c r="H1817" s="93">
        <v>143137.37</v>
      </c>
      <c r="I1817" s="93">
        <v>2397.5457928860201</v>
      </c>
      <c r="J1817" s="93">
        <v>6929.34</v>
      </c>
      <c r="K1817" s="93">
        <v>586.96</v>
      </c>
      <c r="L1817" s="93">
        <v>70957.7</v>
      </c>
      <c r="M1817" s="93">
        <v>354391.76</v>
      </c>
      <c r="N1817" s="95">
        <v>0.32</v>
      </c>
      <c r="O1817" s="95">
        <v>0.51</v>
      </c>
      <c r="P1817" s="95">
        <v>0.15</v>
      </c>
      <c r="Q1817" s="95">
        <v>0.02</v>
      </c>
      <c r="R1817" s="96">
        <v>0</v>
      </c>
    </row>
    <row r="1818" spans="1:18" ht="15" hidden="1" customHeight="1" x14ac:dyDescent="0.3">
      <c r="A1818" s="89">
        <v>2023</v>
      </c>
      <c r="B1818" s="90">
        <v>1</v>
      </c>
      <c r="C1818" s="90" t="s">
        <v>718</v>
      </c>
      <c r="D1818" s="90" t="s">
        <v>719</v>
      </c>
      <c r="E1818" s="91" t="s">
        <v>11</v>
      </c>
      <c r="F1818" s="92" t="s">
        <v>30</v>
      </c>
      <c r="G1818" s="93">
        <v>9338.1</v>
      </c>
      <c r="H1818" s="93">
        <v>4589.22</v>
      </c>
      <c r="I1818" s="93">
        <v>2397.5457928860201</v>
      </c>
      <c r="J1818" s="93">
        <v>804.03</v>
      </c>
      <c r="K1818" s="93"/>
      <c r="L1818" s="93">
        <v>214544.5</v>
      </c>
      <c r="M1818" s="93">
        <v>230086.24</v>
      </c>
      <c r="N1818" s="95">
        <v>0.6</v>
      </c>
      <c r="O1818" s="95">
        <v>0.3</v>
      </c>
      <c r="P1818" s="95">
        <v>0.05</v>
      </c>
      <c r="Q1818" s="95">
        <v>0.05</v>
      </c>
      <c r="R1818" s="96">
        <v>0</v>
      </c>
    </row>
    <row r="1819" spans="1:18" ht="15" hidden="1" customHeight="1" x14ac:dyDescent="0.3">
      <c r="A1819" s="89">
        <v>2023</v>
      </c>
      <c r="B1819" s="90">
        <v>1</v>
      </c>
      <c r="C1819" s="90" t="s">
        <v>718</v>
      </c>
      <c r="D1819" s="90" t="s">
        <v>719</v>
      </c>
      <c r="E1819" s="91" t="s">
        <v>11</v>
      </c>
      <c r="F1819" s="92" t="s">
        <v>31</v>
      </c>
      <c r="G1819" s="93">
        <v>5290.64</v>
      </c>
      <c r="H1819" s="93">
        <v>88966.65</v>
      </c>
      <c r="I1819" s="93">
        <v>2397.5457928860201</v>
      </c>
      <c r="J1819" s="93">
        <v>30725.919999999998</v>
      </c>
      <c r="K1819" s="93">
        <v>5760.66</v>
      </c>
      <c r="L1819" s="93">
        <v>44569.29</v>
      </c>
      <c r="M1819" s="93">
        <v>251948.86</v>
      </c>
      <c r="N1819" s="95">
        <v>0.03</v>
      </c>
      <c r="O1819" s="95">
        <v>0.43</v>
      </c>
      <c r="P1819" s="95">
        <v>0.37</v>
      </c>
      <c r="Q1819" s="95">
        <v>0.15</v>
      </c>
      <c r="R1819" s="96">
        <v>0.03</v>
      </c>
    </row>
    <row r="1820" spans="1:18" ht="15" hidden="1" customHeight="1" x14ac:dyDescent="0.3">
      <c r="A1820" s="89">
        <v>2023</v>
      </c>
      <c r="B1820" s="90">
        <v>1</v>
      </c>
      <c r="C1820" s="90" t="s">
        <v>718</v>
      </c>
      <c r="D1820" s="90" t="s">
        <v>719</v>
      </c>
      <c r="E1820" s="91" t="s">
        <v>11</v>
      </c>
      <c r="F1820" s="92" t="s">
        <v>32</v>
      </c>
      <c r="G1820" s="93">
        <v>293188.39</v>
      </c>
      <c r="H1820" s="93">
        <v>243573.25</v>
      </c>
      <c r="I1820" s="93">
        <v>2397.5457928860201</v>
      </c>
      <c r="J1820" s="93">
        <v>1885.48</v>
      </c>
      <c r="K1820" s="93">
        <v>4.66</v>
      </c>
      <c r="L1820" s="93">
        <v>24678.73</v>
      </c>
      <c r="M1820" s="93">
        <v>609521.87</v>
      </c>
      <c r="N1820" s="95">
        <v>0.5</v>
      </c>
      <c r="O1820" s="95">
        <v>0.42</v>
      </c>
      <c r="P1820" s="95">
        <v>0.08</v>
      </c>
      <c r="Q1820" s="95">
        <v>0</v>
      </c>
      <c r="R1820" s="96">
        <v>0</v>
      </c>
    </row>
    <row r="1821" spans="1:18" ht="15" hidden="1" customHeight="1" x14ac:dyDescent="0.3">
      <c r="A1821" s="89">
        <v>2023</v>
      </c>
      <c r="B1821" s="90">
        <v>1</v>
      </c>
      <c r="C1821" s="90" t="s">
        <v>718</v>
      </c>
      <c r="D1821" s="90" t="s">
        <v>719</v>
      </c>
      <c r="E1821" s="91" t="s">
        <v>11</v>
      </c>
      <c r="F1821" s="92" t="s">
        <v>33</v>
      </c>
      <c r="G1821" s="93">
        <v>785286.31</v>
      </c>
      <c r="H1821" s="93">
        <v>475475.74</v>
      </c>
      <c r="I1821" s="93">
        <v>2397.5457928860201</v>
      </c>
      <c r="J1821" s="93">
        <v>2218.14</v>
      </c>
      <c r="K1821" s="93">
        <v>19.25</v>
      </c>
      <c r="L1821" s="93">
        <v>34198.160000000003</v>
      </c>
      <c r="M1821" s="93">
        <v>1352055.51</v>
      </c>
      <c r="N1821" s="95">
        <v>0.6</v>
      </c>
      <c r="O1821" s="95">
        <v>0.36</v>
      </c>
      <c r="P1821" s="95">
        <v>0.04</v>
      </c>
      <c r="Q1821" s="95">
        <v>0</v>
      </c>
      <c r="R1821" s="96">
        <v>0</v>
      </c>
    </row>
    <row r="1822" spans="1:18" ht="15" hidden="1" customHeight="1" x14ac:dyDescent="0.3">
      <c r="A1822" s="89">
        <v>2023</v>
      </c>
      <c r="B1822" s="90">
        <v>1</v>
      </c>
      <c r="C1822" s="90" t="s">
        <v>718</v>
      </c>
      <c r="D1822" s="90" t="s">
        <v>719</v>
      </c>
      <c r="E1822" s="91" t="s">
        <v>11</v>
      </c>
      <c r="F1822" s="92" t="s">
        <v>34</v>
      </c>
      <c r="G1822" s="93">
        <v>395885.89</v>
      </c>
      <c r="H1822" s="93">
        <v>218663.39</v>
      </c>
      <c r="I1822" s="93">
        <v>2397.5457928860201</v>
      </c>
      <c r="J1822" s="93">
        <v>5231.5</v>
      </c>
      <c r="K1822" s="93">
        <v>366.83</v>
      </c>
      <c r="L1822" s="93">
        <v>52349.7</v>
      </c>
      <c r="M1822" s="93">
        <v>713628.98</v>
      </c>
      <c r="N1822" s="95">
        <v>0.6</v>
      </c>
      <c r="O1822" s="95">
        <v>0.33</v>
      </c>
      <c r="P1822" s="95">
        <v>0.06</v>
      </c>
      <c r="Q1822" s="95">
        <v>0.01</v>
      </c>
      <c r="R1822" s="96">
        <v>0</v>
      </c>
    </row>
    <row r="1823" spans="1:18" ht="15" hidden="1" customHeight="1" x14ac:dyDescent="0.3">
      <c r="A1823" s="89">
        <v>2023</v>
      </c>
      <c r="B1823" s="90">
        <v>1</v>
      </c>
      <c r="C1823" s="90" t="s">
        <v>718</v>
      </c>
      <c r="D1823" s="90" t="s">
        <v>719</v>
      </c>
      <c r="E1823" s="91" t="s">
        <v>11</v>
      </c>
      <c r="F1823" s="92" t="s">
        <v>35</v>
      </c>
      <c r="G1823" s="93">
        <v>74158.97</v>
      </c>
      <c r="H1823" s="93">
        <v>188624.99</v>
      </c>
      <c r="I1823" s="93">
        <v>2397.5457928860201</v>
      </c>
      <c r="J1823" s="93">
        <v>12378.32</v>
      </c>
      <c r="K1823" s="93">
        <v>478.59</v>
      </c>
      <c r="L1823" s="93">
        <v>232779.97</v>
      </c>
      <c r="M1823" s="93">
        <v>605861.19999999995</v>
      </c>
      <c r="N1823" s="95">
        <v>0.2</v>
      </c>
      <c r="O1823" s="95">
        <v>0.51</v>
      </c>
      <c r="P1823" s="95">
        <v>0.26</v>
      </c>
      <c r="Q1823" s="95">
        <v>0.03</v>
      </c>
      <c r="R1823" s="96">
        <v>0</v>
      </c>
    </row>
    <row r="1824" spans="1:18" ht="15" hidden="1" customHeight="1" x14ac:dyDescent="0.3">
      <c r="A1824" s="89">
        <v>2023</v>
      </c>
      <c r="B1824" s="90">
        <v>1</v>
      </c>
      <c r="C1824" s="90" t="s">
        <v>718</v>
      </c>
      <c r="D1824" s="90" t="s">
        <v>719</v>
      </c>
      <c r="E1824" s="91" t="s">
        <v>11</v>
      </c>
      <c r="F1824" s="92" t="s">
        <v>36</v>
      </c>
      <c r="G1824" s="93">
        <v>125523.96</v>
      </c>
      <c r="H1824" s="93">
        <v>86367.78</v>
      </c>
      <c r="I1824" s="93">
        <v>2397.5457928860201</v>
      </c>
      <c r="J1824" s="93">
        <v>878.46</v>
      </c>
      <c r="K1824" s="93">
        <v>9.4499999999999993</v>
      </c>
      <c r="L1824" s="93">
        <v>31978.38</v>
      </c>
      <c r="M1824" s="93">
        <v>258886.74</v>
      </c>
      <c r="N1824" s="95">
        <v>0.55000000000000004</v>
      </c>
      <c r="O1824" s="95">
        <v>0.38</v>
      </c>
      <c r="P1824" s="95">
        <v>0.06</v>
      </c>
      <c r="Q1824" s="95">
        <v>0</v>
      </c>
      <c r="R1824" s="96">
        <v>0</v>
      </c>
    </row>
    <row r="1825" spans="1:18" ht="15" hidden="1" customHeight="1" x14ac:dyDescent="0.3">
      <c r="A1825" s="89">
        <v>2023</v>
      </c>
      <c r="B1825" s="90">
        <v>1</v>
      </c>
      <c r="C1825" s="90" t="s">
        <v>718</v>
      </c>
      <c r="D1825" s="90" t="s">
        <v>719</v>
      </c>
      <c r="E1825" s="91" t="s">
        <v>11</v>
      </c>
      <c r="F1825" s="92" t="s">
        <v>37</v>
      </c>
      <c r="G1825" s="93">
        <v>130765.1</v>
      </c>
      <c r="H1825" s="93">
        <v>197237.11</v>
      </c>
      <c r="I1825" s="93">
        <v>2397.5457928860201</v>
      </c>
      <c r="J1825" s="93">
        <v>3477.29</v>
      </c>
      <c r="K1825" s="93">
        <v>47.27</v>
      </c>
      <c r="L1825" s="93">
        <v>143763.65</v>
      </c>
      <c r="M1825" s="93">
        <v>524074.32</v>
      </c>
      <c r="N1825" s="95">
        <v>0.34</v>
      </c>
      <c r="O1825" s="95">
        <v>0.52</v>
      </c>
      <c r="P1825" s="95">
        <v>0.13</v>
      </c>
      <c r="Q1825" s="95">
        <v>0.01</v>
      </c>
      <c r="R1825" s="96">
        <v>0</v>
      </c>
    </row>
    <row r="1826" spans="1:18" ht="15" hidden="1" customHeight="1" x14ac:dyDescent="0.3">
      <c r="A1826" s="89">
        <v>2023</v>
      </c>
      <c r="B1826" s="90">
        <v>1</v>
      </c>
      <c r="C1826" s="90" t="s">
        <v>718</v>
      </c>
      <c r="D1826" s="90" t="s">
        <v>719</v>
      </c>
      <c r="E1826" s="91" t="s">
        <v>11</v>
      </c>
      <c r="F1826" s="92" t="s">
        <v>38</v>
      </c>
      <c r="G1826" s="93">
        <v>366081.3</v>
      </c>
      <c r="H1826" s="93">
        <v>262578.38</v>
      </c>
      <c r="I1826" s="93">
        <v>2397.5457928860201</v>
      </c>
      <c r="J1826" s="93">
        <v>12149.1</v>
      </c>
      <c r="K1826" s="93">
        <v>132.08000000000001</v>
      </c>
      <c r="L1826" s="93">
        <v>189559.79</v>
      </c>
      <c r="M1826" s="93">
        <v>927959.02</v>
      </c>
      <c r="N1826" s="95">
        <v>0.5</v>
      </c>
      <c r="O1826" s="95">
        <v>0.36</v>
      </c>
      <c r="P1826" s="95">
        <v>0.13</v>
      </c>
      <c r="Q1826" s="95">
        <v>0.02</v>
      </c>
      <c r="R1826" s="96">
        <v>0</v>
      </c>
    </row>
    <row r="1827" spans="1:18" ht="15" hidden="1" customHeight="1" x14ac:dyDescent="0.3">
      <c r="A1827" s="89">
        <v>2023</v>
      </c>
      <c r="B1827" s="90">
        <v>1</v>
      </c>
      <c r="C1827" s="90" t="s">
        <v>718</v>
      </c>
      <c r="D1827" s="90" t="s">
        <v>719</v>
      </c>
      <c r="E1827" s="91" t="s">
        <v>11</v>
      </c>
      <c r="F1827" s="92" t="s">
        <v>39</v>
      </c>
      <c r="G1827" s="93">
        <v>115910.13</v>
      </c>
      <c r="H1827" s="93">
        <v>168559.06</v>
      </c>
      <c r="I1827" s="93">
        <v>2397.5457928860201</v>
      </c>
      <c r="J1827" s="93">
        <v>824.47</v>
      </c>
      <c r="K1827" s="93"/>
      <c r="L1827" s="93">
        <v>23829.41</v>
      </c>
      <c r="M1827" s="93">
        <v>331195.63</v>
      </c>
      <c r="N1827" s="95">
        <v>0.38</v>
      </c>
      <c r="O1827" s="95">
        <v>0.55000000000000004</v>
      </c>
      <c r="P1827" s="95">
        <v>7.0000000000000007E-2</v>
      </c>
      <c r="Q1827" s="95">
        <v>0</v>
      </c>
      <c r="R1827" s="96">
        <v>0</v>
      </c>
    </row>
    <row r="1828" spans="1:18" ht="15" hidden="1" customHeight="1" x14ac:dyDescent="0.3">
      <c r="A1828" s="89">
        <v>2023</v>
      </c>
      <c r="B1828" s="90">
        <v>1</v>
      </c>
      <c r="C1828" s="90" t="s">
        <v>718</v>
      </c>
      <c r="D1828" s="90" t="s">
        <v>719</v>
      </c>
      <c r="E1828" s="91" t="s">
        <v>11</v>
      </c>
      <c r="F1828" s="92" t="s">
        <v>40</v>
      </c>
      <c r="G1828" s="93">
        <v>166676.21</v>
      </c>
      <c r="H1828" s="93">
        <v>131080.85999999999</v>
      </c>
      <c r="I1828" s="93">
        <v>2397.5457928860201</v>
      </c>
      <c r="J1828" s="93">
        <v>2759.18</v>
      </c>
      <c r="K1828" s="93">
        <v>157.62</v>
      </c>
      <c r="L1828" s="93">
        <v>5650.56</v>
      </c>
      <c r="M1828" s="93">
        <v>326305.03999999998</v>
      </c>
      <c r="N1828" s="95">
        <v>0.52</v>
      </c>
      <c r="O1828" s="95">
        <v>0.41</v>
      </c>
      <c r="P1828" s="95">
        <v>0.06</v>
      </c>
      <c r="Q1828" s="95">
        <v>0.01</v>
      </c>
      <c r="R1828" s="96">
        <v>0</v>
      </c>
    </row>
    <row r="1829" spans="1:18" ht="15" hidden="1" customHeight="1" x14ac:dyDescent="0.3">
      <c r="A1829" s="89">
        <v>2023</v>
      </c>
      <c r="B1829" s="90">
        <v>1</v>
      </c>
      <c r="C1829" s="90" t="s">
        <v>718</v>
      </c>
      <c r="D1829" s="90" t="s">
        <v>719</v>
      </c>
      <c r="E1829" s="91" t="s">
        <v>11</v>
      </c>
      <c r="F1829" s="92" t="s">
        <v>41</v>
      </c>
      <c r="G1829" s="93">
        <v>12582.35</v>
      </c>
      <c r="H1829" s="93">
        <v>5511.56</v>
      </c>
      <c r="I1829" s="93">
        <v>2397.5457928860201</v>
      </c>
      <c r="J1829" s="93">
        <v>67.8</v>
      </c>
      <c r="K1829" s="93">
        <v>8.81</v>
      </c>
      <c r="L1829" s="93">
        <v>0</v>
      </c>
      <c r="M1829" s="93">
        <v>18714.330000000002</v>
      </c>
      <c r="N1829" s="95">
        <v>0.67</v>
      </c>
      <c r="O1829" s="95">
        <v>0.28999999999999998</v>
      </c>
      <c r="P1829" s="95">
        <v>0.03</v>
      </c>
      <c r="Q1829" s="95">
        <v>0</v>
      </c>
      <c r="R1829" s="96">
        <v>0</v>
      </c>
    </row>
    <row r="1830" spans="1:18" ht="15" hidden="1" customHeight="1" x14ac:dyDescent="0.3">
      <c r="A1830" s="89">
        <v>2023</v>
      </c>
      <c r="B1830" s="90">
        <v>1</v>
      </c>
      <c r="C1830" s="90" t="s">
        <v>718</v>
      </c>
      <c r="D1830" s="90" t="s">
        <v>719</v>
      </c>
      <c r="E1830" s="91" t="s">
        <v>11</v>
      </c>
      <c r="F1830" s="92" t="s">
        <v>42</v>
      </c>
      <c r="G1830" s="93">
        <v>138212.60999999999</v>
      </c>
      <c r="H1830" s="93">
        <v>259417.34</v>
      </c>
      <c r="I1830" s="93">
        <v>2397.5457928860201</v>
      </c>
      <c r="J1830" s="93">
        <v>31694.99</v>
      </c>
      <c r="K1830" s="93">
        <v>1299.3599999999999</v>
      </c>
      <c r="L1830" s="93">
        <v>15468.31</v>
      </c>
      <c r="M1830" s="93">
        <v>620824.21</v>
      </c>
      <c r="N1830" s="95">
        <v>0.23</v>
      </c>
      <c r="O1830" s="95">
        <v>0.43</v>
      </c>
      <c r="P1830" s="95">
        <v>0.28999999999999998</v>
      </c>
      <c r="Q1830" s="95">
        <v>0.05</v>
      </c>
      <c r="R1830" s="96">
        <v>0</v>
      </c>
    </row>
    <row r="1831" spans="1:18" ht="15" hidden="1" customHeight="1" x14ac:dyDescent="0.3">
      <c r="A1831" s="89">
        <v>2023</v>
      </c>
      <c r="B1831" s="90">
        <v>1</v>
      </c>
      <c r="C1831" s="90" t="s">
        <v>718</v>
      </c>
      <c r="D1831" s="90" t="s">
        <v>719</v>
      </c>
      <c r="E1831" s="91" t="s">
        <v>11</v>
      </c>
      <c r="F1831" s="92" t="s">
        <v>43</v>
      </c>
      <c r="G1831" s="93">
        <v>8022.65</v>
      </c>
      <c r="H1831" s="93">
        <v>22290.76</v>
      </c>
      <c r="I1831" s="93">
        <v>2397.5457928860201</v>
      </c>
      <c r="J1831" s="93">
        <v>15507.93</v>
      </c>
      <c r="K1831" s="93">
        <v>1048.49</v>
      </c>
      <c r="L1831" s="93">
        <v>116028.32</v>
      </c>
      <c r="M1831" s="93">
        <v>185575.52</v>
      </c>
      <c r="N1831" s="95">
        <v>0.12</v>
      </c>
      <c r="O1831" s="95">
        <v>0.32</v>
      </c>
      <c r="P1831" s="95">
        <v>0.33</v>
      </c>
      <c r="Q1831" s="95">
        <v>0.22</v>
      </c>
      <c r="R1831" s="96">
        <v>0.02</v>
      </c>
    </row>
    <row r="1832" spans="1:18" ht="15" hidden="1" customHeight="1" x14ac:dyDescent="0.3">
      <c r="A1832" s="89">
        <v>2023</v>
      </c>
      <c r="B1832" s="90">
        <v>1</v>
      </c>
      <c r="C1832" s="90" t="s">
        <v>718</v>
      </c>
      <c r="D1832" s="90" t="s">
        <v>719</v>
      </c>
      <c r="E1832" s="91" t="s">
        <v>11</v>
      </c>
      <c r="F1832" s="92" t="s">
        <v>58</v>
      </c>
      <c r="G1832" s="93">
        <v>124888.34</v>
      </c>
      <c r="H1832" s="93">
        <v>184181.02</v>
      </c>
      <c r="I1832" s="93">
        <v>2397.5457928860201</v>
      </c>
      <c r="J1832" s="93">
        <v>4107.99</v>
      </c>
      <c r="K1832" s="93">
        <v>60.55</v>
      </c>
      <c r="L1832" s="93">
        <v>4045.35</v>
      </c>
      <c r="M1832" s="93">
        <v>371477.13</v>
      </c>
      <c r="N1832" s="95">
        <v>0.34</v>
      </c>
      <c r="O1832" s="95">
        <v>0.5</v>
      </c>
      <c r="P1832" s="95">
        <v>0.15</v>
      </c>
      <c r="Q1832" s="95">
        <v>0.01</v>
      </c>
      <c r="R1832" s="96">
        <v>0</v>
      </c>
    </row>
    <row r="1833" spans="1:18" ht="15" hidden="1" customHeight="1" x14ac:dyDescent="0.3">
      <c r="A1833" s="89">
        <v>2023</v>
      </c>
      <c r="B1833" s="90">
        <v>1</v>
      </c>
      <c r="C1833" s="90" t="s">
        <v>718</v>
      </c>
      <c r="D1833" s="90" t="s">
        <v>719</v>
      </c>
      <c r="E1833" s="91" t="s">
        <v>11</v>
      </c>
      <c r="F1833" s="92" t="s">
        <v>44</v>
      </c>
      <c r="G1833" s="93">
        <v>20410.240000000002</v>
      </c>
      <c r="H1833" s="93">
        <v>98064.95</v>
      </c>
      <c r="I1833" s="93">
        <v>2397.5457928860201</v>
      </c>
      <c r="J1833" s="93">
        <v>3620.68</v>
      </c>
      <c r="K1833" s="93">
        <v>118.53</v>
      </c>
      <c r="L1833" s="93">
        <v>38802.51</v>
      </c>
      <c r="M1833" s="93">
        <v>215729.36</v>
      </c>
      <c r="N1833" s="95">
        <v>0.12</v>
      </c>
      <c r="O1833" s="95">
        <v>0.55000000000000004</v>
      </c>
      <c r="P1833" s="95">
        <v>0.31</v>
      </c>
      <c r="Q1833" s="95">
        <v>0.02</v>
      </c>
      <c r="R1833" s="96">
        <v>0</v>
      </c>
    </row>
    <row r="1834" spans="1:18" ht="15" hidden="1" customHeight="1" x14ac:dyDescent="0.3">
      <c r="A1834" s="89">
        <v>2023</v>
      </c>
      <c r="B1834" s="90">
        <v>1</v>
      </c>
      <c r="C1834" s="90" t="s">
        <v>718</v>
      </c>
      <c r="D1834" s="90" t="s">
        <v>719</v>
      </c>
      <c r="E1834" s="91" t="s">
        <v>11</v>
      </c>
      <c r="F1834" s="92" t="s">
        <v>51</v>
      </c>
      <c r="G1834" s="93">
        <v>15115.12</v>
      </c>
      <c r="H1834" s="93">
        <v>55286.34</v>
      </c>
      <c r="I1834" s="93">
        <v>2397.5457928860201</v>
      </c>
      <c r="J1834" s="93">
        <v>34312.300000000003</v>
      </c>
      <c r="K1834" s="93">
        <v>4581.9399999999996</v>
      </c>
      <c r="L1834" s="93">
        <v>695.61</v>
      </c>
      <c r="M1834" s="93">
        <v>211202.48</v>
      </c>
      <c r="N1834" s="95">
        <v>7.0000000000000007E-2</v>
      </c>
      <c r="O1834" s="95">
        <v>0.26</v>
      </c>
      <c r="P1834" s="95">
        <v>0.48</v>
      </c>
      <c r="Q1834" s="95">
        <v>0.16</v>
      </c>
      <c r="R1834" s="96">
        <v>0.02</v>
      </c>
    </row>
    <row r="1835" spans="1:18" ht="15" hidden="1" customHeight="1" x14ac:dyDescent="0.3">
      <c r="A1835" s="89">
        <v>2023</v>
      </c>
      <c r="B1835" s="90">
        <v>1</v>
      </c>
      <c r="C1835" s="90" t="s">
        <v>718</v>
      </c>
      <c r="D1835" s="90" t="s">
        <v>719</v>
      </c>
      <c r="E1835" s="91" t="s">
        <v>11</v>
      </c>
      <c r="F1835" s="92" t="s">
        <v>45</v>
      </c>
      <c r="G1835" s="93">
        <v>26361.33</v>
      </c>
      <c r="H1835" s="93">
        <v>36764.53</v>
      </c>
      <c r="I1835" s="93">
        <v>2397.5457928860201</v>
      </c>
      <c r="J1835" s="93">
        <v>3056.04</v>
      </c>
      <c r="K1835" s="93">
        <v>71.87</v>
      </c>
      <c r="L1835" s="93">
        <v>47335.93</v>
      </c>
      <c r="M1835" s="93">
        <v>134096.20000000001</v>
      </c>
      <c r="N1835" s="95">
        <v>0.3</v>
      </c>
      <c r="O1835" s="95">
        <v>0.42</v>
      </c>
      <c r="P1835" s="95">
        <v>0.24</v>
      </c>
      <c r="Q1835" s="95">
        <v>0.04</v>
      </c>
      <c r="R1835" s="96">
        <v>0</v>
      </c>
    </row>
    <row r="1836" spans="1:18" ht="15" hidden="1" customHeight="1" x14ac:dyDescent="0.3">
      <c r="A1836" s="89">
        <v>2023</v>
      </c>
      <c r="B1836" s="90">
        <v>1</v>
      </c>
      <c r="C1836" s="90" t="s">
        <v>718</v>
      </c>
      <c r="D1836" s="90" t="s">
        <v>719</v>
      </c>
      <c r="E1836" s="91" t="s">
        <v>11</v>
      </c>
      <c r="F1836" s="92" t="s">
        <v>721</v>
      </c>
      <c r="G1836" s="93">
        <v>70142.8</v>
      </c>
      <c r="H1836" s="93">
        <v>167554.31</v>
      </c>
      <c r="I1836" s="93">
        <v>2397.5457928860201</v>
      </c>
      <c r="J1836" s="93">
        <v>5211.24</v>
      </c>
      <c r="K1836" s="93">
        <v>79.61</v>
      </c>
      <c r="L1836" s="93">
        <v>9.99</v>
      </c>
      <c r="M1836" s="93">
        <v>309330.63</v>
      </c>
      <c r="N1836" s="95">
        <v>0.23</v>
      </c>
      <c r="O1836" s="95">
        <v>0.54</v>
      </c>
      <c r="P1836" s="95">
        <v>0.21</v>
      </c>
      <c r="Q1836" s="95">
        <v>0.02</v>
      </c>
      <c r="R1836" s="96">
        <v>0</v>
      </c>
    </row>
    <row r="1837" spans="1:18" ht="15" hidden="1" customHeight="1" x14ac:dyDescent="0.3">
      <c r="A1837" s="89">
        <v>2023</v>
      </c>
      <c r="B1837" s="90">
        <v>1</v>
      </c>
      <c r="C1837" s="90" t="s">
        <v>718</v>
      </c>
      <c r="D1837" s="90" t="s">
        <v>719</v>
      </c>
      <c r="E1837" s="91" t="s">
        <v>11</v>
      </c>
      <c r="F1837" s="92" t="s">
        <v>46</v>
      </c>
      <c r="G1837" s="93">
        <v>25671.43</v>
      </c>
      <c r="H1837" s="93">
        <v>60138.57</v>
      </c>
      <c r="I1837" s="93">
        <v>2397.5457928860201</v>
      </c>
      <c r="J1837" s="93">
        <v>14832.5</v>
      </c>
      <c r="K1837" s="93">
        <v>1304.8900000000001</v>
      </c>
      <c r="L1837" s="93">
        <v>814.09</v>
      </c>
      <c r="M1837" s="93">
        <v>149074.81</v>
      </c>
      <c r="N1837" s="95">
        <v>0.17</v>
      </c>
      <c r="O1837" s="95">
        <v>0.41</v>
      </c>
      <c r="P1837" s="95">
        <v>0.31</v>
      </c>
      <c r="Q1837" s="95">
        <v>0.1</v>
      </c>
      <c r="R1837" s="96">
        <v>0.01</v>
      </c>
    </row>
    <row r="1838" spans="1:18" ht="15" hidden="1" customHeight="1" x14ac:dyDescent="0.3">
      <c r="A1838" s="89">
        <v>2023</v>
      </c>
      <c r="B1838" s="90">
        <v>1</v>
      </c>
      <c r="C1838" s="90" t="s">
        <v>718</v>
      </c>
      <c r="D1838" s="90" t="s">
        <v>719</v>
      </c>
      <c r="E1838" s="91" t="s">
        <v>11</v>
      </c>
      <c r="F1838" s="92" t="s">
        <v>47</v>
      </c>
      <c r="G1838" s="93">
        <v>22450.11</v>
      </c>
      <c r="H1838" s="93">
        <v>163346.18</v>
      </c>
      <c r="I1838" s="93">
        <v>2397.5457928860201</v>
      </c>
      <c r="J1838" s="93">
        <v>461504.83</v>
      </c>
      <c r="K1838" s="93">
        <v>155529.15</v>
      </c>
      <c r="L1838" s="93">
        <v>123892.92</v>
      </c>
      <c r="M1838" s="93">
        <v>1443080.99</v>
      </c>
      <c r="N1838" s="95">
        <v>0.02</v>
      </c>
      <c r="O1838" s="95">
        <v>0.12</v>
      </c>
      <c r="P1838" s="95">
        <v>0.39</v>
      </c>
      <c r="Q1838" s="95">
        <v>0.35</v>
      </c>
      <c r="R1838" s="96">
        <v>0.12</v>
      </c>
    </row>
    <row r="1839" spans="1:18" ht="15" hidden="1" customHeight="1" x14ac:dyDescent="0.3">
      <c r="A1839" s="89">
        <v>2023</v>
      </c>
      <c r="B1839" s="90">
        <v>1</v>
      </c>
      <c r="C1839" s="90" t="s">
        <v>718</v>
      </c>
      <c r="D1839" s="90" t="s">
        <v>719</v>
      </c>
      <c r="E1839" s="91" t="s">
        <v>11</v>
      </c>
      <c r="F1839" s="92" t="s">
        <v>48</v>
      </c>
      <c r="G1839" s="93">
        <v>41779.03</v>
      </c>
      <c r="H1839" s="93">
        <v>41800.53</v>
      </c>
      <c r="I1839" s="93">
        <v>2397.5457928860201</v>
      </c>
      <c r="J1839" s="93">
        <v>985.44</v>
      </c>
      <c r="K1839" s="93"/>
      <c r="L1839" s="93">
        <v>8935.4500000000007</v>
      </c>
      <c r="M1839" s="93">
        <v>110314.47</v>
      </c>
      <c r="N1839" s="95">
        <v>0.41</v>
      </c>
      <c r="O1839" s="95">
        <v>0.41</v>
      </c>
      <c r="P1839" s="95">
        <v>0.17</v>
      </c>
      <c r="Q1839" s="95">
        <v>0.01</v>
      </c>
      <c r="R1839" s="96">
        <v>0</v>
      </c>
    </row>
    <row r="1840" spans="1:18" ht="15" hidden="1" customHeight="1" x14ac:dyDescent="0.3">
      <c r="A1840" s="89">
        <v>2023</v>
      </c>
      <c r="B1840" s="90">
        <v>1</v>
      </c>
      <c r="C1840" s="90" t="s">
        <v>718</v>
      </c>
      <c r="D1840" s="90" t="s">
        <v>722</v>
      </c>
      <c r="E1840" s="91" t="s">
        <v>11</v>
      </c>
      <c r="F1840" s="92" t="s">
        <v>12</v>
      </c>
      <c r="G1840" s="93">
        <v>31722.65</v>
      </c>
      <c r="H1840" s="93">
        <v>104765.81</v>
      </c>
      <c r="I1840" s="93">
        <v>2397.5457928860201</v>
      </c>
      <c r="J1840" s="93">
        <v>91317</v>
      </c>
      <c r="K1840" s="93">
        <v>8412.66</v>
      </c>
      <c r="L1840" s="93">
        <v>0</v>
      </c>
      <c r="M1840" s="93">
        <v>385712.11</v>
      </c>
      <c r="N1840" s="95">
        <v>0.08</v>
      </c>
      <c r="O1840" s="95">
        <v>0.27</v>
      </c>
      <c r="P1840" s="95">
        <v>0.39</v>
      </c>
      <c r="Q1840" s="95">
        <v>0.24</v>
      </c>
      <c r="R1840" s="96">
        <v>0.02</v>
      </c>
    </row>
    <row r="1841" spans="1:18" ht="15" hidden="1" customHeight="1" x14ac:dyDescent="0.3">
      <c r="A1841" s="89">
        <v>2023</v>
      </c>
      <c r="B1841" s="90">
        <v>1</v>
      </c>
      <c r="C1841" s="90" t="s">
        <v>718</v>
      </c>
      <c r="D1841" s="90" t="s">
        <v>722</v>
      </c>
      <c r="E1841" s="91" t="s">
        <v>11</v>
      </c>
      <c r="F1841" s="92" t="s">
        <v>26</v>
      </c>
      <c r="G1841" s="93">
        <v>349481.89</v>
      </c>
      <c r="H1841" s="93">
        <v>444733.51</v>
      </c>
      <c r="I1841" s="93">
        <v>2397.5457928860201</v>
      </c>
      <c r="J1841" s="93">
        <v>15203.49</v>
      </c>
      <c r="K1841" s="93">
        <v>344.11</v>
      </c>
      <c r="L1841" s="93">
        <v>0</v>
      </c>
      <c r="M1841" s="93">
        <v>1045885.78</v>
      </c>
      <c r="N1841" s="95">
        <v>0.33</v>
      </c>
      <c r="O1841" s="95">
        <v>0.43</v>
      </c>
      <c r="P1841" s="95">
        <v>0.23</v>
      </c>
      <c r="Q1841" s="95">
        <v>0.01</v>
      </c>
      <c r="R1841" s="96">
        <v>0</v>
      </c>
    </row>
    <row r="1842" spans="1:18" ht="15" hidden="1" customHeight="1" x14ac:dyDescent="0.3">
      <c r="A1842" s="89">
        <v>2023</v>
      </c>
      <c r="B1842" s="90">
        <v>1</v>
      </c>
      <c r="C1842" s="90" t="s">
        <v>718</v>
      </c>
      <c r="D1842" s="90" t="s">
        <v>722</v>
      </c>
      <c r="E1842" s="91" t="s">
        <v>11</v>
      </c>
      <c r="F1842" s="92" t="s">
        <v>27</v>
      </c>
      <c r="G1842" s="93">
        <v>90769.09</v>
      </c>
      <c r="H1842" s="93">
        <v>103138</v>
      </c>
      <c r="I1842" s="93">
        <v>2397.5457928860201</v>
      </c>
      <c r="J1842" s="93">
        <v>463.23</v>
      </c>
      <c r="K1842" s="93"/>
      <c r="L1842" s="93">
        <v>0</v>
      </c>
      <c r="M1842" s="93">
        <v>210432.82</v>
      </c>
      <c r="N1842" s="95">
        <v>0.43</v>
      </c>
      <c r="O1842" s="95">
        <v>0.49</v>
      </c>
      <c r="P1842" s="95">
        <v>0.08</v>
      </c>
      <c r="Q1842" s="95">
        <v>0</v>
      </c>
      <c r="R1842" s="96">
        <v>0</v>
      </c>
    </row>
    <row r="1843" spans="1:18" ht="15" hidden="1" customHeight="1" x14ac:dyDescent="0.3">
      <c r="A1843" s="89">
        <v>2023</v>
      </c>
      <c r="B1843" s="90">
        <v>1</v>
      </c>
      <c r="C1843" s="90" t="s">
        <v>718</v>
      </c>
      <c r="D1843" s="90" t="s">
        <v>722</v>
      </c>
      <c r="E1843" s="91" t="s">
        <v>11</v>
      </c>
      <c r="F1843" s="92" t="s">
        <v>28</v>
      </c>
      <c r="G1843" s="93">
        <v>120956.19</v>
      </c>
      <c r="H1843" s="93">
        <v>174785.85</v>
      </c>
      <c r="I1843" s="93">
        <v>2397.5457928860201</v>
      </c>
      <c r="J1843" s="93">
        <v>7605.48</v>
      </c>
      <c r="K1843" s="93">
        <v>9.39</v>
      </c>
      <c r="L1843" s="93">
        <v>0</v>
      </c>
      <c r="M1843" s="93">
        <v>369500.94</v>
      </c>
      <c r="N1843" s="95">
        <v>0.33</v>
      </c>
      <c r="O1843" s="95">
        <v>0.47</v>
      </c>
      <c r="P1843" s="95">
        <v>0.18</v>
      </c>
      <c r="Q1843" s="95">
        <v>0.02</v>
      </c>
      <c r="R1843" s="96">
        <v>0</v>
      </c>
    </row>
    <row r="1844" spans="1:18" ht="15" customHeight="1" x14ac:dyDescent="0.3">
      <c r="A1844" s="89">
        <v>2023</v>
      </c>
      <c r="B1844" s="90">
        <v>1</v>
      </c>
      <c r="C1844" s="90" t="s">
        <v>718</v>
      </c>
      <c r="D1844" s="90" t="s">
        <v>722</v>
      </c>
      <c r="E1844" s="91" t="s">
        <v>11</v>
      </c>
      <c r="F1844" s="92" t="s">
        <v>29</v>
      </c>
      <c r="G1844" s="93">
        <v>59858.74</v>
      </c>
      <c r="H1844" s="93">
        <v>120828.7</v>
      </c>
      <c r="I1844" s="93">
        <v>2397.5457928860201</v>
      </c>
      <c r="J1844" s="93">
        <v>11784.38</v>
      </c>
      <c r="K1844" s="93">
        <v>479.48</v>
      </c>
      <c r="L1844" s="93">
        <v>0</v>
      </c>
      <c r="M1844" s="93">
        <v>296627.55</v>
      </c>
      <c r="N1844" s="95">
        <v>0.2</v>
      </c>
      <c r="O1844" s="95">
        <v>0.41</v>
      </c>
      <c r="P1844" s="95">
        <v>0.35</v>
      </c>
      <c r="Q1844" s="95">
        <v>0.04</v>
      </c>
      <c r="R1844" s="96">
        <v>0</v>
      </c>
    </row>
    <row r="1845" spans="1:18" ht="15" hidden="1" customHeight="1" x14ac:dyDescent="0.3">
      <c r="A1845" s="89">
        <v>2023</v>
      </c>
      <c r="B1845" s="90">
        <v>1</v>
      </c>
      <c r="C1845" s="90" t="s">
        <v>718</v>
      </c>
      <c r="D1845" s="90" t="s">
        <v>722</v>
      </c>
      <c r="E1845" s="91" t="s">
        <v>11</v>
      </c>
      <c r="F1845" s="92" t="s">
        <v>30</v>
      </c>
      <c r="G1845" s="93">
        <v>3592.88</v>
      </c>
      <c r="H1845" s="93">
        <v>5671.89</v>
      </c>
      <c r="I1845" s="93">
        <v>2397.5457928860201</v>
      </c>
      <c r="J1845" s="93">
        <v>1652.21</v>
      </c>
      <c r="K1845" s="93">
        <v>58.45</v>
      </c>
      <c r="L1845" s="93">
        <v>0</v>
      </c>
      <c r="M1845" s="93">
        <v>15020.16</v>
      </c>
      <c r="N1845" s="95">
        <v>0.24</v>
      </c>
      <c r="O1845" s="95">
        <v>0.38</v>
      </c>
      <c r="P1845" s="95">
        <v>0.27</v>
      </c>
      <c r="Q1845" s="95">
        <v>0.11</v>
      </c>
      <c r="R1845" s="96">
        <v>0</v>
      </c>
    </row>
    <row r="1846" spans="1:18" ht="15" hidden="1" customHeight="1" x14ac:dyDescent="0.3">
      <c r="A1846" s="89">
        <v>2023</v>
      </c>
      <c r="B1846" s="90">
        <v>1</v>
      </c>
      <c r="C1846" s="90" t="s">
        <v>718</v>
      </c>
      <c r="D1846" s="90" t="s">
        <v>722</v>
      </c>
      <c r="E1846" s="91" t="s">
        <v>11</v>
      </c>
      <c r="F1846" s="92" t="s">
        <v>31</v>
      </c>
      <c r="G1846" s="93">
        <v>2652.74</v>
      </c>
      <c r="H1846" s="93">
        <v>34399.879999999997</v>
      </c>
      <c r="I1846" s="93">
        <v>2397.5457928860201</v>
      </c>
      <c r="J1846" s="93">
        <v>70483.149999999994</v>
      </c>
      <c r="K1846" s="93">
        <v>22005.73</v>
      </c>
      <c r="L1846" s="93">
        <v>0</v>
      </c>
      <c r="M1846" s="93">
        <v>207054.95</v>
      </c>
      <c r="N1846" s="95">
        <v>0.01</v>
      </c>
      <c r="O1846" s="95">
        <v>0.17</v>
      </c>
      <c r="P1846" s="95">
        <v>0.37</v>
      </c>
      <c r="Q1846" s="95">
        <v>0.34</v>
      </c>
      <c r="R1846" s="96">
        <v>0.11</v>
      </c>
    </row>
    <row r="1847" spans="1:18" ht="15" hidden="1" customHeight="1" x14ac:dyDescent="0.3">
      <c r="A1847" s="89">
        <v>2023</v>
      </c>
      <c r="B1847" s="90">
        <v>1</v>
      </c>
      <c r="C1847" s="90" t="s">
        <v>718</v>
      </c>
      <c r="D1847" s="90" t="s">
        <v>722</v>
      </c>
      <c r="E1847" s="91" t="s">
        <v>11</v>
      </c>
      <c r="F1847" s="92" t="s">
        <v>32</v>
      </c>
      <c r="G1847" s="93">
        <v>183415.34</v>
      </c>
      <c r="H1847" s="93">
        <v>285800.24</v>
      </c>
      <c r="I1847" s="93">
        <v>2397.5457928860201</v>
      </c>
      <c r="J1847" s="93">
        <v>6571.84</v>
      </c>
      <c r="K1847" s="93">
        <v>340.19</v>
      </c>
      <c r="L1847" s="93">
        <v>0</v>
      </c>
      <c r="M1847" s="93">
        <v>560178.44999999995</v>
      </c>
      <c r="N1847" s="95">
        <v>0.33</v>
      </c>
      <c r="O1847" s="95">
        <v>0.51</v>
      </c>
      <c r="P1847" s="95">
        <v>0.15</v>
      </c>
      <c r="Q1847" s="95">
        <v>0.01</v>
      </c>
      <c r="R1847" s="96">
        <v>0</v>
      </c>
    </row>
    <row r="1848" spans="1:18" ht="15" hidden="1" customHeight="1" x14ac:dyDescent="0.3">
      <c r="A1848" s="89">
        <v>2023</v>
      </c>
      <c r="B1848" s="90">
        <v>1</v>
      </c>
      <c r="C1848" s="90" t="s">
        <v>718</v>
      </c>
      <c r="D1848" s="90" t="s">
        <v>722</v>
      </c>
      <c r="E1848" s="91" t="s">
        <v>11</v>
      </c>
      <c r="F1848" s="92" t="s">
        <v>33</v>
      </c>
      <c r="G1848" s="93">
        <v>741192.19</v>
      </c>
      <c r="H1848" s="93">
        <v>449564.34</v>
      </c>
      <c r="I1848" s="93">
        <v>2397.5457928860201</v>
      </c>
      <c r="J1848" s="93">
        <v>7694.45</v>
      </c>
      <c r="K1848" s="93">
        <v>211.53</v>
      </c>
      <c r="L1848" s="93">
        <v>0</v>
      </c>
      <c r="M1848" s="93">
        <v>1317737.29</v>
      </c>
      <c r="N1848" s="95">
        <v>0.56000000000000005</v>
      </c>
      <c r="O1848" s="95">
        <v>0.34</v>
      </c>
      <c r="P1848" s="95">
        <v>0.09</v>
      </c>
      <c r="Q1848" s="95">
        <v>0.01</v>
      </c>
      <c r="R1848" s="96">
        <v>0</v>
      </c>
    </row>
    <row r="1849" spans="1:18" ht="15" hidden="1" customHeight="1" x14ac:dyDescent="0.3">
      <c r="A1849" s="89">
        <v>2023</v>
      </c>
      <c r="B1849" s="90">
        <v>1</v>
      </c>
      <c r="C1849" s="90" t="s">
        <v>718</v>
      </c>
      <c r="D1849" s="90" t="s">
        <v>722</v>
      </c>
      <c r="E1849" s="91" t="s">
        <v>11</v>
      </c>
      <c r="F1849" s="92" t="s">
        <v>34</v>
      </c>
      <c r="G1849" s="93">
        <v>349928.5</v>
      </c>
      <c r="H1849" s="93">
        <v>265721.31</v>
      </c>
      <c r="I1849" s="93">
        <v>2397.5457928860201</v>
      </c>
      <c r="J1849" s="93">
        <v>7180.79</v>
      </c>
      <c r="K1849" s="93">
        <v>845.41</v>
      </c>
      <c r="L1849" s="93">
        <v>0</v>
      </c>
      <c r="M1849" s="93">
        <v>675145.56</v>
      </c>
      <c r="N1849" s="95">
        <v>0.52</v>
      </c>
      <c r="O1849" s="95">
        <v>0.39</v>
      </c>
      <c r="P1849" s="95">
        <v>0.08</v>
      </c>
      <c r="Q1849" s="95">
        <v>0.01</v>
      </c>
      <c r="R1849" s="96">
        <v>0</v>
      </c>
    </row>
    <row r="1850" spans="1:18" ht="15" hidden="1" customHeight="1" x14ac:dyDescent="0.3">
      <c r="A1850" s="89">
        <v>2023</v>
      </c>
      <c r="B1850" s="90">
        <v>1</v>
      </c>
      <c r="C1850" s="90" t="s">
        <v>718</v>
      </c>
      <c r="D1850" s="90" t="s">
        <v>722</v>
      </c>
      <c r="E1850" s="91" t="s">
        <v>11</v>
      </c>
      <c r="F1850" s="92" t="s">
        <v>35</v>
      </c>
      <c r="G1850" s="93">
        <v>85100.72</v>
      </c>
      <c r="H1850" s="93">
        <v>148328.12</v>
      </c>
      <c r="I1850" s="93">
        <v>2397.5457928860201</v>
      </c>
      <c r="J1850" s="93">
        <v>28140.52</v>
      </c>
      <c r="K1850" s="93">
        <v>1643.23</v>
      </c>
      <c r="L1850" s="93">
        <v>0</v>
      </c>
      <c r="M1850" s="93">
        <v>372853.97</v>
      </c>
      <c r="N1850" s="95">
        <v>0.23</v>
      </c>
      <c r="O1850" s="95">
        <v>0.4</v>
      </c>
      <c r="P1850" s="95">
        <v>0.28999999999999998</v>
      </c>
      <c r="Q1850" s="95">
        <v>0.08</v>
      </c>
      <c r="R1850" s="96">
        <v>0</v>
      </c>
    </row>
    <row r="1851" spans="1:18" ht="15" hidden="1" customHeight="1" x14ac:dyDescent="0.3">
      <c r="A1851" s="89">
        <v>2023</v>
      </c>
      <c r="B1851" s="90">
        <v>1</v>
      </c>
      <c r="C1851" s="90" t="s">
        <v>718</v>
      </c>
      <c r="D1851" s="90" t="s">
        <v>722</v>
      </c>
      <c r="E1851" s="91" t="s">
        <v>11</v>
      </c>
      <c r="F1851" s="92" t="s">
        <v>36</v>
      </c>
      <c r="G1851" s="93">
        <v>66981.16</v>
      </c>
      <c r="H1851" s="93">
        <v>110323.63</v>
      </c>
      <c r="I1851" s="93">
        <v>2397.5457928860201</v>
      </c>
      <c r="J1851" s="93">
        <v>3009.56</v>
      </c>
      <c r="K1851" s="93">
        <v>4.7300000000000004</v>
      </c>
      <c r="L1851" s="93">
        <v>0</v>
      </c>
      <c r="M1851" s="93">
        <v>226264.09</v>
      </c>
      <c r="N1851" s="95">
        <v>0.3</v>
      </c>
      <c r="O1851" s="95">
        <v>0.49</v>
      </c>
      <c r="P1851" s="95">
        <v>0.2</v>
      </c>
      <c r="Q1851" s="95">
        <v>0.01</v>
      </c>
      <c r="R1851" s="96">
        <v>0</v>
      </c>
    </row>
    <row r="1852" spans="1:18" ht="15" hidden="1" customHeight="1" x14ac:dyDescent="0.3">
      <c r="A1852" s="89">
        <v>2023</v>
      </c>
      <c r="B1852" s="90">
        <v>1</v>
      </c>
      <c r="C1852" s="90" t="s">
        <v>718</v>
      </c>
      <c r="D1852" s="90" t="s">
        <v>722</v>
      </c>
      <c r="E1852" s="91" t="s">
        <v>11</v>
      </c>
      <c r="F1852" s="92" t="s">
        <v>37</v>
      </c>
      <c r="G1852" s="93">
        <v>64794.27</v>
      </c>
      <c r="H1852" s="93">
        <v>210739.68</v>
      </c>
      <c r="I1852" s="93">
        <v>2397.5457928860201</v>
      </c>
      <c r="J1852" s="93">
        <v>7596.76</v>
      </c>
      <c r="K1852" s="93">
        <v>152.47</v>
      </c>
      <c r="L1852" s="93">
        <v>0</v>
      </c>
      <c r="M1852" s="93">
        <v>382236.87</v>
      </c>
      <c r="N1852" s="95">
        <v>0.17</v>
      </c>
      <c r="O1852" s="95">
        <v>0.55000000000000004</v>
      </c>
      <c r="P1852" s="95">
        <v>0.26</v>
      </c>
      <c r="Q1852" s="95">
        <v>0.02</v>
      </c>
      <c r="R1852" s="96">
        <v>0</v>
      </c>
    </row>
    <row r="1853" spans="1:18" ht="15" hidden="1" customHeight="1" x14ac:dyDescent="0.3">
      <c r="A1853" s="89">
        <v>2023</v>
      </c>
      <c r="B1853" s="90">
        <v>1</v>
      </c>
      <c r="C1853" s="90" t="s">
        <v>718</v>
      </c>
      <c r="D1853" s="90" t="s">
        <v>722</v>
      </c>
      <c r="E1853" s="91" t="s">
        <v>11</v>
      </c>
      <c r="F1853" s="92" t="s">
        <v>38</v>
      </c>
      <c r="G1853" s="93">
        <v>398450.23</v>
      </c>
      <c r="H1853" s="93">
        <v>238852.24</v>
      </c>
      <c r="I1853" s="93">
        <v>2397.5457928860201</v>
      </c>
      <c r="J1853" s="93">
        <v>10101.030000000001</v>
      </c>
      <c r="K1853" s="93">
        <v>384.98</v>
      </c>
      <c r="L1853" s="93">
        <v>0</v>
      </c>
      <c r="M1853" s="93">
        <v>747401.11</v>
      </c>
      <c r="N1853" s="95">
        <v>0.53</v>
      </c>
      <c r="O1853" s="95">
        <v>0.32</v>
      </c>
      <c r="P1853" s="95">
        <v>0.13</v>
      </c>
      <c r="Q1853" s="95">
        <v>0.01</v>
      </c>
      <c r="R1853" s="96">
        <v>0</v>
      </c>
    </row>
    <row r="1854" spans="1:18" ht="15" hidden="1" customHeight="1" x14ac:dyDescent="0.3">
      <c r="A1854" s="89">
        <v>2023</v>
      </c>
      <c r="B1854" s="90">
        <v>1</v>
      </c>
      <c r="C1854" s="90" t="s">
        <v>718</v>
      </c>
      <c r="D1854" s="90" t="s">
        <v>722</v>
      </c>
      <c r="E1854" s="91" t="s">
        <v>11</v>
      </c>
      <c r="F1854" s="92" t="s">
        <v>39</v>
      </c>
      <c r="G1854" s="93">
        <v>77680.539999999994</v>
      </c>
      <c r="H1854" s="93">
        <v>185648.55</v>
      </c>
      <c r="I1854" s="93">
        <v>2397.5457928860201</v>
      </c>
      <c r="J1854" s="93">
        <v>554.04</v>
      </c>
      <c r="K1854" s="93">
        <v>4.71</v>
      </c>
      <c r="L1854" s="93">
        <v>0</v>
      </c>
      <c r="M1854" s="93">
        <v>294543.31</v>
      </c>
      <c r="N1854" s="95">
        <v>0.26</v>
      </c>
      <c r="O1854" s="95">
        <v>0.63</v>
      </c>
      <c r="P1854" s="95">
        <v>0.1</v>
      </c>
      <c r="Q1854" s="95">
        <v>0</v>
      </c>
      <c r="R1854" s="96">
        <v>0</v>
      </c>
    </row>
    <row r="1855" spans="1:18" ht="15" hidden="1" customHeight="1" x14ac:dyDescent="0.3">
      <c r="A1855" s="89">
        <v>2023</v>
      </c>
      <c r="B1855" s="90">
        <v>1</v>
      </c>
      <c r="C1855" s="90" t="s">
        <v>718</v>
      </c>
      <c r="D1855" s="90" t="s">
        <v>722</v>
      </c>
      <c r="E1855" s="91" t="s">
        <v>11</v>
      </c>
      <c r="F1855" s="92" t="s">
        <v>40</v>
      </c>
      <c r="G1855" s="93">
        <v>24514.33</v>
      </c>
      <c r="H1855" s="93">
        <v>118442.66</v>
      </c>
      <c r="I1855" s="93">
        <v>2397.5457928860201</v>
      </c>
      <c r="J1855" s="93">
        <v>53987.91</v>
      </c>
      <c r="K1855" s="93">
        <v>5661.29</v>
      </c>
      <c r="L1855" s="93">
        <v>0</v>
      </c>
      <c r="M1855" s="93">
        <v>321271.90000000002</v>
      </c>
      <c r="N1855" s="95">
        <v>0.08</v>
      </c>
      <c r="O1855" s="95">
        <v>0.37</v>
      </c>
      <c r="P1855" s="95">
        <v>0.37</v>
      </c>
      <c r="Q1855" s="95">
        <v>0.17</v>
      </c>
      <c r="R1855" s="96">
        <v>0.02</v>
      </c>
    </row>
    <row r="1856" spans="1:18" ht="15" hidden="1" customHeight="1" x14ac:dyDescent="0.3">
      <c r="A1856" s="89">
        <v>2023</v>
      </c>
      <c r="B1856" s="90">
        <v>1</v>
      </c>
      <c r="C1856" s="90" t="s">
        <v>718</v>
      </c>
      <c r="D1856" s="90" t="s">
        <v>722</v>
      </c>
      <c r="E1856" s="91" t="s">
        <v>11</v>
      </c>
      <c r="F1856" s="92" t="s">
        <v>41</v>
      </c>
      <c r="G1856" s="93">
        <v>11991.38</v>
      </c>
      <c r="H1856" s="93">
        <v>5592.6</v>
      </c>
      <c r="I1856" s="93">
        <v>2397.5457928860201</v>
      </c>
      <c r="J1856" s="93">
        <v>105.06</v>
      </c>
      <c r="K1856" s="93">
        <v>1.95</v>
      </c>
      <c r="L1856" s="93">
        <v>0</v>
      </c>
      <c r="M1856" s="93">
        <v>18624.93</v>
      </c>
      <c r="N1856" s="95">
        <v>0.64</v>
      </c>
      <c r="O1856" s="95">
        <v>0.3</v>
      </c>
      <c r="P1856" s="95">
        <v>0.05</v>
      </c>
      <c r="Q1856" s="95">
        <v>0.01</v>
      </c>
      <c r="R1856" s="96">
        <v>0</v>
      </c>
    </row>
    <row r="1857" spans="1:18" ht="15" hidden="1" customHeight="1" x14ac:dyDescent="0.3">
      <c r="A1857" s="89">
        <v>2023</v>
      </c>
      <c r="B1857" s="90">
        <v>1</v>
      </c>
      <c r="C1857" s="90" t="s">
        <v>718</v>
      </c>
      <c r="D1857" s="90" t="s">
        <v>722</v>
      </c>
      <c r="E1857" s="91" t="s">
        <v>11</v>
      </c>
      <c r="F1857" s="92" t="s">
        <v>42</v>
      </c>
      <c r="G1857" s="93">
        <v>108758.13</v>
      </c>
      <c r="H1857" s="93">
        <v>163497.72</v>
      </c>
      <c r="I1857" s="93">
        <v>2397.5457928860201</v>
      </c>
      <c r="J1857" s="93">
        <v>69516.509999999995</v>
      </c>
      <c r="K1857" s="93">
        <v>4187.8100000000004</v>
      </c>
      <c r="L1857" s="93">
        <v>0</v>
      </c>
      <c r="M1857" s="93">
        <v>480519.9</v>
      </c>
      <c r="N1857" s="95">
        <v>0.23</v>
      </c>
      <c r="O1857" s="95">
        <v>0.34</v>
      </c>
      <c r="P1857" s="95">
        <v>0.28000000000000003</v>
      </c>
      <c r="Q1857" s="95">
        <v>0.14000000000000001</v>
      </c>
      <c r="R1857" s="96">
        <v>0.01</v>
      </c>
    </row>
    <row r="1858" spans="1:18" ht="15" hidden="1" customHeight="1" x14ac:dyDescent="0.3">
      <c r="A1858" s="89">
        <v>2023</v>
      </c>
      <c r="B1858" s="90">
        <v>1</v>
      </c>
      <c r="C1858" s="90" t="s">
        <v>718</v>
      </c>
      <c r="D1858" s="90" t="s">
        <v>722</v>
      </c>
      <c r="E1858" s="91" t="s">
        <v>11</v>
      </c>
      <c r="F1858" s="92" t="s">
        <v>43</v>
      </c>
      <c r="G1858" s="93">
        <v>1975.17</v>
      </c>
      <c r="H1858" s="93">
        <v>7076.49</v>
      </c>
      <c r="I1858" s="93">
        <v>2397.5457928860201</v>
      </c>
      <c r="J1858" s="93">
        <v>33512.230000000003</v>
      </c>
      <c r="K1858" s="93">
        <v>5050.71</v>
      </c>
      <c r="L1858" s="93">
        <v>0</v>
      </c>
      <c r="M1858" s="93">
        <v>68426.81</v>
      </c>
      <c r="N1858" s="95">
        <v>0.03</v>
      </c>
      <c r="O1858" s="95">
        <v>0.1</v>
      </c>
      <c r="P1858" s="95">
        <v>0.3</v>
      </c>
      <c r="Q1858" s="95">
        <v>0.49</v>
      </c>
      <c r="R1858" s="96">
        <v>7.0000000000000007E-2</v>
      </c>
    </row>
    <row r="1859" spans="1:18" ht="15" hidden="1" customHeight="1" x14ac:dyDescent="0.3">
      <c r="A1859" s="89">
        <v>2023</v>
      </c>
      <c r="B1859" s="90">
        <v>1</v>
      </c>
      <c r="C1859" s="90" t="s">
        <v>718</v>
      </c>
      <c r="D1859" s="90" t="s">
        <v>722</v>
      </c>
      <c r="E1859" s="91" t="s">
        <v>11</v>
      </c>
      <c r="F1859" s="92" t="s">
        <v>58</v>
      </c>
      <c r="G1859" s="93">
        <v>71600.08</v>
      </c>
      <c r="H1859" s="93">
        <v>117764.15</v>
      </c>
      <c r="I1859" s="93">
        <v>2397.5457928860201</v>
      </c>
      <c r="J1859" s="93">
        <v>51809.08</v>
      </c>
      <c r="K1859" s="93">
        <v>1451</v>
      </c>
      <c r="L1859" s="93">
        <v>0</v>
      </c>
      <c r="M1859" s="93">
        <v>367380.63</v>
      </c>
      <c r="N1859" s="95">
        <v>0.19</v>
      </c>
      <c r="O1859" s="95">
        <v>0.32</v>
      </c>
      <c r="P1859" s="95">
        <v>0.34</v>
      </c>
      <c r="Q1859" s="95">
        <v>0.14000000000000001</v>
      </c>
      <c r="R1859" s="96">
        <v>0</v>
      </c>
    </row>
    <row r="1860" spans="1:18" ht="15" hidden="1" customHeight="1" x14ac:dyDescent="0.3">
      <c r="A1860" s="89">
        <v>2023</v>
      </c>
      <c r="B1860" s="90">
        <v>1</v>
      </c>
      <c r="C1860" s="90" t="s">
        <v>718</v>
      </c>
      <c r="D1860" s="90" t="s">
        <v>722</v>
      </c>
      <c r="E1860" s="91" t="s">
        <v>11</v>
      </c>
      <c r="F1860" s="92" t="s">
        <v>44</v>
      </c>
      <c r="G1860" s="93">
        <v>11229.35</v>
      </c>
      <c r="H1860" s="93">
        <v>49766.34</v>
      </c>
      <c r="I1860" s="93">
        <v>2397.5457928860201</v>
      </c>
      <c r="J1860" s="93">
        <v>19511.3</v>
      </c>
      <c r="K1860" s="93">
        <v>516.59</v>
      </c>
      <c r="L1860" s="93">
        <v>0</v>
      </c>
      <c r="M1860" s="93">
        <v>175505.68</v>
      </c>
      <c r="N1860" s="95">
        <v>0.06</v>
      </c>
      <c r="O1860" s="95">
        <v>0.28000000000000003</v>
      </c>
      <c r="P1860" s="95">
        <v>0.54</v>
      </c>
      <c r="Q1860" s="95">
        <v>0.11</v>
      </c>
      <c r="R1860" s="96">
        <v>0</v>
      </c>
    </row>
    <row r="1861" spans="1:18" ht="15" hidden="1" customHeight="1" x14ac:dyDescent="0.3">
      <c r="A1861" s="89">
        <v>2023</v>
      </c>
      <c r="B1861" s="90">
        <v>1</v>
      </c>
      <c r="C1861" s="90" t="s">
        <v>718</v>
      </c>
      <c r="D1861" s="90" t="s">
        <v>722</v>
      </c>
      <c r="E1861" s="91" t="s">
        <v>11</v>
      </c>
      <c r="F1861" s="92" t="s">
        <v>51</v>
      </c>
      <c r="G1861" s="93">
        <v>14019.87</v>
      </c>
      <c r="H1861" s="93">
        <v>43810.09</v>
      </c>
      <c r="I1861" s="93">
        <v>2397.5457928860201</v>
      </c>
      <c r="J1861" s="93">
        <v>34490.58</v>
      </c>
      <c r="K1861" s="93">
        <v>2952.74</v>
      </c>
      <c r="L1861" s="93">
        <v>0</v>
      </c>
      <c r="M1861" s="93">
        <v>210858.93</v>
      </c>
      <c r="N1861" s="95">
        <v>7.0000000000000007E-2</v>
      </c>
      <c r="O1861" s="95">
        <v>0.21</v>
      </c>
      <c r="P1861" s="95">
        <v>0.55000000000000004</v>
      </c>
      <c r="Q1861" s="95">
        <v>0.16</v>
      </c>
      <c r="R1861" s="96">
        <v>0.01</v>
      </c>
    </row>
    <row r="1862" spans="1:18" ht="15" hidden="1" customHeight="1" x14ac:dyDescent="0.3">
      <c r="A1862" s="89">
        <v>2023</v>
      </c>
      <c r="B1862" s="90">
        <v>1</v>
      </c>
      <c r="C1862" s="90" t="s">
        <v>718</v>
      </c>
      <c r="D1862" s="90" t="s">
        <v>722</v>
      </c>
      <c r="E1862" s="91" t="s">
        <v>11</v>
      </c>
      <c r="F1862" s="92" t="s">
        <v>45</v>
      </c>
      <c r="G1862" s="93">
        <v>19755.37</v>
      </c>
      <c r="H1862" s="93">
        <v>35047.599999999999</v>
      </c>
      <c r="I1862" s="93">
        <v>2397.5457928860201</v>
      </c>
      <c r="J1862" s="93">
        <v>5855.28</v>
      </c>
      <c r="K1862" s="93">
        <v>118.17</v>
      </c>
      <c r="L1862" s="93">
        <v>0</v>
      </c>
      <c r="M1862" s="93">
        <v>86507.5</v>
      </c>
      <c r="N1862" s="95">
        <v>0.23</v>
      </c>
      <c r="O1862" s="95">
        <v>0.41</v>
      </c>
      <c r="P1862" s="95">
        <v>0.3</v>
      </c>
      <c r="Q1862" s="95">
        <v>7.0000000000000007E-2</v>
      </c>
      <c r="R1862" s="96">
        <v>0</v>
      </c>
    </row>
    <row r="1863" spans="1:18" ht="15" hidden="1" customHeight="1" x14ac:dyDescent="0.3">
      <c r="A1863" s="89">
        <v>2023</v>
      </c>
      <c r="B1863" s="90">
        <v>1</v>
      </c>
      <c r="C1863" s="90" t="s">
        <v>718</v>
      </c>
      <c r="D1863" s="90" t="s">
        <v>722</v>
      </c>
      <c r="E1863" s="91" t="s">
        <v>11</v>
      </c>
      <c r="F1863" s="92" t="s">
        <v>721</v>
      </c>
      <c r="G1863" s="93">
        <v>64533.21</v>
      </c>
      <c r="H1863" s="93">
        <v>165658.34</v>
      </c>
      <c r="I1863" s="93">
        <v>2397.5457928860201</v>
      </c>
      <c r="J1863" s="93">
        <v>6727.82</v>
      </c>
      <c r="K1863" s="93">
        <v>56.16</v>
      </c>
      <c r="L1863" s="93">
        <v>0</v>
      </c>
      <c r="M1863" s="93">
        <v>309302.84999999998</v>
      </c>
      <c r="N1863" s="95">
        <v>0.21</v>
      </c>
      <c r="O1863" s="95">
        <v>0.54</v>
      </c>
      <c r="P1863" s="95">
        <v>0.23</v>
      </c>
      <c r="Q1863" s="95">
        <v>0.02</v>
      </c>
      <c r="R1863" s="96">
        <v>0</v>
      </c>
    </row>
    <row r="1864" spans="1:18" ht="15" hidden="1" customHeight="1" x14ac:dyDescent="0.3">
      <c r="A1864" s="89">
        <v>2023</v>
      </c>
      <c r="B1864" s="90">
        <v>1</v>
      </c>
      <c r="C1864" s="90" t="s">
        <v>718</v>
      </c>
      <c r="D1864" s="90" t="s">
        <v>722</v>
      </c>
      <c r="E1864" s="91" t="s">
        <v>11</v>
      </c>
      <c r="F1864" s="92" t="s">
        <v>46</v>
      </c>
      <c r="G1864" s="93">
        <v>22609.98</v>
      </c>
      <c r="H1864" s="93">
        <v>58615.44</v>
      </c>
      <c r="I1864" s="93">
        <v>2397.5457928860201</v>
      </c>
      <c r="J1864" s="93">
        <v>18447.66</v>
      </c>
      <c r="K1864" s="93">
        <v>2324.2199999999998</v>
      </c>
      <c r="L1864" s="93">
        <v>0</v>
      </c>
      <c r="M1864" s="93">
        <v>148237.49</v>
      </c>
      <c r="N1864" s="95">
        <v>0.15</v>
      </c>
      <c r="O1864" s="95">
        <v>0.4</v>
      </c>
      <c r="P1864" s="95">
        <v>0.31</v>
      </c>
      <c r="Q1864" s="95">
        <v>0.12</v>
      </c>
      <c r="R1864" s="96">
        <v>0.02</v>
      </c>
    </row>
    <row r="1865" spans="1:18" ht="15" hidden="1" customHeight="1" x14ac:dyDescent="0.3">
      <c r="A1865" s="89">
        <v>2023</v>
      </c>
      <c r="B1865" s="90">
        <v>1</v>
      </c>
      <c r="C1865" s="90" t="s">
        <v>718</v>
      </c>
      <c r="D1865" s="90" t="s">
        <v>722</v>
      </c>
      <c r="E1865" s="91" t="s">
        <v>11</v>
      </c>
      <c r="F1865" s="92" t="s">
        <v>47</v>
      </c>
      <c r="G1865" s="93">
        <v>25458.02</v>
      </c>
      <c r="H1865" s="93">
        <v>105561.56</v>
      </c>
      <c r="I1865" s="93">
        <v>2397.5457928860201</v>
      </c>
      <c r="J1865" s="93">
        <v>566274.76</v>
      </c>
      <c r="K1865" s="93">
        <v>152554.91</v>
      </c>
      <c r="L1865" s="93">
        <v>0</v>
      </c>
      <c r="M1865" s="93">
        <v>1341252.92</v>
      </c>
      <c r="N1865" s="95">
        <v>0.02</v>
      </c>
      <c r="O1865" s="95">
        <v>0.08</v>
      </c>
      <c r="P1865" s="95">
        <v>0.37</v>
      </c>
      <c r="Q1865" s="95">
        <v>0.42</v>
      </c>
      <c r="R1865" s="96">
        <v>0.11</v>
      </c>
    </row>
    <row r="1866" spans="1:18" ht="15" hidden="1" customHeight="1" x14ac:dyDescent="0.3">
      <c r="A1866" s="89">
        <v>2023</v>
      </c>
      <c r="B1866" s="90">
        <v>1</v>
      </c>
      <c r="C1866" s="90" t="s">
        <v>718</v>
      </c>
      <c r="D1866" s="90" t="s">
        <v>722</v>
      </c>
      <c r="E1866" s="91" t="s">
        <v>11</v>
      </c>
      <c r="F1866" s="92" t="s">
        <v>48</v>
      </c>
      <c r="G1866" s="93">
        <v>30698.15</v>
      </c>
      <c r="H1866" s="93">
        <v>54229.89</v>
      </c>
      <c r="I1866" s="93">
        <v>2397.5457928860201</v>
      </c>
      <c r="J1866" s="93">
        <v>949.95</v>
      </c>
      <c r="K1866" s="93">
        <v>4.72</v>
      </c>
      <c r="L1866" s="93">
        <v>0</v>
      </c>
      <c r="M1866" s="93">
        <v>102112.32000000001</v>
      </c>
      <c r="N1866" s="95">
        <v>0.3</v>
      </c>
      <c r="O1866" s="95">
        <v>0.53</v>
      </c>
      <c r="P1866" s="95">
        <v>0.16</v>
      </c>
      <c r="Q1866" s="95">
        <v>0.01</v>
      </c>
      <c r="R1866" s="96">
        <v>0</v>
      </c>
    </row>
    <row r="1867" spans="1:18" ht="15" hidden="1" customHeight="1" x14ac:dyDescent="0.3">
      <c r="A1867" s="89">
        <v>2023</v>
      </c>
      <c r="B1867" s="90">
        <v>2</v>
      </c>
      <c r="C1867" s="90" t="s">
        <v>723</v>
      </c>
      <c r="D1867" s="90" t="s">
        <v>719</v>
      </c>
      <c r="E1867" s="91" t="s">
        <v>11</v>
      </c>
      <c r="F1867" s="92" t="s">
        <v>12</v>
      </c>
      <c r="G1867" s="93">
        <v>42535.87</v>
      </c>
      <c r="H1867" s="93">
        <v>114243.99</v>
      </c>
      <c r="I1867" s="93">
        <v>2397.5457928860201</v>
      </c>
      <c r="J1867" s="93">
        <v>64738.86</v>
      </c>
      <c r="K1867" s="93">
        <v>1417.43</v>
      </c>
      <c r="L1867" s="93">
        <v>47318.68</v>
      </c>
      <c r="M1867" s="93">
        <v>433311.44</v>
      </c>
      <c r="N1867" s="95">
        <v>0.11</v>
      </c>
      <c r="O1867" s="95">
        <v>0.3</v>
      </c>
      <c r="P1867" s="95">
        <v>0.42</v>
      </c>
      <c r="Q1867" s="95">
        <v>0.17</v>
      </c>
      <c r="R1867" s="96">
        <v>0</v>
      </c>
    </row>
    <row r="1868" spans="1:18" ht="15" hidden="1" customHeight="1" x14ac:dyDescent="0.3">
      <c r="A1868" s="89">
        <v>2023</v>
      </c>
      <c r="B1868" s="90">
        <v>2</v>
      </c>
      <c r="C1868" s="90" t="s">
        <v>723</v>
      </c>
      <c r="D1868" s="90" t="s">
        <v>719</v>
      </c>
      <c r="E1868" s="91" t="s">
        <v>11</v>
      </c>
      <c r="F1868" s="92" t="s">
        <v>26</v>
      </c>
      <c r="G1868" s="93">
        <v>260067.56</v>
      </c>
      <c r="H1868" s="93">
        <v>410624.19</v>
      </c>
      <c r="I1868" s="93">
        <v>2397.5457928860201</v>
      </c>
      <c r="J1868" s="93">
        <v>48106</v>
      </c>
      <c r="K1868" s="93">
        <v>895.59</v>
      </c>
      <c r="L1868" s="93">
        <v>256108.18</v>
      </c>
      <c r="M1868" s="93">
        <v>1302393.77</v>
      </c>
      <c r="N1868" s="95">
        <v>0.25</v>
      </c>
      <c r="O1868" s="95">
        <v>0.39</v>
      </c>
      <c r="P1868" s="95">
        <v>0.31</v>
      </c>
      <c r="Q1868" s="95">
        <v>0.05</v>
      </c>
      <c r="R1868" s="96">
        <v>0</v>
      </c>
    </row>
    <row r="1869" spans="1:18" ht="15" hidden="1" customHeight="1" x14ac:dyDescent="0.3">
      <c r="A1869" s="89">
        <v>2023</v>
      </c>
      <c r="B1869" s="90">
        <v>2</v>
      </c>
      <c r="C1869" s="90" t="s">
        <v>723</v>
      </c>
      <c r="D1869" s="90" t="s">
        <v>719</v>
      </c>
      <c r="E1869" s="91" t="s">
        <v>11</v>
      </c>
      <c r="F1869" s="92" t="s">
        <v>27</v>
      </c>
      <c r="G1869" s="93">
        <v>129713.24</v>
      </c>
      <c r="H1869" s="93">
        <v>82963.87</v>
      </c>
      <c r="I1869" s="93">
        <v>2397.5457928860201</v>
      </c>
      <c r="J1869" s="93">
        <v>300.51</v>
      </c>
      <c r="K1869" s="93"/>
      <c r="L1869" s="93">
        <v>9241.59</v>
      </c>
      <c r="M1869" s="93">
        <v>226689.38</v>
      </c>
      <c r="N1869" s="95">
        <v>0.6</v>
      </c>
      <c r="O1869" s="95">
        <v>0.38</v>
      </c>
      <c r="P1869" s="95">
        <v>0.02</v>
      </c>
      <c r="Q1869" s="95">
        <v>0</v>
      </c>
      <c r="R1869" s="96">
        <v>0</v>
      </c>
    </row>
    <row r="1870" spans="1:18" ht="15" hidden="1" customHeight="1" x14ac:dyDescent="0.3">
      <c r="A1870" s="89">
        <v>2023</v>
      </c>
      <c r="B1870" s="90">
        <v>2</v>
      </c>
      <c r="C1870" s="90" t="s">
        <v>723</v>
      </c>
      <c r="D1870" s="90" t="s">
        <v>719</v>
      </c>
      <c r="E1870" s="91" t="s">
        <v>11</v>
      </c>
      <c r="F1870" s="92" t="s">
        <v>28</v>
      </c>
      <c r="G1870" s="93">
        <v>139951.6</v>
      </c>
      <c r="H1870" s="93">
        <v>183244.92</v>
      </c>
      <c r="I1870" s="93">
        <v>2397.5457928860201</v>
      </c>
      <c r="J1870" s="93">
        <v>3463.85</v>
      </c>
      <c r="K1870" s="93">
        <v>28.17</v>
      </c>
      <c r="L1870" s="93">
        <v>3208.83</v>
      </c>
      <c r="M1870" s="93">
        <v>373104.4</v>
      </c>
      <c r="N1870" s="95">
        <v>0.38</v>
      </c>
      <c r="O1870" s="95">
        <v>0.5</v>
      </c>
      <c r="P1870" s="95">
        <v>0.12</v>
      </c>
      <c r="Q1870" s="95">
        <v>0.01</v>
      </c>
      <c r="R1870" s="96">
        <v>0</v>
      </c>
    </row>
    <row r="1871" spans="1:18" ht="15" customHeight="1" x14ac:dyDescent="0.3">
      <c r="A1871" s="89">
        <v>2023</v>
      </c>
      <c r="B1871" s="90">
        <v>2</v>
      </c>
      <c r="C1871" s="90" t="s">
        <v>723</v>
      </c>
      <c r="D1871" s="90" t="s">
        <v>719</v>
      </c>
      <c r="E1871" s="91" t="s">
        <v>11</v>
      </c>
      <c r="F1871" s="92" t="s">
        <v>29</v>
      </c>
      <c r="G1871" s="93">
        <v>36863.68</v>
      </c>
      <c r="H1871" s="93">
        <v>79188.45</v>
      </c>
      <c r="I1871" s="93">
        <v>2397.5457928860201</v>
      </c>
      <c r="J1871" s="93">
        <v>42975.28</v>
      </c>
      <c r="K1871" s="93">
        <v>1490.83</v>
      </c>
      <c r="L1871" s="93">
        <v>58764</v>
      </c>
      <c r="M1871" s="93">
        <v>354391.76</v>
      </c>
      <c r="N1871" s="95">
        <v>0.12</v>
      </c>
      <c r="O1871" s="95">
        <v>0.27</v>
      </c>
      <c r="P1871" s="95">
        <v>0.46</v>
      </c>
      <c r="Q1871" s="95">
        <v>0.15</v>
      </c>
      <c r="R1871" s="96">
        <v>0.01</v>
      </c>
    </row>
    <row r="1872" spans="1:18" ht="15" hidden="1" customHeight="1" x14ac:dyDescent="0.3">
      <c r="A1872" s="89">
        <v>2023</v>
      </c>
      <c r="B1872" s="90">
        <v>2</v>
      </c>
      <c r="C1872" s="90" t="s">
        <v>723</v>
      </c>
      <c r="D1872" s="90" t="s">
        <v>719</v>
      </c>
      <c r="E1872" s="91" t="s">
        <v>11</v>
      </c>
      <c r="F1872" s="92" t="s">
        <v>30</v>
      </c>
      <c r="G1872" s="93">
        <v>3221.71</v>
      </c>
      <c r="H1872" s="93">
        <v>5959.03</v>
      </c>
      <c r="I1872" s="93">
        <v>2397.5457928860201</v>
      </c>
      <c r="J1872" s="93">
        <v>1485.03</v>
      </c>
      <c r="K1872" s="93">
        <v>58.52</v>
      </c>
      <c r="L1872" s="93">
        <v>215009.46</v>
      </c>
      <c r="M1872" s="93">
        <v>230086.24</v>
      </c>
      <c r="N1872" s="95">
        <v>0.21</v>
      </c>
      <c r="O1872" s="95">
        <v>0.4</v>
      </c>
      <c r="P1872" s="95">
        <v>0.28999999999999998</v>
      </c>
      <c r="Q1872" s="95">
        <v>0.1</v>
      </c>
      <c r="R1872" s="96">
        <v>0</v>
      </c>
    </row>
    <row r="1873" spans="1:18" ht="15" hidden="1" customHeight="1" x14ac:dyDescent="0.3">
      <c r="A1873" s="89">
        <v>2023</v>
      </c>
      <c r="B1873" s="90">
        <v>2</v>
      </c>
      <c r="C1873" s="90" t="s">
        <v>723</v>
      </c>
      <c r="D1873" s="90" t="s">
        <v>719</v>
      </c>
      <c r="E1873" s="91" t="s">
        <v>11</v>
      </c>
      <c r="F1873" s="92" t="s">
        <v>31</v>
      </c>
      <c r="G1873" s="93">
        <v>1765.83</v>
      </c>
      <c r="H1873" s="93">
        <v>19017.78</v>
      </c>
      <c r="I1873" s="93">
        <v>2397.5457928860201</v>
      </c>
      <c r="J1873" s="93">
        <v>89667.15</v>
      </c>
      <c r="K1873" s="93">
        <v>24997.91</v>
      </c>
      <c r="L1873" s="93">
        <v>44541.77</v>
      </c>
      <c r="M1873" s="93">
        <v>251948.86</v>
      </c>
      <c r="N1873" s="95">
        <v>0.01</v>
      </c>
      <c r="O1873" s="95">
        <v>0.09</v>
      </c>
      <c r="P1873" s="95">
        <v>0.35</v>
      </c>
      <c r="Q1873" s="95">
        <v>0.43</v>
      </c>
      <c r="R1873" s="96">
        <v>0.12</v>
      </c>
    </row>
    <row r="1874" spans="1:18" ht="15" hidden="1" customHeight="1" x14ac:dyDescent="0.3">
      <c r="A1874" s="89">
        <v>2023</v>
      </c>
      <c r="B1874" s="90">
        <v>2</v>
      </c>
      <c r="C1874" s="90" t="s">
        <v>723</v>
      </c>
      <c r="D1874" s="90" t="s">
        <v>719</v>
      </c>
      <c r="E1874" s="91" t="s">
        <v>11</v>
      </c>
      <c r="F1874" s="92" t="s">
        <v>32</v>
      </c>
      <c r="G1874" s="93">
        <v>60085.07</v>
      </c>
      <c r="H1874" s="93">
        <v>231701.65</v>
      </c>
      <c r="I1874" s="93">
        <v>2397.5457928860201</v>
      </c>
      <c r="J1874" s="93">
        <v>76502.490000000005</v>
      </c>
      <c r="K1874" s="93">
        <v>600.47</v>
      </c>
      <c r="L1874" s="93">
        <v>32994.49</v>
      </c>
      <c r="M1874" s="93">
        <v>609521.87</v>
      </c>
      <c r="N1874" s="95">
        <v>0.1</v>
      </c>
      <c r="O1874" s="95">
        <v>0.4</v>
      </c>
      <c r="P1874" s="95">
        <v>0.36</v>
      </c>
      <c r="Q1874" s="95">
        <v>0.13</v>
      </c>
      <c r="R1874" s="96">
        <v>0</v>
      </c>
    </row>
    <row r="1875" spans="1:18" ht="15" hidden="1" customHeight="1" x14ac:dyDescent="0.3">
      <c r="A1875" s="89">
        <v>2023</v>
      </c>
      <c r="B1875" s="90">
        <v>2</v>
      </c>
      <c r="C1875" s="90" t="s">
        <v>723</v>
      </c>
      <c r="D1875" s="90" t="s">
        <v>719</v>
      </c>
      <c r="E1875" s="91" t="s">
        <v>11</v>
      </c>
      <c r="F1875" s="92" t="s">
        <v>33</v>
      </c>
      <c r="G1875" s="93">
        <v>734549.16</v>
      </c>
      <c r="H1875" s="93">
        <v>434164.41</v>
      </c>
      <c r="I1875" s="93">
        <v>2397.5457928860201</v>
      </c>
      <c r="J1875" s="93">
        <v>11882.1</v>
      </c>
      <c r="K1875" s="93">
        <v>445.28</v>
      </c>
      <c r="L1875" s="93">
        <v>34270.239999999998</v>
      </c>
      <c r="M1875" s="93">
        <v>1352055.51</v>
      </c>
      <c r="N1875" s="95">
        <v>0.56000000000000005</v>
      </c>
      <c r="O1875" s="95">
        <v>0.33</v>
      </c>
      <c r="P1875" s="95">
        <v>0.1</v>
      </c>
      <c r="Q1875" s="95">
        <v>0.01</v>
      </c>
      <c r="R1875" s="96">
        <v>0</v>
      </c>
    </row>
    <row r="1876" spans="1:18" ht="15" hidden="1" customHeight="1" x14ac:dyDescent="0.3">
      <c r="A1876" s="89">
        <v>2023</v>
      </c>
      <c r="B1876" s="90">
        <v>2</v>
      </c>
      <c r="C1876" s="90" t="s">
        <v>723</v>
      </c>
      <c r="D1876" s="90" t="s">
        <v>719</v>
      </c>
      <c r="E1876" s="91" t="s">
        <v>11</v>
      </c>
      <c r="F1876" s="92" t="s">
        <v>34</v>
      </c>
      <c r="G1876" s="93">
        <v>283398.48</v>
      </c>
      <c r="H1876" s="93">
        <v>258231.19</v>
      </c>
      <c r="I1876" s="93">
        <v>2397.5457928860201</v>
      </c>
      <c r="J1876" s="93">
        <v>17622.05</v>
      </c>
      <c r="K1876" s="93">
        <v>663.35</v>
      </c>
      <c r="L1876" s="93">
        <v>40883.54</v>
      </c>
      <c r="M1876" s="93">
        <v>713628.98</v>
      </c>
      <c r="N1876" s="95">
        <v>0.42</v>
      </c>
      <c r="O1876" s="95">
        <v>0.38</v>
      </c>
      <c r="P1876" s="95">
        <v>0.17</v>
      </c>
      <c r="Q1876" s="95">
        <v>0.03</v>
      </c>
      <c r="R1876" s="96">
        <v>0</v>
      </c>
    </row>
    <row r="1877" spans="1:18" ht="15" hidden="1" customHeight="1" x14ac:dyDescent="0.3">
      <c r="A1877" s="89">
        <v>2023</v>
      </c>
      <c r="B1877" s="90">
        <v>2</v>
      </c>
      <c r="C1877" s="90" t="s">
        <v>723</v>
      </c>
      <c r="D1877" s="90" t="s">
        <v>719</v>
      </c>
      <c r="E1877" s="91" t="s">
        <v>11</v>
      </c>
      <c r="F1877" s="92" t="s">
        <v>35</v>
      </c>
      <c r="G1877" s="93">
        <v>69573.61</v>
      </c>
      <c r="H1877" s="93">
        <v>105595.85</v>
      </c>
      <c r="I1877" s="93">
        <v>2397.5457928860201</v>
      </c>
      <c r="J1877" s="93">
        <v>61909.45</v>
      </c>
      <c r="K1877" s="93">
        <v>2140.83</v>
      </c>
      <c r="L1877" s="93">
        <v>234303.32</v>
      </c>
      <c r="M1877" s="93">
        <v>605861.19999999995</v>
      </c>
      <c r="N1877" s="95">
        <v>0.19</v>
      </c>
      <c r="O1877" s="95">
        <v>0.28000000000000003</v>
      </c>
      <c r="P1877" s="95">
        <v>0.36</v>
      </c>
      <c r="Q1877" s="95">
        <v>0.17</v>
      </c>
      <c r="R1877" s="96">
        <v>0.01</v>
      </c>
    </row>
    <row r="1878" spans="1:18" ht="15" hidden="1" customHeight="1" x14ac:dyDescent="0.3">
      <c r="A1878" s="89">
        <v>2023</v>
      </c>
      <c r="B1878" s="90">
        <v>2</v>
      </c>
      <c r="C1878" s="90" t="s">
        <v>723</v>
      </c>
      <c r="D1878" s="90" t="s">
        <v>719</v>
      </c>
      <c r="E1878" s="91" t="s">
        <v>11</v>
      </c>
      <c r="F1878" s="92" t="s">
        <v>36</v>
      </c>
      <c r="G1878" s="93">
        <v>5616.69</v>
      </c>
      <c r="H1878" s="93">
        <v>36508.04</v>
      </c>
      <c r="I1878" s="93">
        <v>2397.5457928860201</v>
      </c>
      <c r="J1878" s="93">
        <v>62626.86</v>
      </c>
      <c r="K1878" s="93">
        <v>580.47</v>
      </c>
      <c r="L1878" s="93">
        <v>32793.550000000003</v>
      </c>
      <c r="M1878" s="93">
        <v>258886.74</v>
      </c>
      <c r="N1878" s="95">
        <v>0.02</v>
      </c>
      <c r="O1878" s="95">
        <v>0.16</v>
      </c>
      <c r="P1878" s="95">
        <v>0.53</v>
      </c>
      <c r="Q1878" s="95">
        <v>0.28000000000000003</v>
      </c>
      <c r="R1878" s="96">
        <v>0</v>
      </c>
    </row>
    <row r="1879" spans="1:18" ht="15" hidden="1" customHeight="1" x14ac:dyDescent="0.3">
      <c r="A1879" s="89">
        <v>2023</v>
      </c>
      <c r="B1879" s="90">
        <v>2</v>
      </c>
      <c r="C1879" s="90" t="s">
        <v>723</v>
      </c>
      <c r="D1879" s="90" t="s">
        <v>719</v>
      </c>
      <c r="E1879" s="91" t="s">
        <v>11</v>
      </c>
      <c r="F1879" s="92" t="s">
        <v>37</v>
      </c>
      <c r="G1879" s="93">
        <v>63179.42</v>
      </c>
      <c r="H1879" s="93">
        <v>163215.92000000001</v>
      </c>
      <c r="I1879" s="93">
        <v>2397.5457928860201</v>
      </c>
      <c r="J1879" s="93">
        <v>21090.73</v>
      </c>
      <c r="K1879" s="93">
        <v>287.82</v>
      </c>
      <c r="L1879" s="93">
        <v>141775.82999999999</v>
      </c>
      <c r="M1879" s="93">
        <v>524074.32</v>
      </c>
      <c r="N1879" s="95">
        <v>0.17</v>
      </c>
      <c r="O1879" s="95">
        <v>0.43</v>
      </c>
      <c r="P1879" s="95">
        <v>0.35</v>
      </c>
      <c r="Q1879" s="95">
        <v>0.06</v>
      </c>
      <c r="R1879" s="96">
        <v>0</v>
      </c>
    </row>
    <row r="1880" spans="1:18" ht="15" hidden="1" customHeight="1" x14ac:dyDescent="0.3">
      <c r="A1880" s="89">
        <v>2023</v>
      </c>
      <c r="B1880" s="90">
        <v>2</v>
      </c>
      <c r="C1880" s="90" t="s">
        <v>723</v>
      </c>
      <c r="D1880" s="90" t="s">
        <v>719</v>
      </c>
      <c r="E1880" s="91" t="s">
        <v>11</v>
      </c>
      <c r="F1880" s="92" t="s">
        <v>38</v>
      </c>
      <c r="G1880" s="93">
        <v>394583.33</v>
      </c>
      <c r="H1880" s="93">
        <v>227534.42</v>
      </c>
      <c r="I1880" s="93">
        <v>2397.5457928860201</v>
      </c>
      <c r="J1880" s="93">
        <v>19088.82</v>
      </c>
      <c r="K1880" s="93">
        <v>590.79999999999995</v>
      </c>
      <c r="L1880" s="93">
        <v>179551.22</v>
      </c>
      <c r="M1880" s="93">
        <v>927959.02</v>
      </c>
      <c r="N1880" s="95">
        <v>0.53</v>
      </c>
      <c r="O1880" s="95">
        <v>0.3</v>
      </c>
      <c r="P1880" s="95">
        <v>0.14000000000000001</v>
      </c>
      <c r="Q1880" s="95">
        <v>0.03</v>
      </c>
      <c r="R1880" s="96">
        <v>0</v>
      </c>
    </row>
    <row r="1881" spans="1:18" ht="15" hidden="1" customHeight="1" x14ac:dyDescent="0.3">
      <c r="A1881" s="89">
        <v>2023</v>
      </c>
      <c r="B1881" s="90">
        <v>2</v>
      </c>
      <c r="C1881" s="90" t="s">
        <v>723</v>
      </c>
      <c r="D1881" s="90" t="s">
        <v>719</v>
      </c>
      <c r="E1881" s="91" t="s">
        <v>11</v>
      </c>
      <c r="F1881" s="92" t="s">
        <v>39</v>
      </c>
      <c r="G1881" s="93">
        <v>63732.52</v>
      </c>
      <c r="H1881" s="93">
        <v>135721.60999999999</v>
      </c>
      <c r="I1881" s="93">
        <v>2397.5457928860201</v>
      </c>
      <c r="J1881" s="93">
        <v>14493.61</v>
      </c>
      <c r="K1881" s="93">
        <v>32.64</v>
      </c>
      <c r="L1881" s="93">
        <v>31830.15</v>
      </c>
      <c r="M1881" s="93">
        <v>331195.63</v>
      </c>
      <c r="N1881" s="95">
        <v>0.21</v>
      </c>
      <c r="O1881" s="95">
        <v>0.45</v>
      </c>
      <c r="P1881" s="95">
        <v>0.28999999999999998</v>
      </c>
      <c r="Q1881" s="95">
        <v>0.05</v>
      </c>
      <c r="R1881" s="96">
        <v>0</v>
      </c>
    </row>
    <row r="1882" spans="1:18" ht="15" hidden="1" customHeight="1" x14ac:dyDescent="0.3">
      <c r="A1882" s="89">
        <v>2023</v>
      </c>
      <c r="B1882" s="90">
        <v>2</v>
      </c>
      <c r="C1882" s="90" t="s">
        <v>723</v>
      </c>
      <c r="D1882" s="90" t="s">
        <v>719</v>
      </c>
      <c r="E1882" s="91" t="s">
        <v>11</v>
      </c>
      <c r="F1882" s="92" t="s">
        <v>40</v>
      </c>
      <c r="G1882" s="93">
        <v>37732.9</v>
      </c>
      <c r="H1882" s="93">
        <v>119967.18</v>
      </c>
      <c r="I1882" s="93">
        <v>2397.5457928860201</v>
      </c>
      <c r="J1882" s="93">
        <v>51401.07</v>
      </c>
      <c r="K1882" s="93">
        <v>3455.01</v>
      </c>
      <c r="L1882" s="93">
        <v>4975.78</v>
      </c>
      <c r="M1882" s="93">
        <v>326305.03999999998</v>
      </c>
      <c r="N1882" s="95">
        <v>0.12</v>
      </c>
      <c r="O1882" s="95">
        <v>0.37</v>
      </c>
      <c r="P1882" s="95">
        <v>0.34</v>
      </c>
      <c r="Q1882" s="95">
        <v>0.16</v>
      </c>
      <c r="R1882" s="96">
        <v>0.01</v>
      </c>
    </row>
    <row r="1883" spans="1:18" ht="15" hidden="1" customHeight="1" x14ac:dyDescent="0.3">
      <c r="A1883" s="89">
        <v>2023</v>
      </c>
      <c r="B1883" s="90">
        <v>2</v>
      </c>
      <c r="C1883" s="90" t="s">
        <v>723</v>
      </c>
      <c r="D1883" s="90" t="s">
        <v>719</v>
      </c>
      <c r="E1883" s="91" t="s">
        <v>11</v>
      </c>
      <c r="F1883" s="92" t="s">
        <v>41</v>
      </c>
      <c r="G1883" s="93">
        <v>12456.47</v>
      </c>
      <c r="H1883" s="93">
        <v>5336.01</v>
      </c>
      <c r="I1883" s="93">
        <v>2397.5457928860201</v>
      </c>
      <c r="J1883" s="93">
        <v>53.04</v>
      </c>
      <c r="K1883" s="93">
        <v>5.42</v>
      </c>
      <c r="L1883" s="93">
        <v>168.15</v>
      </c>
      <c r="M1883" s="93">
        <v>18714.330000000002</v>
      </c>
      <c r="N1883" s="95">
        <v>0.67</v>
      </c>
      <c r="O1883" s="95">
        <v>0.28999999999999998</v>
      </c>
      <c r="P1883" s="95">
        <v>0.04</v>
      </c>
      <c r="Q1883" s="95">
        <v>0</v>
      </c>
      <c r="R1883" s="96">
        <v>0</v>
      </c>
    </row>
    <row r="1884" spans="1:18" ht="15" hidden="1" customHeight="1" x14ac:dyDescent="0.3">
      <c r="A1884" s="89">
        <v>2023</v>
      </c>
      <c r="B1884" s="90">
        <v>2</v>
      </c>
      <c r="C1884" s="90" t="s">
        <v>723</v>
      </c>
      <c r="D1884" s="90" t="s">
        <v>719</v>
      </c>
      <c r="E1884" s="91" t="s">
        <v>11</v>
      </c>
      <c r="F1884" s="92" t="s">
        <v>42</v>
      </c>
      <c r="G1884" s="93">
        <v>119879.72</v>
      </c>
      <c r="H1884" s="93">
        <v>236332.44</v>
      </c>
      <c r="I1884" s="93">
        <v>2397.5457928860201</v>
      </c>
      <c r="J1884" s="93">
        <v>38544.03</v>
      </c>
      <c r="K1884" s="93">
        <v>1448.61</v>
      </c>
      <c r="L1884" s="93">
        <v>105081.45</v>
      </c>
      <c r="M1884" s="93">
        <v>620824.21</v>
      </c>
      <c r="N1884" s="95">
        <v>0.23</v>
      </c>
      <c r="O1884" s="95">
        <v>0.46</v>
      </c>
      <c r="P1884" s="95">
        <v>0.23</v>
      </c>
      <c r="Q1884" s="95">
        <v>7.0000000000000007E-2</v>
      </c>
      <c r="R1884" s="96">
        <v>0</v>
      </c>
    </row>
    <row r="1885" spans="1:18" ht="15" hidden="1" customHeight="1" x14ac:dyDescent="0.3">
      <c r="A1885" s="89">
        <v>2023</v>
      </c>
      <c r="B1885" s="90">
        <v>2</v>
      </c>
      <c r="C1885" s="90" t="s">
        <v>723</v>
      </c>
      <c r="D1885" s="90" t="s">
        <v>719</v>
      </c>
      <c r="E1885" s="91" t="s">
        <v>11</v>
      </c>
      <c r="F1885" s="92" t="s">
        <v>43</v>
      </c>
      <c r="G1885" s="93">
        <v>2886.38</v>
      </c>
      <c r="H1885" s="93">
        <v>14088.75</v>
      </c>
      <c r="I1885" s="93">
        <v>2397.5457928860201</v>
      </c>
      <c r="J1885" s="93">
        <v>23032.29</v>
      </c>
      <c r="K1885" s="93">
        <v>3722.05</v>
      </c>
      <c r="L1885" s="93">
        <v>116557.93</v>
      </c>
      <c r="M1885" s="93">
        <v>185575.52</v>
      </c>
      <c r="N1885" s="95">
        <v>0.04</v>
      </c>
      <c r="O1885" s="95">
        <v>0.2</v>
      </c>
      <c r="P1885" s="95">
        <v>0.37</v>
      </c>
      <c r="Q1885" s="95">
        <v>0.33</v>
      </c>
      <c r="R1885" s="96">
        <v>0.05</v>
      </c>
    </row>
    <row r="1886" spans="1:18" ht="15" hidden="1" customHeight="1" x14ac:dyDescent="0.3">
      <c r="A1886" s="89">
        <v>2023</v>
      </c>
      <c r="B1886" s="90">
        <v>2</v>
      </c>
      <c r="C1886" s="90" t="s">
        <v>723</v>
      </c>
      <c r="D1886" s="90" t="s">
        <v>719</v>
      </c>
      <c r="E1886" s="91" t="s">
        <v>11</v>
      </c>
      <c r="F1886" s="92" t="s">
        <v>58</v>
      </c>
      <c r="G1886" s="93">
        <v>92160.38</v>
      </c>
      <c r="H1886" s="93">
        <v>129948.47</v>
      </c>
      <c r="I1886" s="93">
        <v>2397.5457928860201</v>
      </c>
      <c r="J1886" s="93">
        <v>28389.93</v>
      </c>
      <c r="K1886" s="93">
        <v>327.73</v>
      </c>
      <c r="L1886" s="93">
        <v>4073.14</v>
      </c>
      <c r="M1886" s="93">
        <v>371477.13</v>
      </c>
      <c r="N1886" s="95">
        <v>0.25</v>
      </c>
      <c r="O1886" s="95">
        <v>0.35</v>
      </c>
      <c r="P1886" s="95">
        <v>0.32</v>
      </c>
      <c r="Q1886" s="95">
        <v>0.08</v>
      </c>
      <c r="R1886" s="96">
        <v>0</v>
      </c>
    </row>
    <row r="1887" spans="1:18" ht="15" hidden="1" customHeight="1" x14ac:dyDescent="0.3">
      <c r="A1887" s="89">
        <v>2023</v>
      </c>
      <c r="B1887" s="90">
        <v>2</v>
      </c>
      <c r="C1887" s="90" t="s">
        <v>723</v>
      </c>
      <c r="D1887" s="90" t="s">
        <v>719</v>
      </c>
      <c r="E1887" s="91" t="s">
        <v>11</v>
      </c>
      <c r="F1887" s="92" t="s">
        <v>44</v>
      </c>
      <c r="G1887" s="93">
        <v>7967.21</v>
      </c>
      <c r="H1887" s="93">
        <v>15191.79</v>
      </c>
      <c r="I1887" s="93">
        <v>2397.5457928860201</v>
      </c>
      <c r="J1887" s="93">
        <v>71155.360000000001</v>
      </c>
      <c r="K1887" s="93">
        <v>2388.38</v>
      </c>
      <c r="L1887" s="93">
        <v>39684.31</v>
      </c>
      <c r="M1887" s="93">
        <v>215729.36</v>
      </c>
      <c r="N1887" s="95">
        <v>0.05</v>
      </c>
      <c r="O1887" s="95">
        <v>0.09</v>
      </c>
      <c r="P1887" s="95">
        <v>0.45</v>
      </c>
      <c r="Q1887" s="95">
        <v>0.4</v>
      </c>
      <c r="R1887" s="96">
        <v>0.01</v>
      </c>
    </row>
    <row r="1888" spans="1:18" ht="15" hidden="1" customHeight="1" x14ac:dyDescent="0.3">
      <c r="A1888" s="89">
        <v>2023</v>
      </c>
      <c r="B1888" s="90">
        <v>2</v>
      </c>
      <c r="C1888" s="90" t="s">
        <v>723</v>
      </c>
      <c r="D1888" s="90" t="s">
        <v>719</v>
      </c>
      <c r="E1888" s="91" t="s">
        <v>11</v>
      </c>
      <c r="F1888" s="92" t="s">
        <v>51</v>
      </c>
      <c r="G1888" s="93">
        <v>15428.49</v>
      </c>
      <c r="H1888" s="93">
        <v>58920.97</v>
      </c>
      <c r="I1888" s="93">
        <v>2397.5457928860201</v>
      </c>
      <c r="J1888" s="93">
        <v>28759.85</v>
      </c>
      <c r="K1888" s="93">
        <v>2261.36</v>
      </c>
      <c r="L1888" s="93">
        <v>399.55</v>
      </c>
      <c r="M1888" s="93">
        <v>211202.48</v>
      </c>
      <c r="N1888" s="95">
        <v>7.0000000000000007E-2</v>
      </c>
      <c r="O1888" s="95">
        <v>0.28000000000000003</v>
      </c>
      <c r="P1888" s="95">
        <v>0.5</v>
      </c>
      <c r="Q1888" s="95">
        <v>0.14000000000000001</v>
      </c>
      <c r="R1888" s="96">
        <v>0.01</v>
      </c>
    </row>
    <row r="1889" spans="1:18" ht="15" hidden="1" customHeight="1" x14ac:dyDescent="0.3">
      <c r="A1889" s="89">
        <v>2023</v>
      </c>
      <c r="B1889" s="90">
        <v>2</v>
      </c>
      <c r="C1889" s="90" t="s">
        <v>723</v>
      </c>
      <c r="D1889" s="90" t="s">
        <v>719</v>
      </c>
      <c r="E1889" s="91" t="s">
        <v>11</v>
      </c>
      <c r="F1889" s="92" t="s">
        <v>45</v>
      </c>
      <c r="G1889" s="93">
        <v>10786.42</v>
      </c>
      <c r="H1889" s="93">
        <v>26804.3</v>
      </c>
      <c r="I1889" s="93">
        <v>2397.5457928860201</v>
      </c>
      <c r="J1889" s="93">
        <v>13285.65</v>
      </c>
      <c r="K1889" s="93">
        <v>287.25</v>
      </c>
      <c r="L1889" s="93">
        <v>48109.86</v>
      </c>
      <c r="M1889" s="93">
        <v>134096.20000000001</v>
      </c>
      <c r="N1889" s="95">
        <v>0.13</v>
      </c>
      <c r="O1889" s="95">
        <v>0.31</v>
      </c>
      <c r="P1889" s="95">
        <v>0.4</v>
      </c>
      <c r="Q1889" s="95">
        <v>0.15</v>
      </c>
      <c r="R1889" s="96">
        <v>0</v>
      </c>
    </row>
    <row r="1890" spans="1:18" ht="15" hidden="1" customHeight="1" x14ac:dyDescent="0.3">
      <c r="A1890" s="89">
        <v>2023</v>
      </c>
      <c r="B1890" s="90">
        <v>2</v>
      </c>
      <c r="C1890" s="90" t="s">
        <v>723</v>
      </c>
      <c r="D1890" s="90" t="s">
        <v>719</v>
      </c>
      <c r="E1890" s="91" t="s">
        <v>11</v>
      </c>
      <c r="F1890" s="92" t="s">
        <v>721</v>
      </c>
      <c r="G1890" s="93">
        <v>100573.39</v>
      </c>
      <c r="H1890" s="93">
        <v>158486.01999999999</v>
      </c>
      <c r="I1890" s="93">
        <v>2397.5457928860201</v>
      </c>
      <c r="J1890" s="93">
        <v>7989.61</v>
      </c>
      <c r="K1890" s="93">
        <v>74.84</v>
      </c>
      <c r="L1890" s="93">
        <v>23.06</v>
      </c>
      <c r="M1890" s="93">
        <v>309330.63</v>
      </c>
      <c r="N1890" s="95">
        <v>0.33</v>
      </c>
      <c r="O1890" s="95">
        <v>0.51</v>
      </c>
      <c r="P1890" s="95">
        <v>0.14000000000000001</v>
      </c>
      <c r="Q1890" s="95">
        <v>0.03</v>
      </c>
      <c r="R1890" s="96">
        <v>0</v>
      </c>
    </row>
    <row r="1891" spans="1:18" ht="15" hidden="1" customHeight="1" x14ac:dyDescent="0.3">
      <c r="A1891" s="89">
        <v>2023</v>
      </c>
      <c r="B1891" s="90">
        <v>2</v>
      </c>
      <c r="C1891" s="90" t="s">
        <v>723</v>
      </c>
      <c r="D1891" s="90" t="s">
        <v>719</v>
      </c>
      <c r="E1891" s="91" t="s">
        <v>11</v>
      </c>
      <c r="F1891" s="92" t="s">
        <v>46</v>
      </c>
      <c r="G1891" s="93">
        <v>24182.18</v>
      </c>
      <c r="H1891" s="93">
        <v>60476.480000000003</v>
      </c>
      <c r="I1891" s="93">
        <v>2397.5457928860201</v>
      </c>
      <c r="J1891" s="93">
        <v>12289.64</v>
      </c>
      <c r="K1891" s="93">
        <v>1356.71</v>
      </c>
      <c r="L1891" s="93">
        <v>493.97</v>
      </c>
      <c r="M1891" s="93">
        <v>149074.81</v>
      </c>
      <c r="N1891" s="95">
        <v>0.16</v>
      </c>
      <c r="O1891" s="95">
        <v>0.41</v>
      </c>
      <c r="P1891" s="95">
        <v>0.34</v>
      </c>
      <c r="Q1891" s="95">
        <v>0.08</v>
      </c>
      <c r="R1891" s="96">
        <v>0.01</v>
      </c>
    </row>
    <row r="1892" spans="1:18" ht="15" hidden="1" customHeight="1" x14ac:dyDescent="0.3">
      <c r="A1892" s="89">
        <v>2023</v>
      </c>
      <c r="B1892" s="90">
        <v>2</v>
      </c>
      <c r="C1892" s="90" t="s">
        <v>723</v>
      </c>
      <c r="D1892" s="90" t="s">
        <v>719</v>
      </c>
      <c r="E1892" s="91" t="s">
        <v>11</v>
      </c>
      <c r="F1892" s="92" t="s">
        <v>47</v>
      </c>
      <c r="G1892" s="93">
        <v>33726.53</v>
      </c>
      <c r="H1892" s="93">
        <v>150021.10999999999</v>
      </c>
      <c r="I1892" s="93">
        <v>2397.5457928860201</v>
      </c>
      <c r="J1892" s="93">
        <v>483438.36</v>
      </c>
      <c r="K1892" s="93">
        <v>136088.75</v>
      </c>
      <c r="L1892" s="93">
        <v>171644.02</v>
      </c>
      <c r="M1892" s="93">
        <v>1461770.89</v>
      </c>
      <c r="N1892" s="95">
        <v>0.03</v>
      </c>
      <c r="O1892" s="95">
        <v>0.12</v>
      </c>
      <c r="P1892" s="95">
        <v>0.38</v>
      </c>
      <c r="Q1892" s="95">
        <v>0.37</v>
      </c>
      <c r="R1892" s="96">
        <v>0.11</v>
      </c>
    </row>
    <row r="1893" spans="1:18" ht="15" hidden="1" customHeight="1" x14ac:dyDescent="0.3">
      <c r="A1893" s="89">
        <v>2023</v>
      </c>
      <c r="B1893" s="90">
        <v>2</v>
      </c>
      <c r="C1893" s="90" t="s">
        <v>723</v>
      </c>
      <c r="D1893" s="90" t="s">
        <v>719</v>
      </c>
      <c r="E1893" s="91" t="s">
        <v>11</v>
      </c>
      <c r="F1893" s="92" t="s">
        <v>48</v>
      </c>
      <c r="G1893" s="93">
        <v>5804.81</v>
      </c>
      <c r="H1893" s="93">
        <v>52533.74</v>
      </c>
      <c r="I1893" s="93">
        <v>2397.5457928860201</v>
      </c>
      <c r="J1893" s="93">
        <v>3102.84</v>
      </c>
      <c r="K1893" s="93">
        <v>47.42</v>
      </c>
      <c r="L1893" s="93">
        <v>8330.27</v>
      </c>
      <c r="M1893" s="93">
        <v>110314.47</v>
      </c>
      <c r="N1893" s="95">
        <v>0.06</v>
      </c>
      <c r="O1893" s="95">
        <v>0.52</v>
      </c>
      <c r="P1893" s="95">
        <v>0.4</v>
      </c>
      <c r="Q1893" s="95">
        <v>0.03</v>
      </c>
      <c r="R1893" s="96">
        <v>0</v>
      </c>
    </row>
    <row r="1894" spans="1:18" ht="15" hidden="1" customHeight="1" x14ac:dyDescent="0.3">
      <c r="A1894" s="89">
        <v>2023</v>
      </c>
      <c r="B1894" s="90">
        <v>2</v>
      </c>
      <c r="C1894" s="90" t="s">
        <v>723</v>
      </c>
      <c r="D1894" s="90" t="s">
        <v>722</v>
      </c>
      <c r="E1894" s="91" t="s">
        <v>11</v>
      </c>
      <c r="F1894" s="92" t="s">
        <v>12</v>
      </c>
      <c r="G1894" s="93">
        <v>25476.23</v>
      </c>
      <c r="H1894" s="93">
        <v>91934.12</v>
      </c>
      <c r="I1894" s="93">
        <v>2397.5457928860201</v>
      </c>
      <c r="J1894" s="93">
        <v>89670.080000000002</v>
      </c>
      <c r="K1894" s="93">
        <v>8826.02</v>
      </c>
      <c r="L1894" s="93">
        <v>47761.17</v>
      </c>
      <c r="M1894" s="93">
        <v>433311.44</v>
      </c>
      <c r="N1894" s="95">
        <v>7.0000000000000007E-2</v>
      </c>
      <c r="O1894" s="95">
        <v>0.24</v>
      </c>
      <c r="P1894" s="95">
        <v>0.44</v>
      </c>
      <c r="Q1894" s="95">
        <v>0.23</v>
      </c>
      <c r="R1894" s="96">
        <v>0.02</v>
      </c>
    </row>
    <row r="1895" spans="1:18" ht="15" hidden="1" customHeight="1" x14ac:dyDescent="0.3">
      <c r="A1895" s="89">
        <v>2023</v>
      </c>
      <c r="B1895" s="90">
        <v>2</v>
      </c>
      <c r="C1895" s="90" t="s">
        <v>723</v>
      </c>
      <c r="D1895" s="90" t="s">
        <v>722</v>
      </c>
      <c r="E1895" s="91" t="s">
        <v>11</v>
      </c>
      <c r="F1895" s="92" t="s">
        <v>26</v>
      </c>
      <c r="G1895" s="93">
        <v>161454.54</v>
      </c>
      <c r="H1895" s="93">
        <v>252339.13</v>
      </c>
      <c r="I1895" s="93">
        <v>2397.5457928860201</v>
      </c>
      <c r="J1895" s="93">
        <v>273670.18</v>
      </c>
      <c r="K1895" s="93">
        <v>22298.35</v>
      </c>
      <c r="L1895" s="93">
        <v>257300.05</v>
      </c>
      <c r="M1895" s="93">
        <v>1302393.77</v>
      </c>
      <c r="N1895" s="95">
        <v>0.15</v>
      </c>
      <c r="O1895" s="95">
        <v>0.24</v>
      </c>
      <c r="P1895" s="95">
        <v>0.32</v>
      </c>
      <c r="Q1895" s="95">
        <v>0.26</v>
      </c>
      <c r="R1895" s="96">
        <v>0.02</v>
      </c>
    </row>
    <row r="1896" spans="1:18" ht="15" hidden="1" customHeight="1" x14ac:dyDescent="0.3">
      <c r="A1896" s="89">
        <v>2023</v>
      </c>
      <c r="B1896" s="90">
        <v>2</v>
      </c>
      <c r="C1896" s="90" t="s">
        <v>723</v>
      </c>
      <c r="D1896" s="90" t="s">
        <v>722</v>
      </c>
      <c r="E1896" s="91" t="s">
        <v>11</v>
      </c>
      <c r="F1896" s="92" t="s">
        <v>27</v>
      </c>
      <c r="G1896" s="93">
        <v>50489.32</v>
      </c>
      <c r="H1896" s="93">
        <v>139447.91</v>
      </c>
      <c r="I1896" s="93">
        <v>2397.5457928860201</v>
      </c>
      <c r="J1896" s="93">
        <v>2037.95</v>
      </c>
      <c r="K1896" s="93">
        <v>32.82</v>
      </c>
      <c r="L1896" s="93">
        <v>1285.29</v>
      </c>
      <c r="M1896" s="93">
        <v>226689.38</v>
      </c>
      <c r="N1896" s="95">
        <v>0.22</v>
      </c>
      <c r="O1896" s="95">
        <v>0.62</v>
      </c>
      <c r="P1896" s="95">
        <v>0.15</v>
      </c>
      <c r="Q1896" s="95">
        <v>0.01</v>
      </c>
      <c r="R1896" s="96">
        <v>0</v>
      </c>
    </row>
    <row r="1897" spans="1:18" ht="15" hidden="1" customHeight="1" x14ac:dyDescent="0.3">
      <c r="A1897" s="89">
        <v>2023</v>
      </c>
      <c r="B1897" s="90">
        <v>2</v>
      </c>
      <c r="C1897" s="90" t="s">
        <v>723</v>
      </c>
      <c r="D1897" s="90" t="s">
        <v>722</v>
      </c>
      <c r="E1897" s="91" t="s">
        <v>11</v>
      </c>
      <c r="F1897" s="92" t="s">
        <v>28</v>
      </c>
      <c r="G1897" s="93">
        <v>66973.8</v>
      </c>
      <c r="H1897" s="93">
        <v>144183.03</v>
      </c>
      <c r="I1897" s="93">
        <v>2397.5457928860201</v>
      </c>
      <c r="J1897" s="93">
        <v>28941.17</v>
      </c>
      <c r="K1897" s="93">
        <v>375.54</v>
      </c>
      <c r="L1897" s="93">
        <v>3223.87</v>
      </c>
      <c r="M1897" s="93">
        <v>373104.4</v>
      </c>
      <c r="N1897" s="95">
        <v>0.18</v>
      </c>
      <c r="O1897" s="95">
        <v>0.39</v>
      </c>
      <c r="P1897" s="95">
        <v>0.35</v>
      </c>
      <c r="Q1897" s="95">
        <v>0.08</v>
      </c>
      <c r="R1897" s="96">
        <v>0</v>
      </c>
    </row>
    <row r="1898" spans="1:18" ht="15" customHeight="1" x14ac:dyDescent="0.3">
      <c r="A1898" s="89">
        <v>2023</v>
      </c>
      <c r="B1898" s="90">
        <v>2</v>
      </c>
      <c r="C1898" s="90" t="s">
        <v>723</v>
      </c>
      <c r="D1898" s="90" t="s">
        <v>722</v>
      </c>
      <c r="E1898" s="91" t="s">
        <v>11</v>
      </c>
      <c r="F1898" s="92" t="s">
        <v>29</v>
      </c>
      <c r="G1898" s="93">
        <v>29489.599999999999</v>
      </c>
      <c r="H1898" s="93">
        <v>100107.11</v>
      </c>
      <c r="I1898" s="93">
        <v>2397.5457928860201</v>
      </c>
      <c r="J1898" s="93">
        <v>34914.22</v>
      </c>
      <c r="K1898" s="93">
        <v>1470.43</v>
      </c>
      <c r="L1898" s="93">
        <v>62597.4</v>
      </c>
      <c r="M1898" s="93">
        <v>354391.76</v>
      </c>
      <c r="N1898" s="95">
        <v>0.1</v>
      </c>
      <c r="O1898" s="95">
        <v>0.34</v>
      </c>
      <c r="P1898" s="95">
        <v>0.43</v>
      </c>
      <c r="Q1898" s="95">
        <v>0.12</v>
      </c>
      <c r="R1898" s="96">
        <v>0.01</v>
      </c>
    </row>
    <row r="1899" spans="1:18" ht="15" hidden="1" customHeight="1" x14ac:dyDescent="0.3">
      <c r="A1899" s="89">
        <v>2023</v>
      </c>
      <c r="B1899" s="90">
        <v>2</v>
      </c>
      <c r="C1899" s="90" t="s">
        <v>723</v>
      </c>
      <c r="D1899" s="90" t="s">
        <v>722</v>
      </c>
      <c r="E1899" s="91" t="s">
        <v>11</v>
      </c>
      <c r="F1899" s="92" t="s">
        <v>30</v>
      </c>
      <c r="G1899" s="93">
        <v>4085.73</v>
      </c>
      <c r="H1899" s="93">
        <v>6458.45</v>
      </c>
      <c r="I1899" s="93">
        <v>2397.5457928860201</v>
      </c>
      <c r="J1899" s="93">
        <v>1078.6500000000001</v>
      </c>
      <c r="K1899" s="93">
        <v>13.5</v>
      </c>
      <c r="L1899" s="93">
        <v>214952.08</v>
      </c>
      <c r="M1899" s="93">
        <v>230086.24</v>
      </c>
      <c r="N1899" s="95">
        <v>0.27</v>
      </c>
      <c r="O1899" s="95">
        <v>0.43</v>
      </c>
      <c r="P1899" s="95">
        <v>0.23</v>
      </c>
      <c r="Q1899" s="95">
        <v>7.0000000000000007E-2</v>
      </c>
      <c r="R1899" s="96">
        <v>0</v>
      </c>
    </row>
    <row r="1900" spans="1:18" ht="15" hidden="1" customHeight="1" x14ac:dyDescent="0.3">
      <c r="A1900" s="89">
        <v>2023</v>
      </c>
      <c r="B1900" s="90">
        <v>2</v>
      </c>
      <c r="C1900" s="90" t="s">
        <v>723</v>
      </c>
      <c r="D1900" s="90" t="s">
        <v>722</v>
      </c>
      <c r="E1900" s="91" t="s">
        <v>11</v>
      </c>
      <c r="F1900" s="92" t="s">
        <v>31</v>
      </c>
      <c r="G1900" s="93">
        <v>18244.28</v>
      </c>
      <c r="H1900" s="93">
        <v>105686.27</v>
      </c>
      <c r="I1900" s="93">
        <v>2397.5457928860201</v>
      </c>
      <c r="J1900" s="93">
        <v>18632.16</v>
      </c>
      <c r="K1900" s="93">
        <v>2074.1799999999998</v>
      </c>
      <c r="L1900" s="93">
        <v>43953.51</v>
      </c>
      <c r="M1900" s="93">
        <v>251948.86</v>
      </c>
      <c r="N1900" s="95">
        <v>0.09</v>
      </c>
      <c r="O1900" s="95">
        <v>0.51</v>
      </c>
      <c r="P1900" s="95">
        <v>0.3</v>
      </c>
      <c r="Q1900" s="95">
        <v>0.09</v>
      </c>
      <c r="R1900" s="96">
        <v>0.01</v>
      </c>
    </row>
    <row r="1901" spans="1:18" ht="15" hidden="1" customHeight="1" x14ac:dyDescent="0.3">
      <c r="A1901" s="89">
        <v>2023</v>
      </c>
      <c r="B1901" s="90">
        <v>2</v>
      </c>
      <c r="C1901" s="90" t="s">
        <v>723</v>
      </c>
      <c r="D1901" s="90" t="s">
        <v>722</v>
      </c>
      <c r="E1901" s="91" t="s">
        <v>11</v>
      </c>
      <c r="F1901" s="92" t="s">
        <v>32</v>
      </c>
      <c r="G1901" s="93">
        <v>40435.620000000003</v>
      </c>
      <c r="H1901" s="93">
        <v>157005.62</v>
      </c>
      <c r="I1901" s="93">
        <v>2397.5457928860201</v>
      </c>
      <c r="J1901" s="93">
        <v>132660.06</v>
      </c>
      <c r="K1901" s="93">
        <v>11522.28</v>
      </c>
      <c r="L1901" s="93">
        <v>20342.990000000002</v>
      </c>
      <c r="M1901" s="93">
        <v>609521.87</v>
      </c>
      <c r="N1901" s="95">
        <v>7.0000000000000007E-2</v>
      </c>
      <c r="O1901" s="95">
        <v>0.27</v>
      </c>
      <c r="P1901" s="95">
        <v>0.42</v>
      </c>
      <c r="Q1901" s="95">
        <v>0.23</v>
      </c>
      <c r="R1901" s="96">
        <v>0.02</v>
      </c>
    </row>
    <row r="1902" spans="1:18" ht="15" hidden="1" customHeight="1" x14ac:dyDescent="0.3">
      <c r="A1902" s="89">
        <v>2023</v>
      </c>
      <c r="B1902" s="90">
        <v>2</v>
      </c>
      <c r="C1902" s="90" t="s">
        <v>723</v>
      </c>
      <c r="D1902" s="90" t="s">
        <v>722</v>
      </c>
      <c r="E1902" s="91" t="s">
        <v>11</v>
      </c>
      <c r="F1902" s="92" t="s">
        <v>33</v>
      </c>
      <c r="G1902" s="93">
        <v>531445.64</v>
      </c>
      <c r="H1902" s="93">
        <v>442352.27</v>
      </c>
      <c r="I1902" s="93">
        <v>2397.5457928860201</v>
      </c>
      <c r="J1902" s="93">
        <v>105850.16</v>
      </c>
      <c r="K1902" s="93">
        <v>7561.57</v>
      </c>
      <c r="L1902" s="93">
        <v>34774.769999999997</v>
      </c>
      <c r="M1902" s="93">
        <v>1352055.51</v>
      </c>
      <c r="N1902" s="95">
        <v>0.4</v>
      </c>
      <c r="O1902" s="95">
        <v>0.34</v>
      </c>
      <c r="P1902" s="95">
        <v>0.17</v>
      </c>
      <c r="Q1902" s="95">
        <v>0.08</v>
      </c>
      <c r="R1902" s="96">
        <v>0.01</v>
      </c>
    </row>
    <row r="1903" spans="1:18" ht="15" hidden="1" customHeight="1" x14ac:dyDescent="0.3">
      <c r="A1903" s="89">
        <v>2023</v>
      </c>
      <c r="B1903" s="90">
        <v>2</v>
      </c>
      <c r="C1903" s="90" t="s">
        <v>723</v>
      </c>
      <c r="D1903" s="90" t="s">
        <v>722</v>
      </c>
      <c r="E1903" s="91" t="s">
        <v>11</v>
      </c>
      <c r="F1903" s="92" t="s">
        <v>34</v>
      </c>
      <c r="G1903" s="93">
        <v>89727.039999999994</v>
      </c>
      <c r="H1903" s="93">
        <v>253802.51</v>
      </c>
      <c r="I1903" s="93">
        <v>2397.5457928860201</v>
      </c>
      <c r="J1903" s="93">
        <v>55175.32</v>
      </c>
      <c r="K1903" s="93">
        <v>1077.08</v>
      </c>
      <c r="L1903" s="93">
        <v>36938.54</v>
      </c>
      <c r="M1903" s="93">
        <v>713628.98</v>
      </c>
      <c r="N1903" s="95">
        <v>0.13</v>
      </c>
      <c r="O1903" s="95">
        <v>0.38</v>
      </c>
      <c r="P1903" s="95">
        <v>0.41</v>
      </c>
      <c r="Q1903" s="95">
        <v>0.08</v>
      </c>
      <c r="R1903" s="96">
        <v>0</v>
      </c>
    </row>
    <row r="1904" spans="1:18" ht="15" hidden="1" customHeight="1" x14ac:dyDescent="0.3">
      <c r="A1904" s="89">
        <v>2023</v>
      </c>
      <c r="B1904" s="90">
        <v>2</v>
      </c>
      <c r="C1904" s="90" t="s">
        <v>723</v>
      </c>
      <c r="D1904" s="90" t="s">
        <v>722</v>
      </c>
      <c r="E1904" s="91" t="s">
        <v>11</v>
      </c>
      <c r="F1904" s="92" t="s">
        <v>35</v>
      </c>
      <c r="G1904" s="93">
        <v>43145.64</v>
      </c>
      <c r="H1904" s="93">
        <v>84711.77</v>
      </c>
      <c r="I1904" s="93">
        <v>2397.5457928860201</v>
      </c>
      <c r="J1904" s="93">
        <v>99767.48</v>
      </c>
      <c r="K1904" s="93">
        <v>4969.63</v>
      </c>
      <c r="L1904" s="93">
        <v>236047.97</v>
      </c>
      <c r="M1904" s="93">
        <v>605861.19999999995</v>
      </c>
      <c r="N1904" s="95">
        <v>0.12</v>
      </c>
      <c r="O1904" s="95">
        <v>0.23</v>
      </c>
      <c r="P1904" s="95">
        <v>0.37</v>
      </c>
      <c r="Q1904" s="95">
        <v>0.27</v>
      </c>
      <c r="R1904" s="96">
        <v>0.01</v>
      </c>
    </row>
    <row r="1905" spans="1:18" ht="15" hidden="1" customHeight="1" x14ac:dyDescent="0.3">
      <c r="A1905" s="89">
        <v>2023</v>
      </c>
      <c r="B1905" s="90">
        <v>2</v>
      </c>
      <c r="C1905" s="90" t="s">
        <v>723</v>
      </c>
      <c r="D1905" s="90" t="s">
        <v>722</v>
      </c>
      <c r="E1905" s="91" t="s">
        <v>11</v>
      </c>
      <c r="F1905" s="92" t="s">
        <v>36</v>
      </c>
      <c r="G1905" s="93">
        <v>7020.46</v>
      </c>
      <c r="H1905" s="93">
        <v>40047.660000000003</v>
      </c>
      <c r="I1905" s="93">
        <v>2397.5457928860201</v>
      </c>
      <c r="J1905" s="93">
        <v>47404.68</v>
      </c>
      <c r="K1905" s="93">
        <v>151.11000000000001</v>
      </c>
      <c r="L1905" s="93">
        <v>32566.76</v>
      </c>
      <c r="M1905" s="93">
        <v>258886.74</v>
      </c>
      <c r="N1905" s="95">
        <v>0.03</v>
      </c>
      <c r="O1905" s="95">
        <v>0.18</v>
      </c>
      <c r="P1905" s="95">
        <v>0.57999999999999996</v>
      </c>
      <c r="Q1905" s="95">
        <v>0.21</v>
      </c>
      <c r="R1905" s="96">
        <v>0</v>
      </c>
    </row>
    <row r="1906" spans="1:18" ht="15" hidden="1" customHeight="1" x14ac:dyDescent="0.3">
      <c r="A1906" s="89">
        <v>2023</v>
      </c>
      <c r="B1906" s="90">
        <v>2</v>
      </c>
      <c r="C1906" s="90" t="s">
        <v>723</v>
      </c>
      <c r="D1906" s="90" t="s">
        <v>722</v>
      </c>
      <c r="E1906" s="91" t="s">
        <v>11</v>
      </c>
      <c r="F1906" s="92" t="s">
        <v>37</v>
      </c>
      <c r="G1906" s="93">
        <v>83348.33</v>
      </c>
      <c r="H1906" s="93">
        <v>142507.1</v>
      </c>
      <c r="I1906" s="93">
        <v>2397.5457928860201</v>
      </c>
      <c r="J1906" s="93">
        <v>24196.240000000002</v>
      </c>
      <c r="K1906" s="93">
        <v>242.83</v>
      </c>
      <c r="L1906" s="93">
        <v>142122.44</v>
      </c>
      <c r="M1906" s="93">
        <v>524074.32</v>
      </c>
      <c r="N1906" s="95">
        <v>0.22</v>
      </c>
      <c r="O1906" s="95">
        <v>0.37</v>
      </c>
      <c r="P1906" s="95">
        <v>0.34</v>
      </c>
      <c r="Q1906" s="95">
        <v>0.06</v>
      </c>
      <c r="R1906" s="96">
        <v>0</v>
      </c>
    </row>
    <row r="1907" spans="1:18" ht="15" hidden="1" customHeight="1" x14ac:dyDescent="0.3">
      <c r="A1907" s="89">
        <v>2023</v>
      </c>
      <c r="B1907" s="90">
        <v>2</v>
      </c>
      <c r="C1907" s="90" t="s">
        <v>723</v>
      </c>
      <c r="D1907" s="90" t="s">
        <v>722</v>
      </c>
      <c r="E1907" s="91" t="s">
        <v>11</v>
      </c>
      <c r="F1907" s="92" t="s">
        <v>38</v>
      </c>
      <c r="G1907" s="93">
        <v>231330.67</v>
      </c>
      <c r="H1907" s="93">
        <v>254886.34</v>
      </c>
      <c r="I1907" s="93">
        <v>2397.5457928860201</v>
      </c>
      <c r="J1907" s="93">
        <v>46436.99</v>
      </c>
      <c r="K1907" s="93">
        <v>3638.47</v>
      </c>
      <c r="L1907" s="93">
        <v>180216.28</v>
      </c>
      <c r="M1907" s="93">
        <v>927959.02</v>
      </c>
      <c r="N1907" s="95">
        <v>0.31</v>
      </c>
      <c r="O1907" s="95">
        <v>0.34</v>
      </c>
      <c r="P1907" s="95">
        <v>0.28000000000000003</v>
      </c>
      <c r="Q1907" s="95">
        <v>0.06</v>
      </c>
      <c r="R1907" s="96">
        <v>0</v>
      </c>
    </row>
    <row r="1908" spans="1:18" ht="15" hidden="1" customHeight="1" x14ac:dyDescent="0.3">
      <c r="A1908" s="89">
        <v>2023</v>
      </c>
      <c r="B1908" s="90">
        <v>2</v>
      </c>
      <c r="C1908" s="90" t="s">
        <v>723</v>
      </c>
      <c r="D1908" s="90" t="s">
        <v>722</v>
      </c>
      <c r="E1908" s="91" t="s">
        <v>11</v>
      </c>
      <c r="F1908" s="92" t="s">
        <v>39</v>
      </c>
      <c r="G1908" s="93">
        <v>16365.84</v>
      </c>
      <c r="H1908" s="93">
        <v>140665.16</v>
      </c>
      <c r="I1908" s="93">
        <v>2397.5457928860201</v>
      </c>
      <c r="J1908" s="93">
        <v>52010.41</v>
      </c>
      <c r="K1908" s="93">
        <v>726.47</v>
      </c>
      <c r="L1908" s="93">
        <v>2061.21</v>
      </c>
      <c r="M1908" s="93">
        <v>331195.63</v>
      </c>
      <c r="N1908" s="95">
        <v>0.05</v>
      </c>
      <c r="O1908" s="95">
        <v>0.43</v>
      </c>
      <c r="P1908" s="95">
        <v>0.36</v>
      </c>
      <c r="Q1908" s="95">
        <v>0.16</v>
      </c>
      <c r="R1908" s="96">
        <v>0</v>
      </c>
    </row>
    <row r="1909" spans="1:18" ht="15" hidden="1" customHeight="1" x14ac:dyDescent="0.3">
      <c r="A1909" s="89">
        <v>2023</v>
      </c>
      <c r="B1909" s="90">
        <v>2</v>
      </c>
      <c r="C1909" s="90" t="s">
        <v>723</v>
      </c>
      <c r="D1909" s="90" t="s">
        <v>722</v>
      </c>
      <c r="E1909" s="91" t="s">
        <v>11</v>
      </c>
      <c r="F1909" s="92" t="s">
        <v>40</v>
      </c>
      <c r="G1909" s="93">
        <v>38757.61</v>
      </c>
      <c r="H1909" s="93">
        <v>106049.87</v>
      </c>
      <c r="I1909" s="93">
        <v>2397.5457928860201</v>
      </c>
      <c r="J1909" s="93">
        <v>47304.73</v>
      </c>
      <c r="K1909" s="93">
        <v>3846.59</v>
      </c>
      <c r="L1909" s="93">
        <v>4976.3599999999997</v>
      </c>
      <c r="M1909" s="93">
        <v>326305.03999999998</v>
      </c>
      <c r="N1909" s="95">
        <v>0.12</v>
      </c>
      <c r="O1909" s="95">
        <v>0.33</v>
      </c>
      <c r="P1909" s="95">
        <v>0.39</v>
      </c>
      <c r="Q1909" s="95">
        <v>0.15</v>
      </c>
      <c r="R1909" s="96">
        <v>0.01</v>
      </c>
    </row>
    <row r="1910" spans="1:18" ht="15" hidden="1" customHeight="1" x14ac:dyDescent="0.3">
      <c r="A1910" s="89">
        <v>2023</v>
      </c>
      <c r="B1910" s="90">
        <v>2</v>
      </c>
      <c r="C1910" s="90" t="s">
        <v>723</v>
      </c>
      <c r="D1910" s="90" t="s">
        <v>722</v>
      </c>
      <c r="E1910" s="91" t="s">
        <v>11</v>
      </c>
      <c r="F1910" s="92" t="s">
        <v>41</v>
      </c>
      <c r="G1910" s="93">
        <v>16748.79</v>
      </c>
      <c r="H1910" s="93">
        <v>1125.06</v>
      </c>
      <c r="I1910" s="93">
        <v>2397.5457928860201</v>
      </c>
      <c r="J1910" s="93">
        <v>7.89</v>
      </c>
      <c r="K1910" s="93"/>
      <c r="L1910" s="93">
        <v>698.51</v>
      </c>
      <c r="M1910" s="93">
        <v>18714.330000000002</v>
      </c>
      <c r="N1910" s="95">
        <v>0.93</v>
      </c>
      <c r="O1910" s="95">
        <v>0.06</v>
      </c>
      <c r="P1910" s="95">
        <v>0.01</v>
      </c>
      <c r="Q1910" s="95">
        <v>0</v>
      </c>
      <c r="R1910" s="96">
        <v>0</v>
      </c>
    </row>
    <row r="1911" spans="1:18" ht="15" hidden="1" customHeight="1" x14ac:dyDescent="0.3">
      <c r="A1911" s="89">
        <v>2023</v>
      </c>
      <c r="B1911" s="90">
        <v>2</v>
      </c>
      <c r="C1911" s="90" t="s">
        <v>723</v>
      </c>
      <c r="D1911" s="90" t="s">
        <v>722</v>
      </c>
      <c r="E1911" s="91" t="s">
        <v>11</v>
      </c>
      <c r="F1911" s="92" t="s">
        <v>42</v>
      </c>
      <c r="G1911" s="93">
        <v>36179.61</v>
      </c>
      <c r="H1911" s="93">
        <v>199141.32</v>
      </c>
      <c r="I1911" s="93">
        <v>2397.5457928860201</v>
      </c>
      <c r="J1911" s="93">
        <v>86881.55</v>
      </c>
      <c r="K1911" s="93">
        <v>2917.45</v>
      </c>
      <c r="L1911" s="93">
        <v>16345.89</v>
      </c>
      <c r="M1911" s="93">
        <v>620824.21</v>
      </c>
      <c r="N1911" s="95">
        <v>0.06</v>
      </c>
      <c r="O1911" s="95">
        <v>0.33</v>
      </c>
      <c r="P1911" s="95">
        <v>0.46</v>
      </c>
      <c r="Q1911" s="95">
        <v>0.14000000000000001</v>
      </c>
      <c r="R1911" s="96">
        <v>0</v>
      </c>
    </row>
    <row r="1912" spans="1:18" ht="15" hidden="1" customHeight="1" x14ac:dyDescent="0.3">
      <c r="A1912" s="89">
        <v>2023</v>
      </c>
      <c r="B1912" s="90">
        <v>2</v>
      </c>
      <c r="C1912" s="90" t="s">
        <v>723</v>
      </c>
      <c r="D1912" s="90" t="s">
        <v>722</v>
      </c>
      <c r="E1912" s="91" t="s">
        <v>11</v>
      </c>
      <c r="F1912" s="92" t="s">
        <v>43</v>
      </c>
      <c r="G1912" s="93">
        <v>8199.7199999999993</v>
      </c>
      <c r="H1912" s="93">
        <v>27473.84</v>
      </c>
      <c r="I1912" s="93">
        <v>2397.5457928860201</v>
      </c>
      <c r="J1912" s="93">
        <v>12476.71</v>
      </c>
      <c r="K1912" s="93">
        <v>715.41</v>
      </c>
      <c r="L1912" s="93">
        <v>115860.86</v>
      </c>
      <c r="M1912" s="93">
        <v>185575.52</v>
      </c>
      <c r="N1912" s="95">
        <v>0.12</v>
      </c>
      <c r="O1912" s="95">
        <v>0.39</v>
      </c>
      <c r="P1912" s="95">
        <v>0.3</v>
      </c>
      <c r="Q1912" s="95">
        <v>0.18</v>
      </c>
      <c r="R1912" s="96">
        <v>0.01</v>
      </c>
    </row>
    <row r="1913" spans="1:18" ht="15" hidden="1" customHeight="1" x14ac:dyDescent="0.3">
      <c r="A1913" s="89">
        <v>2023</v>
      </c>
      <c r="B1913" s="90">
        <v>2</v>
      </c>
      <c r="C1913" s="90" t="s">
        <v>723</v>
      </c>
      <c r="D1913" s="90" t="s">
        <v>722</v>
      </c>
      <c r="E1913" s="91" t="s">
        <v>11</v>
      </c>
      <c r="F1913" s="92" t="s">
        <v>58</v>
      </c>
      <c r="G1913" s="93">
        <v>40379.050000000003</v>
      </c>
      <c r="H1913" s="93">
        <v>131132.47</v>
      </c>
      <c r="I1913" s="93">
        <v>2397.5457928860201</v>
      </c>
      <c r="J1913" s="93">
        <v>46046.79</v>
      </c>
      <c r="K1913" s="93">
        <v>1199.8499999999999</v>
      </c>
      <c r="L1913" s="93">
        <v>4082.44</v>
      </c>
      <c r="M1913" s="93">
        <v>371477.13</v>
      </c>
      <c r="N1913" s="95">
        <v>0.11</v>
      </c>
      <c r="O1913" s="95">
        <v>0.36</v>
      </c>
      <c r="P1913" s="95">
        <v>0.4</v>
      </c>
      <c r="Q1913" s="95">
        <v>0.13</v>
      </c>
      <c r="R1913" s="96">
        <v>0</v>
      </c>
    </row>
    <row r="1914" spans="1:18" ht="15" hidden="1" customHeight="1" x14ac:dyDescent="0.3">
      <c r="A1914" s="89">
        <v>2023</v>
      </c>
      <c r="B1914" s="90">
        <v>2</v>
      </c>
      <c r="C1914" s="90" t="s">
        <v>723</v>
      </c>
      <c r="D1914" s="90" t="s">
        <v>722</v>
      </c>
      <c r="E1914" s="91" t="s">
        <v>11</v>
      </c>
      <c r="F1914" s="92" t="s">
        <v>44</v>
      </c>
      <c r="G1914" s="93">
        <v>25309.67</v>
      </c>
      <c r="H1914" s="93">
        <v>46414.44</v>
      </c>
      <c r="I1914" s="93">
        <v>2397.5457928860201</v>
      </c>
      <c r="J1914" s="93">
        <v>25896.3</v>
      </c>
      <c r="K1914" s="93">
        <v>341.61</v>
      </c>
      <c r="L1914" s="93">
        <v>39052.51</v>
      </c>
      <c r="M1914" s="93">
        <v>215729.36</v>
      </c>
      <c r="N1914" s="95">
        <v>0.14000000000000001</v>
      </c>
      <c r="O1914" s="95">
        <v>0.26</v>
      </c>
      <c r="P1914" s="95">
        <v>0.45</v>
      </c>
      <c r="Q1914" s="95">
        <v>0.15</v>
      </c>
      <c r="R1914" s="96">
        <v>0</v>
      </c>
    </row>
    <row r="1915" spans="1:18" ht="15" hidden="1" customHeight="1" x14ac:dyDescent="0.3">
      <c r="A1915" s="89">
        <v>2023</v>
      </c>
      <c r="B1915" s="90">
        <v>2</v>
      </c>
      <c r="C1915" s="90" t="s">
        <v>723</v>
      </c>
      <c r="D1915" s="90" t="s">
        <v>722</v>
      </c>
      <c r="E1915" s="91" t="s">
        <v>11</v>
      </c>
      <c r="F1915" s="92" t="s">
        <v>51</v>
      </c>
      <c r="G1915" s="93">
        <v>17481.71</v>
      </c>
      <c r="H1915" s="93">
        <v>90870.34</v>
      </c>
      <c r="I1915" s="93">
        <v>2397.5457928860201</v>
      </c>
      <c r="J1915" s="93">
        <v>14909.63</v>
      </c>
      <c r="K1915" s="93">
        <v>1403.45</v>
      </c>
      <c r="L1915" s="93">
        <v>313.12</v>
      </c>
      <c r="M1915" s="93">
        <v>211202.48</v>
      </c>
      <c r="N1915" s="95">
        <v>0.08</v>
      </c>
      <c r="O1915" s="95">
        <v>0.43</v>
      </c>
      <c r="P1915" s="95">
        <v>0.41</v>
      </c>
      <c r="Q1915" s="95">
        <v>7.0000000000000007E-2</v>
      </c>
      <c r="R1915" s="96">
        <v>0.01</v>
      </c>
    </row>
    <row r="1916" spans="1:18" ht="15" hidden="1" customHeight="1" x14ac:dyDescent="0.3">
      <c r="A1916" s="89">
        <v>2023</v>
      </c>
      <c r="B1916" s="90">
        <v>2</v>
      </c>
      <c r="C1916" s="90" t="s">
        <v>723</v>
      </c>
      <c r="D1916" s="90" t="s">
        <v>722</v>
      </c>
      <c r="E1916" s="91" t="s">
        <v>11</v>
      </c>
      <c r="F1916" s="92" t="s">
        <v>45</v>
      </c>
      <c r="G1916" s="93">
        <v>4391.96</v>
      </c>
      <c r="H1916" s="93">
        <v>14377.16</v>
      </c>
      <c r="I1916" s="93">
        <v>2397.5457928860201</v>
      </c>
      <c r="J1916" s="93">
        <v>25176.06</v>
      </c>
      <c r="K1916" s="93">
        <v>2202.64</v>
      </c>
      <c r="L1916" s="93">
        <v>49115.85</v>
      </c>
      <c r="M1916" s="93">
        <v>134096.20000000001</v>
      </c>
      <c r="N1916" s="95">
        <v>0.05</v>
      </c>
      <c r="O1916" s="95">
        <v>0.17</v>
      </c>
      <c r="P1916" s="95">
        <v>0.46</v>
      </c>
      <c r="Q1916" s="95">
        <v>0.3</v>
      </c>
      <c r="R1916" s="96">
        <v>0.03</v>
      </c>
    </row>
    <row r="1917" spans="1:18" ht="15" hidden="1" customHeight="1" x14ac:dyDescent="0.3">
      <c r="A1917" s="89">
        <v>2023</v>
      </c>
      <c r="B1917" s="90">
        <v>2</v>
      </c>
      <c r="C1917" s="90" t="s">
        <v>723</v>
      </c>
      <c r="D1917" s="90" t="s">
        <v>722</v>
      </c>
      <c r="E1917" s="91" t="s">
        <v>11</v>
      </c>
      <c r="F1917" s="92" t="s">
        <v>721</v>
      </c>
      <c r="G1917" s="93">
        <v>40499.08</v>
      </c>
      <c r="H1917" s="93">
        <v>128405.66</v>
      </c>
      <c r="I1917" s="93">
        <v>2397.5457928860201</v>
      </c>
      <c r="J1917" s="93">
        <v>23207.73</v>
      </c>
      <c r="K1917" s="93">
        <v>556.75</v>
      </c>
      <c r="L1917" s="93">
        <v>4.34</v>
      </c>
      <c r="M1917" s="93">
        <v>309330.63</v>
      </c>
      <c r="N1917" s="95">
        <v>0.13</v>
      </c>
      <c r="O1917" s="95">
        <v>0.42</v>
      </c>
      <c r="P1917" s="95">
        <v>0.38</v>
      </c>
      <c r="Q1917" s="95">
        <v>0.08</v>
      </c>
      <c r="R1917" s="96">
        <v>0</v>
      </c>
    </row>
    <row r="1918" spans="1:18" ht="15" hidden="1" customHeight="1" x14ac:dyDescent="0.3">
      <c r="A1918" s="89">
        <v>2023</v>
      </c>
      <c r="B1918" s="90">
        <v>2</v>
      </c>
      <c r="C1918" s="90" t="s">
        <v>723</v>
      </c>
      <c r="D1918" s="90" t="s">
        <v>722</v>
      </c>
      <c r="E1918" s="91" t="s">
        <v>11</v>
      </c>
      <c r="F1918" s="92" t="s">
        <v>46</v>
      </c>
      <c r="G1918" s="93">
        <v>24297.72</v>
      </c>
      <c r="H1918" s="93">
        <v>65205.73</v>
      </c>
      <c r="I1918" s="93">
        <v>2397.5457928860201</v>
      </c>
      <c r="J1918" s="93">
        <v>6615.79</v>
      </c>
      <c r="K1918" s="93">
        <v>1131.23</v>
      </c>
      <c r="L1918" s="93">
        <v>1038.24</v>
      </c>
      <c r="M1918" s="93">
        <v>149074.81</v>
      </c>
      <c r="N1918" s="95">
        <v>0.16</v>
      </c>
      <c r="O1918" s="95">
        <v>0.44</v>
      </c>
      <c r="P1918" s="95">
        <v>0.34</v>
      </c>
      <c r="Q1918" s="95">
        <v>0.04</v>
      </c>
      <c r="R1918" s="96">
        <v>0.01</v>
      </c>
    </row>
    <row r="1919" spans="1:18" ht="15" hidden="1" customHeight="1" x14ac:dyDescent="0.3">
      <c r="A1919" s="89">
        <v>2023</v>
      </c>
      <c r="B1919" s="90">
        <v>2</v>
      </c>
      <c r="C1919" s="90" t="s">
        <v>723</v>
      </c>
      <c r="D1919" s="90" t="s">
        <v>722</v>
      </c>
      <c r="E1919" s="91" t="s">
        <v>11</v>
      </c>
      <c r="F1919" s="92" t="s">
        <v>47</v>
      </c>
      <c r="G1919" s="93">
        <v>19463.66</v>
      </c>
      <c r="H1919" s="93">
        <v>116145.73</v>
      </c>
      <c r="I1919" s="93">
        <v>2397.5457928860201</v>
      </c>
      <c r="J1919" s="93">
        <v>509128.26</v>
      </c>
      <c r="K1919" s="93">
        <v>218758.94</v>
      </c>
      <c r="L1919" s="93">
        <v>164408.13</v>
      </c>
      <c r="M1919" s="93">
        <v>1461770.89</v>
      </c>
      <c r="N1919" s="95">
        <v>0.02</v>
      </c>
      <c r="O1919" s="95">
        <v>0.09</v>
      </c>
      <c r="P1919" s="95">
        <v>0.33</v>
      </c>
      <c r="Q1919" s="95">
        <v>0.39</v>
      </c>
      <c r="R1919" s="96">
        <v>0.17</v>
      </c>
    </row>
    <row r="1920" spans="1:18" ht="15" hidden="1" customHeight="1" x14ac:dyDescent="0.3">
      <c r="A1920" s="89">
        <v>2023</v>
      </c>
      <c r="B1920" s="90">
        <v>2</v>
      </c>
      <c r="C1920" s="90" t="s">
        <v>723</v>
      </c>
      <c r="D1920" s="90" t="s">
        <v>722</v>
      </c>
      <c r="E1920" s="91" t="s">
        <v>11</v>
      </c>
      <c r="F1920" s="92" t="s">
        <v>48</v>
      </c>
      <c r="G1920" s="93">
        <v>3658.8</v>
      </c>
      <c r="H1920" s="93">
        <v>21223.86</v>
      </c>
      <c r="I1920" s="93">
        <v>2397.5457928860201</v>
      </c>
      <c r="J1920" s="93">
        <v>21177.62</v>
      </c>
      <c r="K1920" s="93">
        <v>452.99</v>
      </c>
      <c r="L1920" s="93">
        <v>8648.35</v>
      </c>
      <c r="M1920" s="93">
        <v>110314.47</v>
      </c>
      <c r="N1920" s="95">
        <v>0.04</v>
      </c>
      <c r="O1920" s="95">
        <v>0.21</v>
      </c>
      <c r="P1920" s="95">
        <v>0.54</v>
      </c>
      <c r="Q1920" s="95">
        <v>0.21</v>
      </c>
      <c r="R1920" s="96">
        <v>0</v>
      </c>
    </row>
    <row r="1921" spans="1:18" ht="15" hidden="1" customHeight="1" x14ac:dyDescent="0.3">
      <c r="A1921" s="89">
        <v>2023</v>
      </c>
      <c r="B1921" s="90">
        <v>3</v>
      </c>
      <c r="C1921" s="90" t="s">
        <v>724</v>
      </c>
      <c r="D1921" s="90" t="s">
        <v>719</v>
      </c>
      <c r="E1921" s="91" t="s">
        <v>11</v>
      </c>
      <c r="F1921" s="92" t="s">
        <v>12</v>
      </c>
      <c r="G1921" s="93">
        <v>39406.660000000003</v>
      </c>
      <c r="H1921" s="93">
        <v>138126.29999999999</v>
      </c>
      <c r="I1921" s="93">
        <v>2397.5457928860201</v>
      </c>
      <c r="J1921" s="93">
        <v>37708.93</v>
      </c>
      <c r="K1921" s="93">
        <v>1441.8</v>
      </c>
      <c r="L1921" s="93">
        <v>48828.87</v>
      </c>
      <c r="M1921" s="93">
        <v>433311.44</v>
      </c>
      <c r="N1921" s="95">
        <v>0.1</v>
      </c>
      <c r="O1921" s="95">
        <v>0.36</v>
      </c>
      <c r="P1921" s="95">
        <v>0.44</v>
      </c>
      <c r="Q1921" s="95">
        <v>0.1</v>
      </c>
      <c r="R1921" s="96">
        <v>0</v>
      </c>
    </row>
    <row r="1922" spans="1:18" ht="15" hidden="1" customHeight="1" x14ac:dyDescent="0.3">
      <c r="A1922" s="89">
        <v>2023</v>
      </c>
      <c r="B1922" s="90">
        <v>3</v>
      </c>
      <c r="C1922" s="90" t="s">
        <v>724</v>
      </c>
      <c r="D1922" s="90" t="s">
        <v>719</v>
      </c>
      <c r="E1922" s="91" t="s">
        <v>11</v>
      </c>
      <c r="F1922" s="92" t="s">
        <v>26</v>
      </c>
      <c r="G1922" s="93">
        <v>130857.71</v>
      </c>
      <c r="H1922" s="93">
        <v>316391.96999999997</v>
      </c>
      <c r="I1922" s="93">
        <v>2397.5457928860201</v>
      </c>
      <c r="J1922" s="93">
        <v>148446.17000000001</v>
      </c>
      <c r="K1922" s="93">
        <v>9127.73</v>
      </c>
      <c r="L1922" s="93">
        <v>257613.71</v>
      </c>
      <c r="M1922" s="93">
        <v>1302393.77</v>
      </c>
      <c r="N1922" s="95">
        <v>0.13</v>
      </c>
      <c r="O1922" s="95">
        <v>0.3</v>
      </c>
      <c r="P1922" s="95">
        <v>0.42</v>
      </c>
      <c r="Q1922" s="95">
        <v>0.14000000000000001</v>
      </c>
      <c r="R1922" s="96">
        <v>0.01</v>
      </c>
    </row>
    <row r="1923" spans="1:18" ht="15" hidden="1" customHeight="1" x14ac:dyDescent="0.3">
      <c r="A1923" s="89">
        <v>2023</v>
      </c>
      <c r="B1923" s="90">
        <v>3</v>
      </c>
      <c r="C1923" s="90" t="s">
        <v>724</v>
      </c>
      <c r="D1923" s="90" t="s">
        <v>719</v>
      </c>
      <c r="E1923" s="91" t="s">
        <v>11</v>
      </c>
      <c r="F1923" s="92" t="s">
        <v>27</v>
      </c>
      <c r="G1923" s="93">
        <v>92950.59</v>
      </c>
      <c r="H1923" s="93">
        <v>117591.93</v>
      </c>
      <c r="I1923" s="93">
        <v>2397.5457928860201</v>
      </c>
      <c r="J1923" s="93">
        <v>968.63</v>
      </c>
      <c r="K1923" s="93">
        <v>14.08</v>
      </c>
      <c r="L1923" s="93">
        <v>4578.6099999999997</v>
      </c>
      <c r="M1923" s="93">
        <v>226689.38</v>
      </c>
      <c r="N1923" s="95">
        <v>0.42</v>
      </c>
      <c r="O1923" s="95">
        <v>0.53</v>
      </c>
      <c r="P1923" s="95">
        <v>0.05</v>
      </c>
      <c r="Q1923" s="95">
        <v>0</v>
      </c>
      <c r="R1923" s="96">
        <v>0</v>
      </c>
    </row>
    <row r="1924" spans="1:18" ht="15" hidden="1" customHeight="1" x14ac:dyDescent="0.3">
      <c r="A1924" s="89">
        <v>2023</v>
      </c>
      <c r="B1924" s="90">
        <v>3</v>
      </c>
      <c r="C1924" s="90" t="s">
        <v>724</v>
      </c>
      <c r="D1924" s="90" t="s">
        <v>719</v>
      </c>
      <c r="E1924" s="91" t="s">
        <v>11</v>
      </c>
      <c r="F1924" s="92" t="s">
        <v>28</v>
      </c>
      <c r="G1924" s="93">
        <v>83249.740000000005</v>
      </c>
      <c r="H1924" s="93">
        <v>197735.83</v>
      </c>
      <c r="I1924" s="93">
        <v>2397.5457928860201</v>
      </c>
      <c r="J1924" s="93">
        <v>4837.18</v>
      </c>
      <c r="K1924" s="93">
        <v>42.22</v>
      </c>
      <c r="L1924" s="93">
        <v>3227.58</v>
      </c>
      <c r="M1924" s="93">
        <v>373104.4</v>
      </c>
      <c r="N1924" s="95">
        <v>0.23</v>
      </c>
      <c r="O1924" s="95">
        <v>0.53</v>
      </c>
      <c r="P1924" s="95">
        <v>0.23</v>
      </c>
      <c r="Q1924" s="95">
        <v>0.01</v>
      </c>
      <c r="R1924" s="96">
        <v>0</v>
      </c>
    </row>
    <row r="1925" spans="1:18" ht="15" customHeight="1" x14ac:dyDescent="0.3">
      <c r="A1925" s="89">
        <v>2023</v>
      </c>
      <c r="B1925" s="90">
        <v>3</v>
      </c>
      <c r="C1925" s="90" t="s">
        <v>724</v>
      </c>
      <c r="D1925" s="90" t="s">
        <v>719</v>
      </c>
      <c r="E1925" s="91" t="s">
        <v>11</v>
      </c>
      <c r="F1925" s="92" t="s">
        <v>29</v>
      </c>
      <c r="G1925" s="93">
        <v>34184.25</v>
      </c>
      <c r="H1925" s="93">
        <v>101453.1</v>
      </c>
      <c r="I1925" s="93">
        <v>2397.5457928860201</v>
      </c>
      <c r="J1925" s="93">
        <v>25197.7</v>
      </c>
      <c r="K1925" s="93">
        <v>971.24</v>
      </c>
      <c r="L1925" s="93">
        <v>58716.27</v>
      </c>
      <c r="M1925" s="93">
        <v>354391.76</v>
      </c>
      <c r="N1925" s="95">
        <v>0.12</v>
      </c>
      <c r="O1925" s="95">
        <v>0.34</v>
      </c>
      <c r="P1925" s="95">
        <v>0.45</v>
      </c>
      <c r="Q1925" s="95">
        <v>0.09</v>
      </c>
      <c r="R1925" s="96">
        <v>0</v>
      </c>
    </row>
    <row r="1926" spans="1:18" ht="15" hidden="1" customHeight="1" x14ac:dyDescent="0.3">
      <c r="A1926" s="89">
        <v>2023</v>
      </c>
      <c r="B1926" s="90">
        <v>3</v>
      </c>
      <c r="C1926" s="90" t="s">
        <v>724</v>
      </c>
      <c r="D1926" s="90" t="s">
        <v>719</v>
      </c>
      <c r="E1926" s="91" t="s">
        <v>11</v>
      </c>
      <c r="F1926" s="92" t="s">
        <v>30</v>
      </c>
      <c r="G1926" s="93">
        <v>7716.37</v>
      </c>
      <c r="H1926" s="93">
        <v>5661.4</v>
      </c>
      <c r="I1926" s="93">
        <v>2397.5457928860201</v>
      </c>
      <c r="J1926" s="93">
        <v>615.5</v>
      </c>
      <c r="K1926" s="93"/>
      <c r="L1926" s="93">
        <v>214683.6</v>
      </c>
      <c r="M1926" s="93">
        <v>230086.24</v>
      </c>
      <c r="N1926" s="95">
        <v>0.5</v>
      </c>
      <c r="O1926" s="95">
        <v>0.37</v>
      </c>
      <c r="P1926" s="95">
        <v>0.09</v>
      </c>
      <c r="Q1926" s="95">
        <v>0.04</v>
      </c>
      <c r="R1926" s="96">
        <v>0</v>
      </c>
    </row>
    <row r="1927" spans="1:18" ht="15" hidden="1" customHeight="1" x14ac:dyDescent="0.3">
      <c r="A1927" s="89">
        <v>2023</v>
      </c>
      <c r="B1927" s="90">
        <v>3</v>
      </c>
      <c r="C1927" s="90" t="s">
        <v>724</v>
      </c>
      <c r="D1927" s="90" t="s">
        <v>719</v>
      </c>
      <c r="E1927" s="91" t="s">
        <v>11</v>
      </c>
      <c r="F1927" s="92" t="s">
        <v>31</v>
      </c>
      <c r="G1927" s="93">
        <v>5752.28</v>
      </c>
      <c r="H1927" s="93">
        <v>50885.8</v>
      </c>
      <c r="I1927" s="93">
        <v>2397.5457928860201</v>
      </c>
      <c r="J1927" s="93">
        <v>56510.06</v>
      </c>
      <c r="K1927" s="93">
        <v>8267.4500000000007</v>
      </c>
      <c r="L1927" s="93">
        <v>45105.17</v>
      </c>
      <c r="M1927" s="93">
        <v>251948.86</v>
      </c>
      <c r="N1927" s="95">
        <v>0.03</v>
      </c>
      <c r="O1927" s="95">
        <v>0.25</v>
      </c>
      <c r="P1927" s="95">
        <v>0.41</v>
      </c>
      <c r="Q1927" s="95">
        <v>0.27</v>
      </c>
      <c r="R1927" s="96">
        <v>0.04</v>
      </c>
    </row>
    <row r="1928" spans="1:18" ht="15" hidden="1" customHeight="1" x14ac:dyDescent="0.3">
      <c r="A1928" s="89">
        <v>2023</v>
      </c>
      <c r="B1928" s="90">
        <v>3</v>
      </c>
      <c r="C1928" s="90" t="s">
        <v>724</v>
      </c>
      <c r="D1928" s="90" t="s">
        <v>719</v>
      </c>
      <c r="E1928" s="91" t="s">
        <v>11</v>
      </c>
      <c r="F1928" s="92" t="s">
        <v>32</v>
      </c>
      <c r="G1928" s="93">
        <v>51472.07</v>
      </c>
      <c r="H1928" s="93">
        <v>212209.59</v>
      </c>
      <c r="I1928" s="93">
        <v>2397.5457928860201</v>
      </c>
      <c r="J1928" s="93">
        <v>72844.179999999993</v>
      </c>
      <c r="K1928" s="93">
        <v>789.87</v>
      </c>
      <c r="L1928" s="93">
        <v>29071.57</v>
      </c>
      <c r="M1928" s="93">
        <v>609521.87</v>
      </c>
      <c r="N1928" s="95">
        <v>0.09</v>
      </c>
      <c r="O1928" s="95">
        <v>0.37</v>
      </c>
      <c r="P1928" s="95">
        <v>0.42</v>
      </c>
      <c r="Q1928" s="95">
        <v>0.13</v>
      </c>
      <c r="R1928" s="96">
        <v>0</v>
      </c>
    </row>
    <row r="1929" spans="1:18" ht="15" hidden="1" customHeight="1" x14ac:dyDescent="0.3">
      <c r="A1929" s="89">
        <v>2023</v>
      </c>
      <c r="B1929" s="90">
        <v>3</v>
      </c>
      <c r="C1929" s="90" t="s">
        <v>724</v>
      </c>
      <c r="D1929" s="90" t="s">
        <v>719</v>
      </c>
      <c r="E1929" s="91" t="s">
        <v>11</v>
      </c>
      <c r="F1929" s="92" t="s">
        <v>33</v>
      </c>
      <c r="G1929" s="93">
        <v>531516.43000000005</v>
      </c>
      <c r="H1929" s="93">
        <v>547659.21</v>
      </c>
      <c r="I1929" s="93">
        <v>2397.5457928860201</v>
      </c>
      <c r="J1929" s="93">
        <v>35662.04</v>
      </c>
      <c r="K1929" s="93">
        <v>3598.99</v>
      </c>
      <c r="L1929" s="93">
        <v>34850.9</v>
      </c>
      <c r="M1929" s="93">
        <v>1352055.51</v>
      </c>
      <c r="N1929" s="95">
        <v>0.4</v>
      </c>
      <c r="O1929" s="95">
        <v>0.42</v>
      </c>
      <c r="P1929" s="95">
        <v>0.15</v>
      </c>
      <c r="Q1929" s="95">
        <v>0.03</v>
      </c>
      <c r="R1929" s="96">
        <v>0</v>
      </c>
    </row>
    <row r="1930" spans="1:18" ht="15" hidden="1" customHeight="1" x14ac:dyDescent="0.3">
      <c r="A1930" s="89">
        <v>2023</v>
      </c>
      <c r="B1930" s="90">
        <v>3</v>
      </c>
      <c r="C1930" s="90" t="s">
        <v>724</v>
      </c>
      <c r="D1930" s="90" t="s">
        <v>719</v>
      </c>
      <c r="E1930" s="91" t="s">
        <v>11</v>
      </c>
      <c r="F1930" s="92" t="s">
        <v>34</v>
      </c>
      <c r="G1930" s="93">
        <v>140967.32</v>
      </c>
      <c r="H1930" s="93">
        <v>300981.06</v>
      </c>
      <c r="I1930" s="93">
        <v>2397.5457928860201</v>
      </c>
      <c r="J1930" s="93">
        <v>21428.799999999999</v>
      </c>
      <c r="K1930" s="93">
        <v>778.32</v>
      </c>
      <c r="L1930" s="93">
        <v>33551.980000000003</v>
      </c>
      <c r="M1930" s="93">
        <v>713628.98</v>
      </c>
      <c r="N1930" s="95">
        <v>0.21</v>
      </c>
      <c r="O1930" s="95">
        <v>0.44</v>
      </c>
      <c r="P1930" s="95">
        <v>0.32</v>
      </c>
      <c r="Q1930" s="95">
        <v>0.03</v>
      </c>
      <c r="R1930" s="96">
        <v>0</v>
      </c>
    </row>
    <row r="1931" spans="1:18" ht="15" hidden="1" customHeight="1" x14ac:dyDescent="0.3">
      <c r="A1931" s="89">
        <v>2023</v>
      </c>
      <c r="B1931" s="90">
        <v>3</v>
      </c>
      <c r="C1931" s="90" t="s">
        <v>724</v>
      </c>
      <c r="D1931" s="90" t="s">
        <v>719</v>
      </c>
      <c r="E1931" s="91" t="s">
        <v>11</v>
      </c>
      <c r="F1931" s="92" t="s">
        <v>35</v>
      </c>
      <c r="G1931" s="93">
        <v>36418.93</v>
      </c>
      <c r="H1931" s="93">
        <v>73740.86</v>
      </c>
      <c r="I1931" s="93">
        <v>2397.5457928860201</v>
      </c>
      <c r="J1931" s="93">
        <v>109511.12</v>
      </c>
      <c r="K1931" s="93">
        <v>6857.92</v>
      </c>
      <c r="L1931" s="93">
        <v>236038.06</v>
      </c>
      <c r="M1931" s="93">
        <v>605861.19999999995</v>
      </c>
      <c r="N1931" s="95">
        <v>0.1</v>
      </c>
      <c r="O1931" s="95">
        <v>0.2</v>
      </c>
      <c r="P1931" s="95">
        <v>0.39</v>
      </c>
      <c r="Q1931" s="95">
        <v>0.3</v>
      </c>
      <c r="R1931" s="96">
        <v>0.02</v>
      </c>
    </row>
    <row r="1932" spans="1:18" ht="15" hidden="1" customHeight="1" x14ac:dyDescent="0.3">
      <c r="A1932" s="89">
        <v>2023</v>
      </c>
      <c r="B1932" s="90">
        <v>3</v>
      </c>
      <c r="C1932" s="90" t="s">
        <v>724</v>
      </c>
      <c r="D1932" s="90" t="s">
        <v>719</v>
      </c>
      <c r="E1932" s="91" t="s">
        <v>11</v>
      </c>
      <c r="F1932" s="92" t="s">
        <v>36</v>
      </c>
      <c r="G1932" s="93">
        <v>14511.49</v>
      </c>
      <c r="H1932" s="93">
        <v>80534.2</v>
      </c>
      <c r="I1932" s="93">
        <v>2397.5457928860201</v>
      </c>
      <c r="J1932" s="93">
        <v>15534.82</v>
      </c>
      <c r="K1932" s="93">
        <v>11.03</v>
      </c>
      <c r="L1932" s="93">
        <v>32483.35</v>
      </c>
      <c r="M1932" s="93">
        <v>258886.74</v>
      </c>
      <c r="N1932" s="95">
        <v>0.06</v>
      </c>
      <c r="O1932" s="95">
        <v>0.36</v>
      </c>
      <c r="P1932" s="95">
        <v>0.51</v>
      </c>
      <c r="Q1932" s="95">
        <v>7.0000000000000007E-2</v>
      </c>
      <c r="R1932" s="96">
        <v>0</v>
      </c>
    </row>
    <row r="1933" spans="1:18" ht="15" hidden="1" customHeight="1" x14ac:dyDescent="0.3">
      <c r="A1933" s="89">
        <v>2023</v>
      </c>
      <c r="B1933" s="90">
        <v>3</v>
      </c>
      <c r="C1933" s="90" t="s">
        <v>724</v>
      </c>
      <c r="D1933" s="90" t="s">
        <v>719</v>
      </c>
      <c r="E1933" s="91" t="s">
        <v>11</v>
      </c>
      <c r="F1933" s="92" t="s">
        <v>37</v>
      </c>
      <c r="G1933" s="93">
        <v>75336.679999999993</v>
      </c>
      <c r="H1933" s="93">
        <v>165460.9</v>
      </c>
      <c r="I1933" s="93">
        <v>2397.5457928860201</v>
      </c>
      <c r="J1933" s="93">
        <v>14889.13</v>
      </c>
      <c r="K1933" s="93">
        <v>276.05</v>
      </c>
      <c r="L1933" s="93">
        <v>140975.34</v>
      </c>
      <c r="M1933" s="93">
        <v>524074.32</v>
      </c>
      <c r="N1933" s="95">
        <v>0.2</v>
      </c>
      <c r="O1933" s="95">
        <v>0.43</v>
      </c>
      <c r="P1933" s="95">
        <v>0.33</v>
      </c>
      <c r="Q1933" s="95">
        <v>0.04</v>
      </c>
      <c r="R1933" s="96">
        <v>0</v>
      </c>
    </row>
    <row r="1934" spans="1:18" ht="15" hidden="1" customHeight="1" x14ac:dyDescent="0.3">
      <c r="A1934" s="89">
        <v>2023</v>
      </c>
      <c r="B1934" s="90">
        <v>3</v>
      </c>
      <c r="C1934" s="90" t="s">
        <v>724</v>
      </c>
      <c r="D1934" s="90" t="s">
        <v>719</v>
      </c>
      <c r="E1934" s="91" t="s">
        <v>11</v>
      </c>
      <c r="F1934" s="92" t="s">
        <v>38</v>
      </c>
      <c r="G1934" s="93">
        <v>150666.06</v>
      </c>
      <c r="H1934" s="93">
        <v>220987.96</v>
      </c>
      <c r="I1934" s="93">
        <v>2397.5457928860201</v>
      </c>
      <c r="J1934" s="93">
        <v>95910.47</v>
      </c>
      <c r="K1934" s="93">
        <v>7777.83</v>
      </c>
      <c r="L1934" s="93">
        <v>164441.87</v>
      </c>
      <c r="M1934" s="93">
        <v>927959.02</v>
      </c>
      <c r="N1934" s="95">
        <v>0.2</v>
      </c>
      <c r="O1934" s="95">
        <v>0.28999999999999998</v>
      </c>
      <c r="P1934" s="95">
        <v>0.38</v>
      </c>
      <c r="Q1934" s="95">
        <v>0.13</v>
      </c>
      <c r="R1934" s="96">
        <v>0.01</v>
      </c>
    </row>
    <row r="1935" spans="1:18" ht="15" hidden="1" customHeight="1" x14ac:dyDescent="0.3">
      <c r="A1935" s="89">
        <v>2023</v>
      </c>
      <c r="B1935" s="90">
        <v>3</v>
      </c>
      <c r="C1935" s="90" t="s">
        <v>724</v>
      </c>
      <c r="D1935" s="90" t="s">
        <v>719</v>
      </c>
      <c r="E1935" s="91" t="s">
        <v>11</v>
      </c>
      <c r="F1935" s="92" t="s">
        <v>39</v>
      </c>
      <c r="G1935" s="93">
        <v>48005.06</v>
      </c>
      <c r="H1935" s="93">
        <v>152203.04</v>
      </c>
      <c r="I1935" s="93">
        <v>2397.5457928860201</v>
      </c>
      <c r="J1935" s="93">
        <v>14371.82</v>
      </c>
      <c r="K1935" s="93">
        <v>77.69</v>
      </c>
      <c r="L1935" s="93">
        <v>22194.18</v>
      </c>
      <c r="M1935" s="93">
        <v>331195.63</v>
      </c>
      <c r="N1935" s="95">
        <v>0.16</v>
      </c>
      <c r="O1935" s="95">
        <v>0.49</v>
      </c>
      <c r="P1935" s="95">
        <v>0.31</v>
      </c>
      <c r="Q1935" s="95">
        <v>0.05</v>
      </c>
      <c r="R1935" s="96">
        <v>0</v>
      </c>
    </row>
    <row r="1936" spans="1:18" ht="15" hidden="1" customHeight="1" x14ac:dyDescent="0.3">
      <c r="A1936" s="89">
        <v>2023</v>
      </c>
      <c r="B1936" s="90">
        <v>3</v>
      </c>
      <c r="C1936" s="90" t="s">
        <v>724</v>
      </c>
      <c r="D1936" s="90" t="s">
        <v>719</v>
      </c>
      <c r="E1936" s="91" t="s">
        <v>11</v>
      </c>
      <c r="F1936" s="92" t="s">
        <v>40</v>
      </c>
      <c r="G1936" s="93">
        <v>61168.4</v>
      </c>
      <c r="H1936" s="93">
        <v>135016.07</v>
      </c>
      <c r="I1936" s="93">
        <v>2397.5457928860201</v>
      </c>
      <c r="J1936" s="93">
        <v>21763.9</v>
      </c>
      <c r="K1936" s="93">
        <v>495.84</v>
      </c>
      <c r="L1936" s="93">
        <v>4962.3900000000003</v>
      </c>
      <c r="M1936" s="93">
        <v>326305.03999999998</v>
      </c>
      <c r="N1936" s="95">
        <v>0.19</v>
      </c>
      <c r="O1936" s="95">
        <v>0.42</v>
      </c>
      <c r="P1936" s="95">
        <v>0.32</v>
      </c>
      <c r="Q1936" s="95">
        <v>7.0000000000000007E-2</v>
      </c>
      <c r="R1936" s="96">
        <v>0</v>
      </c>
    </row>
    <row r="1937" spans="1:18" ht="15" hidden="1" customHeight="1" x14ac:dyDescent="0.3">
      <c r="A1937" s="89">
        <v>2023</v>
      </c>
      <c r="B1937" s="90">
        <v>3</v>
      </c>
      <c r="C1937" s="90" t="s">
        <v>724</v>
      </c>
      <c r="D1937" s="90" t="s">
        <v>719</v>
      </c>
      <c r="E1937" s="91" t="s">
        <v>11</v>
      </c>
      <c r="F1937" s="92" t="s">
        <v>41</v>
      </c>
      <c r="G1937" s="93">
        <v>16920.990000000002</v>
      </c>
      <c r="H1937" s="93">
        <v>885.61</v>
      </c>
      <c r="I1937" s="93">
        <v>2397.5457928860201</v>
      </c>
      <c r="J1937" s="93">
        <v>129.87</v>
      </c>
      <c r="K1937" s="93">
        <v>7.08</v>
      </c>
      <c r="L1937" s="93">
        <v>560.01</v>
      </c>
      <c r="M1937" s="93">
        <v>18714.330000000002</v>
      </c>
      <c r="N1937" s="95">
        <v>0.93</v>
      </c>
      <c r="O1937" s="95">
        <v>0.05</v>
      </c>
      <c r="P1937" s="95">
        <v>0.01</v>
      </c>
      <c r="Q1937" s="95">
        <v>0.01</v>
      </c>
      <c r="R1937" s="96">
        <v>0</v>
      </c>
    </row>
    <row r="1938" spans="1:18" ht="15" hidden="1" customHeight="1" x14ac:dyDescent="0.3">
      <c r="A1938" s="89">
        <v>2023</v>
      </c>
      <c r="B1938" s="90">
        <v>3</v>
      </c>
      <c r="C1938" s="90" t="s">
        <v>724</v>
      </c>
      <c r="D1938" s="90" t="s">
        <v>719</v>
      </c>
      <c r="E1938" s="91" t="s">
        <v>11</v>
      </c>
      <c r="F1938" s="92" t="s">
        <v>42</v>
      </c>
      <c r="G1938" s="93">
        <v>89784.77</v>
      </c>
      <c r="H1938" s="93">
        <v>279643.25</v>
      </c>
      <c r="I1938" s="93">
        <v>2397.5457928860201</v>
      </c>
      <c r="J1938" s="93">
        <v>15499.1</v>
      </c>
      <c r="K1938" s="93">
        <v>208.52</v>
      </c>
      <c r="L1938" s="93">
        <v>91707.07</v>
      </c>
      <c r="M1938" s="93">
        <v>620824.21</v>
      </c>
      <c r="N1938" s="95">
        <v>0.17</v>
      </c>
      <c r="O1938" s="95">
        <v>0.53</v>
      </c>
      <c r="P1938" s="95">
        <v>0.27</v>
      </c>
      <c r="Q1938" s="95">
        <v>0.03</v>
      </c>
      <c r="R1938" s="96">
        <v>0</v>
      </c>
    </row>
    <row r="1939" spans="1:18" ht="15" hidden="1" customHeight="1" x14ac:dyDescent="0.3">
      <c r="A1939" s="89">
        <v>2023</v>
      </c>
      <c r="B1939" s="90">
        <v>3</v>
      </c>
      <c r="C1939" s="90" t="s">
        <v>724</v>
      </c>
      <c r="D1939" s="90" t="s">
        <v>719</v>
      </c>
      <c r="E1939" s="91" t="s">
        <v>11</v>
      </c>
      <c r="F1939" s="92" t="s">
        <v>43</v>
      </c>
      <c r="G1939" s="93">
        <v>19473.669999999998</v>
      </c>
      <c r="H1939" s="93">
        <v>30328.46</v>
      </c>
      <c r="I1939" s="93">
        <v>2397.5457928860201</v>
      </c>
      <c r="J1939" s="93">
        <v>5178.93</v>
      </c>
      <c r="K1939" s="93">
        <v>103.72</v>
      </c>
      <c r="L1939" s="93">
        <v>114995.56</v>
      </c>
      <c r="M1939" s="93">
        <v>185575.52</v>
      </c>
      <c r="N1939" s="95">
        <v>0.28000000000000003</v>
      </c>
      <c r="O1939" s="95">
        <v>0.43</v>
      </c>
      <c r="P1939" s="95">
        <v>0.22</v>
      </c>
      <c r="Q1939" s="95">
        <v>7.0000000000000007E-2</v>
      </c>
      <c r="R1939" s="96">
        <v>0</v>
      </c>
    </row>
    <row r="1940" spans="1:18" ht="15" hidden="1" customHeight="1" x14ac:dyDescent="0.3">
      <c r="A1940" s="89">
        <v>2023</v>
      </c>
      <c r="B1940" s="90">
        <v>3</v>
      </c>
      <c r="C1940" s="90" t="s">
        <v>724</v>
      </c>
      <c r="D1940" s="90" t="s">
        <v>719</v>
      </c>
      <c r="E1940" s="91" t="s">
        <v>11</v>
      </c>
      <c r="F1940" s="92" t="s">
        <v>58</v>
      </c>
      <c r="G1940" s="93">
        <v>116386.5</v>
      </c>
      <c r="H1940" s="93">
        <v>147126.95000000001</v>
      </c>
      <c r="I1940" s="93">
        <v>2397.5457928860201</v>
      </c>
      <c r="J1940" s="93">
        <v>11115.01</v>
      </c>
      <c r="K1940" s="93">
        <v>251.33</v>
      </c>
      <c r="L1940" s="93">
        <v>4049.86</v>
      </c>
      <c r="M1940" s="93">
        <v>371477.13</v>
      </c>
      <c r="N1940" s="95">
        <v>0.32</v>
      </c>
      <c r="O1940" s="95">
        <v>0.4</v>
      </c>
      <c r="P1940" s="95">
        <v>0.25</v>
      </c>
      <c r="Q1940" s="95">
        <v>0.03</v>
      </c>
      <c r="R1940" s="96">
        <v>0</v>
      </c>
    </row>
    <row r="1941" spans="1:18" ht="15" hidden="1" customHeight="1" x14ac:dyDescent="0.3">
      <c r="A1941" s="89">
        <v>2023</v>
      </c>
      <c r="B1941" s="90">
        <v>3</v>
      </c>
      <c r="C1941" s="90" t="s">
        <v>724</v>
      </c>
      <c r="D1941" s="90" t="s">
        <v>719</v>
      </c>
      <c r="E1941" s="91" t="s">
        <v>11</v>
      </c>
      <c r="F1941" s="92" t="s">
        <v>44</v>
      </c>
      <c r="G1941" s="93">
        <v>20369.64</v>
      </c>
      <c r="H1941" s="93">
        <v>49500.29</v>
      </c>
      <c r="I1941" s="93">
        <v>2397.5457928860201</v>
      </c>
      <c r="J1941" s="93">
        <v>23308.83</v>
      </c>
      <c r="K1941" s="93">
        <v>306.60000000000002</v>
      </c>
      <c r="L1941" s="93">
        <v>38968.29</v>
      </c>
      <c r="M1941" s="93">
        <v>215729.36</v>
      </c>
      <c r="N1941" s="95">
        <v>0.12</v>
      </c>
      <c r="O1941" s="95">
        <v>0.28000000000000003</v>
      </c>
      <c r="P1941" s="95">
        <v>0.47</v>
      </c>
      <c r="Q1941" s="95">
        <v>0.13</v>
      </c>
      <c r="R1941" s="96">
        <v>0</v>
      </c>
    </row>
    <row r="1942" spans="1:18" ht="15" hidden="1" customHeight="1" x14ac:dyDescent="0.3">
      <c r="A1942" s="89">
        <v>2023</v>
      </c>
      <c r="B1942" s="90">
        <v>3</v>
      </c>
      <c r="C1942" s="90" t="s">
        <v>724</v>
      </c>
      <c r="D1942" s="90" t="s">
        <v>719</v>
      </c>
      <c r="E1942" s="91" t="s">
        <v>11</v>
      </c>
      <c r="F1942" s="92" t="s">
        <v>51</v>
      </c>
      <c r="G1942" s="93">
        <v>10869.49</v>
      </c>
      <c r="H1942" s="93">
        <v>38632.589999999997</v>
      </c>
      <c r="I1942" s="93">
        <v>2397.5457928860201</v>
      </c>
      <c r="J1942" s="93">
        <v>66531.850000000006</v>
      </c>
      <c r="K1942" s="93">
        <v>17133.3</v>
      </c>
      <c r="L1942" s="93">
        <v>519.55999999999995</v>
      </c>
      <c r="M1942" s="93">
        <v>211202.48</v>
      </c>
      <c r="N1942" s="95">
        <v>0.05</v>
      </c>
      <c r="O1942" s="95">
        <v>0.18</v>
      </c>
      <c r="P1942" s="95">
        <v>0.37</v>
      </c>
      <c r="Q1942" s="95">
        <v>0.32</v>
      </c>
      <c r="R1942" s="96">
        <v>0.08</v>
      </c>
    </row>
    <row r="1943" spans="1:18" ht="15" hidden="1" customHeight="1" x14ac:dyDescent="0.3">
      <c r="A1943" s="89">
        <v>2023</v>
      </c>
      <c r="B1943" s="90">
        <v>3</v>
      </c>
      <c r="C1943" s="90" t="s">
        <v>724</v>
      </c>
      <c r="D1943" s="90" t="s">
        <v>719</v>
      </c>
      <c r="E1943" s="91" t="s">
        <v>11</v>
      </c>
      <c r="F1943" s="92" t="s">
        <v>45</v>
      </c>
      <c r="G1943" s="93">
        <v>9182.65</v>
      </c>
      <c r="H1943" s="93">
        <v>21161.25</v>
      </c>
      <c r="I1943" s="93">
        <v>2397.5457928860201</v>
      </c>
      <c r="J1943" s="93">
        <v>16625.59</v>
      </c>
      <c r="K1943" s="93">
        <v>828.97</v>
      </c>
      <c r="L1943" s="93">
        <v>48151.71</v>
      </c>
      <c r="M1943" s="93">
        <v>134096.20000000001</v>
      </c>
      <c r="N1943" s="95">
        <v>0.11</v>
      </c>
      <c r="O1943" s="95">
        <v>0.25</v>
      </c>
      <c r="P1943" s="95">
        <v>0.44</v>
      </c>
      <c r="Q1943" s="95">
        <v>0.19</v>
      </c>
      <c r="R1943" s="96">
        <v>0.01</v>
      </c>
    </row>
    <row r="1944" spans="1:18" ht="15" hidden="1" customHeight="1" x14ac:dyDescent="0.3">
      <c r="A1944" s="89">
        <v>2023</v>
      </c>
      <c r="B1944" s="90">
        <v>3</v>
      </c>
      <c r="C1944" s="90" t="s">
        <v>724</v>
      </c>
      <c r="D1944" s="90" t="s">
        <v>719</v>
      </c>
      <c r="E1944" s="91" t="s">
        <v>11</v>
      </c>
      <c r="F1944" s="92" t="s">
        <v>721</v>
      </c>
      <c r="G1944" s="93">
        <v>98049.37</v>
      </c>
      <c r="H1944" s="93">
        <v>149201.35999999999</v>
      </c>
      <c r="I1944" s="93">
        <v>2397.5457928860201</v>
      </c>
      <c r="J1944" s="93">
        <v>13385.67</v>
      </c>
      <c r="K1944" s="93">
        <v>290.08</v>
      </c>
      <c r="L1944" s="93">
        <v>4.34</v>
      </c>
      <c r="M1944" s="93">
        <v>309330.63</v>
      </c>
      <c r="N1944" s="95">
        <v>0.32</v>
      </c>
      <c r="O1944" s="95">
        <v>0.48</v>
      </c>
      <c r="P1944" s="95">
        <v>0.16</v>
      </c>
      <c r="Q1944" s="95">
        <v>0.04</v>
      </c>
      <c r="R1944" s="96">
        <v>0</v>
      </c>
    </row>
    <row r="1945" spans="1:18" ht="15" hidden="1" customHeight="1" x14ac:dyDescent="0.3">
      <c r="A1945" s="89">
        <v>2023</v>
      </c>
      <c r="B1945" s="90">
        <v>3</v>
      </c>
      <c r="C1945" s="90" t="s">
        <v>724</v>
      </c>
      <c r="D1945" s="90" t="s">
        <v>719</v>
      </c>
      <c r="E1945" s="91" t="s">
        <v>11</v>
      </c>
      <c r="F1945" s="92" t="s">
        <v>46</v>
      </c>
      <c r="G1945" s="93">
        <v>24920.95</v>
      </c>
      <c r="H1945" s="93">
        <v>55595.67</v>
      </c>
      <c r="I1945" s="93">
        <v>2397.5457928860201</v>
      </c>
      <c r="J1945" s="93">
        <v>10653.1</v>
      </c>
      <c r="K1945" s="93">
        <v>1675.38</v>
      </c>
      <c r="L1945" s="93">
        <v>851.85</v>
      </c>
      <c r="M1945" s="93">
        <v>149074.81</v>
      </c>
      <c r="N1945" s="95">
        <v>0.17</v>
      </c>
      <c r="O1945" s="95">
        <v>0.38</v>
      </c>
      <c r="P1945" s="95">
        <v>0.37</v>
      </c>
      <c r="Q1945" s="95">
        <v>7.0000000000000007E-2</v>
      </c>
      <c r="R1945" s="96">
        <v>0.01</v>
      </c>
    </row>
    <row r="1946" spans="1:18" ht="15" hidden="1" customHeight="1" x14ac:dyDescent="0.3">
      <c r="A1946" s="89">
        <v>2023</v>
      </c>
      <c r="B1946" s="90">
        <v>3</v>
      </c>
      <c r="C1946" s="90" t="s">
        <v>724</v>
      </c>
      <c r="D1946" s="90" t="s">
        <v>719</v>
      </c>
      <c r="E1946" s="91" t="s">
        <v>11</v>
      </c>
      <c r="F1946" s="92" t="s">
        <v>47</v>
      </c>
      <c r="G1946" s="93">
        <v>19387.009999999998</v>
      </c>
      <c r="H1946" s="93">
        <v>104704.65</v>
      </c>
      <c r="I1946" s="93">
        <v>2397.5457928860201</v>
      </c>
      <c r="J1946" s="93">
        <v>546924.9</v>
      </c>
      <c r="K1946" s="93">
        <v>150198.88</v>
      </c>
      <c r="L1946" s="93">
        <v>112898.32</v>
      </c>
      <c r="M1946" s="93">
        <v>1461770.89</v>
      </c>
      <c r="N1946" s="95">
        <v>0.01</v>
      </c>
      <c r="O1946" s="95">
        <v>0.08</v>
      </c>
      <c r="P1946" s="95">
        <v>0.39</v>
      </c>
      <c r="Q1946" s="95">
        <v>0.41</v>
      </c>
      <c r="R1946" s="96">
        <v>0.11</v>
      </c>
    </row>
    <row r="1947" spans="1:18" ht="15" hidden="1" customHeight="1" x14ac:dyDescent="0.3">
      <c r="A1947" s="89">
        <v>2023</v>
      </c>
      <c r="B1947" s="90">
        <v>3</v>
      </c>
      <c r="C1947" s="90" t="s">
        <v>724</v>
      </c>
      <c r="D1947" s="90" t="s">
        <v>719</v>
      </c>
      <c r="E1947" s="91" t="s">
        <v>11</v>
      </c>
      <c r="F1947" s="92" t="s">
        <v>48</v>
      </c>
      <c r="G1947" s="93">
        <v>12268.49</v>
      </c>
      <c r="H1947" s="93">
        <v>42618.17</v>
      </c>
      <c r="I1947" s="93">
        <v>2397.5457928860201</v>
      </c>
      <c r="J1947" s="93">
        <v>6653.73</v>
      </c>
      <c r="K1947" s="93">
        <v>214.21</v>
      </c>
      <c r="L1947" s="93">
        <v>8485.93</v>
      </c>
      <c r="M1947" s="93">
        <v>110314.47</v>
      </c>
      <c r="N1947" s="95">
        <v>0.12</v>
      </c>
      <c r="O1947" s="95">
        <v>0.42</v>
      </c>
      <c r="P1947" s="95">
        <v>0.39</v>
      </c>
      <c r="Q1947" s="95">
        <v>7.0000000000000007E-2</v>
      </c>
      <c r="R1947" s="96">
        <v>0</v>
      </c>
    </row>
    <row r="1948" spans="1:18" ht="15" hidden="1" customHeight="1" x14ac:dyDescent="0.3">
      <c r="A1948" s="89">
        <v>2023</v>
      </c>
      <c r="B1948" s="90">
        <v>3</v>
      </c>
      <c r="C1948" s="90" t="s">
        <v>724</v>
      </c>
      <c r="D1948" s="90" t="s">
        <v>722</v>
      </c>
      <c r="E1948" s="91" t="s">
        <v>11</v>
      </c>
      <c r="F1948" s="92" t="s">
        <v>12</v>
      </c>
      <c r="G1948" s="93">
        <v>17287.59</v>
      </c>
      <c r="H1948" s="93">
        <v>57487.49</v>
      </c>
      <c r="I1948" s="93">
        <v>2397.5457928860201</v>
      </c>
      <c r="J1948" s="93">
        <v>117644.77</v>
      </c>
      <c r="K1948" s="93">
        <v>4615.8100000000004</v>
      </c>
      <c r="L1948" s="93">
        <v>66207.56</v>
      </c>
      <c r="M1948" s="93">
        <v>433311.44</v>
      </c>
      <c r="N1948" s="95">
        <v>0.05</v>
      </c>
      <c r="O1948" s="95">
        <v>0.16</v>
      </c>
      <c r="P1948" s="95">
        <v>0.46</v>
      </c>
      <c r="Q1948" s="95">
        <v>0.32</v>
      </c>
      <c r="R1948" s="96">
        <v>0.01</v>
      </c>
    </row>
    <row r="1949" spans="1:18" ht="15" hidden="1" customHeight="1" x14ac:dyDescent="0.3">
      <c r="A1949" s="89">
        <v>2023</v>
      </c>
      <c r="B1949" s="90">
        <v>3</v>
      </c>
      <c r="C1949" s="90" t="s">
        <v>724</v>
      </c>
      <c r="D1949" s="90" t="s">
        <v>722</v>
      </c>
      <c r="E1949" s="91" t="s">
        <v>11</v>
      </c>
      <c r="F1949" s="92" t="s">
        <v>26</v>
      </c>
      <c r="G1949" s="93">
        <v>140349.88</v>
      </c>
      <c r="H1949" s="93">
        <v>205726.43</v>
      </c>
      <c r="I1949" s="93">
        <v>2397.5457928860201</v>
      </c>
      <c r="J1949" s="93">
        <v>266066.86</v>
      </c>
      <c r="K1949" s="93">
        <v>60639.57</v>
      </c>
      <c r="L1949" s="93">
        <v>341677.36</v>
      </c>
      <c r="M1949" s="93">
        <v>1302393.77</v>
      </c>
      <c r="N1949" s="95">
        <v>0.15</v>
      </c>
      <c r="O1949" s="95">
        <v>0.21</v>
      </c>
      <c r="P1949" s="95">
        <v>0.3</v>
      </c>
      <c r="Q1949" s="95">
        <v>0.28000000000000003</v>
      </c>
      <c r="R1949" s="96">
        <v>0.06</v>
      </c>
    </row>
    <row r="1950" spans="1:18" ht="15" hidden="1" customHeight="1" x14ac:dyDescent="0.3">
      <c r="A1950" s="89">
        <v>2023</v>
      </c>
      <c r="B1950" s="90">
        <v>3</v>
      </c>
      <c r="C1950" s="90" t="s">
        <v>724</v>
      </c>
      <c r="D1950" s="90" t="s">
        <v>722</v>
      </c>
      <c r="E1950" s="91" t="s">
        <v>11</v>
      </c>
      <c r="F1950" s="92" t="s">
        <v>27</v>
      </c>
      <c r="G1950" s="93">
        <v>64092.12</v>
      </c>
      <c r="H1950" s="93">
        <v>132484.07</v>
      </c>
      <c r="I1950" s="93">
        <v>2397.5457928860201</v>
      </c>
      <c r="J1950" s="93">
        <v>2053.4899999999998</v>
      </c>
      <c r="K1950" s="93">
        <v>70.66</v>
      </c>
      <c r="L1950" s="93">
        <v>5895.45</v>
      </c>
      <c r="M1950" s="93">
        <v>226689.38</v>
      </c>
      <c r="N1950" s="95">
        <v>0.28999999999999998</v>
      </c>
      <c r="O1950" s="95">
        <v>0.6</v>
      </c>
      <c r="P1950" s="95">
        <v>0.1</v>
      </c>
      <c r="Q1950" s="95">
        <v>0.01</v>
      </c>
      <c r="R1950" s="96">
        <v>0</v>
      </c>
    </row>
    <row r="1951" spans="1:18" ht="15" hidden="1" customHeight="1" x14ac:dyDescent="0.3">
      <c r="A1951" s="89">
        <v>2023</v>
      </c>
      <c r="B1951" s="90">
        <v>3</v>
      </c>
      <c r="C1951" s="90" t="s">
        <v>724</v>
      </c>
      <c r="D1951" s="90" t="s">
        <v>722</v>
      </c>
      <c r="E1951" s="91" t="s">
        <v>11</v>
      </c>
      <c r="F1951" s="92" t="s">
        <v>28</v>
      </c>
      <c r="G1951" s="93">
        <v>27614.12</v>
      </c>
      <c r="H1951" s="93">
        <v>110780.05</v>
      </c>
      <c r="I1951" s="93">
        <v>2397.5457928860201</v>
      </c>
      <c r="J1951" s="93">
        <v>63099.54</v>
      </c>
      <c r="K1951" s="93">
        <v>967.18</v>
      </c>
      <c r="L1951" s="93">
        <v>4535.18</v>
      </c>
      <c r="M1951" s="93">
        <v>373104.4</v>
      </c>
      <c r="N1951" s="95">
        <v>7.0000000000000007E-2</v>
      </c>
      <c r="O1951" s="95">
        <v>0.3</v>
      </c>
      <c r="P1951" s="95">
        <v>0.45</v>
      </c>
      <c r="Q1951" s="95">
        <v>0.17</v>
      </c>
      <c r="R1951" s="96">
        <v>0</v>
      </c>
    </row>
    <row r="1952" spans="1:18" ht="15" customHeight="1" x14ac:dyDescent="0.3">
      <c r="A1952" s="89">
        <v>2023</v>
      </c>
      <c r="B1952" s="90">
        <v>3</v>
      </c>
      <c r="C1952" s="90" t="s">
        <v>724</v>
      </c>
      <c r="D1952" s="90" t="s">
        <v>722</v>
      </c>
      <c r="E1952" s="91" t="s">
        <v>11</v>
      </c>
      <c r="F1952" s="92" t="s">
        <v>29</v>
      </c>
      <c r="G1952" s="93">
        <v>48850.25</v>
      </c>
      <c r="H1952" s="93">
        <v>103132.43</v>
      </c>
      <c r="I1952" s="93">
        <v>2397.5457928860201</v>
      </c>
      <c r="J1952" s="93">
        <v>28422.78</v>
      </c>
      <c r="K1952" s="93">
        <v>12103.84</v>
      </c>
      <c r="L1952" s="93">
        <v>96849.09</v>
      </c>
      <c r="M1952" s="93">
        <v>354391.76</v>
      </c>
      <c r="N1952" s="95">
        <v>0.19</v>
      </c>
      <c r="O1952" s="95">
        <v>0.4</v>
      </c>
      <c r="P1952" s="95">
        <v>0.25</v>
      </c>
      <c r="Q1952" s="95">
        <v>0.11</v>
      </c>
      <c r="R1952" s="96">
        <v>0.05</v>
      </c>
    </row>
    <row r="1953" spans="1:18" ht="15" hidden="1" customHeight="1" x14ac:dyDescent="0.3">
      <c r="A1953" s="89">
        <v>2023</v>
      </c>
      <c r="B1953" s="90">
        <v>3</v>
      </c>
      <c r="C1953" s="90" t="s">
        <v>724</v>
      </c>
      <c r="D1953" s="90" t="s">
        <v>722</v>
      </c>
      <c r="E1953" s="91" t="s">
        <v>11</v>
      </c>
      <c r="F1953" s="92" t="s">
        <v>30</v>
      </c>
      <c r="G1953" s="93">
        <v>893.24</v>
      </c>
      <c r="H1953" s="93">
        <v>3175.57</v>
      </c>
      <c r="I1953" s="93">
        <v>2397.5457928860201</v>
      </c>
      <c r="J1953" s="93">
        <v>3281.69</v>
      </c>
      <c r="K1953" s="93">
        <v>221.21</v>
      </c>
      <c r="L1953" s="93">
        <v>215789.11</v>
      </c>
      <c r="M1953" s="93">
        <v>230086.24</v>
      </c>
      <c r="N1953" s="95">
        <v>0.06</v>
      </c>
      <c r="O1953" s="95">
        <v>0.22</v>
      </c>
      <c r="P1953" s="95">
        <v>0.47</v>
      </c>
      <c r="Q1953" s="95">
        <v>0.23</v>
      </c>
      <c r="R1953" s="96">
        <v>0.02</v>
      </c>
    </row>
    <row r="1954" spans="1:18" ht="15" hidden="1" customHeight="1" x14ac:dyDescent="0.3">
      <c r="A1954" s="89">
        <v>2023</v>
      </c>
      <c r="B1954" s="90">
        <v>3</v>
      </c>
      <c r="C1954" s="90" t="s">
        <v>724</v>
      </c>
      <c r="D1954" s="90" t="s">
        <v>722</v>
      </c>
      <c r="E1954" s="91" t="s">
        <v>11</v>
      </c>
      <c r="F1954" s="92" t="s">
        <v>31</v>
      </c>
      <c r="G1954" s="93">
        <v>3461.45</v>
      </c>
      <c r="H1954" s="93">
        <v>30539.95</v>
      </c>
      <c r="I1954" s="93">
        <v>2397.5457928860201</v>
      </c>
      <c r="J1954" s="93">
        <v>85254.45</v>
      </c>
      <c r="K1954" s="93">
        <v>23304.799999999999</v>
      </c>
      <c r="L1954" s="93">
        <v>44486.74</v>
      </c>
      <c r="M1954" s="93">
        <v>251948.86</v>
      </c>
      <c r="N1954" s="95">
        <v>0.02</v>
      </c>
      <c r="O1954" s="95">
        <v>0.15</v>
      </c>
      <c r="P1954" s="95">
        <v>0.31</v>
      </c>
      <c r="Q1954" s="95">
        <v>0.41</v>
      </c>
      <c r="R1954" s="96">
        <v>0.11</v>
      </c>
    </row>
    <row r="1955" spans="1:18" ht="15" hidden="1" customHeight="1" x14ac:dyDescent="0.3">
      <c r="A1955" s="89">
        <v>2023</v>
      </c>
      <c r="B1955" s="90">
        <v>3</v>
      </c>
      <c r="C1955" s="90" t="s">
        <v>724</v>
      </c>
      <c r="D1955" s="90" t="s">
        <v>722</v>
      </c>
      <c r="E1955" s="91" t="s">
        <v>11</v>
      </c>
      <c r="F1955" s="92" t="s">
        <v>32</v>
      </c>
      <c r="G1955" s="93">
        <v>13383.32</v>
      </c>
      <c r="H1955" s="93">
        <v>70895.41</v>
      </c>
      <c r="I1955" s="93">
        <v>2397.5457928860201</v>
      </c>
      <c r="J1955" s="93">
        <v>217569.58</v>
      </c>
      <c r="K1955" s="93">
        <v>131806.82</v>
      </c>
      <c r="L1955" s="93">
        <v>29945.439999999999</v>
      </c>
      <c r="M1955" s="93">
        <v>609521.87</v>
      </c>
      <c r="N1955" s="95">
        <v>0.02</v>
      </c>
      <c r="O1955" s="95">
        <v>0.12</v>
      </c>
      <c r="P1955" s="95">
        <v>0.25</v>
      </c>
      <c r="Q1955" s="95">
        <v>0.38</v>
      </c>
      <c r="R1955" s="96">
        <v>0.23</v>
      </c>
    </row>
    <row r="1956" spans="1:18" ht="15" hidden="1" customHeight="1" x14ac:dyDescent="0.3">
      <c r="A1956" s="89">
        <v>2023</v>
      </c>
      <c r="B1956" s="90">
        <v>3</v>
      </c>
      <c r="C1956" s="90" t="s">
        <v>724</v>
      </c>
      <c r="D1956" s="90" t="s">
        <v>722</v>
      </c>
      <c r="E1956" s="91" t="s">
        <v>11</v>
      </c>
      <c r="F1956" s="92" t="s">
        <v>33</v>
      </c>
      <c r="G1956" s="93">
        <v>392196.45</v>
      </c>
      <c r="H1956" s="93">
        <v>393335.32</v>
      </c>
      <c r="I1956" s="93">
        <v>2397.5457928860201</v>
      </c>
      <c r="J1956" s="93">
        <v>160013.70000000001</v>
      </c>
      <c r="K1956" s="93">
        <v>26554.34</v>
      </c>
      <c r="L1956" s="93">
        <v>67904.41</v>
      </c>
      <c r="M1956" s="93">
        <v>1352055.51</v>
      </c>
      <c r="N1956" s="95">
        <v>0.31</v>
      </c>
      <c r="O1956" s="95">
        <v>0.31</v>
      </c>
      <c r="P1956" s="95">
        <v>0.24</v>
      </c>
      <c r="Q1956" s="95">
        <v>0.12</v>
      </c>
      <c r="R1956" s="96">
        <v>0.02</v>
      </c>
    </row>
    <row r="1957" spans="1:18" ht="15" hidden="1" customHeight="1" x14ac:dyDescent="0.3">
      <c r="A1957" s="89">
        <v>2023</v>
      </c>
      <c r="B1957" s="90">
        <v>3</v>
      </c>
      <c r="C1957" s="90" t="s">
        <v>724</v>
      </c>
      <c r="D1957" s="90" t="s">
        <v>722</v>
      </c>
      <c r="E1957" s="91" t="s">
        <v>11</v>
      </c>
      <c r="F1957" s="92" t="s">
        <v>34</v>
      </c>
      <c r="G1957" s="93">
        <v>146478.79999999999</v>
      </c>
      <c r="H1957" s="93">
        <v>135120.15</v>
      </c>
      <c r="I1957" s="93">
        <v>2397.5457928860201</v>
      </c>
      <c r="J1957" s="93">
        <v>88286.34</v>
      </c>
      <c r="K1957" s="93">
        <v>31652.45</v>
      </c>
      <c r="L1957" s="93">
        <v>211148.77</v>
      </c>
      <c r="M1957" s="93">
        <v>713628.98</v>
      </c>
      <c r="N1957" s="95">
        <v>0.28999999999999998</v>
      </c>
      <c r="O1957" s="95">
        <v>0.27</v>
      </c>
      <c r="P1957" s="95">
        <v>0.2</v>
      </c>
      <c r="Q1957" s="95">
        <v>0.18</v>
      </c>
      <c r="R1957" s="96">
        <v>0.06</v>
      </c>
    </row>
    <row r="1958" spans="1:18" ht="15" hidden="1" customHeight="1" x14ac:dyDescent="0.3">
      <c r="A1958" s="89">
        <v>2023</v>
      </c>
      <c r="B1958" s="90">
        <v>3</v>
      </c>
      <c r="C1958" s="90" t="s">
        <v>724</v>
      </c>
      <c r="D1958" s="90" t="s">
        <v>722</v>
      </c>
      <c r="E1958" s="91" t="s">
        <v>11</v>
      </c>
      <c r="F1958" s="92" t="s">
        <v>35</v>
      </c>
      <c r="G1958" s="93">
        <v>17835.66</v>
      </c>
      <c r="H1958" s="93">
        <v>44019.81</v>
      </c>
      <c r="I1958" s="93">
        <v>2397.5457928860201</v>
      </c>
      <c r="J1958" s="93">
        <v>167809.88</v>
      </c>
      <c r="K1958" s="93">
        <v>18377.97</v>
      </c>
      <c r="L1958" s="93">
        <v>238100.85</v>
      </c>
      <c r="M1958" s="93">
        <v>605861.19999999995</v>
      </c>
      <c r="N1958" s="95">
        <v>0.05</v>
      </c>
      <c r="O1958" s="95">
        <v>0.12</v>
      </c>
      <c r="P1958" s="95">
        <v>0.33</v>
      </c>
      <c r="Q1958" s="95">
        <v>0.46</v>
      </c>
      <c r="R1958" s="96">
        <v>0.05</v>
      </c>
    </row>
    <row r="1959" spans="1:18" ht="15" hidden="1" customHeight="1" x14ac:dyDescent="0.3">
      <c r="A1959" s="89">
        <v>2023</v>
      </c>
      <c r="B1959" s="90">
        <v>3</v>
      </c>
      <c r="C1959" s="90" t="s">
        <v>724</v>
      </c>
      <c r="D1959" s="90" t="s">
        <v>722</v>
      </c>
      <c r="E1959" s="91" t="s">
        <v>11</v>
      </c>
      <c r="F1959" s="92" t="s">
        <v>36</v>
      </c>
      <c r="G1959" s="93">
        <v>15088.06</v>
      </c>
      <c r="H1959" s="93">
        <v>36644.04</v>
      </c>
      <c r="I1959" s="93">
        <v>2397.5457928860201</v>
      </c>
      <c r="J1959" s="93">
        <v>73583.070000000007</v>
      </c>
      <c r="K1959" s="93">
        <v>41149.18</v>
      </c>
      <c r="L1959" s="93">
        <v>50776.800000000003</v>
      </c>
      <c r="M1959" s="93">
        <v>258886.74</v>
      </c>
      <c r="N1959" s="95">
        <v>7.0000000000000007E-2</v>
      </c>
      <c r="O1959" s="95">
        <v>0.18</v>
      </c>
      <c r="P1959" s="95">
        <v>0.2</v>
      </c>
      <c r="Q1959" s="95">
        <v>0.35</v>
      </c>
      <c r="R1959" s="96">
        <v>0.2</v>
      </c>
    </row>
    <row r="1960" spans="1:18" ht="15" hidden="1" customHeight="1" x14ac:dyDescent="0.3">
      <c r="A1960" s="89">
        <v>2023</v>
      </c>
      <c r="B1960" s="90">
        <v>3</v>
      </c>
      <c r="C1960" s="90" t="s">
        <v>724</v>
      </c>
      <c r="D1960" s="90" t="s">
        <v>722</v>
      </c>
      <c r="E1960" s="91" t="s">
        <v>11</v>
      </c>
      <c r="F1960" s="92" t="s">
        <v>37</v>
      </c>
      <c r="G1960" s="93">
        <v>99567.12</v>
      </c>
      <c r="H1960" s="93">
        <v>99778.94</v>
      </c>
      <c r="I1960" s="93">
        <v>2397.5457928860201</v>
      </c>
      <c r="J1960" s="93">
        <v>62538.12</v>
      </c>
      <c r="K1960" s="93">
        <v>21958.16</v>
      </c>
      <c r="L1960" s="93">
        <v>173823.99</v>
      </c>
      <c r="M1960" s="93">
        <v>524074.32</v>
      </c>
      <c r="N1960" s="95">
        <v>0.28000000000000003</v>
      </c>
      <c r="O1960" s="95">
        <v>0.28000000000000003</v>
      </c>
      <c r="P1960" s="95">
        <v>0.19</v>
      </c>
      <c r="Q1960" s="95">
        <v>0.18</v>
      </c>
      <c r="R1960" s="96">
        <v>0.06</v>
      </c>
    </row>
    <row r="1961" spans="1:18" ht="15" hidden="1" customHeight="1" x14ac:dyDescent="0.3">
      <c r="A1961" s="89">
        <v>2023</v>
      </c>
      <c r="B1961" s="90">
        <v>3</v>
      </c>
      <c r="C1961" s="90" t="s">
        <v>724</v>
      </c>
      <c r="D1961" s="90" t="s">
        <v>722</v>
      </c>
      <c r="E1961" s="91" t="s">
        <v>11</v>
      </c>
      <c r="F1961" s="92" t="s">
        <v>720</v>
      </c>
      <c r="G1961" s="93">
        <v>103907.24</v>
      </c>
      <c r="H1961" s="93">
        <v>119268.14</v>
      </c>
      <c r="I1961" s="93">
        <v>2397.5457928860201</v>
      </c>
      <c r="J1961" s="93">
        <v>253482.17</v>
      </c>
      <c r="K1961" s="93">
        <v>41503.910000000003</v>
      </c>
      <c r="L1961" s="93">
        <v>194217.09</v>
      </c>
      <c r="M1961" s="93">
        <v>927959.02</v>
      </c>
      <c r="N1961" s="95">
        <v>0.14000000000000001</v>
      </c>
      <c r="O1961" s="95">
        <v>0.16</v>
      </c>
      <c r="P1961" s="95">
        <v>0.28999999999999998</v>
      </c>
      <c r="Q1961" s="95">
        <v>0.35</v>
      </c>
      <c r="R1961" s="96">
        <v>0.06</v>
      </c>
    </row>
    <row r="1962" spans="1:18" ht="15" hidden="1" customHeight="1" x14ac:dyDescent="0.3">
      <c r="A1962" s="89">
        <v>2023</v>
      </c>
      <c r="B1962" s="90">
        <v>3</v>
      </c>
      <c r="C1962" s="90" t="s">
        <v>724</v>
      </c>
      <c r="D1962" s="90" t="s">
        <v>722</v>
      </c>
      <c r="E1962" s="91" t="s">
        <v>11</v>
      </c>
      <c r="F1962" s="92" t="s">
        <v>39</v>
      </c>
      <c r="G1962" s="93">
        <v>37244.300000000003</v>
      </c>
      <c r="H1962" s="93">
        <v>131221.60999999999</v>
      </c>
      <c r="I1962" s="93">
        <v>2397.5457928860201</v>
      </c>
      <c r="J1962" s="93">
        <v>51064.23</v>
      </c>
      <c r="K1962" s="93">
        <v>12538.4</v>
      </c>
      <c r="L1962" s="93">
        <v>15302.07</v>
      </c>
      <c r="M1962" s="93">
        <v>331195.63</v>
      </c>
      <c r="N1962" s="95">
        <v>0.12</v>
      </c>
      <c r="O1962" s="95">
        <v>0.42</v>
      </c>
      <c r="P1962" s="95">
        <v>0.27</v>
      </c>
      <c r="Q1962" s="95">
        <v>0.16</v>
      </c>
      <c r="R1962" s="96">
        <v>0.04</v>
      </c>
    </row>
    <row r="1963" spans="1:18" ht="15" hidden="1" customHeight="1" x14ac:dyDescent="0.3">
      <c r="A1963" s="89">
        <v>2023</v>
      </c>
      <c r="B1963" s="90">
        <v>3</v>
      </c>
      <c r="C1963" s="90" t="s">
        <v>724</v>
      </c>
      <c r="D1963" s="90" t="s">
        <v>722</v>
      </c>
      <c r="E1963" s="91" t="s">
        <v>11</v>
      </c>
      <c r="F1963" s="92" t="s">
        <v>40</v>
      </c>
      <c r="G1963" s="93">
        <v>18292.34</v>
      </c>
      <c r="H1963" s="93">
        <v>51920.63</v>
      </c>
      <c r="I1963" s="93">
        <v>2397.5457928860201</v>
      </c>
      <c r="J1963" s="93">
        <v>72467.02</v>
      </c>
      <c r="K1963" s="93">
        <v>1528.29</v>
      </c>
      <c r="L1963" s="93">
        <v>46824.82</v>
      </c>
      <c r="M1963" s="93">
        <v>326305.03999999998</v>
      </c>
      <c r="N1963" s="95">
        <v>7.0000000000000007E-2</v>
      </c>
      <c r="O1963" s="95">
        <v>0.19</v>
      </c>
      <c r="P1963" s="95">
        <v>0.48</v>
      </c>
      <c r="Q1963" s="95">
        <v>0.26</v>
      </c>
      <c r="R1963" s="96">
        <v>0.01</v>
      </c>
    </row>
    <row r="1964" spans="1:18" ht="15" hidden="1" customHeight="1" x14ac:dyDescent="0.3">
      <c r="A1964" s="89">
        <v>2023</v>
      </c>
      <c r="B1964" s="90">
        <v>3</v>
      </c>
      <c r="C1964" s="90" t="s">
        <v>724</v>
      </c>
      <c r="D1964" s="90" t="s">
        <v>722</v>
      </c>
      <c r="E1964" s="91" t="s">
        <v>11</v>
      </c>
      <c r="F1964" s="92" t="s">
        <v>41</v>
      </c>
      <c r="G1964" s="93">
        <v>13237.13</v>
      </c>
      <c r="H1964" s="93">
        <v>2341.67</v>
      </c>
      <c r="I1964" s="93">
        <v>2397.5457928860201</v>
      </c>
      <c r="J1964" s="93">
        <v>116.16</v>
      </c>
      <c r="K1964" s="93">
        <v>2.71</v>
      </c>
      <c r="L1964" s="93">
        <v>2149.1999999999998</v>
      </c>
      <c r="M1964" s="93">
        <v>18714.330000000002</v>
      </c>
      <c r="N1964" s="95">
        <v>0.8</v>
      </c>
      <c r="O1964" s="95">
        <v>0.14000000000000001</v>
      </c>
      <c r="P1964" s="95">
        <v>0.05</v>
      </c>
      <c r="Q1964" s="95">
        <v>0.01</v>
      </c>
      <c r="R1964" s="96">
        <v>0</v>
      </c>
    </row>
    <row r="1965" spans="1:18" ht="15" hidden="1" customHeight="1" x14ac:dyDescent="0.3">
      <c r="A1965" s="89">
        <v>2023</v>
      </c>
      <c r="B1965" s="90">
        <v>3</v>
      </c>
      <c r="C1965" s="90" t="s">
        <v>724</v>
      </c>
      <c r="D1965" s="90" t="s">
        <v>722</v>
      </c>
      <c r="E1965" s="91" t="s">
        <v>11</v>
      </c>
      <c r="F1965" s="92" t="s">
        <v>42</v>
      </c>
      <c r="G1965" s="93">
        <v>105882.7</v>
      </c>
      <c r="H1965" s="93">
        <v>221373.01</v>
      </c>
      <c r="I1965" s="93">
        <v>2397.5457928860201</v>
      </c>
      <c r="J1965" s="93">
        <v>57706.05</v>
      </c>
      <c r="K1965" s="93">
        <v>3421.5</v>
      </c>
      <c r="L1965" s="93">
        <v>64681.91</v>
      </c>
      <c r="M1965" s="93">
        <v>620824.21</v>
      </c>
      <c r="N1965" s="95">
        <v>0.19</v>
      </c>
      <c r="O1965" s="95">
        <v>0.4</v>
      </c>
      <c r="P1965" s="95">
        <v>0.3</v>
      </c>
      <c r="Q1965" s="95">
        <v>0.1</v>
      </c>
      <c r="R1965" s="96">
        <v>0.01</v>
      </c>
    </row>
    <row r="1966" spans="1:18" ht="15" hidden="1" customHeight="1" x14ac:dyDescent="0.3">
      <c r="A1966" s="89">
        <v>2023</v>
      </c>
      <c r="B1966" s="90">
        <v>3</v>
      </c>
      <c r="C1966" s="90" t="s">
        <v>724</v>
      </c>
      <c r="D1966" s="90" t="s">
        <v>722</v>
      </c>
      <c r="E1966" s="91" t="s">
        <v>11</v>
      </c>
      <c r="F1966" s="92" t="s">
        <v>43</v>
      </c>
      <c r="G1966" s="93">
        <v>11582.85</v>
      </c>
      <c r="H1966" s="93">
        <v>29697.15</v>
      </c>
      <c r="I1966" s="93">
        <v>2397.5457928860201</v>
      </c>
      <c r="J1966" s="93">
        <v>7563.21</v>
      </c>
      <c r="K1966" s="93">
        <v>450.73</v>
      </c>
      <c r="L1966" s="93">
        <v>115403.51</v>
      </c>
      <c r="M1966" s="93">
        <v>185575.52</v>
      </c>
      <c r="N1966" s="95">
        <v>0.17</v>
      </c>
      <c r="O1966" s="95">
        <v>0.42</v>
      </c>
      <c r="P1966" s="95">
        <v>0.3</v>
      </c>
      <c r="Q1966" s="95">
        <v>0.11</v>
      </c>
      <c r="R1966" s="96">
        <v>0.01</v>
      </c>
    </row>
    <row r="1967" spans="1:18" ht="15" hidden="1" customHeight="1" x14ac:dyDescent="0.3">
      <c r="A1967" s="89">
        <v>2023</v>
      </c>
      <c r="B1967" s="90">
        <v>3</v>
      </c>
      <c r="C1967" s="90" t="s">
        <v>724</v>
      </c>
      <c r="D1967" s="90" t="s">
        <v>722</v>
      </c>
      <c r="E1967" s="91" t="s">
        <v>11</v>
      </c>
      <c r="F1967" s="92" t="s">
        <v>58</v>
      </c>
      <c r="G1967" s="93">
        <v>138908.73000000001</v>
      </c>
      <c r="H1967" s="93">
        <v>142042.19</v>
      </c>
      <c r="I1967" s="93">
        <v>2397.5457928860201</v>
      </c>
      <c r="J1967" s="93">
        <v>9886.27</v>
      </c>
      <c r="K1967" s="93">
        <v>162.37</v>
      </c>
      <c r="L1967" s="93">
        <v>7354.23</v>
      </c>
      <c r="M1967" s="93">
        <v>371477.13</v>
      </c>
      <c r="N1967" s="95">
        <v>0.38</v>
      </c>
      <c r="O1967" s="95">
        <v>0.39</v>
      </c>
      <c r="P1967" s="95">
        <v>0.2</v>
      </c>
      <c r="Q1967" s="95">
        <v>0.03</v>
      </c>
      <c r="R1967" s="96">
        <v>0</v>
      </c>
    </row>
    <row r="1968" spans="1:18" ht="15" hidden="1" customHeight="1" x14ac:dyDescent="0.3">
      <c r="A1968" s="89">
        <v>2023</v>
      </c>
      <c r="B1968" s="90">
        <v>3</v>
      </c>
      <c r="C1968" s="90" t="s">
        <v>724</v>
      </c>
      <c r="D1968" s="90" t="s">
        <v>722</v>
      </c>
      <c r="E1968" s="91" t="s">
        <v>11</v>
      </c>
      <c r="F1968" s="92" t="s">
        <v>44</v>
      </c>
      <c r="G1968" s="93">
        <v>31484.1</v>
      </c>
      <c r="H1968" s="93">
        <v>72434.25</v>
      </c>
      <c r="I1968" s="93">
        <v>2397.5457928860201</v>
      </c>
      <c r="J1968" s="93">
        <v>8524.84</v>
      </c>
      <c r="K1968" s="93">
        <v>410.83</v>
      </c>
      <c r="L1968" s="93">
        <v>45689.82</v>
      </c>
      <c r="M1968" s="93">
        <v>215729.36</v>
      </c>
      <c r="N1968" s="95">
        <v>0.19</v>
      </c>
      <c r="O1968" s="95">
        <v>0.43</v>
      </c>
      <c r="P1968" s="95">
        <v>0.34</v>
      </c>
      <c r="Q1968" s="95">
        <v>0.05</v>
      </c>
      <c r="R1968" s="96">
        <v>0</v>
      </c>
    </row>
    <row r="1969" spans="1:18" ht="15" hidden="1" customHeight="1" x14ac:dyDescent="0.3">
      <c r="A1969" s="89">
        <v>2023</v>
      </c>
      <c r="B1969" s="90">
        <v>3</v>
      </c>
      <c r="C1969" s="90" t="s">
        <v>724</v>
      </c>
      <c r="D1969" s="90" t="s">
        <v>722</v>
      </c>
      <c r="E1969" s="91" t="s">
        <v>11</v>
      </c>
      <c r="F1969" s="92" t="s">
        <v>51</v>
      </c>
      <c r="G1969" s="93">
        <v>10139.959999999999</v>
      </c>
      <c r="H1969" s="93">
        <v>20232.25</v>
      </c>
      <c r="I1969" s="93">
        <v>2397.5457928860201</v>
      </c>
      <c r="J1969" s="93">
        <v>79377.13</v>
      </c>
      <c r="K1969" s="93">
        <v>51518.1</v>
      </c>
      <c r="L1969" s="93">
        <v>640.49</v>
      </c>
      <c r="M1969" s="93">
        <v>211202.48</v>
      </c>
      <c r="N1969" s="95">
        <v>0.05</v>
      </c>
      <c r="O1969" s="95">
        <v>0.1</v>
      </c>
      <c r="P1969" s="95">
        <v>0.23</v>
      </c>
      <c r="Q1969" s="95">
        <v>0.38</v>
      </c>
      <c r="R1969" s="96">
        <v>0.24</v>
      </c>
    </row>
    <row r="1970" spans="1:18" ht="15" hidden="1" customHeight="1" x14ac:dyDescent="0.3">
      <c r="A1970" s="89">
        <v>2023</v>
      </c>
      <c r="B1970" s="90">
        <v>3</v>
      </c>
      <c r="C1970" s="90" t="s">
        <v>724</v>
      </c>
      <c r="D1970" s="90" t="s">
        <v>722</v>
      </c>
      <c r="E1970" s="91" t="s">
        <v>11</v>
      </c>
      <c r="F1970" s="92" t="s">
        <v>45</v>
      </c>
      <c r="G1970" s="93">
        <v>7594.37</v>
      </c>
      <c r="H1970" s="93">
        <v>11002.08</v>
      </c>
      <c r="I1970" s="93">
        <v>2397.5457928860201</v>
      </c>
      <c r="J1970" s="93">
        <v>20099.509999999998</v>
      </c>
      <c r="K1970" s="93">
        <v>5934.78</v>
      </c>
      <c r="L1970" s="93">
        <v>69743.070000000007</v>
      </c>
      <c r="M1970" s="93">
        <v>134096.20000000001</v>
      </c>
      <c r="N1970" s="95">
        <v>0.12</v>
      </c>
      <c r="O1970" s="95">
        <v>0.17</v>
      </c>
      <c r="P1970" s="95">
        <v>0.31</v>
      </c>
      <c r="Q1970" s="95">
        <v>0.31</v>
      </c>
      <c r="R1970" s="96">
        <v>0.09</v>
      </c>
    </row>
    <row r="1971" spans="1:18" ht="15" hidden="1" customHeight="1" x14ac:dyDescent="0.3">
      <c r="A1971" s="89">
        <v>2023</v>
      </c>
      <c r="B1971" s="90">
        <v>3</v>
      </c>
      <c r="C1971" s="90" t="s">
        <v>724</v>
      </c>
      <c r="D1971" s="90" t="s">
        <v>722</v>
      </c>
      <c r="E1971" s="91" t="s">
        <v>11</v>
      </c>
      <c r="F1971" s="92" t="s">
        <v>721</v>
      </c>
      <c r="G1971" s="93">
        <v>96755.14</v>
      </c>
      <c r="H1971" s="93">
        <v>124836.15</v>
      </c>
      <c r="I1971" s="93">
        <v>2397.5457928860201</v>
      </c>
      <c r="J1971" s="93">
        <v>18158.669999999998</v>
      </c>
      <c r="K1971" s="93">
        <v>548.61</v>
      </c>
      <c r="L1971" s="93">
        <v>104.96</v>
      </c>
      <c r="M1971" s="93">
        <v>309330.63</v>
      </c>
      <c r="N1971" s="95">
        <v>0.31</v>
      </c>
      <c r="O1971" s="95">
        <v>0.4</v>
      </c>
      <c r="P1971" s="95">
        <v>0.22</v>
      </c>
      <c r="Q1971" s="95">
        <v>0.06</v>
      </c>
      <c r="R1971" s="96">
        <v>0</v>
      </c>
    </row>
    <row r="1972" spans="1:18" ht="15" hidden="1" customHeight="1" x14ac:dyDescent="0.3">
      <c r="A1972" s="89">
        <v>2023</v>
      </c>
      <c r="B1972" s="90">
        <v>3</v>
      </c>
      <c r="C1972" s="90" t="s">
        <v>724</v>
      </c>
      <c r="D1972" s="90" t="s">
        <v>722</v>
      </c>
      <c r="E1972" s="91" t="s">
        <v>11</v>
      </c>
      <c r="F1972" s="92" t="s">
        <v>46</v>
      </c>
      <c r="G1972" s="93">
        <v>15680.4</v>
      </c>
      <c r="H1972" s="93">
        <v>59638.58</v>
      </c>
      <c r="I1972" s="93">
        <v>2397.5457928860201</v>
      </c>
      <c r="J1972" s="93">
        <v>13746.44</v>
      </c>
      <c r="K1972" s="93">
        <v>2217.09</v>
      </c>
      <c r="L1972" s="93">
        <v>1488.9</v>
      </c>
      <c r="M1972" s="93">
        <v>149074.81</v>
      </c>
      <c r="N1972" s="95">
        <v>0.11</v>
      </c>
      <c r="O1972" s="95">
        <v>0.4</v>
      </c>
      <c r="P1972" s="95">
        <v>0.38</v>
      </c>
      <c r="Q1972" s="95">
        <v>0.09</v>
      </c>
      <c r="R1972" s="96">
        <v>0.02</v>
      </c>
    </row>
    <row r="1973" spans="1:18" ht="15" hidden="1" customHeight="1" x14ac:dyDescent="0.3">
      <c r="A1973" s="89">
        <v>2023</v>
      </c>
      <c r="B1973" s="90">
        <v>3</v>
      </c>
      <c r="C1973" s="90" t="s">
        <v>724</v>
      </c>
      <c r="D1973" s="90" t="s">
        <v>722</v>
      </c>
      <c r="E1973" s="91" t="s">
        <v>11</v>
      </c>
      <c r="F1973" s="92" t="s">
        <v>47</v>
      </c>
      <c r="G1973" s="93">
        <v>45952.97</v>
      </c>
      <c r="H1973" s="93">
        <v>294399.33</v>
      </c>
      <c r="I1973" s="93">
        <v>2397.5457928860201</v>
      </c>
      <c r="J1973" s="93">
        <v>268952.40999999997</v>
      </c>
      <c r="K1973" s="93">
        <v>46557.36</v>
      </c>
      <c r="L1973" s="93">
        <v>165710.44</v>
      </c>
      <c r="M1973" s="93">
        <v>1461770.89</v>
      </c>
      <c r="N1973" s="95">
        <v>0.04</v>
      </c>
      <c r="O1973" s="95">
        <v>0.23</v>
      </c>
      <c r="P1973" s="95">
        <v>0.49</v>
      </c>
      <c r="Q1973" s="95">
        <v>0.21</v>
      </c>
      <c r="R1973" s="96">
        <v>0.04</v>
      </c>
    </row>
    <row r="1974" spans="1:18" ht="15" hidden="1" customHeight="1" x14ac:dyDescent="0.3">
      <c r="A1974" s="89">
        <v>2023</v>
      </c>
      <c r="B1974" s="90">
        <v>3</v>
      </c>
      <c r="C1974" s="90" t="s">
        <v>724</v>
      </c>
      <c r="D1974" s="90" t="s">
        <v>722</v>
      </c>
      <c r="E1974" s="91" t="s">
        <v>11</v>
      </c>
      <c r="F1974" s="92" t="s">
        <v>48</v>
      </c>
      <c r="G1974" s="93">
        <v>1350.62</v>
      </c>
      <c r="H1974" s="93">
        <v>2113.02</v>
      </c>
      <c r="I1974" s="93">
        <v>2397.5457928860201</v>
      </c>
      <c r="J1974" s="93">
        <v>32441.43</v>
      </c>
      <c r="K1974" s="93">
        <v>40492.629999999997</v>
      </c>
      <c r="L1974" s="93">
        <v>25913.599999999999</v>
      </c>
      <c r="M1974" s="93">
        <v>110314.47</v>
      </c>
      <c r="N1974" s="95">
        <v>0.02</v>
      </c>
      <c r="O1974" s="95">
        <v>0.03</v>
      </c>
      <c r="P1974" s="95">
        <v>0.09</v>
      </c>
      <c r="Q1974" s="95">
        <v>0.38</v>
      </c>
      <c r="R1974" s="96">
        <v>0.48</v>
      </c>
    </row>
    <row r="1975" spans="1:18" ht="15" hidden="1" customHeight="1" x14ac:dyDescent="0.3">
      <c r="A1975" s="89">
        <v>2023</v>
      </c>
      <c r="B1975" s="90">
        <v>4</v>
      </c>
      <c r="C1975" s="90" t="s">
        <v>725</v>
      </c>
      <c r="D1975" s="90" t="s">
        <v>719</v>
      </c>
      <c r="E1975" s="91" t="s">
        <v>11</v>
      </c>
      <c r="F1975" s="92" t="s">
        <v>12</v>
      </c>
      <c r="G1975" s="93">
        <v>26124.33</v>
      </c>
      <c r="H1975" s="93">
        <v>95608.22</v>
      </c>
      <c r="I1975" s="93">
        <v>2397.5457928860201</v>
      </c>
      <c r="J1975" s="93">
        <v>74837.83</v>
      </c>
      <c r="K1975" s="93">
        <v>3106.14</v>
      </c>
      <c r="L1975" s="93">
        <v>47973.3</v>
      </c>
      <c r="M1975" s="93">
        <v>433311.44</v>
      </c>
      <c r="N1975" s="95">
        <v>7.0000000000000007E-2</v>
      </c>
      <c r="O1975" s="95">
        <v>0.25</v>
      </c>
      <c r="P1975" s="95">
        <v>0.48</v>
      </c>
      <c r="Q1975" s="95">
        <v>0.19</v>
      </c>
      <c r="R1975" s="96">
        <v>0.01</v>
      </c>
    </row>
    <row r="1976" spans="1:18" ht="15" hidden="1" customHeight="1" x14ac:dyDescent="0.3">
      <c r="A1976" s="89">
        <v>2023</v>
      </c>
      <c r="B1976" s="90">
        <v>4</v>
      </c>
      <c r="C1976" s="90" t="s">
        <v>725</v>
      </c>
      <c r="D1976" s="90" t="s">
        <v>719</v>
      </c>
      <c r="E1976" s="91" t="s">
        <v>11</v>
      </c>
      <c r="F1976" s="92" t="s">
        <v>26</v>
      </c>
      <c r="G1976" s="93">
        <v>21858.54</v>
      </c>
      <c r="H1976" s="93">
        <v>85622.28</v>
      </c>
      <c r="I1976" s="93">
        <v>2397.5457928860201</v>
      </c>
      <c r="J1976" s="93">
        <v>476931.8</v>
      </c>
      <c r="K1976" s="93">
        <v>41620.559999999998</v>
      </c>
      <c r="L1976" s="93">
        <v>258229.86</v>
      </c>
      <c r="M1976" s="93">
        <v>1302393.77</v>
      </c>
      <c r="N1976" s="95">
        <v>0.02</v>
      </c>
      <c r="O1976" s="95">
        <v>0.08</v>
      </c>
      <c r="P1976" s="95">
        <v>0.4</v>
      </c>
      <c r="Q1976" s="95">
        <v>0.46</v>
      </c>
      <c r="R1976" s="96">
        <v>0.04</v>
      </c>
    </row>
    <row r="1977" spans="1:18" ht="15" hidden="1" customHeight="1" x14ac:dyDescent="0.3">
      <c r="A1977" s="89">
        <v>2023</v>
      </c>
      <c r="B1977" s="90">
        <v>4</v>
      </c>
      <c r="C1977" s="90" t="s">
        <v>725</v>
      </c>
      <c r="D1977" s="90" t="s">
        <v>719</v>
      </c>
      <c r="E1977" s="91" t="s">
        <v>11</v>
      </c>
      <c r="F1977" s="92" t="s">
        <v>27</v>
      </c>
      <c r="G1977" s="93">
        <v>81271.95</v>
      </c>
      <c r="H1977" s="93">
        <v>120159.12</v>
      </c>
      <c r="I1977" s="93">
        <v>2397.5457928860201</v>
      </c>
      <c r="J1977" s="93">
        <v>1803.69</v>
      </c>
      <c r="K1977" s="93">
        <v>126.81</v>
      </c>
      <c r="L1977" s="93">
        <v>7597.08</v>
      </c>
      <c r="M1977" s="93">
        <v>226689.38</v>
      </c>
      <c r="N1977" s="95">
        <v>0.37</v>
      </c>
      <c r="O1977" s="95">
        <v>0.55000000000000004</v>
      </c>
      <c r="P1977" s="95">
        <v>7.0000000000000007E-2</v>
      </c>
      <c r="Q1977" s="95">
        <v>0.01</v>
      </c>
      <c r="R1977" s="96">
        <v>0</v>
      </c>
    </row>
    <row r="1978" spans="1:18" ht="15" hidden="1" customHeight="1" x14ac:dyDescent="0.3">
      <c r="A1978" s="89">
        <v>2023</v>
      </c>
      <c r="B1978" s="90">
        <v>4</v>
      </c>
      <c r="C1978" s="90" t="s">
        <v>725</v>
      </c>
      <c r="D1978" s="90" t="s">
        <v>719</v>
      </c>
      <c r="E1978" s="91" t="s">
        <v>11</v>
      </c>
      <c r="F1978" s="92" t="s">
        <v>28</v>
      </c>
      <c r="G1978" s="93">
        <v>38883.519999999997</v>
      </c>
      <c r="H1978" s="93">
        <v>163568.01999999999</v>
      </c>
      <c r="I1978" s="93">
        <v>2397.5457928860201</v>
      </c>
      <c r="J1978" s="93">
        <v>20216.939999999999</v>
      </c>
      <c r="K1978" s="93">
        <v>297.31</v>
      </c>
      <c r="L1978" s="93">
        <v>3411.53</v>
      </c>
      <c r="M1978" s="93">
        <v>373104.4</v>
      </c>
      <c r="N1978" s="95">
        <v>0.11</v>
      </c>
      <c r="O1978" s="95">
        <v>0.44</v>
      </c>
      <c r="P1978" s="95">
        <v>0.4</v>
      </c>
      <c r="Q1978" s="95">
        <v>0.05</v>
      </c>
      <c r="R1978" s="96">
        <v>0</v>
      </c>
    </row>
    <row r="1979" spans="1:18" ht="15" customHeight="1" x14ac:dyDescent="0.3">
      <c r="A1979" s="89">
        <v>2023</v>
      </c>
      <c r="B1979" s="90">
        <v>4</v>
      </c>
      <c r="C1979" s="90" t="s">
        <v>725</v>
      </c>
      <c r="D1979" s="90" t="s">
        <v>719</v>
      </c>
      <c r="E1979" s="91" t="s">
        <v>11</v>
      </c>
      <c r="F1979" s="92" t="s">
        <v>29</v>
      </c>
      <c r="G1979" s="93">
        <v>12709.83</v>
      </c>
      <c r="H1979" s="93">
        <v>26518.3</v>
      </c>
      <c r="I1979" s="93">
        <v>2397.5457928860201</v>
      </c>
      <c r="J1979" s="93">
        <v>159281.13</v>
      </c>
      <c r="K1979" s="93">
        <v>28822.15</v>
      </c>
      <c r="L1979" s="93">
        <v>55424.63</v>
      </c>
      <c r="M1979" s="93">
        <v>354391.76</v>
      </c>
      <c r="N1979" s="95">
        <v>0.04</v>
      </c>
      <c r="O1979" s="95">
        <v>0.09</v>
      </c>
      <c r="P1979" s="95">
        <v>0.24</v>
      </c>
      <c r="Q1979" s="95">
        <v>0.53</v>
      </c>
      <c r="R1979" s="96">
        <v>0.1</v>
      </c>
    </row>
    <row r="1980" spans="1:18" ht="15" hidden="1" customHeight="1" x14ac:dyDescent="0.3">
      <c r="A1980" s="89">
        <v>2023</v>
      </c>
      <c r="B1980" s="90">
        <v>4</v>
      </c>
      <c r="C1980" s="90" t="s">
        <v>725</v>
      </c>
      <c r="D1980" s="90" t="s">
        <v>719</v>
      </c>
      <c r="E1980" s="91" t="s">
        <v>11</v>
      </c>
      <c r="F1980" s="92" t="s">
        <v>30</v>
      </c>
      <c r="G1980" s="93">
        <v>753.91</v>
      </c>
      <c r="H1980" s="93">
        <v>2145.98</v>
      </c>
      <c r="I1980" s="93">
        <v>2397.5457928860201</v>
      </c>
      <c r="J1980" s="93">
        <v>5693.55</v>
      </c>
      <c r="K1980" s="93">
        <v>1490.93</v>
      </c>
      <c r="L1980" s="93">
        <v>215684.41</v>
      </c>
      <c r="M1980" s="93">
        <v>230086.24</v>
      </c>
      <c r="N1980" s="95">
        <v>0.05</v>
      </c>
      <c r="O1980" s="95">
        <v>0.15</v>
      </c>
      <c r="P1980" s="95">
        <v>0.3</v>
      </c>
      <c r="Q1980" s="95">
        <v>0.4</v>
      </c>
      <c r="R1980" s="96">
        <v>0.1</v>
      </c>
    </row>
    <row r="1981" spans="1:18" ht="15" hidden="1" customHeight="1" x14ac:dyDescent="0.3">
      <c r="A1981" s="89">
        <v>2023</v>
      </c>
      <c r="B1981" s="90">
        <v>4</v>
      </c>
      <c r="C1981" s="90" t="s">
        <v>725</v>
      </c>
      <c r="D1981" s="90" t="s">
        <v>719</v>
      </c>
      <c r="E1981" s="91" t="s">
        <v>11</v>
      </c>
      <c r="F1981" s="92" t="s">
        <v>31</v>
      </c>
      <c r="G1981" s="93">
        <v>4574.21</v>
      </c>
      <c r="H1981" s="93">
        <v>42377.54</v>
      </c>
      <c r="I1981" s="93">
        <v>2397.5457928860201</v>
      </c>
      <c r="J1981" s="93">
        <v>63215.68</v>
      </c>
      <c r="K1981" s="93">
        <v>16491.810000000001</v>
      </c>
      <c r="L1981" s="93">
        <v>44171.67</v>
      </c>
      <c r="M1981" s="93">
        <v>251948.86</v>
      </c>
      <c r="N1981" s="95">
        <v>0.02</v>
      </c>
      <c r="O1981" s="95">
        <v>0.2</v>
      </c>
      <c r="P1981" s="95">
        <v>0.39</v>
      </c>
      <c r="Q1981" s="95">
        <v>0.3</v>
      </c>
      <c r="R1981" s="96">
        <v>0.08</v>
      </c>
    </row>
    <row r="1982" spans="1:18" ht="15" hidden="1" customHeight="1" x14ac:dyDescent="0.3">
      <c r="A1982" s="89">
        <v>2023</v>
      </c>
      <c r="B1982" s="90">
        <v>4</v>
      </c>
      <c r="C1982" s="90" t="s">
        <v>725</v>
      </c>
      <c r="D1982" s="90" t="s">
        <v>719</v>
      </c>
      <c r="E1982" s="91" t="s">
        <v>11</v>
      </c>
      <c r="F1982" s="92" t="s">
        <v>32</v>
      </c>
      <c r="G1982" s="93">
        <v>24136.16</v>
      </c>
      <c r="H1982" s="93">
        <v>102038.74</v>
      </c>
      <c r="I1982" s="93">
        <v>2397.5457928860201</v>
      </c>
      <c r="J1982" s="93">
        <v>244269.71</v>
      </c>
      <c r="K1982" s="93">
        <v>23348.36</v>
      </c>
      <c r="L1982" s="93">
        <v>25565.3</v>
      </c>
      <c r="M1982" s="93">
        <v>609521.87</v>
      </c>
      <c r="N1982" s="95">
        <v>0.04</v>
      </c>
      <c r="O1982" s="95">
        <v>0.17</v>
      </c>
      <c r="P1982" s="95">
        <v>0.33</v>
      </c>
      <c r="Q1982" s="95">
        <v>0.42</v>
      </c>
      <c r="R1982" s="96">
        <v>0.04</v>
      </c>
    </row>
    <row r="1983" spans="1:18" ht="15" hidden="1" customHeight="1" x14ac:dyDescent="0.3">
      <c r="A1983" s="89">
        <v>2023</v>
      </c>
      <c r="B1983" s="90">
        <v>4</v>
      </c>
      <c r="C1983" s="90" t="s">
        <v>725</v>
      </c>
      <c r="D1983" s="90" t="s">
        <v>719</v>
      </c>
      <c r="E1983" s="91" t="s">
        <v>11</v>
      </c>
      <c r="F1983" s="92" t="s">
        <v>33</v>
      </c>
      <c r="G1983" s="93">
        <v>37131.29</v>
      </c>
      <c r="H1983" s="93">
        <v>234305.63</v>
      </c>
      <c r="I1983" s="93">
        <v>2397.5457928860201</v>
      </c>
      <c r="J1983" s="93">
        <v>408193.5</v>
      </c>
      <c r="K1983" s="93">
        <v>28565.19</v>
      </c>
      <c r="L1983" s="93">
        <v>35261.339999999997</v>
      </c>
      <c r="M1983" s="93">
        <v>1352055.51</v>
      </c>
      <c r="N1983" s="95">
        <v>0.03</v>
      </c>
      <c r="O1983" s="95">
        <v>0.18</v>
      </c>
      <c r="P1983" s="95">
        <v>0.46</v>
      </c>
      <c r="Q1983" s="95">
        <v>0.31</v>
      </c>
      <c r="R1983" s="96">
        <v>0.02</v>
      </c>
    </row>
    <row r="1984" spans="1:18" ht="15" hidden="1" customHeight="1" x14ac:dyDescent="0.3">
      <c r="A1984" s="89">
        <v>2023</v>
      </c>
      <c r="B1984" s="90">
        <v>4</v>
      </c>
      <c r="C1984" s="90" t="s">
        <v>725</v>
      </c>
      <c r="D1984" s="90" t="s">
        <v>719</v>
      </c>
      <c r="E1984" s="91" t="s">
        <v>11</v>
      </c>
      <c r="F1984" s="92" t="s">
        <v>34</v>
      </c>
      <c r="G1984" s="93">
        <v>60614.79</v>
      </c>
      <c r="H1984" s="93">
        <v>176755.48</v>
      </c>
      <c r="I1984" s="93">
        <v>2397.5457928860201</v>
      </c>
      <c r="J1984" s="93">
        <v>138226.75</v>
      </c>
      <c r="K1984" s="93">
        <v>5968.59</v>
      </c>
      <c r="L1984" s="93">
        <v>30863.74</v>
      </c>
      <c r="M1984" s="93">
        <v>713628.98</v>
      </c>
      <c r="N1984" s="95">
        <v>0.09</v>
      </c>
      <c r="O1984" s="95">
        <v>0.26</v>
      </c>
      <c r="P1984" s="95">
        <v>0.44</v>
      </c>
      <c r="Q1984" s="95">
        <v>0.2</v>
      </c>
      <c r="R1984" s="96">
        <v>0.01</v>
      </c>
    </row>
    <row r="1985" spans="1:18" ht="15" hidden="1" customHeight="1" x14ac:dyDescent="0.3">
      <c r="A1985" s="89">
        <v>2023</v>
      </c>
      <c r="B1985" s="90">
        <v>4</v>
      </c>
      <c r="C1985" s="90" t="s">
        <v>725</v>
      </c>
      <c r="D1985" s="90" t="s">
        <v>719</v>
      </c>
      <c r="E1985" s="91" t="s">
        <v>11</v>
      </c>
      <c r="F1985" s="92" t="s">
        <v>35</v>
      </c>
      <c r="G1985" s="93">
        <v>18366.91</v>
      </c>
      <c r="H1985" s="93">
        <v>46880.92</v>
      </c>
      <c r="I1985" s="93">
        <v>2397.5457928860201</v>
      </c>
      <c r="J1985" s="93">
        <v>158842.32</v>
      </c>
      <c r="K1985" s="93">
        <v>15572.93</v>
      </c>
      <c r="L1985" s="93">
        <v>237127.73</v>
      </c>
      <c r="M1985" s="93">
        <v>605861.19999999995</v>
      </c>
      <c r="N1985" s="95">
        <v>0.05</v>
      </c>
      <c r="O1985" s="95">
        <v>0.13</v>
      </c>
      <c r="P1985" s="95">
        <v>0.35</v>
      </c>
      <c r="Q1985" s="95">
        <v>0.43</v>
      </c>
      <c r="R1985" s="96">
        <v>0.04</v>
      </c>
    </row>
    <row r="1986" spans="1:18" ht="15" hidden="1" customHeight="1" x14ac:dyDescent="0.3">
      <c r="A1986" s="89">
        <v>2023</v>
      </c>
      <c r="B1986" s="90">
        <v>4</v>
      </c>
      <c r="C1986" s="90" t="s">
        <v>725</v>
      </c>
      <c r="D1986" s="90" t="s">
        <v>719</v>
      </c>
      <c r="E1986" s="91" t="s">
        <v>11</v>
      </c>
      <c r="F1986" s="92" t="s">
        <v>36</v>
      </c>
      <c r="G1986" s="93">
        <v>1957.52</v>
      </c>
      <c r="H1986" s="93">
        <v>11171.43</v>
      </c>
      <c r="I1986" s="93">
        <v>2397.5457928860201</v>
      </c>
      <c r="J1986" s="93">
        <v>132857.13</v>
      </c>
      <c r="K1986" s="93">
        <v>14645.15</v>
      </c>
      <c r="L1986" s="93">
        <v>33191.08</v>
      </c>
      <c r="M1986" s="93">
        <v>258886.74</v>
      </c>
      <c r="N1986" s="95">
        <v>0.01</v>
      </c>
      <c r="O1986" s="95">
        <v>0.05</v>
      </c>
      <c r="P1986" s="95">
        <v>0.28999999999999998</v>
      </c>
      <c r="Q1986" s="95">
        <v>0.59</v>
      </c>
      <c r="R1986" s="96">
        <v>0.06</v>
      </c>
    </row>
    <row r="1987" spans="1:18" ht="15" hidden="1" customHeight="1" x14ac:dyDescent="0.3">
      <c r="A1987" s="89">
        <v>2023</v>
      </c>
      <c r="B1987" s="90">
        <v>4</v>
      </c>
      <c r="C1987" s="90" t="s">
        <v>725</v>
      </c>
      <c r="D1987" s="90" t="s">
        <v>719</v>
      </c>
      <c r="E1987" s="91" t="s">
        <v>11</v>
      </c>
      <c r="F1987" s="92" t="s">
        <v>37</v>
      </c>
      <c r="G1987" s="93">
        <v>13109.58</v>
      </c>
      <c r="H1987" s="93">
        <v>52535.02</v>
      </c>
      <c r="I1987" s="93">
        <v>2397.5457928860201</v>
      </c>
      <c r="J1987" s="93">
        <v>138167.63</v>
      </c>
      <c r="K1987" s="93">
        <v>14681.14</v>
      </c>
      <c r="L1987" s="93">
        <v>142324.23000000001</v>
      </c>
      <c r="M1987" s="93">
        <v>524074.32</v>
      </c>
      <c r="N1987" s="95">
        <v>0.03</v>
      </c>
      <c r="O1987" s="95">
        <v>0.14000000000000001</v>
      </c>
      <c r="P1987" s="95">
        <v>0.43</v>
      </c>
      <c r="Q1987" s="95">
        <v>0.36</v>
      </c>
      <c r="R1987" s="96">
        <v>0.04</v>
      </c>
    </row>
    <row r="1988" spans="1:18" ht="15" hidden="1" customHeight="1" x14ac:dyDescent="0.3">
      <c r="A1988" s="89">
        <v>2023</v>
      </c>
      <c r="B1988" s="90">
        <v>4</v>
      </c>
      <c r="C1988" s="90" t="s">
        <v>725</v>
      </c>
      <c r="D1988" s="90" t="s">
        <v>719</v>
      </c>
      <c r="E1988" s="91" t="s">
        <v>11</v>
      </c>
      <c r="F1988" s="92" t="s">
        <v>720</v>
      </c>
      <c r="G1988" s="93">
        <v>37353.67</v>
      </c>
      <c r="H1988" s="93">
        <v>75527.03</v>
      </c>
      <c r="I1988" s="93">
        <v>2397.5457928860201</v>
      </c>
      <c r="J1988" s="93">
        <v>365698.27</v>
      </c>
      <c r="K1988" s="93">
        <v>58828.88</v>
      </c>
      <c r="L1988" s="93">
        <v>162296.48000000001</v>
      </c>
      <c r="M1988" s="93">
        <v>927959.02</v>
      </c>
      <c r="N1988" s="95">
        <v>0.05</v>
      </c>
      <c r="O1988" s="95">
        <v>0.1</v>
      </c>
      <c r="P1988" s="95">
        <v>0.3</v>
      </c>
      <c r="Q1988" s="95">
        <v>0.48</v>
      </c>
      <c r="R1988" s="96">
        <v>0.08</v>
      </c>
    </row>
    <row r="1989" spans="1:18" ht="15" hidden="1" customHeight="1" x14ac:dyDescent="0.3">
      <c r="A1989" s="89">
        <v>2023</v>
      </c>
      <c r="B1989" s="90">
        <v>4</v>
      </c>
      <c r="C1989" s="90" t="s">
        <v>725</v>
      </c>
      <c r="D1989" s="90" t="s">
        <v>719</v>
      </c>
      <c r="E1989" s="91" t="s">
        <v>11</v>
      </c>
      <c r="F1989" s="92" t="s">
        <v>39</v>
      </c>
      <c r="G1989" s="93">
        <v>44406.48</v>
      </c>
      <c r="H1989" s="93">
        <v>131394.51999999999</v>
      </c>
      <c r="I1989" s="93">
        <v>2397.5457928860201</v>
      </c>
      <c r="J1989" s="93">
        <v>49199.65</v>
      </c>
      <c r="K1989" s="93">
        <v>1185.8900000000001</v>
      </c>
      <c r="L1989" s="93">
        <v>9015.4599999999991</v>
      </c>
      <c r="M1989" s="93">
        <v>331195.63</v>
      </c>
      <c r="N1989" s="95">
        <v>0.14000000000000001</v>
      </c>
      <c r="O1989" s="95">
        <v>0.41</v>
      </c>
      <c r="P1989" s="95">
        <v>0.3</v>
      </c>
      <c r="Q1989" s="95">
        <v>0.15</v>
      </c>
      <c r="R1989" s="96">
        <v>0</v>
      </c>
    </row>
    <row r="1990" spans="1:18" ht="15" hidden="1" customHeight="1" x14ac:dyDescent="0.3">
      <c r="A1990" s="89">
        <v>2023</v>
      </c>
      <c r="B1990" s="90">
        <v>4</v>
      </c>
      <c r="C1990" s="90" t="s">
        <v>725</v>
      </c>
      <c r="D1990" s="90" t="s">
        <v>719</v>
      </c>
      <c r="E1990" s="91" t="s">
        <v>11</v>
      </c>
      <c r="F1990" s="92" t="s">
        <v>40</v>
      </c>
      <c r="G1990" s="93">
        <v>26392.82</v>
      </c>
      <c r="H1990" s="93">
        <v>61383.45</v>
      </c>
      <c r="I1990" s="93">
        <v>2397.5457928860201</v>
      </c>
      <c r="J1990" s="93">
        <v>102092.98</v>
      </c>
      <c r="K1990" s="93">
        <v>6010.37</v>
      </c>
      <c r="L1990" s="93">
        <v>5160.6499999999996</v>
      </c>
      <c r="M1990" s="93">
        <v>326305.03999999998</v>
      </c>
      <c r="N1990" s="95">
        <v>0.08</v>
      </c>
      <c r="O1990" s="95">
        <v>0.19</v>
      </c>
      <c r="P1990" s="95">
        <v>0.39</v>
      </c>
      <c r="Q1990" s="95">
        <v>0.32</v>
      </c>
      <c r="R1990" s="96">
        <v>0.02</v>
      </c>
    </row>
    <row r="1991" spans="1:18" ht="15" hidden="1" customHeight="1" x14ac:dyDescent="0.3">
      <c r="A1991" s="89">
        <v>2023</v>
      </c>
      <c r="B1991" s="90">
        <v>4</v>
      </c>
      <c r="C1991" s="90" t="s">
        <v>725</v>
      </c>
      <c r="D1991" s="90" t="s">
        <v>719</v>
      </c>
      <c r="E1991" s="91" t="s">
        <v>11</v>
      </c>
      <c r="F1991" s="92" t="s">
        <v>41</v>
      </c>
      <c r="G1991" s="93">
        <v>9025.3799999999992</v>
      </c>
      <c r="H1991" s="93">
        <v>3525.34</v>
      </c>
      <c r="I1991" s="93">
        <v>2397.5457928860201</v>
      </c>
      <c r="J1991" s="93">
        <v>186.43</v>
      </c>
      <c r="K1991" s="93">
        <v>12.29</v>
      </c>
      <c r="L1991" s="93">
        <v>5074.2</v>
      </c>
      <c r="M1991" s="93">
        <v>18714.330000000002</v>
      </c>
      <c r="N1991" s="95">
        <v>0.66</v>
      </c>
      <c r="O1991" s="95">
        <v>0.26</v>
      </c>
      <c r="P1991" s="95">
        <v>7.0000000000000007E-2</v>
      </c>
      <c r="Q1991" s="95">
        <v>0.01</v>
      </c>
      <c r="R1991" s="96">
        <v>0</v>
      </c>
    </row>
    <row r="1992" spans="1:18" ht="15" hidden="1" customHeight="1" x14ac:dyDescent="0.3">
      <c r="A1992" s="89">
        <v>2023</v>
      </c>
      <c r="B1992" s="90">
        <v>4</v>
      </c>
      <c r="C1992" s="90" t="s">
        <v>725</v>
      </c>
      <c r="D1992" s="90" t="s">
        <v>719</v>
      </c>
      <c r="E1992" s="91" t="s">
        <v>11</v>
      </c>
      <c r="F1992" s="92" t="s">
        <v>42</v>
      </c>
      <c r="G1992" s="93">
        <v>103210.68</v>
      </c>
      <c r="H1992" s="93">
        <v>275525.46000000002</v>
      </c>
      <c r="I1992" s="93">
        <v>2397.5457928860201</v>
      </c>
      <c r="J1992" s="93">
        <v>30300.19</v>
      </c>
      <c r="K1992" s="93">
        <v>1349.08</v>
      </c>
      <c r="L1992" s="93">
        <v>90436.17</v>
      </c>
      <c r="M1992" s="93">
        <v>620824.21</v>
      </c>
      <c r="N1992" s="95">
        <v>0.19</v>
      </c>
      <c r="O1992" s="95">
        <v>0.52</v>
      </c>
      <c r="P1992" s="95">
        <v>0.23</v>
      </c>
      <c r="Q1992" s="95">
        <v>0.06</v>
      </c>
      <c r="R1992" s="96">
        <v>0</v>
      </c>
    </row>
    <row r="1993" spans="1:18" ht="15" hidden="1" customHeight="1" x14ac:dyDescent="0.3">
      <c r="A1993" s="89">
        <v>2023</v>
      </c>
      <c r="B1993" s="90">
        <v>4</v>
      </c>
      <c r="C1993" s="90" t="s">
        <v>725</v>
      </c>
      <c r="D1993" s="90" t="s">
        <v>719</v>
      </c>
      <c r="E1993" s="91" t="s">
        <v>11</v>
      </c>
      <c r="F1993" s="92" t="s">
        <v>43</v>
      </c>
      <c r="G1993" s="93">
        <v>14282.52</v>
      </c>
      <c r="H1993" s="93">
        <v>35107.82</v>
      </c>
      <c r="I1993" s="93">
        <v>2397.5457928860201</v>
      </c>
      <c r="J1993" s="93">
        <v>4311.1899999999996</v>
      </c>
      <c r="K1993" s="93">
        <v>246.41</v>
      </c>
      <c r="L1993" s="93">
        <v>115925.87</v>
      </c>
      <c r="M1993" s="93">
        <v>185575.52</v>
      </c>
      <c r="N1993" s="95">
        <v>0.21</v>
      </c>
      <c r="O1993" s="95">
        <v>0.5</v>
      </c>
      <c r="P1993" s="95">
        <v>0.23</v>
      </c>
      <c r="Q1993" s="95">
        <v>0.06</v>
      </c>
      <c r="R1993" s="96">
        <v>0</v>
      </c>
    </row>
    <row r="1994" spans="1:18" ht="15" hidden="1" customHeight="1" x14ac:dyDescent="0.3">
      <c r="A1994" s="89">
        <v>2023</v>
      </c>
      <c r="B1994" s="90">
        <v>4</v>
      </c>
      <c r="C1994" s="90" t="s">
        <v>725</v>
      </c>
      <c r="D1994" s="90" t="s">
        <v>719</v>
      </c>
      <c r="E1994" s="91" t="s">
        <v>11</v>
      </c>
      <c r="F1994" s="92" t="s">
        <v>58</v>
      </c>
      <c r="G1994" s="93">
        <v>76143.97</v>
      </c>
      <c r="H1994" s="93">
        <v>153939.37</v>
      </c>
      <c r="I1994" s="93">
        <v>2397.5457928860201</v>
      </c>
      <c r="J1994" s="93">
        <v>20102.080000000002</v>
      </c>
      <c r="K1994" s="93">
        <v>163.63</v>
      </c>
      <c r="L1994" s="93">
        <v>4180.34</v>
      </c>
      <c r="M1994" s="93">
        <v>371477.13</v>
      </c>
      <c r="N1994" s="95">
        <v>0.21</v>
      </c>
      <c r="O1994" s="95">
        <v>0.42</v>
      </c>
      <c r="P1994" s="95">
        <v>0.32</v>
      </c>
      <c r="Q1994" s="95">
        <v>0.05</v>
      </c>
      <c r="R1994" s="96">
        <v>0</v>
      </c>
    </row>
    <row r="1995" spans="1:18" ht="15" hidden="1" customHeight="1" x14ac:dyDescent="0.3">
      <c r="A1995" s="89">
        <v>2023</v>
      </c>
      <c r="B1995" s="90">
        <v>4</v>
      </c>
      <c r="C1995" s="90" t="s">
        <v>725</v>
      </c>
      <c r="D1995" s="90" t="s">
        <v>719</v>
      </c>
      <c r="E1995" s="91" t="s">
        <v>11</v>
      </c>
      <c r="F1995" s="92" t="s">
        <v>44</v>
      </c>
      <c r="G1995" s="93">
        <v>3402.03</v>
      </c>
      <c r="H1995" s="93">
        <v>3447.75</v>
      </c>
      <c r="I1995" s="93">
        <v>2397.5457928860201</v>
      </c>
      <c r="J1995" s="93">
        <v>111372.05</v>
      </c>
      <c r="K1995" s="93">
        <v>25138.59</v>
      </c>
      <c r="L1995" s="93">
        <v>43675.87</v>
      </c>
      <c r="M1995" s="93">
        <v>215729.36</v>
      </c>
      <c r="N1995" s="95">
        <v>0.02</v>
      </c>
      <c r="O1995" s="95">
        <v>0.02</v>
      </c>
      <c r="P1995" s="95">
        <v>0.17</v>
      </c>
      <c r="Q1995" s="95">
        <v>0.65</v>
      </c>
      <c r="R1995" s="96">
        <v>0.15</v>
      </c>
    </row>
    <row r="1996" spans="1:18" ht="15" hidden="1" customHeight="1" x14ac:dyDescent="0.3">
      <c r="A1996" s="89">
        <v>2023</v>
      </c>
      <c r="B1996" s="90">
        <v>4</v>
      </c>
      <c r="C1996" s="90" t="s">
        <v>725</v>
      </c>
      <c r="D1996" s="90" t="s">
        <v>719</v>
      </c>
      <c r="E1996" s="91" t="s">
        <v>11</v>
      </c>
      <c r="F1996" s="92" t="s">
        <v>51</v>
      </c>
      <c r="G1996" s="93">
        <v>11596.53</v>
      </c>
      <c r="H1996" s="93">
        <v>30690.45</v>
      </c>
      <c r="I1996" s="93">
        <v>2397.5457928860201</v>
      </c>
      <c r="J1996" s="93">
        <v>73038.53</v>
      </c>
      <c r="K1996" s="93">
        <v>16366.53</v>
      </c>
      <c r="L1996" s="93">
        <v>959.11</v>
      </c>
      <c r="M1996" s="93">
        <v>211202.48</v>
      </c>
      <c r="N1996" s="95">
        <v>0.06</v>
      </c>
      <c r="O1996" s="95">
        <v>0.15</v>
      </c>
      <c r="P1996" s="95">
        <v>0.37</v>
      </c>
      <c r="Q1996" s="95">
        <v>0.35</v>
      </c>
      <c r="R1996" s="96">
        <v>0.08</v>
      </c>
    </row>
    <row r="1997" spans="1:18" ht="15" hidden="1" customHeight="1" x14ac:dyDescent="0.3">
      <c r="A1997" s="89">
        <v>2023</v>
      </c>
      <c r="B1997" s="90">
        <v>4</v>
      </c>
      <c r="C1997" s="90" t="s">
        <v>725</v>
      </c>
      <c r="D1997" s="90" t="s">
        <v>719</v>
      </c>
      <c r="E1997" s="91" t="s">
        <v>11</v>
      </c>
      <c r="F1997" s="92" t="s">
        <v>45</v>
      </c>
      <c r="G1997" s="93">
        <v>3619.57</v>
      </c>
      <c r="H1997" s="93">
        <v>9882.52</v>
      </c>
      <c r="I1997" s="93">
        <v>2397.5457928860201</v>
      </c>
      <c r="J1997" s="93">
        <v>36105.56</v>
      </c>
      <c r="K1997" s="93">
        <v>2809.14</v>
      </c>
      <c r="L1997" s="93">
        <v>49877.86</v>
      </c>
      <c r="M1997" s="93">
        <v>134096.20000000001</v>
      </c>
      <c r="N1997" s="95">
        <v>0.04</v>
      </c>
      <c r="O1997" s="95">
        <v>0.12</v>
      </c>
      <c r="P1997" s="95">
        <v>0.38</v>
      </c>
      <c r="Q1997" s="95">
        <v>0.43</v>
      </c>
      <c r="R1997" s="96">
        <v>0.03</v>
      </c>
    </row>
    <row r="1998" spans="1:18" ht="15" hidden="1" customHeight="1" x14ac:dyDescent="0.3">
      <c r="A1998" s="89">
        <v>2023</v>
      </c>
      <c r="B1998" s="90">
        <v>4</v>
      </c>
      <c r="C1998" s="90" t="s">
        <v>725</v>
      </c>
      <c r="D1998" s="90" t="s">
        <v>719</v>
      </c>
      <c r="E1998" s="91" t="s">
        <v>11</v>
      </c>
      <c r="F1998" s="92" t="s">
        <v>721</v>
      </c>
      <c r="G1998" s="93">
        <v>101018.64</v>
      </c>
      <c r="H1998" s="93">
        <v>142951.49</v>
      </c>
      <c r="I1998" s="93">
        <v>2397.5457928860201</v>
      </c>
      <c r="J1998" s="93">
        <v>12921.32</v>
      </c>
      <c r="K1998" s="93">
        <v>331.22</v>
      </c>
      <c r="L1998" s="93">
        <v>140.18</v>
      </c>
      <c r="M1998" s="93">
        <v>309330.63</v>
      </c>
      <c r="N1998" s="95">
        <v>0.33</v>
      </c>
      <c r="O1998" s="95">
        <v>0.46</v>
      </c>
      <c r="P1998" s="95">
        <v>0.17</v>
      </c>
      <c r="Q1998" s="95">
        <v>0.04</v>
      </c>
      <c r="R1998" s="96">
        <v>0</v>
      </c>
    </row>
    <row r="1999" spans="1:18" ht="15" hidden="1" customHeight="1" x14ac:dyDescent="0.3">
      <c r="A1999" s="89">
        <v>2023</v>
      </c>
      <c r="B1999" s="90">
        <v>4</v>
      </c>
      <c r="C1999" s="90" t="s">
        <v>725</v>
      </c>
      <c r="D1999" s="90" t="s">
        <v>719</v>
      </c>
      <c r="E1999" s="91" t="s">
        <v>11</v>
      </c>
      <c r="F1999" s="92" t="s">
        <v>46</v>
      </c>
      <c r="G1999" s="93">
        <v>27698.7</v>
      </c>
      <c r="H1999" s="93">
        <v>82096.11</v>
      </c>
      <c r="I1999" s="93">
        <v>2397.5457928860201</v>
      </c>
      <c r="J1999" s="93">
        <v>8672.3799999999992</v>
      </c>
      <c r="K1999" s="93">
        <v>1461.19</v>
      </c>
      <c r="L1999" s="93">
        <v>1308.42</v>
      </c>
      <c r="M1999" s="93">
        <v>149074.81</v>
      </c>
      <c r="N1999" s="95">
        <v>0.19</v>
      </c>
      <c r="O1999" s="95">
        <v>0.56000000000000005</v>
      </c>
      <c r="P1999" s="95">
        <v>0.19</v>
      </c>
      <c r="Q1999" s="95">
        <v>0.06</v>
      </c>
      <c r="R1999" s="96">
        <v>0.01</v>
      </c>
    </row>
    <row r="2000" spans="1:18" ht="15" hidden="1" customHeight="1" x14ac:dyDescent="0.3">
      <c r="A2000" s="89">
        <v>2023</v>
      </c>
      <c r="B2000" s="90">
        <v>4</v>
      </c>
      <c r="C2000" s="90" t="s">
        <v>725</v>
      </c>
      <c r="D2000" s="90" t="s">
        <v>719</v>
      </c>
      <c r="E2000" s="91" t="s">
        <v>11</v>
      </c>
      <c r="F2000" s="92" t="s">
        <v>47</v>
      </c>
      <c r="G2000" s="93">
        <v>19372.48</v>
      </c>
      <c r="H2000" s="93">
        <v>199231.81</v>
      </c>
      <c r="I2000" s="93">
        <v>2397.5457928860201</v>
      </c>
      <c r="J2000" s="93">
        <v>324357.12</v>
      </c>
      <c r="K2000" s="93">
        <v>48959.43</v>
      </c>
      <c r="L2000" s="93">
        <v>125283.4</v>
      </c>
      <c r="M2000" s="93">
        <v>1461770.89</v>
      </c>
      <c r="N2000" s="95">
        <v>0.01</v>
      </c>
      <c r="O2000" s="95">
        <v>0.15</v>
      </c>
      <c r="P2000" s="95">
        <v>0.56000000000000005</v>
      </c>
      <c r="Q2000" s="95">
        <v>0.24</v>
      </c>
      <c r="R2000" s="96">
        <v>0.04</v>
      </c>
    </row>
    <row r="2001" spans="1:18" ht="15" hidden="1" customHeight="1" x14ac:dyDescent="0.3">
      <c r="A2001" s="89">
        <v>2023</v>
      </c>
      <c r="B2001" s="90">
        <v>4</v>
      </c>
      <c r="C2001" s="90" t="s">
        <v>725</v>
      </c>
      <c r="D2001" s="90" t="s">
        <v>719</v>
      </c>
      <c r="E2001" s="91" t="s">
        <v>11</v>
      </c>
      <c r="F2001" s="92" t="s">
        <v>48</v>
      </c>
      <c r="G2001" s="93">
        <v>1756.35</v>
      </c>
      <c r="H2001" s="93">
        <v>6121.79</v>
      </c>
      <c r="I2001" s="93">
        <v>2397.5457928860201</v>
      </c>
      <c r="J2001" s="93">
        <v>51008.85</v>
      </c>
      <c r="K2001" s="93">
        <v>6452.96</v>
      </c>
      <c r="L2001" s="93">
        <v>8919.67</v>
      </c>
      <c r="M2001" s="93">
        <v>110314.47</v>
      </c>
      <c r="N2001" s="95">
        <v>0.02</v>
      </c>
      <c r="O2001" s="95">
        <v>0.06</v>
      </c>
      <c r="P2001" s="95">
        <v>0.36</v>
      </c>
      <c r="Q2001" s="95">
        <v>0.5</v>
      </c>
      <c r="R2001" s="96">
        <v>0.06</v>
      </c>
    </row>
    <row r="2002" spans="1:18" ht="15" hidden="1" customHeight="1" x14ac:dyDescent="0.3">
      <c r="A2002" s="89">
        <v>2023</v>
      </c>
      <c r="B2002" s="90">
        <v>4</v>
      </c>
      <c r="C2002" s="90" t="s">
        <v>725</v>
      </c>
      <c r="D2002" s="90" t="s">
        <v>722</v>
      </c>
      <c r="E2002" s="91" t="s">
        <v>11</v>
      </c>
      <c r="F2002" s="92" t="s">
        <v>12</v>
      </c>
      <c r="G2002" s="93">
        <v>17784.669999999998</v>
      </c>
      <c r="H2002" s="93">
        <v>78017.58</v>
      </c>
      <c r="I2002" s="93">
        <v>2397.5457928860201</v>
      </c>
      <c r="J2002" s="93">
        <v>90547.37</v>
      </c>
      <c r="K2002" s="93">
        <v>2781.25</v>
      </c>
      <c r="L2002" s="93">
        <v>48556.11</v>
      </c>
      <c r="M2002" s="93">
        <v>433311.44</v>
      </c>
      <c r="N2002" s="95">
        <v>0.05</v>
      </c>
      <c r="O2002" s="95">
        <v>0.2</v>
      </c>
      <c r="P2002" s="95">
        <v>0.51</v>
      </c>
      <c r="Q2002" s="95">
        <v>0.24</v>
      </c>
      <c r="R2002" s="96">
        <v>0.01</v>
      </c>
    </row>
    <row r="2003" spans="1:18" ht="15" hidden="1" customHeight="1" x14ac:dyDescent="0.3">
      <c r="A2003" s="89">
        <v>2023</v>
      </c>
      <c r="B2003" s="90">
        <v>4</v>
      </c>
      <c r="C2003" s="90" t="s">
        <v>725</v>
      </c>
      <c r="D2003" s="90" t="s">
        <v>722</v>
      </c>
      <c r="E2003" s="91" t="s">
        <v>11</v>
      </c>
      <c r="F2003" s="92" t="s">
        <v>26</v>
      </c>
      <c r="G2003" s="93">
        <v>21894.1</v>
      </c>
      <c r="H2003" s="93">
        <v>61066.06</v>
      </c>
      <c r="I2003" s="93">
        <v>2397.5457928860201</v>
      </c>
      <c r="J2003" s="93">
        <v>561344.53</v>
      </c>
      <c r="K2003" s="93">
        <v>122789.02</v>
      </c>
      <c r="L2003" s="93">
        <v>257850.53</v>
      </c>
      <c r="M2003" s="93">
        <v>1302393.77</v>
      </c>
      <c r="N2003" s="95">
        <v>0.02</v>
      </c>
      <c r="O2003" s="95">
        <v>0.06</v>
      </c>
      <c r="P2003" s="95">
        <v>0.27</v>
      </c>
      <c r="Q2003" s="95">
        <v>0.54</v>
      </c>
      <c r="R2003" s="96">
        <v>0.12</v>
      </c>
    </row>
    <row r="2004" spans="1:18" ht="15" hidden="1" customHeight="1" x14ac:dyDescent="0.3">
      <c r="A2004" s="89">
        <v>2023</v>
      </c>
      <c r="B2004" s="90">
        <v>4</v>
      </c>
      <c r="C2004" s="90" t="s">
        <v>725</v>
      </c>
      <c r="D2004" s="90" t="s">
        <v>722</v>
      </c>
      <c r="E2004" s="91" t="s">
        <v>11</v>
      </c>
      <c r="F2004" s="92" t="s">
        <v>27</v>
      </c>
      <c r="G2004" s="93">
        <v>10712.49</v>
      </c>
      <c r="H2004" s="93">
        <v>109691.09</v>
      </c>
      <c r="I2004" s="93">
        <v>2397.5457928860201</v>
      </c>
      <c r="J2004" s="93">
        <v>10409.58</v>
      </c>
      <c r="K2004" s="93">
        <v>1335.63</v>
      </c>
      <c r="L2004" s="93">
        <v>1760.24</v>
      </c>
      <c r="M2004" s="93">
        <v>226689.38</v>
      </c>
      <c r="N2004" s="95">
        <v>0.05</v>
      </c>
      <c r="O2004" s="95">
        <v>0.49</v>
      </c>
      <c r="P2004" s="95">
        <v>0.41</v>
      </c>
      <c r="Q2004" s="95">
        <v>0.05</v>
      </c>
      <c r="R2004" s="96">
        <v>0.01</v>
      </c>
    </row>
    <row r="2005" spans="1:18" ht="15" hidden="1" customHeight="1" x14ac:dyDescent="0.3">
      <c r="A2005" s="89">
        <v>2023</v>
      </c>
      <c r="B2005" s="90">
        <v>4</v>
      </c>
      <c r="C2005" s="90" t="s">
        <v>725</v>
      </c>
      <c r="D2005" s="90" t="s">
        <v>722</v>
      </c>
      <c r="E2005" s="91" t="s">
        <v>11</v>
      </c>
      <c r="F2005" s="92" t="s">
        <v>28</v>
      </c>
      <c r="G2005" s="93">
        <v>9302.31</v>
      </c>
      <c r="H2005" s="93">
        <v>58103.82</v>
      </c>
      <c r="I2005" s="93">
        <v>2397.5457928860201</v>
      </c>
      <c r="J2005" s="93">
        <v>113154.56</v>
      </c>
      <c r="K2005" s="93">
        <v>9804.19</v>
      </c>
      <c r="L2005" s="93">
        <v>3378.49</v>
      </c>
      <c r="M2005" s="93">
        <v>373104.4</v>
      </c>
      <c r="N2005" s="95">
        <v>0.03</v>
      </c>
      <c r="O2005" s="95">
        <v>0.16</v>
      </c>
      <c r="P2005" s="95">
        <v>0.49</v>
      </c>
      <c r="Q2005" s="95">
        <v>0.31</v>
      </c>
      <c r="R2005" s="96">
        <v>0.03</v>
      </c>
    </row>
    <row r="2006" spans="1:18" ht="15" customHeight="1" x14ac:dyDescent="0.3">
      <c r="A2006" s="89">
        <v>2023</v>
      </c>
      <c r="B2006" s="90">
        <v>4</v>
      </c>
      <c r="C2006" s="90" t="s">
        <v>725</v>
      </c>
      <c r="D2006" s="90" t="s">
        <v>722</v>
      </c>
      <c r="E2006" s="91" t="s">
        <v>11</v>
      </c>
      <c r="F2006" s="92" t="s">
        <v>29</v>
      </c>
      <c r="G2006" s="93">
        <v>10320.23</v>
      </c>
      <c r="H2006" s="93">
        <v>21001.99</v>
      </c>
      <c r="I2006" s="93">
        <v>2397.5457928860201</v>
      </c>
      <c r="J2006" s="93">
        <v>132151.24</v>
      </c>
      <c r="K2006" s="93">
        <v>81779.41</v>
      </c>
      <c r="L2006" s="93">
        <v>54907.28</v>
      </c>
      <c r="M2006" s="93">
        <v>354391.76</v>
      </c>
      <c r="N2006" s="95">
        <v>0.03</v>
      </c>
      <c r="O2006" s="95">
        <v>7.0000000000000007E-2</v>
      </c>
      <c r="P2006" s="95">
        <v>0.18</v>
      </c>
      <c r="Q2006" s="95">
        <v>0.44</v>
      </c>
      <c r="R2006" s="96">
        <v>0.27</v>
      </c>
    </row>
    <row r="2007" spans="1:18" ht="15" hidden="1" customHeight="1" x14ac:dyDescent="0.3">
      <c r="A2007" s="89">
        <v>2023</v>
      </c>
      <c r="B2007" s="90">
        <v>4</v>
      </c>
      <c r="C2007" s="90" t="s">
        <v>725</v>
      </c>
      <c r="D2007" s="90" t="s">
        <v>722</v>
      </c>
      <c r="E2007" s="91" t="s">
        <v>11</v>
      </c>
      <c r="F2007" s="92" t="s">
        <v>30</v>
      </c>
      <c r="G2007" s="93">
        <v>1212.83</v>
      </c>
      <c r="H2007" s="93">
        <v>3592.03</v>
      </c>
      <c r="I2007" s="93">
        <v>2397.5457928860201</v>
      </c>
      <c r="J2007" s="93">
        <v>2919.23</v>
      </c>
      <c r="K2007" s="93">
        <v>346.81</v>
      </c>
      <c r="L2007" s="93">
        <v>215561.26</v>
      </c>
      <c r="M2007" s="93">
        <v>230086.24</v>
      </c>
      <c r="N2007" s="95">
        <v>0.08</v>
      </c>
      <c r="O2007" s="95">
        <v>0.25</v>
      </c>
      <c r="P2007" s="95">
        <v>0.44</v>
      </c>
      <c r="Q2007" s="95">
        <v>0.2</v>
      </c>
      <c r="R2007" s="96">
        <v>0.02</v>
      </c>
    </row>
    <row r="2008" spans="1:18" ht="15" hidden="1" customHeight="1" x14ac:dyDescent="0.3">
      <c r="A2008" s="89">
        <v>2023</v>
      </c>
      <c r="B2008" s="90">
        <v>4</v>
      </c>
      <c r="C2008" s="90" t="s">
        <v>725</v>
      </c>
      <c r="D2008" s="90" t="s">
        <v>722</v>
      </c>
      <c r="E2008" s="91" t="s">
        <v>11</v>
      </c>
      <c r="F2008" s="92" t="s">
        <v>31</v>
      </c>
      <c r="G2008" s="93">
        <v>5956.92</v>
      </c>
      <c r="H2008" s="93">
        <v>81468.67</v>
      </c>
      <c r="I2008" s="93">
        <v>2397.5457928860201</v>
      </c>
      <c r="J2008" s="93">
        <v>27390.61</v>
      </c>
      <c r="K2008" s="93">
        <v>4524.3999999999996</v>
      </c>
      <c r="L2008" s="93">
        <v>54369.98</v>
      </c>
      <c r="M2008" s="93">
        <v>251948.86</v>
      </c>
      <c r="N2008" s="95">
        <v>0.03</v>
      </c>
      <c r="O2008" s="95">
        <v>0.41</v>
      </c>
      <c r="P2008" s="95">
        <v>0.4</v>
      </c>
      <c r="Q2008" s="95">
        <v>0.14000000000000001</v>
      </c>
      <c r="R2008" s="96">
        <v>0.02</v>
      </c>
    </row>
    <row r="2009" spans="1:18" ht="15" hidden="1" customHeight="1" x14ac:dyDescent="0.3">
      <c r="A2009" s="89">
        <v>2023</v>
      </c>
      <c r="B2009" s="90">
        <v>4</v>
      </c>
      <c r="C2009" s="90" t="s">
        <v>725</v>
      </c>
      <c r="D2009" s="90" t="s">
        <v>722</v>
      </c>
      <c r="E2009" s="91" t="s">
        <v>11</v>
      </c>
      <c r="F2009" s="92" t="s">
        <v>32</v>
      </c>
      <c r="G2009" s="93">
        <v>22008.1</v>
      </c>
      <c r="H2009" s="93">
        <v>93107.6</v>
      </c>
      <c r="I2009" s="93">
        <v>2397.5457928860201</v>
      </c>
      <c r="J2009" s="93">
        <v>249210.77</v>
      </c>
      <c r="K2009" s="93">
        <v>55728.14</v>
      </c>
      <c r="L2009" s="93">
        <v>21759.14</v>
      </c>
      <c r="M2009" s="93">
        <v>609521.87</v>
      </c>
      <c r="N2009" s="95">
        <v>0.04</v>
      </c>
      <c r="O2009" s="95">
        <v>0.16</v>
      </c>
      <c r="P2009" s="95">
        <v>0.28999999999999998</v>
      </c>
      <c r="Q2009" s="95">
        <v>0.42</v>
      </c>
      <c r="R2009" s="96">
        <v>0.09</v>
      </c>
    </row>
    <row r="2010" spans="1:18" ht="15" hidden="1" customHeight="1" x14ac:dyDescent="0.3">
      <c r="A2010" s="89">
        <v>2023</v>
      </c>
      <c r="B2010" s="90">
        <v>4</v>
      </c>
      <c r="C2010" s="90" t="s">
        <v>725</v>
      </c>
      <c r="D2010" s="90" t="s">
        <v>722</v>
      </c>
      <c r="E2010" s="91" t="s">
        <v>11</v>
      </c>
      <c r="F2010" s="92" t="s">
        <v>33</v>
      </c>
      <c r="G2010" s="93">
        <v>49323.5</v>
      </c>
      <c r="H2010" s="93">
        <v>216440.43</v>
      </c>
      <c r="I2010" s="93">
        <v>2397.5457928860201</v>
      </c>
      <c r="J2010" s="93">
        <v>534099.81000000006</v>
      </c>
      <c r="K2010" s="93">
        <v>67628.679999999993</v>
      </c>
      <c r="L2010" s="93">
        <v>35669.64</v>
      </c>
      <c r="M2010" s="93">
        <v>1352055.51</v>
      </c>
      <c r="N2010" s="95">
        <v>0.04</v>
      </c>
      <c r="O2010" s="95">
        <v>0.16</v>
      </c>
      <c r="P2010" s="95">
        <v>0.34</v>
      </c>
      <c r="Q2010" s="95">
        <v>0.41</v>
      </c>
      <c r="R2010" s="96">
        <v>0.05</v>
      </c>
    </row>
    <row r="2011" spans="1:18" ht="15" hidden="1" customHeight="1" x14ac:dyDescent="0.3">
      <c r="A2011" s="89">
        <v>2023</v>
      </c>
      <c r="B2011" s="90">
        <v>4</v>
      </c>
      <c r="C2011" s="90" t="s">
        <v>725</v>
      </c>
      <c r="D2011" s="90" t="s">
        <v>722</v>
      </c>
      <c r="E2011" s="91" t="s">
        <v>11</v>
      </c>
      <c r="F2011" s="92" t="s">
        <v>34</v>
      </c>
      <c r="G2011" s="93">
        <v>25704.05</v>
      </c>
      <c r="H2011" s="93">
        <v>64305.74</v>
      </c>
      <c r="I2011" s="93">
        <v>2397.5457928860201</v>
      </c>
      <c r="J2011" s="93">
        <v>304206.74</v>
      </c>
      <c r="K2011" s="93">
        <v>72624.37</v>
      </c>
      <c r="L2011" s="93">
        <v>29321.81</v>
      </c>
      <c r="M2011" s="93">
        <v>713628.98</v>
      </c>
      <c r="N2011" s="95">
        <v>0.04</v>
      </c>
      <c r="O2011" s="95">
        <v>0.09</v>
      </c>
      <c r="P2011" s="95">
        <v>0.32</v>
      </c>
      <c r="Q2011" s="95">
        <v>0.44</v>
      </c>
      <c r="R2011" s="96">
        <v>0.11</v>
      </c>
    </row>
    <row r="2012" spans="1:18" ht="15" hidden="1" customHeight="1" x14ac:dyDescent="0.3">
      <c r="A2012" s="89">
        <v>2023</v>
      </c>
      <c r="B2012" s="90">
        <v>4</v>
      </c>
      <c r="C2012" s="90" t="s">
        <v>725</v>
      </c>
      <c r="D2012" s="90" t="s">
        <v>722</v>
      </c>
      <c r="E2012" s="91" t="s">
        <v>11</v>
      </c>
      <c r="F2012" s="92" t="s">
        <v>35</v>
      </c>
      <c r="G2012" s="93">
        <v>15533.56</v>
      </c>
      <c r="H2012" s="93">
        <v>63178.9</v>
      </c>
      <c r="I2012" s="93">
        <v>2397.5457928860201</v>
      </c>
      <c r="J2012" s="93">
        <v>136354.54</v>
      </c>
      <c r="K2012" s="93">
        <v>24204.27</v>
      </c>
      <c r="L2012" s="93">
        <v>235150.53</v>
      </c>
      <c r="M2012" s="93">
        <v>605861.19999999995</v>
      </c>
      <c r="N2012" s="95">
        <v>0.04</v>
      </c>
      <c r="O2012" s="95">
        <v>0.17</v>
      </c>
      <c r="P2012" s="95">
        <v>0.35</v>
      </c>
      <c r="Q2012" s="95">
        <v>0.37</v>
      </c>
      <c r="R2012" s="96">
        <v>7.0000000000000007E-2</v>
      </c>
    </row>
    <row r="2013" spans="1:18" ht="15" hidden="1" customHeight="1" x14ac:dyDescent="0.3">
      <c r="A2013" s="89">
        <v>2023</v>
      </c>
      <c r="B2013" s="90">
        <v>4</v>
      </c>
      <c r="C2013" s="90" t="s">
        <v>725</v>
      </c>
      <c r="D2013" s="90" t="s">
        <v>722</v>
      </c>
      <c r="E2013" s="91" t="s">
        <v>11</v>
      </c>
      <c r="F2013" s="92" t="s">
        <v>36</v>
      </c>
      <c r="G2013" s="93">
        <v>2009.54</v>
      </c>
      <c r="H2013" s="93">
        <v>10582.05</v>
      </c>
      <c r="I2013" s="93">
        <v>2397.5457928860201</v>
      </c>
      <c r="J2013" s="93">
        <v>129965.51</v>
      </c>
      <c r="K2013" s="93">
        <v>30262.65</v>
      </c>
      <c r="L2013" s="93">
        <v>33228.910000000003</v>
      </c>
      <c r="M2013" s="93">
        <v>258886.74</v>
      </c>
      <c r="N2013" s="95">
        <v>0.01</v>
      </c>
      <c r="O2013" s="95">
        <v>0.05</v>
      </c>
      <c r="P2013" s="95">
        <v>0.23</v>
      </c>
      <c r="Q2013" s="95">
        <v>0.57999999999999996</v>
      </c>
      <c r="R2013" s="96">
        <v>0.13</v>
      </c>
    </row>
    <row r="2014" spans="1:18" ht="15" hidden="1" customHeight="1" x14ac:dyDescent="0.3">
      <c r="A2014" s="89">
        <v>2023</v>
      </c>
      <c r="B2014" s="90">
        <v>4</v>
      </c>
      <c r="C2014" s="90" t="s">
        <v>725</v>
      </c>
      <c r="D2014" s="90" t="s">
        <v>722</v>
      </c>
      <c r="E2014" s="91" t="s">
        <v>11</v>
      </c>
      <c r="F2014" s="92" t="s">
        <v>37</v>
      </c>
      <c r="G2014" s="93">
        <v>7727.14</v>
      </c>
      <c r="H2014" s="93">
        <v>28807.77</v>
      </c>
      <c r="I2014" s="93">
        <v>2397.5457928860201</v>
      </c>
      <c r="J2014" s="93">
        <v>185257.9</v>
      </c>
      <c r="K2014" s="93">
        <v>40307.11</v>
      </c>
      <c r="L2014" s="93">
        <v>143176.78</v>
      </c>
      <c r="M2014" s="93">
        <v>524074.32</v>
      </c>
      <c r="N2014" s="95">
        <v>0.02</v>
      </c>
      <c r="O2014" s="95">
        <v>0.08</v>
      </c>
      <c r="P2014" s="95">
        <v>0.31</v>
      </c>
      <c r="Q2014" s="95">
        <v>0.49</v>
      </c>
      <c r="R2014" s="96">
        <v>0.11</v>
      </c>
    </row>
    <row r="2015" spans="1:18" ht="15" hidden="1" customHeight="1" x14ac:dyDescent="0.3">
      <c r="A2015" s="89">
        <v>2023</v>
      </c>
      <c r="B2015" s="90">
        <v>4</v>
      </c>
      <c r="C2015" s="90" t="s">
        <v>725</v>
      </c>
      <c r="D2015" s="90" t="s">
        <v>722</v>
      </c>
      <c r="E2015" s="91" t="s">
        <v>11</v>
      </c>
      <c r="F2015" s="92" t="s">
        <v>720</v>
      </c>
      <c r="G2015" s="93">
        <v>26525.13</v>
      </c>
      <c r="H2015" s="93">
        <v>46677.32</v>
      </c>
      <c r="I2015" s="93">
        <v>2397.5457928860201</v>
      </c>
      <c r="J2015" s="93">
        <v>360326.12</v>
      </c>
      <c r="K2015" s="93">
        <v>183472.44</v>
      </c>
      <c r="L2015" s="93">
        <v>163638.01999999999</v>
      </c>
      <c r="M2015" s="93">
        <v>927959.02</v>
      </c>
      <c r="N2015" s="95">
        <v>0.03</v>
      </c>
      <c r="O2015" s="95">
        <v>0.06</v>
      </c>
      <c r="P2015" s="95">
        <v>0.19</v>
      </c>
      <c r="Q2015" s="95">
        <v>0.47</v>
      </c>
      <c r="R2015" s="96">
        <v>0.24</v>
      </c>
    </row>
    <row r="2016" spans="1:18" ht="15" hidden="1" customHeight="1" x14ac:dyDescent="0.3">
      <c r="A2016" s="89">
        <v>2023</v>
      </c>
      <c r="B2016" s="90">
        <v>4</v>
      </c>
      <c r="C2016" s="90" t="s">
        <v>725</v>
      </c>
      <c r="D2016" s="90" t="s">
        <v>722</v>
      </c>
      <c r="E2016" s="91" t="s">
        <v>11</v>
      </c>
      <c r="F2016" s="92" t="s">
        <v>39</v>
      </c>
      <c r="G2016" s="93">
        <v>20162.22</v>
      </c>
      <c r="H2016" s="93">
        <v>112328.2</v>
      </c>
      <c r="I2016" s="93">
        <v>2397.5457928860201</v>
      </c>
      <c r="J2016" s="93">
        <v>85518.55</v>
      </c>
      <c r="K2016" s="93">
        <v>11230.42</v>
      </c>
      <c r="L2016" s="93">
        <v>11979.88</v>
      </c>
      <c r="M2016" s="93">
        <v>331195.63</v>
      </c>
      <c r="N2016" s="95">
        <v>0.06</v>
      </c>
      <c r="O2016" s="95">
        <v>0.35</v>
      </c>
      <c r="P2016" s="95">
        <v>0.28000000000000003</v>
      </c>
      <c r="Q2016" s="95">
        <v>0.27</v>
      </c>
      <c r="R2016" s="96">
        <v>0.04</v>
      </c>
    </row>
    <row r="2017" spans="1:18" ht="15" hidden="1" customHeight="1" x14ac:dyDescent="0.3">
      <c r="A2017" s="89">
        <v>2023</v>
      </c>
      <c r="B2017" s="90">
        <v>4</v>
      </c>
      <c r="C2017" s="90" t="s">
        <v>725</v>
      </c>
      <c r="D2017" s="90" t="s">
        <v>722</v>
      </c>
      <c r="E2017" s="91" t="s">
        <v>11</v>
      </c>
      <c r="F2017" s="92" t="s">
        <v>40</v>
      </c>
      <c r="G2017" s="93">
        <v>13340.71</v>
      </c>
      <c r="H2017" s="93">
        <v>48735.11</v>
      </c>
      <c r="I2017" s="93">
        <v>2397.5457928860201</v>
      </c>
      <c r="J2017" s="93">
        <v>120234.24000000001</v>
      </c>
      <c r="K2017" s="93">
        <v>7450</v>
      </c>
      <c r="L2017" s="93">
        <v>6327.53</v>
      </c>
      <c r="M2017" s="93">
        <v>326305.03999999998</v>
      </c>
      <c r="N2017" s="95">
        <v>0.04</v>
      </c>
      <c r="O2017" s="95">
        <v>0.15</v>
      </c>
      <c r="P2017" s="95">
        <v>0.41</v>
      </c>
      <c r="Q2017" s="95">
        <v>0.38</v>
      </c>
      <c r="R2017" s="96">
        <v>0.02</v>
      </c>
    </row>
    <row r="2018" spans="1:18" ht="15" hidden="1" customHeight="1" x14ac:dyDescent="0.3">
      <c r="A2018" s="89">
        <v>2023</v>
      </c>
      <c r="B2018" s="90">
        <v>4</v>
      </c>
      <c r="C2018" s="90" t="s">
        <v>725</v>
      </c>
      <c r="D2018" s="90" t="s">
        <v>722</v>
      </c>
      <c r="E2018" s="91" t="s">
        <v>11</v>
      </c>
      <c r="F2018" s="92" t="s">
        <v>41</v>
      </c>
      <c r="G2018" s="93">
        <v>10172.780000000001</v>
      </c>
      <c r="H2018" s="93">
        <v>5822.17</v>
      </c>
      <c r="I2018" s="93">
        <v>2397.5457928860201</v>
      </c>
      <c r="J2018" s="93">
        <v>299.72000000000003</v>
      </c>
      <c r="K2018" s="93">
        <v>23.19</v>
      </c>
      <c r="L2018" s="93">
        <v>526.5</v>
      </c>
      <c r="M2018" s="93">
        <v>18714.330000000002</v>
      </c>
      <c r="N2018" s="95">
        <v>0.56000000000000005</v>
      </c>
      <c r="O2018" s="95">
        <v>0.32</v>
      </c>
      <c r="P2018" s="95">
        <v>0.1</v>
      </c>
      <c r="Q2018" s="95">
        <v>0.02</v>
      </c>
      <c r="R2018" s="96">
        <v>0</v>
      </c>
    </row>
    <row r="2019" spans="1:18" ht="15" hidden="1" customHeight="1" x14ac:dyDescent="0.3">
      <c r="A2019" s="89">
        <v>2023</v>
      </c>
      <c r="B2019" s="90">
        <v>4</v>
      </c>
      <c r="C2019" s="90" t="s">
        <v>725</v>
      </c>
      <c r="D2019" s="90" t="s">
        <v>722</v>
      </c>
      <c r="E2019" s="91" t="s">
        <v>11</v>
      </c>
      <c r="F2019" s="92" t="s">
        <v>42</v>
      </c>
      <c r="G2019" s="93">
        <v>42314.7</v>
      </c>
      <c r="H2019" s="93">
        <v>240283.6</v>
      </c>
      <c r="I2019" s="93">
        <v>2397.5457928860201</v>
      </c>
      <c r="J2019" s="93">
        <v>93675.87</v>
      </c>
      <c r="K2019" s="93">
        <v>4490.83</v>
      </c>
      <c r="L2019" s="93">
        <v>24380.67</v>
      </c>
      <c r="M2019" s="93">
        <v>620824.21</v>
      </c>
      <c r="N2019" s="95">
        <v>7.0000000000000007E-2</v>
      </c>
      <c r="O2019" s="95">
        <v>0.4</v>
      </c>
      <c r="P2019" s="95">
        <v>0.36</v>
      </c>
      <c r="Q2019" s="95">
        <v>0.16</v>
      </c>
      <c r="R2019" s="96">
        <v>0.01</v>
      </c>
    </row>
    <row r="2020" spans="1:18" ht="15" hidden="1" customHeight="1" x14ac:dyDescent="0.3">
      <c r="A2020" s="89">
        <v>2023</v>
      </c>
      <c r="B2020" s="90">
        <v>4</v>
      </c>
      <c r="C2020" s="90" t="s">
        <v>725</v>
      </c>
      <c r="D2020" s="90" t="s">
        <v>722</v>
      </c>
      <c r="E2020" s="91" t="s">
        <v>11</v>
      </c>
      <c r="F2020" s="92" t="s">
        <v>43</v>
      </c>
      <c r="G2020" s="93">
        <v>16725.54</v>
      </c>
      <c r="H2020" s="93">
        <v>32953.480000000003</v>
      </c>
      <c r="I2020" s="93">
        <v>2397.5457928860201</v>
      </c>
      <c r="J2020" s="93">
        <v>2395.86</v>
      </c>
      <c r="K2020" s="93">
        <v>142.84</v>
      </c>
      <c r="L2020" s="93">
        <v>125977.34</v>
      </c>
      <c r="M2020" s="93">
        <v>185575.52</v>
      </c>
      <c r="N2020" s="95">
        <v>0.28000000000000003</v>
      </c>
      <c r="O2020" s="95">
        <v>0.55000000000000004</v>
      </c>
      <c r="P2020" s="95">
        <v>0.12</v>
      </c>
      <c r="Q2020" s="95">
        <v>0.04</v>
      </c>
      <c r="R2020" s="96">
        <v>0</v>
      </c>
    </row>
    <row r="2021" spans="1:18" ht="15" hidden="1" customHeight="1" x14ac:dyDescent="0.3">
      <c r="A2021" s="89">
        <v>2023</v>
      </c>
      <c r="B2021" s="90">
        <v>4</v>
      </c>
      <c r="C2021" s="90" t="s">
        <v>725</v>
      </c>
      <c r="D2021" s="90" t="s">
        <v>722</v>
      </c>
      <c r="E2021" s="91" t="s">
        <v>11</v>
      </c>
      <c r="F2021" s="92" t="s">
        <v>58</v>
      </c>
      <c r="G2021" s="93">
        <v>24776.48</v>
      </c>
      <c r="H2021" s="93">
        <v>124176.38</v>
      </c>
      <c r="I2021" s="93">
        <v>2397.5457928860201</v>
      </c>
      <c r="J2021" s="93">
        <v>38793.629999999997</v>
      </c>
      <c r="K2021" s="93">
        <v>2131.87</v>
      </c>
      <c r="L2021" s="93">
        <v>4143.12</v>
      </c>
      <c r="M2021" s="93">
        <v>371477.13</v>
      </c>
      <c r="N2021" s="95">
        <v>7.0000000000000007E-2</v>
      </c>
      <c r="O2021" s="95">
        <v>0.34</v>
      </c>
      <c r="P2021" s="95">
        <v>0.48</v>
      </c>
      <c r="Q2021" s="95">
        <v>0.11</v>
      </c>
      <c r="R2021" s="96">
        <v>0.01</v>
      </c>
    </row>
    <row r="2022" spans="1:18" ht="15" hidden="1" customHeight="1" x14ac:dyDescent="0.3">
      <c r="A2022" s="89">
        <v>2023</v>
      </c>
      <c r="B2022" s="90">
        <v>4</v>
      </c>
      <c r="C2022" s="90" t="s">
        <v>725</v>
      </c>
      <c r="D2022" s="90" t="s">
        <v>722</v>
      </c>
      <c r="E2022" s="91" t="s">
        <v>11</v>
      </c>
      <c r="F2022" s="92" t="s">
        <v>44</v>
      </c>
      <c r="G2022" s="93">
        <v>2232.09</v>
      </c>
      <c r="H2022" s="93">
        <v>3489.65</v>
      </c>
      <c r="I2022" s="93">
        <v>2397.5457928860201</v>
      </c>
      <c r="J2022" s="93">
        <v>76703.41</v>
      </c>
      <c r="K2022" s="93">
        <v>68320.84</v>
      </c>
      <c r="L2022" s="93">
        <v>46262.93</v>
      </c>
      <c r="M2022" s="93">
        <v>215729.36</v>
      </c>
      <c r="N2022" s="95">
        <v>0.01</v>
      </c>
      <c r="O2022" s="95">
        <v>0.02</v>
      </c>
      <c r="P2022" s="95">
        <v>0.11</v>
      </c>
      <c r="Q2022" s="95">
        <v>0.45</v>
      </c>
      <c r="R2022" s="96">
        <v>0.4</v>
      </c>
    </row>
    <row r="2023" spans="1:18" ht="15" hidden="1" customHeight="1" x14ac:dyDescent="0.3">
      <c r="A2023" s="89">
        <v>2023</v>
      </c>
      <c r="B2023" s="90">
        <v>4</v>
      </c>
      <c r="C2023" s="90" t="s">
        <v>725</v>
      </c>
      <c r="D2023" s="90" t="s">
        <v>722</v>
      </c>
      <c r="E2023" s="91" t="s">
        <v>11</v>
      </c>
      <c r="F2023" s="92" t="s">
        <v>51</v>
      </c>
      <c r="G2023" s="93">
        <v>13005.47</v>
      </c>
      <c r="H2023" s="93">
        <v>38007.129999999997</v>
      </c>
      <c r="I2023" s="93">
        <v>2397.5457928860201</v>
      </c>
      <c r="J2023" s="93">
        <v>60369.78</v>
      </c>
      <c r="K2023" s="93">
        <v>9456.36</v>
      </c>
      <c r="L2023" s="93">
        <v>3387.88</v>
      </c>
      <c r="M2023" s="93">
        <v>211175.65</v>
      </c>
      <c r="N2023" s="95">
        <v>0.06</v>
      </c>
      <c r="O2023" s="95">
        <v>0.18</v>
      </c>
      <c r="P2023" s="95">
        <v>0.42</v>
      </c>
      <c r="Q2023" s="95">
        <v>0.28999999999999998</v>
      </c>
      <c r="R2023" s="96">
        <v>0.05</v>
      </c>
    </row>
    <row r="2024" spans="1:18" ht="15" hidden="1" customHeight="1" x14ac:dyDescent="0.3">
      <c r="A2024" s="89">
        <v>2023</v>
      </c>
      <c r="B2024" s="90">
        <v>4</v>
      </c>
      <c r="C2024" s="90" t="s">
        <v>725</v>
      </c>
      <c r="D2024" s="90" t="s">
        <v>722</v>
      </c>
      <c r="E2024" s="91" t="s">
        <v>11</v>
      </c>
      <c r="F2024" s="92" t="s">
        <v>45</v>
      </c>
      <c r="G2024" s="93">
        <v>2242.58</v>
      </c>
      <c r="H2024" s="93">
        <v>6373.99</v>
      </c>
      <c r="I2024" s="93">
        <v>2397.5457928860201</v>
      </c>
      <c r="J2024" s="93">
        <v>43958.51</v>
      </c>
      <c r="K2024" s="93">
        <v>13258.39</v>
      </c>
      <c r="L2024" s="93">
        <v>49665.66</v>
      </c>
      <c r="M2024" s="93">
        <v>134096.20000000001</v>
      </c>
      <c r="N2024" s="95">
        <v>0.03</v>
      </c>
      <c r="O2024" s="95">
        <v>0.08</v>
      </c>
      <c r="P2024" s="95">
        <v>0.22</v>
      </c>
      <c r="Q2024" s="95">
        <v>0.52</v>
      </c>
      <c r="R2024" s="96">
        <v>0.16</v>
      </c>
    </row>
    <row r="2025" spans="1:18" ht="15" hidden="1" customHeight="1" x14ac:dyDescent="0.3">
      <c r="A2025" s="89">
        <v>2023</v>
      </c>
      <c r="B2025" s="90">
        <v>4</v>
      </c>
      <c r="C2025" s="90" t="s">
        <v>725</v>
      </c>
      <c r="D2025" s="90" t="s">
        <v>722</v>
      </c>
      <c r="E2025" s="91" t="s">
        <v>11</v>
      </c>
      <c r="F2025" s="92" t="s">
        <v>721</v>
      </c>
      <c r="G2025" s="93">
        <v>32498.03</v>
      </c>
      <c r="H2025" s="93">
        <v>116449.81</v>
      </c>
      <c r="I2025" s="93">
        <v>2397.5457928860201</v>
      </c>
      <c r="J2025" s="93">
        <v>30280.639999999999</v>
      </c>
      <c r="K2025" s="93">
        <v>1192.55</v>
      </c>
      <c r="L2025" s="93">
        <v>4.34</v>
      </c>
      <c r="M2025" s="93">
        <v>309330.63</v>
      </c>
      <c r="N2025" s="95">
        <v>0.11</v>
      </c>
      <c r="O2025" s="95">
        <v>0.38</v>
      </c>
      <c r="P2025" s="95">
        <v>0.42</v>
      </c>
      <c r="Q2025" s="95">
        <v>0.1</v>
      </c>
      <c r="R2025" s="96">
        <v>0</v>
      </c>
    </row>
    <row r="2026" spans="1:18" ht="15" hidden="1" customHeight="1" x14ac:dyDescent="0.3">
      <c r="A2026" s="89">
        <v>2023</v>
      </c>
      <c r="B2026" s="90">
        <v>4</v>
      </c>
      <c r="C2026" s="90" t="s">
        <v>725</v>
      </c>
      <c r="D2026" s="90" t="s">
        <v>722</v>
      </c>
      <c r="E2026" s="91" t="s">
        <v>11</v>
      </c>
      <c r="F2026" s="92" t="s">
        <v>46</v>
      </c>
      <c r="G2026" s="93">
        <v>32744.14</v>
      </c>
      <c r="H2026" s="93">
        <v>82349.259999999995</v>
      </c>
      <c r="I2026" s="93">
        <v>2397.5457928860201</v>
      </c>
      <c r="J2026" s="93">
        <v>5280.85</v>
      </c>
      <c r="K2026" s="93">
        <v>612.25</v>
      </c>
      <c r="L2026" s="93">
        <v>4463.3500000000004</v>
      </c>
      <c r="M2026" s="93">
        <v>149074.81</v>
      </c>
      <c r="N2026" s="95">
        <v>0.23</v>
      </c>
      <c r="O2026" s="95">
        <v>0.56999999999999995</v>
      </c>
      <c r="P2026" s="95">
        <v>0.16</v>
      </c>
      <c r="Q2026" s="95">
        <v>0.04</v>
      </c>
      <c r="R2026" s="96">
        <v>0</v>
      </c>
    </row>
    <row r="2027" spans="1:18" ht="15" hidden="1" customHeight="1" x14ac:dyDescent="0.3">
      <c r="A2027" s="89">
        <v>2023</v>
      </c>
      <c r="B2027" s="90">
        <v>4</v>
      </c>
      <c r="C2027" s="90" t="s">
        <v>725</v>
      </c>
      <c r="D2027" s="90" t="s">
        <v>722</v>
      </c>
      <c r="E2027" s="91" t="s">
        <v>11</v>
      </c>
      <c r="F2027" s="92" t="s">
        <v>47</v>
      </c>
      <c r="G2027" s="93">
        <v>48828.959999999999</v>
      </c>
      <c r="H2027" s="93">
        <v>338886.96</v>
      </c>
      <c r="I2027" s="93">
        <v>2397.5457928860201</v>
      </c>
      <c r="J2027" s="93">
        <v>290302.03999999998</v>
      </c>
      <c r="K2027" s="93">
        <v>78071.56</v>
      </c>
      <c r="L2027" s="93">
        <v>107684.32</v>
      </c>
      <c r="M2027" s="93">
        <v>1441160.61</v>
      </c>
      <c r="N2027" s="95">
        <v>0.04</v>
      </c>
      <c r="O2027" s="95">
        <v>0.25</v>
      </c>
      <c r="P2027" s="95">
        <v>0.43</v>
      </c>
      <c r="Q2027" s="95">
        <v>0.22</v>
      </c>
      <c r="R2027" s="96">
        <v>0.06</v>
      </c>
    </row>
    <row r="2028" spans="1:18" ht="15" hidden="1" customHeight="1" x14ac:dyDescent="0.3">
      <c r="A2028" s="89">
        <v>2023</v>
      </c>
      <c r="B2028" s="90">
        <v>4</v>
      </c>
      <c r="C2028" s="90" t="s">
        <v>725</v>
      </c>
      <c r="D2028" s="90" t="s">
        <v>722</v>
      </c>
      <c r="E2028" s="91" t="s">
        <v>11</v>
      </c>
      <c r="F2028" s="92" t="s">
        <v>48</v>
      </c>
      <c r="G2028" s="93">
        <v>1177.2</v>
      </c>
      <c r="H2028" s="93">
        <v>1361.67</v>
      </c>
      <c r="I2028" s="93">
        <v>2397.5457928860201</v>
      </c>
      <c r="J2028" s="93">
        <v>56236.480000000003</v>
      </c>
      <c r="K2028" s="93">
        <v>30587.73</v>
      </c>
      <c r="L2028" s="93">
        <v>8896.33</v>
      </c>
      <c r="M2028" s="93">
        <v>110314.47</v>
      </c>
      <c r="N2028" s="95">
        <v>0.01</v>
      </c>
      <c r="O2028" s="95">
        <v>0.01</v>
      </c>
      <c r="P2028" s="95">
        <v>0.12</v>
      </c>
      <c r="Q2028" s="95">
        <v>0.55000000000000004</v>
      </c>
      <c r="R2028" s="96">
        <v>0.3</v>
      </c>
    </row>
    <row r="2029" spans="1:18" ht="15" hidden="1" customHeight="1" x14ac:dyDescent="0.3">
      <c r="A2029" s="89">
        <v>2023</v>
      </c>
      <c r="B2029" s="90">
        <v>5</v>
      </c>
      <c r="C2029" s="90" t="s">
        <v>726</v>
      </c>
      <c r="D2029" s="90" t="s">
        <v>719</v>
      </c>
      <c r="E2029" s="91" t="s">
        <v>11</v>
      </c>
      <c r="F2029" s="92" t="s">
        <v>12</v>
      </c>
      <c r="G2029" s="93">
        <v>33562.92</v>
      </c>
      <c r="H2029" s="93">
        <v>130714.01</v>
      </c>
      <c r="I2029" s="93">
        <v>2397.5457928860201</v>
      </c>
      <c r="J2029" s="93">
        <v>38534.22</v>
      </c>
      <c r="K2029" s="93">
        <v>637.6</v>
      </c>
      <c r="L2029" s="93">
        <v>52256.52</v>
      </c>
      <c r="M2029" s="93">
        <v>433311.44</v>
      </c>
      <c r="N2029" s="95">
        <v>0.09</v>
      </c>
      <c r="O2029" s="95">
        <v>0.34</v>
      </c>
      <c r="P2029" s="95">
        <v>0.47</v>
      </c>
      <c r="Q2029" s="95">
        <v>0.1</v>
      </c>
      <c r="R2029" s="96">
        <v>0</v>
      </c>
    </row>
    <row r="2030" spans="1:18" ht="15" hidden="1" customHeight="1" x14ac:dyDescent="0.3">
      <c r="A2030" s="89">
        <v>2023</v>
      </c>
      <c r="B2030" s="90">
        <v>5</v>
      </c>
      <c r="C2030" s="90" t="s">
        <v>726</v>
      </c>
      <c r="D2030" s="90" t="s">
        <v>719</v>
      </c>
      <c r="E2030" s="91" t="s">
        <v>11</v>
      </c>
      <c r="F2030" s="92" t="s">
        <v>26</v>
      </c>
      <c r="G2030" s="93">
        <v>66443.149999999994</v>
      </c>
      <c r="H2030" s="93">
        <v>166863.1</v>
      </c>
      <c r="I2030" s="93">
        <v>2397.5457928860201</v>
      </c>
      <c r="J2030" s="93">
        <v>354437.2</v>
      </c>
      <c r="K2030" s="93">
        <v>29445.86</v>
      </c>
      <c r="L2030" s="93">
        <v>257412.65</v>
      </c>
      <c r="M2030" s="93">
        <v>1302393.77</v>
      </c>
      <c r="N2030" s="95">
        <v>0.06</v>
      </c>
      <c r="O2030" s="95">
        <v>0.16</v>
      </c>
      <c r="P2030" s="95">
        <v>0.41</v>
      </c>
      <c r="Q2030" s="95">
        <v>0.34</v>
      </c>
      <c r="R2030" s="96">
        <v>0.03</v>
      </c>
    </row>
    <row r="2031" spans="1:18" ht="15" hidden="1" customHeight="1" x14ac:dyDescent="0.3">
      <c r="A2031" s="89">
        <v>2023</v>
      </c>
      <c r="B2031" s="90">
        <v>5</v>
      </c>
      <c r="C2031" s="90" t="s">
        <v>726</v>
      </c>
      <c r="D2031" s="90" t="s">
        <v>719</v>
      </c>
      <c r="E2031" s="91" t="s">
        <v>11</v>
      </c>
      <c r="F2031" s="92" t="s">
        <v>27</v>
      </c>
      <c r="G2031" s="93">
        <v>46492.08</v>
      </c>
      <c r="H2031" s="93">
        <v>101206.5</v>
      </c>
      <c r="I2031" s="93">
        <v>2397.5457928860201</v>
      </c>
      <c r="J2031" s="93">
        <v>3750.86</v>
      </c>
      <c r="K2031" s="93">
        <v>563.24</v>
      </c>
      <c r="L2031" s="93">
        <v>31767.8</v>
      </c>
      <c r="M2031" s="93">
        <v>226689.38</v>
      </c>
      <c r="N2031" s="95">
        <v>0.24</v>
      </c>
      <c r="O2031" s="95">
        <v>0.52</v>
      </c>
      <c r="P2031" s="95">
        <v>0.22</v>
      </c>
      <c r="Q2031" s="95">
        <v>0.02</v>
      </c>
      <c r="R2031" s="96">
        <v>0</v>
      </c>
    </row>
    <row r="2032" spans="1:18" ht="15" hidden="1" customHeight="1" x14ac:dyDescent="0.3">
      <c r="A2032" s="89">
        <v>2023</v>
      </c>
      <c r="B2032" s="90">
        <v>5</v>
      </c>
      <c r="C2032" s="90" t="s">
        <v>726</v>
      </c>
      <c r="D2032" s="90" t="s">
        <v>719</v>
      </c>
      <c r="E2032" s="91" t="s">
        <v>11</v>
      </c>
      <c r="F2032" s="92" t="s">
        <v>28</v>
      </c>
      <c r="G2032" s="93">
        <v>24923.91</v>
      </c>
      <c r="H2032" s="93">
        <v>127034.71</v>
      </c>
      <c r="I2032" s="93">
        <v>2397.5457928860201</v>
      </c>
      <c r="J2032" s="93">
        <v>44256.25</v>
      </c>
      <c r="K2032" s="93">
        <v>1102.72</v>
      </c>
      <c r="L2032" s="93">
        <v>5449.15</v>
      </c>
      <c r="M2032" s="93">
        <v>373104.4</v>
      </c>
      <c r="N2032" s="95">
        <v>7.0000000000000007E-2</v>
      </c>
      <c r="O2032" s="95">
        <v>0.35</v>
      </c>
      <c r="P2032" s="95">
        <v>0.46</v>
      </c>
      <c r="Q2032" s="95">
        <v>0.12</v>
      </c>
      <c r="R2032" s="96">
        <v>0</v>
      </c>
    </row>
    <row r="2033" spans="1:18" ht="15" customHeight="1" x14ac:dyDescent="0.3">
      <c r="A2033" s="89">
        <v>2023</v>
      </c>
      <c r="B2033" s="90">
        <v>5</v>
      </c>
      <c r="C2033" s="90" t="s">
        <v>726</v>
      </c>
      <c r="D2033" s="90" t="s">
        <v>719</v>
      </c>
      <c r="E2033" s="91" t="s">
        <v>11</v>
      </c>
      <c r="F2033" s="92" t="s">
        <v>29</v>
      </c>
      <c r="G2033" s="93">
        <v>11146.71</v>
      </c>
      <c r="H2033" s="93">
        <v>29726.61</v>
      </c>
      <c r="I2033" s="93">
        <v>2397.5457928860201</v>
      </c>
      <c r="J2033" s="93">
        <v>115702.05</v>
      </c>
      <c r="K2033" s="93">
        <v>57893.13</v>
      </c>
      <c r="L2033" s="93">
        <v>71369.460000000006</v>
      </c>
      <c r="M2033" s="93">
        <v>354391.76</v>
      </c>
      <c r="N2033" s="95">
        <v>0.04</v>
      </c>
      <c r="O2033" s="95">
        <v>0.11</v>
      </c>
      <c r="P2033" s="95">
        <v>0.24</v>
      </c>
      <c r="Q2033" s="95">
        <v>0.41</v>
      </c>
      <c r="R2033" s="96">
        <v>0.2</v>
      </c>
    </row>
    <row r="2034" spans="1:18" ht="15" hidden="1" customHeight="1" x14ac:dyDescent="0.3">
      <c r="A2034" s="89">
        <v>2023</v>
      </c>
      <c r="B2034" s="90">
        <v>5</v>
      </c>
      <c r="C2034" s="90" t="s">
        <v>726</v>
      </c>
      <c r="D2034" s="90" t="s">
        <v>719</v>
      </c>
      <c r="E2034" s="91" t="s">
        <v>11</v>
      </c>
      <c r="F2034" s="92" t="s">
        <v>30</v>
      </c>
      <c r="G2034" s="93">
        <v>1377.53</v>
      </c>
      <c r="H2034" s="93">
        <v>4599.4799999999996</v>
      </c>
      <c r="I2034" s="93">
        <v>2397.5457928860201</v>
      </c>
      <c r="J2034" s="93">
        <v>1795.51</v>
      </c>
      <c r="K2034" s="93">
        <v>188.17</v>
      </c>
      <c r="L2034" s="93">
        <v>216113.27</v>
      </c>
      <c r="M2034" s="93">
        <v>230086.24</v>
      </c>
      <c r="N2034" s="95">
        <v>0.1</v>
      </c>
      <c r="O2034" s="95">
        <v>0.33</v>
      </c>
      <c r="P2034" s="95">
        <v>0.43</v>
      </c>
      <c r="Q2034" s="95">
        <v>0.13</v>
      </c>
      <c r="R2034" s="96">
        <v>0.01</v>
      </c>
    </row>
    <row r="2035" spans="1:18" ht="15" hidden="1" customHeight="1" x14ac:dyDescent="0.3">
      <c r="A2035" s="89">
        <v>2023</v>
      </c>
      <c r="B2035" s="90">
        <v>5</v>
      </c>
      <c r="C2035" s="90" t="s">
        <v>726</v>
      </c>
      <c r="D2035" s="90" t="s">
        <v>719</v>
      </c>
      <c r="E2035" s="91" t="s">
        <v>11</v>
      </c>
      <c r="F2035" s="92" t="s">
        <v>31</v>
      </c>
      <c r="G2035" s="93">
        <v>3781.26</v>
      </c>
      <c r="H2035" s="93">
        <v>90990.39</v>
      </c>
      <c r="I2035" s="93">
        <v>2397.5457928860201</v>
      </c>
      <c r="J2035" s="93">
        <v>26429.68</v>
      </c>
      <c r="K2035" s="93">
        <v>5692</v>
      </c>
      <c r="L2035" s="93">
        <v>45106.22</v>
      </c>
      <c r="M2035" s="93">
        <v>251948.86</v>
      </c>
      <c r="N2035" s="95">
        <v>0.02</v>
      </c>
      <c r="O2035" s="95">
        <v>0.44</v>
      </c>
      <c r="P2035" s="95">
        <v>0.39</v>
      </c>
      <c r="Q2035" s="95">
        <v>0.13</v>
      </c>
      <c r="R2035" s="96">
        <v>0.03</v>
      </c>
    </row>
    <row r="2036" spans="1:18" ht="15" hidden="1" customHeight="1" x14ac:dyDescent="0.3">
      <c r="A2036" s="89">
        <v>2023</v>
      </c>
      <c r="B2036" s="90">
        <v>5</v>
      </c>
      <c r="C2036" s="90" t="s">
        <v>726</v>
      </c>
      <c r="D2036" s="90" t="s">
        <v>719</v>
      </c>
      <c r="E2036" s="91" t="s">
        <v>11</v>
      </c>
      <c r="F2036" s="92" t="s">
        <v>32</v>
      </c>
      <c r="G2036" s="93">
        <v>31536.39</v>
      </c>
      <c r="H2036" s="93">
        <v>85472.41</v>
      </c>
      <c r="I2036" s="93">
        <v>2397.5457928860201</v>
      </c>
      <c r="J2036" s="93">
        <v>192515.27</v>
      </c>
      <c r="K2036" s="93">
        <v>47590.27</v>
      </c>
      <c r="L2036" s="93">
        <v>62803.21</v>
      </c>
      <c r="M2036" s="93">
        <v>609521.87</v>
      </c>
      <c r="N2036" s="95">
        <v>0.06</v>
      </c>
      <c r="O2036" s="95">
        <v>0.16</v>
      </c>
      <c r="P2036" s="95">
        <v>0.35</v>
      </c>
      <c r="Q2036" s="95">
        <v>0.35</v>
      </c>
      <c r="R2036" s="96">
        <v>0.09</v>
      </c>
    </row>
    <row r="2037" spans="1:18" ht="15" hidden="1" customHeight="1" x14ac:dyDescent="0.3">
      <c r="A2037" s="89">
        <v>2023</v>
      </c>
      <c r="B2037" s="90">
        <v>5</v>
      </c>
      <c r="C2037" s="90" t="s">
        <v>726</v>
      </c>
      <c r="D2037" s="90" t="s">
        <v>719</v>
      </c>
      <c r="E2037" s="91" t="s">
        <v>11</v>
      </c>
      <c r="F2037" s="92" t="s">
        <v>33</v>
      </c>
      <c r="G2037" s="93">
        <v>98798.32</v>
      </c>
      <c r="H2037" s="93">
        <v>366198.4</v>
      </c>
      <c r="I2037" s="93">
        <v>2397.5457928860201</v>
      </c>
      <c r="J2037" s="93">
        <v>262034.8</v>
      </c>
      <c r="K2037" s="93">
        <v>11759.92</v>
      </c>
      <c r="L2037" s="93">
        <v>35143.82</v>
      </c>
      <c r="M2037" s="93">
        <v>1352055.51</v>
      </c>
      <c r="N2037" s="95">
        <v>0.08</v>
      </c>
      <c r="O2037" s="95">
        <v>0.28000000000000003</v>
      </c>
      <c r="P2037" s="95">
        <v>0.44</v>
      </c>
      <c r="Q2037" s="95">
        <v>0.2</v>
      </c>
      <c r="R2037" s="96">
        <v>0.01</v>
      </c>
    </row>
    <row r="2038" spans="1:18" ht="15" hidden="1" customHeight="1" x14ac:dyDescent="0.3">
      <c r="A2038" s="89">
        <v>2023</v>
      </c>
      <c r="B2038" s="90">
        <v>5</v>
      </c>
      <c r="C2038" s="90" t="s">
        <v>726</v>
      </c>
      <c r="D2038" s="90" t="s">
        <v>719</v>
      </c>
      <c r="E2038" s="91" t="s">
        <v>11</v>
      </c>
      <c r="F2038" s="92" t="s">
        <v>34</v>
      </c>
      <c r="G2038" s="93">
        <v>33761.68</v>
      </c>
      <c r="H2038" s="93">
        <v>101531.76</v>
      </c>
      <c r="I2038" s="93">
        <v>2397.5457928860201</v>
      </c>
      <c r="J2038" s="93">
        <v>237354.17</v>
      </c>
      <c r="K2038" s="93">
        <v>40928.75</v>
      </c>
      <c r="L2038" s="93">
        <v>43678.66</v>
      </c>
      <c r="M2038" s="93">
        <v>713628.98</v>
      </c>
      <c r="N2038" s="95">
        <v>0.05</v>
      </c>
      <c r="O2038" s="95">
        <v>0.15</v>
      </c>
      <c r="P2038" s="95">
        <v>0.38</v>
      </c>
      <c r="Q2038" s="95">
        <v>0.35</v>
      </c>
      <c r="R2038" s="96">
        <v>0.06</v>
      </c>
    </row>
    <row r="2039" spans="1:18" ht="15" hidden="1" customHeight="1" x14ac:dyDescent="0.3">
      <c r="A2039" s="89">
        <v>2023</v>
      </c>
      <c r="B2039" s="90">
        <v>5</v>
      </c>
      <c r="C2039" s="90" t="s">
        <v>726</v>
      </c>
      <c r="D2039" s="90" t="s">
        <v>719</v>
      </c>
      <c r="E2039" s="91" t="s">
        <v>11</v>
      </c>
      <c r="F2039" s="92" t="s">
        <v>35</v>
      </c>
      <c r="G2039" s="93">
        <v>36107.040000000001</v>
      </c>
      <c r="H2039" s="93">
        <v>113591.43</v>
      </c>
      <c r="I2039" s="93">
        <v>2397.5457928860201</v>
      </c>
      <c r="J2039" s="93">
        <v>75989.8</v>
      </c>
      <c r="K2039" s="93">
        <v>8282.69</v>
      </c>
      <c r="L2039" s="93">
        <v>235940.15</v>
      </c>
      <c r="M2039" s="93">
        <v>605861.19999999995</v>
      </c>
      <c r="N2039" s="95">
        <v>0.1</v>
      </c>
      <c r="O2039" s="95">
        <v>0.31</v>
      </c>
      <c r="P2039" s="95">
        <v>0.37</v>
      </c>
      <c r="Q2039" s="95">
        <v>0.21</v>
      </c>
      <c r="R2039" s="96">
        <v>0.02</v>
      </c>
    </row>
    <row r="2040" spans="1:18" ht="15" hidden="1" customHeight="1" x14ac:dyDescent="0.3">
      <c r="A2040" s="89">
        <v>2023</v>
      </c>
      <c r="B2040" s="90">
        <v>5</v>
      </c>
      <c r="C2040" s="90" t="s">
        <v>726</v>
      </c>
      <c r="D2040" s="90" t="s">
        <v>719</v>
      </c>
      <c r="E2040" s="91" t="s">
        <v>11</v>
      </c>
      <c r="F2040" s="92" t="s">
        <v>36</v>
      </c>
      <c r="G2040" s="93">
        <v>3529.82</v>
      </c>
      <c r="H2040" s="93">
        <v>21866.42</v>
      </c>
      <c r="I2040" s="93">
        <v>2397.5457928860201</v>
      </c>
      <c r="J2040" s="93">
        <v>100779.38</v>
      </c>
      <c r="K2040" s="93">
        <v>26176.880000000001</v>
      </c>
      <c r="L2040" s="93">
        <v>33241.82</v>
      </c>
      <c r="M2040" s="93">
        <v>258886.74</v>
      </c>
      <c r="N2040" s="95">
        <v>0.02</v>
      </c>
      <c r="O2040" s="95">
        <v>0.1</v>
      </c>
      <c r="P2040" s="95">
        <v>0.32</v>
      </c>
      <c r="Q2040" s="95">
        <v>0.45</v>
      </c>
      <c r="R2040" s="96">
        <v>0.12</v>
      </c>
    </row>
    <row r="2041" spans="1:18" ht="15" hidden="1" customHeight="1" x14ac:dyDescent="0.3">
      <c r="A2041" s="89">
        <v>2023</v>
      </c>
      <c r="B2041" s="90">
        <v>5</v>
      </c>
      <c r="C2041" s="90" t="s">
        <v>726</v>
      </c>
      <c r="D2041" s="90" t="s">
        <v>719</v>
      </c>
      <c r="E2041" s="91" t="s">
        <v>11</v>
      </c>
      <c r="F2041" s="92" t="s">
        <v>37</v>
      </c>
      <c r="G2041" s="93">
        <v>11909.97</v>
      </c>
      <c r="H2041" s="93">
        <v>40524.49</v>
      </c>
      <c r="I2041" s="93">
        <v>2397.5457928860201</v>
      </c>
      <c r="J2041" s="93">
        <v>158169.47</v>
      </c>
      <c r="K2041" s="93">
        <v>35994.94</v>
      </c>
      <c r="L2041" s="93">
        <v>148683.63</v>
      </c>
      <c r="M2041" s="93">
        <v>524074.32</v>
      </c>
      <c r="N2041" s="95">
        <v>0.03</v>
      </c>
      <c r="O2041" s="95">
        <v>0.11</v>
      </c>
      <c r="P2041" s="95">
        <v>0.34</v>
      </c>
      <c r="Q2041" s="95">
        <v>0.42</v>
      </c>
      <c r="R2041" s="96">
        <v>0.1</v>
      </c>
    </row>
    <row r="2042" spans="1:18" ht="15" hidden="1" customHeight="1" x14ac:dyDescent="0.3">
      <c r="A2042" s="89">
        <v>2023</v>
      </c>
      <c r="B2042" s="90">
        <v>5</v>
      </c>
      <c r="C2042" s="90" t="s">
        <v>726</v>
      </c>
      <c r="D2042" s="90" t="s">
        <v>719</v>
      </c>
      <c r="E2042" s="91" t="s">
        <v>11</v>
      </c>
      <c r="F2042" s="92" t="s">
        <v>720</v>
      </c>
      <c r="G2042" s="93">
        <v>46184.29</v>
      </c>
      <c r="H2042" s="93">
        <v>89738.03</v>
      </c>
      <c r="I2042" s="93">
        <v>2397.5457928860201</v>
      </c>
      <c r="J2042" s="93">
        <v>312672.71000000002</v>
      </c>
      <c r="K2042" s="93">
        <v>74281.78</v>
      </c>
      <c r="L2042" s="93">
        <v>168214.29</v>
      </c>
      <c r="M2042" s="93">
        <v>927959.02</v>
      </c>
      <c r="N2042" s="95">
        <v>0.06</v>
      </c>
      <c r="O2042" s="95">
        <v>0.12</v>
      </c>
      <c r="P2042" s="95">
        <v>0.31</v>
      </c>
      <c r="Q2042" s="95">
        <v>0.41</v>
      </c>
      <c r="R2042" s="96">
        <v>0.1</v>
      </c>
    </row>
    <row r="2043" spans="1:18" ht="15" hidden="1" customHeight="1" x14ac:dyDescent="0.3">
      <c r="A2043" s="89">
        <v>2023</v>
      </c>
      <c r="B2043" s="90">
        <v>5</v>
      </c>
      <c r="C2043" s="90" t="s">
        <v>726</v>
      </c>
      <c r="D2043" s="90" t="s">
        <v>719</v>
      </c>
      <c r="E2043" s="91" t="s">
        <v>11</v>
      </c>
      <c r="F2043" s="92" t="s">
        <v>39</v>
      </c>
      <c r="G2043" s="93">
        <v>33218.699999999997</v>
      </c>
      <c r="H2043" s="93">
        <v>78134.27</v>
      </c>
      <c r="I2043" s="93">
        <v>2397.5457928860201</v>
      </c>
      <c r="J2043" s="93">
        <v>51694.39</v>
      </c>
      <c r="K2043" s="93">
        <v>3369.58</v>
      </c>
      <c r="L2043" s="93">
        <v>73796.92</v>
      </c>
      <c r="M2043" s="93">
        <v>331195.63</v>
      </c>
      <c r="N2043" s="95">
        <v>0.13</v>
      </c>
      <c r="O2043" s="95">
        <v>0.3</v>
      </c>
      <c r="P2043" s="95">
        <v>0.35</v>
      </c>
      <c r="Q2043" s="95">
        <v>0.2</v>
      </c>
      <c r="R2043" s="96">
        <v>0.01</v>
      </c>
    </row>
    <row r="2044" spans="1:18" ht="15" hidden="1" customHeight="1" x14ac:dyDescent="0.3">
      <c r="A2044" s="89">
        <v>2023</v>
      </c>
      <c r="B2044" s="90">
        <v>5</v>
      </c>
      <c r="C2044" s="90" t="s">
        <v>726</v>
      </c>
      <c r="D2044" s="90" t="s">
        <v>719</v>
      </c>
      <c r="E2044" s="91" t="s">
        <v>11</v>
      </c>
      <c r="F2044" s="92" t="s">
        <v>40</v>
      </c>
      <c r="G2044" s="93">
        <v>19957.740000000002</v>
      </c>
      <c r="H2044" s="93">
        <v>65503.78</v>
      </c>
      <c r="I2044" s="93">
        <v>2397.5457928860201</v>
      </c>
      <c r="J2044" s="93">
        <v>89171.1</v>
      </c>
      <c r="K2044" s="93">
        <v>4697.93</v>
      </c>
      <c r="L2044" s="93">
        <v>8628.73</v>
      </c>
      <c r="M2044" s="93">
        <v>326305.03999999998</v>
      </c>
      <c r="N2044" s="95">
        <v>0.06</v>
      </c>
      <c r="O2044" s="95">
        <v>0.21</v>
      </c>
      <c r="P2044" s="95">
        <v>0.44</v>
      </c>
      <c r="Q2044" s="95">
        <v>0.28000000000000003</v>
      </c>
      <c r="R2044" s="96">
        <v>0.01</v>
      </c>
    </row>
    <row r="2045" spans="1:18" ht="15" hidden="1" customHeight="1" x14ac:dyDescent="0.3">
      <c r="A2045" s="89">
        <v>2023</v>
      </c>
      <c r="B2045" s="90">
        <v>5</v>
      </c>
      <c r="C2045" s="90" t="s">
        <v>726</v>
      </c>
      <c r="D2045" s="90" t="s">
        <v>719</v>
      </c>
      <c r="E2045" s="91" t="s">
        <v>11</v>
      </c>
      <c r="F2045" s="92" t="s">
        <v>41</v>
      </c>
      <c r="G2045" s="93">
        <v>6395.23</v>
      </c>
      <c r="H2045" s="93">
        <v>7108.96</v>
      </c>
      <c r="I2045" s="93">
        <v>2397.5457928860201</v>
      </c>
      <c r="J2045" s="93">
        <v>1142.25</v>
      </c>
      <c r="K2045" s="93">
        <v>73.099999999999994</v>
      </c>
      <c r="L2045" s="93">
        <v>78.75</v>
      </c>
      <c r="M2045" s="93">
        <v>18714.330000000002</v>
      </c>
      <c r="N2045" s="95">
        <v>0.34</v>
      </c>
      <c r="O2045" s="95">
        <v>0.38</v>
      </c>
      <c r="P2045" s="95">
        <v>0.21</v>
      </c>
      <c r="Q2045" s="95">
        <v>0.06</v>
      </c>
      <c r="R2045" s="96">
        <v>0</v>
      </c>
    </row>
    <row r="2046" spans="1:18" ht="15" hidden="1" customHeight="1" x14ac:dyDescent="0.3">
      <c r="A2046" s="89">
        <v>2023</v>
      </c>
      <c r="B2046" s="90">
        <v>5</v>
      </c>
      <c r="C2046" s="90" t="s">
        <v>726</v>
      </c>
      <c r="D2046" s="90" t="s">
        <v>719</v>
      </c>
      <c r="E2046" s="91" t="s">
        <v>11</v>
      </c>
      <c r="F2046" s="92" t="s">
        <v>42</v>
      </c>
      <c r="G2046" s="93">
        <v>35909.339999999997</v>
      </c>
      <c r="H2046" s="93">
        <v>241096.74</v>
      </c>
      <c r="I2046" s="93">
        <v>2397.5457928860201</v>
      </c>
      <c r="J2046" s="93">
        <v>22071.34</v>
      </c>
      <c r="K2046" s="93">
        <v>423.41</v>
      </c>
      <c r="L2046" s="93">
        <v>174153.67</v>
      </c>
      <c r="M2046" s="93">
        <v>620824.21</v>
      </c>
      <c r="N2046" s="95">
        <v>0.08</v>
      </c>
      <c r="O2046" s="95">
        <v>0.54</v>
      </c>
      <c r="P2046" s="95">
        <v>0.33</v>
      </c>
      <c r="Q2046" s="95">
        <v>0.05</v>
      </c>
      <c r="R2046" s="96">
        <v>0</v>
      </c>
    </row>
    <row r="2047" spans="1:18" ht="15" hidden="1" customHeight="1" x14ac:dyDescent="0.3">
      <c r="A2047" s="89">
        <v>2023</v>
      </c>
      <c r="B2047" s="90">
        <v>5</v>
      </c>
      <c r="C2047" s="90" t="s">
        <v>726</v>
      </c>
      <c r="D2047" s="90" t="s">
        <v>719</v>
      </c>
      <c r="E2047" s="91" t="s">
        <v>11</v>
      </c>
      <c r="F2047" s="92" t="s">
        <v>43</v>
      </c>
      <c r="G2047" s="93">
        <v>8981.02</v>
      </c>
      <c r="H2047" s="93">
        <v>44815.28</v>
      </c>
      <c r="I2047" s="93">
        <v>2397.5457928860201</v>
      </c>
      <c r="J2047" s="93">
        <v>2909.96</v>
      </c>
      <c r="K2047" s="93">
        <v>356.85</v>
      </c>
      <c r="L2047" s="93">
        <v>115598.63</v>
      </c>
      <c r="M2047" s="93">
        <v>185575.52</v>
      </c>
      <c r="N2047" s="95">
        <v>0.13</v>
      </c>
      <c r="O2047" s="95">
        <v>0.64</v>
      </c>
      <c r="P2047" s="95">
        <v>0.18</v>
      </c>
      <c r="Q2047" s="95">
        <v>0.04</v>
      </c>
      <c r="R2047" s="96">
        <v>0.01</v>
      </c>
    </row>
    <row r="2048" spans="1:18" ht="15" hidden="1" customHeight="1" x14ac:dyDescent="0.3">
      <c r="A2048" s="89">
        <v>2023</v>
      </c>
      <c r="B2048" s="90">
        <v>5</v>
      </c>
      <c r="C2048" s="90" t="s">
        <v>726</v>
      </c>
      <c r="D2048" s="90" t="s">
        <v>719</v>
      </c>
      <c r="E2048" s="91" t="s">
        <v>11</v>
      </c>
      <c r="F2048" s="92" t="s">
        <v>58</v>
      </c>
      <c r="G2048" s="93">
        <v>22215.95</v>
      </c>
      <c r="H2048" s="93">
        <v>139186.69</v>
      </c>
      <c r="I2048" s="93">
        <v>2397.5457928860201</v>
      </c>
      <c r="J2048" s="93">
        <v>28117.51</v>
      </c>
      <c r="K2048" s="93">
        <v>1241.05</v>
      </c>
      <c r="L2048" s="93">
        <v>5088</v>
      </c>
      <c r="M2048" s="93">
        <v>371477.13</v>
      </c>
      <c r="N2048" s="95">
        <v>0.06</v>
      </c>
      <c r="O2048" s="95">
        <v>0.38</v>
      </c>
      <c r="P2048" s="95">
        <v>0.48</v>
      </c>
      <c r="Q2048" s="95">
        <v>0.08</v>
      </c>
      <c r="R2048" s="96">
        <v>0</v>
      </c>
    </row>
    <row r="2049" spans="1:18" ht="15" hidden="1" customHeight="1" x14ac:dyDescent="0.3">
      <c r="A2049" s="89">
        <v>2023</v>
      </c>
      <c r="B2049" s="90">
        <v>5</v>
      </c>
      <c r="C2049" s="90" t="s">
        <v>726</v>
      </c>
      <c r="D2049" s="90" t="s">
        <v>719</v>
      </c>
      <c r="E2049" s="91" t="s">
        <v>11</v>
      </c>
      <c r="F2049" s="92" t="s">
        <v>44</v>
      </c>
      <c r="G2049" s="93">
        <v>4416.5</v>
      </c>
      <c r="H2049" s="93">
        <v>4259.1000000000004</v>
      </c>
      <c r="I2049" s="93">
        <v>2397.5457928860201</v>
      </c>
      <c r="J2049" s="93">
        <v>77783.77</v>
      </c>
      <c r="K2049" s="93">
        <v>68674.789999999994</v>
      </c>
      <c r="L2049" s="93">
        <v>43932.33</v>
      </c>
      <c r="M2049" s="93">
        <v>215729.36</v>
      </c>
      <c r="N2049" s="95">
        <v>0.03</v>
      </c>
      <c r="O2049" s="95">
        <v>0.02</v>
      </c>
      <c r="P2049" s="95">
        <v>0.1</v>
      </c>
      <c r="Q2049" s="95">
        <v>0.45</v>
      </c>
      <c r="R2049" s="96">
        <v>0.4</v>
      </c>
    </row>
    <row r="2050" spans="1:18" ht="15" hidden="1" customHeight="1" x14ac:dyDescent="0.3">
      <c r="A2050" s="89">
        <v>2023</v>
      </c>
      <c r="B2050" s="90">
        <v>5</v>
      </c>
      <c r="C2050" s="90" t="s">
        <v>726</v>
      </c>
      <c r="D2050" s="90" t="s">
        <v>719</v>
      </c>
      <c r="E2050" s="91" t="s">
        <v>11</v>
      </c>
      <c r="F2050" s="92" t="s">
        <v>51</v>
      </c>
      <c r="G2050" s="93">
        <v>9496.76</v>
      </c>
      <c r="H2050" s="93">
        <v>24902.78</v>
      </c>
      <c r="I2050" s="93">
        <v>2397.5457928860201</v>
      </c>
      <c r="J2050" s="93">
        <v>78331.5</v>
      </c>
      <c r="K2050" s="93">
        <v>23342.61</v>
      </c>
      <c r="L2050" s="93">
        <v>2156.85</v>
      </c>
      <c r="M2050" s="93">
        <v>211202.48</v>
      </c>
      <c r="N2050" s="95">
        <v>0.05</v>
      </c>
      <c r="O2050" s="95">
        <v>0.12</v>
      </c>
      <c r="P2050" s="95">
        <v>0.35</v>
      </c>
      <c r="Q2050" s="95">
        <v>0.37</v>
      </c>
      <c r="R2050" s="96">
        <v>0.11</v>
      </c>
    </row>
    <row r="2051" spans="1:18" ht="15" hidden="1" customHeight="1" x14ac:dyDescent="0.3">
      <c r="A2051" s="89">
        <v>2023</v>
      </c>
      <c r="B2051" s="90">
        <v>5</v>
      </c>
      <c r="C2051" s="90" t="s">
        <v>726</v>
      </c>
      <c r="D2051" s="90" t="s">
        <v>719</v>
      </c>
      <c r="E2051" s="91" t="s">
        <v>11</v>
      </c>
      <c r="F2051" s="92" t="s">
        <v>45</v>
      </c>
      <c r="G2051" s="93">
        <v>4576.83</v>
      </c>
      <c r="H2051" s="93">
        <v>10232.049999999999</v>
      </c>
      <c r="I2051" s="93">
        <v>2397.5457928860201</v>
      </c>
      <c r="J2051" s="93">
        <v>35136.5</v>
      </c>
      <c r="K2051" s="93">
        <v>6594.23</v>
      </c>
      <c r="L2051" s="93">
        <v>52572.69</v>
      </c>
      <c r="M2051" s="93">
        <v>134096.20000000001</v>
      </c>
      <c r="N2051" s="95">
        <v>0.06</v>
      </c>
      <c r="O2051" s="95">
        <v>0.13</v>
      </c>
      <c r="P2051" s="95">
        <v>0.31</v>
      </c>
      <c r="Q2051" s="95">
        <v>0.43</v>
      </c>
      <c r="R2051" s="96">
        <v>0.08</v>
      </c>
    </row>
    <row r="2052" spans="1:18" ht="15" hidden="1" customHeight="1" x14ac:dyDescent="0.3">
      <c r="A2052" s="89">
        <v>2023</v>
      </c>
      <c r="B2052" s="90">
        <v>5</v>
      </c>
      <c r="C2052" s="90" t="s">
        <v>726</v>
      </c>
      <c r="D2052" s="90" t="s">
        <v>719</v>
      </c>
      <c r="E2052" s="91" t="s">
        <v>11</v>
      </c>
      <c r="F2052" s="92" t="s">
        <v>721</v>
      </c>
      <c r="G2052" s="93">
        <v>59966.78</v>
      </c>
      <c r="H2052" s="93">
        <v>143325.44</v>
      </c>
      <c r="I2052" s="93">
        <v>2397.5457928860201</v>
      </c>
      <c r="J2052" s="93">
        <v>17146.080000000002</v>
      </c>
      <c r="K2052" s="93">
        <v>673.71</v>
      </c>
      <c r="L2052" s="93">
        <v>2744.69</v>
      </c>
      <c r="M2052" s="93">
        <v>309330.63</v>
      </c>
      <c r="N2052" s="95">
        <v>0.2</v>
      </c>
      <c r="O2052" s="95">
        <v>0.47</v>
      </c>
      <c r="P2052" s="95">
        <v>0.28000000000000003</v>
      </c>
      <c r="Q2052" s="95">
        <v>0.06</v>
      </c>
      <c r="R2052" s="96">
        <v>0</v>
      </c>
    </row>
    <row r="2053" spans="1:18" ht="15" hidden="1" customHeight="1" x14ac:dyDescent="0.3">
      <c r="A2053" s="89">
        <v>2023</v>
      </c>
      <c r="B2053" s="90">
        <v>5</v>
      </c>
      <c r="C2053" s="90" t="s">
        <v>726</v>
      </c>
      <c r="D2053" s="90" t="s">
        <v>719</v>
      </c>
      <c r="E2053" s="91" t="s">
        <v>11</v>
      </c>
      <c r="F2053" s="92" t="s">
        <v>46</v>
      </c>
      <c r="G2053" s="93">
        <v>28057.78</v>
      </c>
      <c r="H2053" s="93">
        <v>71101.25</v>
      </c>
      <c r="I2053" s="93">
        <v>2397.5457928860201</v>
      </c>
      <c r="J2053" s="93">
        <v>7069.54</v>
      </c>
      <c r="K2053" s="93">
        <v>1008.01</v>
      </c>
      <c r="L2053" s="93">
        <v>1988.64</v>
      </c>
      <c r="M2053" s="93">
        <v>149074.81</v>
      </c>
      <c r="N2053" s="95">
        <v>0.19</v>
      </c>
      <c r="O2053" s="95">
        <v>0.48</v>
      </c>
      <c r="P2053" s="95">
        <v>0.27</v>
      </c>
      <c r="Q2053" s="95">
        <v>0.05</v>
      </c>
      <c r="R2053" s="96">
        <v>0.01</v>
      </c>
    </row>
    <row r="2054" spans="1:18" ht="15" hidden="1" customHeight="1" x14ac:dyDescent="0.3">
      <c r="A2054" s="89">
        <v>2023</v>
      </c>
      <c r="B2054" s="90">
        <v>5</v>
      </c>
      <c r="C2054" s="90" t="s">
        <v>726</v>
      </c>
      <c r="D2054" s="90" t="s">
        <v>719</v>
      </c>
      <c r="E2054" s="91" t="s">
        <v>11</v>
      </c>
      <c r="F2054" s="92" t="s">
        <v>47</v>
      </c>
      <c r="G2054" s="93">
        <v>28775.33</v>
      </c>
      <c r="H2054" s="93">
        <v>265004.77</v>
      </c>
      <c r="I2054" s="93">
        <v>2397.5457928860201</v>
      </c>
      <c r="J2054" s="93">
        <v>259838.5</v>
      </c>
      <c r="K2054" s="93">
        <v>114980.57</v>
      </c>
      <c r="L2054" s="93">
        <v>273889.49</v>
      </c>
      <c r="M2054" s="93">
        <v>1438528.19</v>
      </c>
      <c r="N2054" s="95">
        <v>0.02</v>
      </c>
      <c r="O2054" s="95">
        <v>0.23</v>
      </c>
      <c r="P2054" s="95">
        <v>0.43</v>
      </c>
      <c r="Q2054" s="95">
        <v>0.22</v>
      </c>
      <c r="R2054" s="96">
        <v>0.1</v>
      </c>
    </row>
    <row r="2055" spans="1:18" ht="15" hidden="1" customHeight="1" x14ac:dyDescent="0.3">
      <c r="A2055" s="89">
        <v>2023</v>
      </c>
      <c r="B2055" s="90">
        <v>5</v>
      </c>
      <c r="C2055" s="90" t="s">
        <v>726</v>
      </c>
      <c r="D2055" s="90" t="s">
        <v>719</v>
      </c>
      <c r="E2055" s="91" t="s">
        <v>11</v>
      </c>
      <c r="F2055" s="92" t="s">
        <v>48</v>
      </c>
      <c r="G2055" s="93">
        <v>1047.58</v>
      </c>
      <c r="H2055" s="93">
        <v>4652.83</v>
      </c>
      <c r="I2055" s="93">
        <v>2397.5457928860201</v>
      </c>
      <c r="J2055" s="93">
        <v>52957.64</v>
      </c>
      <c r="K2055" s="93">
        <v>11303.17</v>
      </c>
      <c r="L2055" s="93">
        <v>9535.6299999999992</v>
      </c>
      <c r="M2055" s="93">
        <v>110314.47</v>
      </c>
      <c r="N2055" s="95">
        <v>0.01</v>
      </c>
      <c r="O2055" s="95">
        <v>0.05</v>
      </c>
      <c r="P2055" s="95">
        <v>0.31</v>
      </c>
      <c r="Q2055" s="95">
        <v>0.53</v>
      </c>
      <c r="R2055" s="96">
        <v>0.11</v>
      </c>
    </row>
    <row r="2056" spans="1:18" ht="15" hidden="1" customHeight="1" x14ac:dyDescent="0.3">
      <c r="A2056" s="89">
        <v>2023</v>
      </c>
      <c r="B2056" s="90">
        <v>5</v>
      </c>
      <c r="C2056" s="90" t="s">
        <v>726</v>
      </c>
      <c r="D2056" s="90" t="s">
        <v>722</v>
      </c>
      <c r="E2056" s="91" t="s">
        <v>11</v>
      </c>
      <c r="F2056" s="92" t="s">
        <v>12</v>
      </c>
      <c r="G2056" s="93" t="s">
        <v>2131</v>
      </c>
      <c r="H2056" s="93" t="s">
        <v>2132</v>
      </c>
      <c r="I2056" s="93">
        <v>2397.5457928860201</v>
      </c>
      <c r="J2056" s="93" t="s">
        <v>2133</v>
      </c>
      <c r="K2056" s="93" t="s">
        <v>2134</v>
      </c>
      <c r="L2056" s="93" t="s">
        <v>2135</v>
      </c>
      <c r="M2056" s="93" t="s">
        <v>1581</v>
      </c>
      <c r="N2056" s="95">
        <v>0.03</v>
      </c>
      <c r="O2056" s="95">
        <v>0.13</v>
      </c>
      <c r="P2056" s="95">
        <v>0.42</v>
      </c>
      <c r="Q2056" s="95">
        <v>0.38</v>
      </c>
      <c r="R2056" s="96">
        <v>0.05</v>
      </c>
    </row>
    <row r="2057" spans="1:18" ht="15" hidden="1" customHeight="1" x14ac:dyDescent="0.3">
      <c r="A2057" s="89">
        <v>2023</v>
      </c>
      <c r="B2057" s="90">
        <v>5</v>
      </c>
      <c r="C2057" s="90" t="s">
        <v>726</v>
      </c>
      <c r="D2057" s="90" t="s">
        <v>722</v>
      </c>
      <c r="E2057" s="91" t="s">
        <v>11</v>
      </c>
      <c r="F2057" s="92" t="s">
        <v>26</v>
      </c>
      <c r="G2057" s="93" t="s">
        <v>2136</v>
      </c>
      <c r="H2057" s="93" t="s">
        <v>2137</v>
      </c>
      <c r="I2057" s="93">
        <v>2397.5457928860201</v>
      </c>
      <c r="J2057" s="93" t="s">
        <v>2138</v>
      </c>
      <c r="K2057" s="93" t="s">
        <v>2139</v>
      </c>
      <c r="L2057" s="93" t="s">
        <v>2140</v>
      </c>
      <c r="M2057" s="93" t="s">
        <v>1575</v>
      </c>
      <c r="N2057" s="95">
        <v>0.06</v>
      </c>
      <c r="O2057" s="95">
        <v>0.12</v>
      </c>
      <c r="P2057" s="95">
        <v>0.35</v>
      </c>
      <c r="Q2057" s="95">
        <v>0.41</v>
      </c>
      <c r="R2057" s="96">
        <v>0.05</v>
      </c>
    </row>
    <row r="2058" spans="1:18" ht="15" hidden="1" customHeight="1" x14ac:dyDescent="0.3">
      <c r="A2058" s="89">
        <v>2023</v>
      </c>
      <c r="B2058" s="90">
        <v>5</v>
      </c>
      <c r="C2058" s="90" t="s">
        <v>726</v>
      </c>
      <c r="D2058" s="90" t="s">
        <v>722</v>
      </c>
      <c r="E2058" s="91" t="s">
        <v>11</v>
      </c>
      <c r="F2058" s="92" t="s">
        <v>27</v>
      </c>
      <c r="G2058" s="93" t="s">
        <v>2141</v>
      </c>
      <c r="H2058" s="93" t="s">
        <v>2142</v>
      </c>
      <c r="I2058" s="93">
        <v>2397.5457928860201</v>
      </c>
      <c r="J2058" s="93" t="s">
        <v>2143</v>
      </c>
      <c r="K2058" s="93" t="s">
        <v>2144</v>
      </c>
      <c r="L2058" s="93" t="s">
        <v>2145</v>
      </c>
      <c r="M2058" s="93" t="s">
        <v>1587</v>
      </c>
      <c r="N2058" s="95">
        <v>0.09</v>
      </c>
      <c r="O2058" s="95">
        <v>0.43</v>
      </c>
      <c r="P2058" s="95">
        <v>0.36</v>
      </c>
      <c r="Q2058" s="95">
        <v>0.1</v>
      </c>
      <c r="R2058" s="96">
        <v>0.02</v>
      </c>
    </row>
    <row r="2059" spans="1:18" ht="15" hidden="1" customHeight="1" x14ac:dyDescent="0.3">
      <c r="A2059" s="89">
        <v>2023</v>
      </c>
      <c r="B2059" s="90">
        <v>5</v>
      </c>
      <c r="C2059" s="90" t="s">
        <v>726</v>
      </c>
      <c r="D2059" s="90" t="s">
        <v>722</v>
      </c>
      <c r="E2059" s="91" t="s">
        <v>11</v>
      </c>
      <c r="F2059" s="92" t="s">
        <v>28</v>
      </c>
      <c r="G2059" s="93" t="s">
        <v>2146</v>
      </c>
      <c r="H2059" s="93" t="s">
        <v>2147</v>
      </c>
      <c r="I2059" s="93">
        <v>2397.5457928860201</v>
      </c>
      <c r="J2059" s="93" t="s">
        <v>2148</v>
      </c>
      <c r="K2059" s="93" t="s">
        <v>2149</v>
      </c>
      <c r="L2059" s="93" t="s">
        <v>2150</v>
      </c>
      <c r="M2059" s="93" t="s">
        <v>1593</v>
      </c>
      <c r="N2059" s="95">
        <v>0.04</v>
      </c>
      <c r="O2059" s="95">
        <v>0.23</v>
      </c>
      <c r="P2059" s="95">
        <v>0.45</v>
      </c>
      <c r="Q2059" s="95">
        <v>0.22</v>
      </c>
      <c r="R2059" s="96">
        <v>0.06</v>
      </c>
    </row>
    <row r="2060" spans="1:18" ht="15" customHeight="1" x14ac:dyDescent="0.3">
      <c r="A2060" s="89">
        <v>2023</v>
      </c>
      <c r="B2060" s="90">
        <v>5</v>
      </c>
      <c r="C2060" s="90" t="s">
        <v>726</v>
      </c>
      <c r="D2060" s="90" t="s">
        <v>722</v>
      </c>
      <c r="E2060" s="91" t="s">
        <v>11</v>
      </c>
      <c r="F2060" s="92" t="s">
        <v>29</v>
      </c>
      <c r="G2060" s="93" t="s">
        <v>2151</v>
      </c>
      <c r="H2060" s="93" t="s">
        <v>2152</v>
      </c>
      <c r="I2060" s="93">
        <v>2397.5457928860201</v>
      </c>
      <c r="J2060" s="93" t="s">
        <v>2153</v>
      </c>
      <c r="K2060" s="93" t="s">
        <v>2154</v>
      </c>
      <c r="L2060" s="93" t="s">
        <v>2155</v>
      </c>
      <c r="M2060" s="93" t="s">
        <v>1599</v>
      </c>
      <c r="N2060" s="95">
        <v>0.03</v>
      </c>
      <c r="O2060" s="95">
        <v>0.06</v>
      </c>
      <c r="P2060" s="95">
        <v>0.16</v>
      </c>
      <c r="Q2060" s="95">
        <v>0.36</v>
      </c>
      <c r="R2060" s="96">
        <v>0.39</v>
      </c>
    </row>
    <row r="2061" spans="1:18" ht="15" hidden="1" customHeight="1" x14ac:dyDescent="0.3">
      <c r="A2061" s="89">
        <v>2023</v>
      </c>
      <c r="B2061" s="90">
        <v>5</v>
      </c>
      <c r="C2061" s="90" t="s">
        <v>726</v>
      </c>
      <c r="D2061" s="90" t="s">
        <v>722</v>
      </c>
      <c r="E2061" s="91" t="s">
        <v>11</v>
      </c>
      <c r="F2061" s="92" t="s">
        <v>30</v>
      </c>
      <c r="G2061" s="93" t="s">
        <v>2156</v>
      </c>
      <c r="H2061" s="93" t="s">
        <v>2157</v>
      </c>
      <c r="I2061" s="93">
        <v>2397.5457928860201</v>
      </c>
      <c r="J2061" s="93" t="s">
        <v>2158</v>
      </c>
      <c r="K2061" s="93" t="s">
        <v>2159</v>
      </c>
      <c r="L2061" s="93" t="s">
        <v>2160</v>
      </c>
      <c r="M2061" s="93" t="s">
        <v>1605</v>
      </c>
      <c r="N2061" s="95">
        <v>0.02</v>
      </c>
      <c r="O2061" s="95">
        <v>0.14000000000000001</v>
      </c>
      <c r="P2061" s="95">
        <v>0.39</v>
      </c>
      <c r="Q2061" s="95">
        <v>0.39</v>
      </c>
      <c r="R2061" s="96">
        <v>0.06</v>
      </c>
    </row>
    <row r="2062" spans="1:18" ht="15" hidden="1" customHeight="1" x14ac:dyDescent="0.3">
      <c r="A2062" s="89">
        <v>2023</v>
      </c>
      <c r="B2062" s="90">
        <v>5</v>
      </c>
      <c r="C2062" s="90" t="s">
        <v>726</v>
      </c>
      <c r="D2062" s="90" t="s">
        <v>722</v>
      </c>
      <c r="E2062" s="91" t="s">
        <v>11</v>
      </c>
      <c r="F2062" s="92" t="s">
        <v>31</v>
      </c>
      <c r="G2062" s="93" t="s">
        <v>2161</v>
      </c>
      <c r="H2062" s="93" t="s">
        <v>2162</v>
      </c>
      <c r="I2062" s="93">
        <v>2397.5457928860201</v>
      </c>
      <c r="J2062" s="93" t="s">
        <v>2163</v>
      </c>
      <c r="K2062" s="93" t="s">
        <v>2164</v>
      </c>
      <c r="L2062" s="93" t="s">
        <v>2165</v>
      </c>
      <c r="M2062" s="93" t="s">
        <v>1611</v>
      </c>
      <c r="N2062" s="95">
        <v>0.02</v>
      </c>
      <c r="O2062" s="95">
        <v>0.44</v>
      </c>
      <c r="P2062" s="95">
        <v>0.34</v>
      </c>
      <c r="Q2062" s="95">
        <v>0.15</v>
      </c>
      <c r="R2062" s="96">
        <v>0.05</v>
      </c>
    </row>
    <row r="2063" spans="1:18" ht="15" hidden="1" customHeight="1" x14ac:dyDescent="0.3">
      <c r="A2063" s="89">
        <v>2023</v>
      </c>
      <c r="B2063" s="90">
        <v>5</v>
      </c>
      <c r="C2063" s="90" t="s">
        <v>726</v>
      </c>
      <c r="D2063" s="90" t="s">
        <v>722</v>
      </c>
      <c r="E2063" s="91" t="s">
        <v>11</v>
      </c>
      <c r="F2063" s="92" t="s">
        <v>32</v>
      </c>
      <c r="G2063" s="93" t="s">
        <v>2166</v>
      </c>
      <c r="H2063" s="93" t="s">
        <v>2167</v>
      </c>
      <c r="I2063" s="93">
        <v>2397.5457928860201</v>
      </c>
      <c r="J2063" s="93" t="s">
        <v>2168</v>
      </c>
      <c r="K2063" s="93" t="s">
        <v>2169</v>
      </c>
      <c r="L2063" s="93" t="s">
        <v>2170</v>
      </c>
      <c r="M2063" s="93" t="s">
        <v>1617</v>
      </c>
      <c r="N2063" s="95">
        <v>0.03</v>
      </c>
      <c r="O2063" s="95">
        <v>0.1</v>
      </c>
      <c r="P2063" s="95">
        <v>0.21</v>
      </c>
      <c r="Q2063" s="95">
        <v>0.34</v>
      </c>
      <c r="R2063" s="96">
        <v>0.33</v>
      </c>
    </row>
    <row r="2064" spans="1:18" ht="15" hidden="1" customHeight="1" x14ac:dyDescent="0.3">
      <c r="A2064" s="89">
        <v>2023</v>
      </c>
      <c r="B2064" s="90">
        <v>5</v>
      </c>
      <c r="C2064" s="90" t="s">
        <v>726</v>
      </c>
      <c r="D2064" s="90" t="s">
        <v>722</v>
      </c>
      <c r="E2064" s="91" t="s">
        <v>11</v>
      </c>
      <c r="F2064" s="92" t="s">
        <v>33</v>
      </c>
      <c r="G2064" s="93" t="s">
        <v>2171</v>
      </c>
      <c r="H2064" s="93" t="s">
        <v>2172</v>
      </c>
      <c r="I2064" s="93">
        <v>2397.5457928860201</v>
      </c>
      <c r="J2064" s="93" t="s">
        <v>2173</v>
      </c>
      <c r="K2064" s="93" t="s">
        <v>2174</v>
      </c>
      <c r="L2064" s="93" t="s">
        <v>2175</v>
      </c>
      <c r="M2064" s="93" t="s">
        <v>1623</v>
      </c>
      <c r="N2064" s="95">
        <v>0.04</v>
      </c>
      <c r="O2064" s="95">
        <v>0.18</v>
      </c>
      <c r="P2064" s="95">
        <v>0.44</v>
      </c>
      <c r="Q2064" s="95">
        <v>0.32</v>
      </c>
      <c r="R2064" s="96">
        <v>0.02</v>
      </c>
    </row>
    <row r="2065" spans="1:18" ht="15" hidden="1" customHeight="1" x14ac:dyDescent="0.3">
      <c r="A2065" s="89">
        <v>2023</v>
      </c>
      <c r="B2065" s="90">
        <v>5</v>
      </c>
      <c r="C2065" s="90" t="s">
        <v>726</v>
      </c>
      <c r="D2065" s="90" t="s">
        <v>722</v>
      </c>
      <c r="E2065" s="91" t="s">
        <v>11</v>
      </c>
      <c r="F2065" s="92" t="s">
        <v>34</v>
      </c>
      <c r="G2065" s="93" t="s">
        <v>2176</v>
      </c>
      <c r="H2065" s="93" t="s">
        <v>2177</v>
      </c>
      <c r="I2065" s="93">
        <v>2397.5457928860201</v>
      </c>
      <c r="J2065" s="93" t="s">
        <v>2178</v>
      </c>
      <c r="K2065" s="93" t="s">
        <v>2179</v>
      </c>
      <c r="L2065" s="93" t="s">
        <v>2180</v>
      </c>
      <c r="M2065" s="93" t="s">
        <v>1628</v>
      </c>
      <c r="N2065" s="95">
        <v>0.03</v>
      </c>
      <c r="O2065" s="95">
        <v>0.09</v>
      </c>
      <c r="P2065" s="95">
        <v>0.28999999999999998</v>
      </c>
      <c r="Q2065" s="95">
        <v>0.47</v>
      </c>
      <c r="R2065" s="96">
        <v>0.12</v>
      </c>
    </row>
    <row r="2066" spans="1:18" ht="15" hidden="1" customHeight="1" x14ac:dyDescent="0.3">
      <c r="A2066" s="89">
        <v>2023</v>
      </c>
      <c r="B2066" s="90">
        <v>5</v>
      </c>
      <c r="C2066" s="90" t="s">
        <v>726</v>
      </c>
      <c r="D2066" s="90" t="s">
        <v>722</v>
      </c>
      <c r="E2066" s="91" t="s">
        <v>11</v>
      </c>
      <c r="F2066" s="92" t="s">
        <v>35</v>
      </c>
      <c r="G2066" s="93" t="s">
        <v>2181</v>
      </c>
      <c r="H2066" s="93" t="s">
        <v>2182</v>
      </c>
      <c r="I2066" s="93">
        <v>2397.5457928860201</v>
      </c>
      <c r="J2066" s="93" t="s">
        <v>2183</v>
      </c>
      <c r="K2066" s="93" t="s">
        <v>2184</v>
      </c>
      <c r="L2066" s="93" t="s">
        <v>2185</v>
      </c>
      <c r="M2066" s="93" t="s">
        <v>799</v>
      </c>
      <c r="N2066" s="95">
        <v>0.1</v>
      </c>
      <c r="O2066" s="95">
        <v>0.33</v>
      </c>
      <c r="P2066" s="95">
        <v>0.35</v>
      </c>
      <c r="Q2066" s="95">
        <v>0.2</v>
      </c>
      <c r="R2066" s="96">
        <v>0.03</v>
      </c>
    </row>
    <row r="2067" spans="1:18" ht="15" hidden="1" customHeight="1" x14ac:dyDescent="0.3">
      <c r="A2067" s="89">
        <v>2023</v>
      </c>
      <c r="B2067" s="90">
        <v>5</v>
      </c>
      <c r="C2067" s="90" t="s">
        <v>726</v>
      </c>
      <c r="D2067" s="90" t="s">
        <v>722</v>
      </c>
      <c r="E2067" s="91" t="s">
        <v>11</v>
      </c>
      <c r="F2067" s="92" t="s">
        <v>36</v>
      </c>
      <c r="G2067" s="93" t="s">
        <v>2186</v>
      </c>
      <c r="H2067" s="93" t="s">
        <v>2187</v>
      </c>
      <c r="I2067" s="93">
        <v>2397.5457928860201</v>
      </c>
      <c r="J2067" s="93" t="s">
        <v>2188</v>
      </c>
      <c r="K2067" s="93" t="s">
        <v>2189</v>
      </c>
      <c r="L2067" s="93" t="s">
        <v>2190</v>
      </c>
      <c r="M2067" s="93" t="s">
        <v>1639</v>
      </c>
      <c r="N2067" s="95">
        <v>0.02</v>
      </c>
      <c r="O2067" s="95">
        <v>0.08</v>
      </c>
      <c r="P2067" s="95">
        <v>0.32</v>
      </c>
      <c r="Q2067" s="95">
        <v>0.35</v>
      </c>
      <c r="R2067" s="96">
        <v>0.22</v>
      </c>
    </row>
    <row r="2068" spans="1:18" ht="15" hidden="1" customHeight="1" x14ac:dyDescent="0.3">
      <c r="A2068" s="89">
        <v>2023</v>
      </c>
      <c r="B2068" s="90">
        <v>5</v>
      </c>
      <c r="C2068" s="90" t="s">
        <v>726</v>
      </c>
      <c r="D2068" s="90" t="s">
        <v>722</v>
      </c>
      <c r="E2068" s="91" t="s">
        <v>11</v>
      </c>
      <c r="F2068" s="92" t="s">
        <v>37</v>
      </c>
      <c r="G2068" s="93" t="s">
        <v>2191</v>
      </c>
      <c r="H2068" s="93" t="s">
        <v>2192</v>
      </c>
      <c r="I2068" s="93">
        <v>2397.5457928860201</v>
      </c>
      <c r="J2068" s="93" t="s">
        <v>2193</v>
      </c>
      <c r="K2068" s="93" t="s">
        <v>2194</v>
      </c>
      <c r="L2068" s="93" t="s">
        <v>2195</v>
      </c>
      <c r="M2068" s="93" t="s">
        <v>1645</v>
      </c>
      <c r="N2068" s="95">
        <v>0.02</v>
      </c>
      <c r="O2068" s="95">
        <v>0.08</v>
      </c>
      <c r="P2068" s="95">
        <v>0.27</v>
      </c>
      <c r="Q2068" s="95">
        <v>0.46</v>
      </c>
      <c r="R2068" s="96">
        <v>0.16</v>
      </c>
    </row>
    <row r="2069" spans="1:18" ht="15" hidden="1" customHeight="1" x14ac:dyDescent="0.3">
      <c r="A2069" s="89">
        <v>2023</v>
      </c>
      <c r="B2069" s="90">
        <v>5</v>
      </c>
      <c r="C2069" s="90" t="s">
        <v>726</v>
      </c>
      <c r="D2069" s="90" t="s">
        <v>722</v>
      </c>
      <c r="E2069" s="91" t="s">
        <v>11</v>
      </c>
      <c r="F2069" s="92" t="s">
        <v>38</v>
      </c>
      <c r="G2069" s="93" t="s">
        <v>2196</v>
      </c>
      <c r="H2069" s="93" t="s">
        <v>2197</v>
      </c>
      <c r="I2069" s="93">
        <v>2397.5457928860201</v>
      </c>
      <c r="J2069" s="93" t="s">
        <v>2198</v>
      </c>
      <c r="K2069" s="93" t="s">
        <v>2199</v>
      </c>
      <c r="L2069" s="93" t="s">
        <v>2200</v>
      </c>
      <c r="M2069" s="93" t="s">
        <v>1651</v>
      </c>
      <c r="N2069" s="95">
        <v>0.06</v>
      </c>
      <c r="O2069" s="95">
        <v>0.13</v>
      </c>
      <c r="P2069" s="95">
        <v>0.27</v>
      </c>
      <c r="Q2069" s="95">
        <v>0.41</v>
      </c>
      <c r="R2069" s="96">
        <v>0.14000000000000001</v>
      </c>
    </row>
    <row r="2070" spans="1:18" ht="15" hidden="1" customHeight="1" x14ac:dyDescent="0.3">
      <c r="A2070" s="89">
        <v>2023</v>
      </c>
      <c r="B2070" s="90">
        <v>5</v>
      </c>
      <c r="C2070" s="90" t="s">
        <v>726</v>
      </c>
      <c r="D2070" s="90" t="s">
        <v>722</v>
      </c>
      <c r="E2070" s="91" t="s">
        <v>11</v>
      </c>
      <c r="F2070" s="92" t="s">
        <v>39</v>
      </c>
      <c r="G2070" s="93" t="s">
        <v>2201</v>
      </c>
      <c r="H2070" s="93" t="s">
        <v>2202</v>
      </c>
      <c r="I2070" s="93">
        <v>2397.5457928860201</v>
      </c>
      <c r="J2070" s="93" t="s">
        <v>2203</v>
      </c>
      <c r="K2070" s="93" t="s">
        <v>2204</v>
      </c>
      <c r="L2070" s="93" t="s">
        <v>2205</v>
      </c>
      <c r="M2070" s="93" t="s">
        <v>1657</v>
      </c>
      <c r="N2070" s="95">
        <v>0.04</v>
      </c>
      <c r="O2070" s="95">
        <v>0.19</v>
      </c>
      <c r="P2070" s="95">
        <v>0.24</v>
      </c>
      <c r="Q2070" s="95">
        <v>0.26</v>
      </c>
      <c r="R2070" s="96">
        <v>0.27</v>
      </c>
    </row>
    <row r="2071" spans="1:18" ht="15" hidden="1" customHeight="1" x14ac:dyDescent="0.3">
      <c r="A2071" s="89">
        <v>2023</v>
      </c>
      <c r="B2071" s="90">
        <v>5</v>
      </c>
      <c r="C2071" s="90" t="s">
        <v>726</v>
      </c>
      <c r="D2071" s="90" t="s">
        <v>722</v>
      </c>
      <c r="E2071" s="91" t="s">
        <v>11</v>
      </c>
      <c r="F2071" s="92" t="s">
        <v>40</v>
      </c>
      <c r="G2071" s="93" t="s">
        <v>2206</v>
      </c>
      <c r="H2071" s="93" t="s">
        <v>2207</v>
      </c>
      <c r="I2071" s="93">
        <v>2397.5457928860201</v>
      </c>
      <c r="J2071" s="93" t="s">
        <v>2208</v>
      </c>
      <c r="K2071" s="93" t="s">
        <v>2209</v>
      </c>
      <c r="L2071" s="93" t="s">
        <v>2210</v>
      </c>
      <c r="M2071" s="93" t="s">
        <v>1726</v>
      </c>
      <c r="N2071" s="95">
        <v>0.02</v>
      </c>
      <c r="O2071" s="95">
        <v>0.06</v>
      </c>
      <c r="P2071" s="95">
        <v>0.18</v>
      </c>
      <c r="Q2071" s="95">
        <v>0.51</v>
      </c>
      <c r="R2071" s="96">
        <v>0.23</v>
      </c>
    </row>
    <row r="2072" spans="1:18" ht="15" hidden="1" customHeight="1" x14ac:dyDescent="0.3">
      <c r="A2072" s="89">
        <v>2023</v>
      </c>
      <c r="B2072" s="90">
        <v>5</v>
      </c>
      <c r="C2072" s="90" t="s">
        <v>726</v>
      </c>
      <c r="D2072" s="90" t="s">
        <v>722</v>
      </c>
      <c r="E2072" s="91" t="s">
        <v>11</v>
      </c>
      <c r="F2072" s="92" t="s">
        <v>41</v>
      </c>
      <c r="G2072" s="93" t="s">
        <v>2211</v>
      </c>
      <c r="H2072" s="93" t="s">
        <v>2212</v>
      </c>
      <c r="I2072" s="93">
        <v>2397.5457928860201</v>
      </c>
      <c r="J2072" s="93" t="s">
        <v>2213</v>
      </c>
      <c r="K2072" s="93" t="s">
        <v>2214</v>
      </c>
      <c r="L2072" s="93" t="s">
        <v>2215</v>
      </c>
      <c r="M2072" s="93" t="s">
        <v>835</v>
      </c>
      <c r="N2072" s="95">
        <v>0.28999999999999998</v>
      </c>
      <c r="O2072" s="95">
        <v>0.39</v>
      </c>
      <c r="P2072" s="95">
        <v>0.22</v>
      </c>
      <c r="Q2072" s="95">
        <v>0.09</v>
      </c>
      <c r="R2072" s="96">
        <v>0.02</v>
      </c>
    </row>
    <row r="2073" spans="1:18" ht="15" hidden="1" customHeight="1" x14ac:dyDescent="0.3">
      <c r="A2073" s="89">
        <v>2023</v>
      </c>
      <c r="B2073" s="90">
        <v>5</v>
      </c>
      <c r="C2073" s="90" t="s">
        <v>726</v>
      </c>
      <c r="D2073" s="90" t="s">
        <v>722</v>
      </c>
      <c r="E2073" s="91" t="s">
        <v>11</v>
      </c>
      <c r="F2073" s="92" t="s">
        <v>42</v>
      </c>
      <c r="G2073" s="93" t="s">
        <v>2216</v>
      </c>
      <c r="H2073" s="93" t="s">
        <v>2217</v>
      </c>
      <c r="I2073" s="93">
        <v>2397.5457928860201</v>
      </c>
      <c r="J2073" s="93" t="s">
        <v>2218</v>
      </c>
      <c r="K2073" s="93" t="s">
        <v>2219</v>
      </c>
      <c r="L2073" s="93" t="s">
        <v>2220</v>
      </c>
      <c r="M2073" s="93" t="s">
        <v>1668</v>
      </c>
      <c r="N2073" s="95">
        <v>0.1</v>
      </c>
      <c r="O2073" s="95">
        <v>0.33</v>
      </c>
      <c r="P2073" s="95">
        <v>0.37</v>
      </c>
      <c r="Q2073" s="95">
        <v>0.15</v>
      </c>
      <c r="R2073" s="96">
        <v>0.06</v>
      </c>
    </row>
    <row r="2074" spans="1:18" ht="15" hidden="1" customHeight="1" x14ac:dyDescent="0.3">
      <c r="A2074" s="89">
        <v>2023</v>
      </c>
      <c r="B2074" s="90">
        <v>5</v>
      </c>
      <c r="C2074" s="90" t="s">
        <v>726</v>
      </c>
      <c r="D2074" s="90" t="s">
        <v>722</v>
      </c>
      <c r="E2074" s="91" t="s">
        <v>11</v>
      </c>
      <c r="F2074" s="92" t="s">
        <v>43</v>
      </c>
      <c r="G2074" s="93" t="s">
        <v>2221</v>
      </c>
      <c r="H2074" s="93" t="s">
        <v>2222</v>
      </c>
      <c r="I2074" s="93">
        <v>2397.5457928860201</v>
      </c>
      <c r="J2074" s="93" t="s">
        <v>2223</v>
      </c>
      <c r="K2074" s="93" t="s">
        <v>2224</v>
      </c>
      <c r="L2074" s="93" t="s">
        <v>2225</v>
      </c>
      <c r="M2074" s="93" t="s">
        <v>1674</v>
      </c>
      <c r="N2074" s="95">
        <v>0.12</v>
      </c>
      <c r="O2074" s="95">
        <v>0.61</v>
      </c>
      <c r="P2074" s="95">
        <v>0.2</v>
      </c>
      <c r="Q2074" s="95">
        <v>0.05</v>
      </c>
      <c r="R2074" s="96">
        <v>0.01</v>
      </c>
    </row>
    <row r="2075" spans="1:18" ht="15" hidden="1" customHeight="1" x14ac:dyDescent="0.3">
      <c r="A2075" s="89">
        <v>2023</v>
      </c>
      <c r="B2075" s="90">
        <v>5</v>
      </c>
      <c r="C2075" s="90" t="s">
        <v>726</v>
      </c>
      <c r="D2075" s="90" t="s">
        <v>722</v>
      </c>
      <c r="E2075" s="91" t="s">
        <v>11</v>
      </c>
      <c r="F2075" s="92" t="s">
        <v>58</v>
      </c>
      <c r="G2075" s="93" t="s">
        <v>2226</v>
      </c>
      <c r="H2075" s="93" t="s">
        <v>2227</v>
      </c>
      <c r="I2075" s="93">
        <v>2397.5457928860201</v>
      </c>
      <c r="J2075" s="93" t="s">
        <v>2228</v>
      </c>
      <c r="K2075" s="93" t="s">
        <v>2229</v>
      </c>
      <c r="L2075" s="93" t="s">
        <v>2230</v>
      </c>
      <c r="M2075" s="93" t="s">
        <v>853</v>
      </c>
      <c r="N2075" s="95">
        <v>0.03</v>
      </c>
      <c r="O2075" s="95">
        <v>0.16</v>
      </c>
      <c r="P2075" s="95">
        <v>0.34</v>
      </c>
      <c r="Q2075" s="95">
        <v>0.34</v>
      </c>
      <c r="R2075" s="96">
        <v>0.13</v>
      </c>
    </row>
    <row r="2076" spans="1:18" ht="15" hidden="1" customHeight="1" x14ac:dyDescent="0.3">
      <c r="A2076" s="89">
        <v>2023</v>
      </c>
      <c r="B2076" s="90">
        <v>5</v>
      </c>
      <c r="C2076" s="90" t="s">
        <v>726</v>
      </c>
      <c r="D2076" s="90" t="s">
        <v>722</v>
      </c>
      <c r="E2076" s="91" t="s">
        <v>11</v>
      </c>
      <c r="F2076" s="92" t="s">
        <v>44</v>
      </c>
      <c r="G2076" s="93" t="s">
        <v>2231</v>
      </c>
      <c r="H2076" s="93" t="s">
        <v>2232</v>
      </c>
      <c r="I2076" s="93">
        <v>2397.5457928860201</v>
      </c>
      <c r="J2076" s="93" t="s">
        <v>2233</v>
      </c>
      <c r="K2076" s="93" t="s">
        <v>2234</v>
      </c>
      <c r="L2076" s="93" t="s">
        <v>2235</v>
      </c>
      <c r="M2076" s="93" t="s">
        <v>1685</v>
      </c>
      <c r="N2076" s="95">
        <v>0.09</v>
      </c>
      <c r="O2076" s="95">
        <v>0.01</v>
      </c>
      <c r="P2076" s="95">
        <v>0.12</v>
      </c>
      <c r="Q2076" s="95">
        <v>0.24</v>
      </c>
      <c r="R2076" s="96">
        <v>0.54</v>
      </c>
    </row>
    <row r="2077" spans="1:18" ht="15" hidden="1" customHeight="1" x14ac:dyDescent="0.3">
      <c r="A2077" s="89">
        <v>2023</v>
      </c>
      <c r="B2077" s="90">
        <v>5</v>
      </c>
      <c r="C2077" s="90" t="s">
        <v>726</v>
      </c>
      <c r="D2077" s="90" t="s">
        <v>722</v>
      </c>
      <c r="E2077" s="91" t="s">
        <v>11</v>
      </c>
      <c r="F2077" s="92" t="s">
        <v>51</v>
      </c>
      <c r="G2077" s="93" t="s">
        <v>2236</v>
      </c>
      <c r="H2077" s="93" t="s">
        <v>2237</v>
      </c>
      <c r="I2077" s="93">
        <v>2397.5457928860201</v>
      </c>
      <c r="J2077" s="93" t="s">
        <v>2238</v>
      </c>
      <c r="K2077" s="93" t="s">
        <v>2239</v>
      </c>
      <c r="L2077" s="93" t="s">
        <v>2240</v>
      </c>
      <c r="M2077" s="93" t="s">
        <v>1691</v>
      </c>
      <c r="N2077" s="95">
        <v>0.02</v>
      </c>
      <c r="O2077" s="95">
        <v>0.1</v>
      </c>
      <c r="P2077" s="95">
        <v>0.22</v>
      </c>
      <c r="Q2077" s="95">
        <v>0.35</v>
      </c>
      <c r="R2077" s="96">
        <v>0.3</v>
      </c>
    </row>
    <row r="2078" spans="1:18" ht="15" hidden="1" customHeight="1" x14ac:dyDescent="0.3">
      <c r="A2078" s="89">
        <v>2023</v>
      </c>
      <c r="B2078" s="90">
        <v>5</v>
      </c>
      <c r="C2078" s="90" t="s">
        <v>726</v>
      </c>
      <c r="D2078" s="90" t="s">
        <v>722</v>
      </c>
      <c r="E2078" s="91" t="s">
        <v>11</v>
      </c>
      <c r="F2078" s="92" t="s">
        <v>45</v>
      </c>
      <c r="G2078" s="93" t="s">
        <v>2241</v>
      </c>
      <c r="H2078" s="93" t="s">
        <v>2242</v>
      </c>
      <c r="I2078" s="93">
        <v>2397.5457928860201</v>
      </c>
      <c r="J2078" s="93" t="s">
        <v>2243</v>
      </c>
      <c r="K2078" s="93" t="s">
        <v>2244</v>
      </c>
      <c r="L2078" s="93" t="s">
        <v>2245</v>
      </c>
      <c r="M2078" s="93" t="s">
        <v>1697</v>
      </c>
      <c r="N2078" s="95">
        <v>0.05</v>
      </c>
      <c r="O2078" s="95">
        <v>0.08</v>
      </c>
      <c r="P2078" s="95">
        <v>0.22</v>
      </c>
      <c r="Q2078" s="95">
        <v>0.43</v>
      </c>
      <c r="R2078" s="96">
        <v>0.23</v>
      </c>
    </row>
    <row r="2079" spans="1:18" ht="15" hidden="1" customHeight="1" x14ac:dyDescent="0.3">
      <c r="A2079" s="89">
        <v>2023</v>
      </c>
      <c r="B2079" s="90">
        <v>5</v>
      </c>
      <c r="C2079" s="90" t="s">
        <v>726</v>
      </c>
      <c r="D2079" s="90" t="s">
        <v>722</v>
      </c>
      <c r="E2079" s="91" t="s">
        <v>11</v>
      </c>
      <c r="F2079" s="92" t="s">
        <v>721</v>
      </c>
      <c r="G2079" s="93" t="s">
        <v>2246</v>
      </c>
      <c r="H2079" s="93" t="s">
        <v>2247</v>
      </c>
      <c r="I2079" s="93">
        <v>2397.5457928860201</v>
      </c>
      <c r="J2079" s="93" t="s">
        <v>2248</v>
      </c>
      <c r="K2079" s="93" t="s">
        <v>2249</v>
      </c>
      <c r="L2079" s="93" t="s">
        <v>2250</v>
      </c>
      <c r="M2079" s="93" t="s">
        <v>1702</v>
      </c>
      <c r="N2079" s="95">
        <v>0.12</v>
      </c>
      <c r="O2079" s="95">
        <v>0.33</v>
      </c>
      <c r="P2079" s="95">
        <v>0.34</v>
      </c>
      <c r="Q2079" s="95">
        <v>0.17</v>
      </c>
      <c r="R2079" s="96">
        <v>0.05</v>
      </c>
    </row>
    <row r="2080" spans="1:18" ht="15" hidden="1" customHeight="1" x14ac:dyDescent="0.3">
      <c r="A2080" s="89">
        <v>2023</v>
      </c>
      <c r="B2080" s="90">
        <v>5</v>
      </c>
      <c r="C2080" s="90" t="s">
        <v>726</v>
      </c>
      <c r="D2080" s="90" t="s">
        <v>722</v>
      </c>
      <c r="E2080" s="91" t="s">
        <v>11</v>
      </c>
      <c r="F2080" s="92" t="s">
        <v>46</v>
      </c>
      <c r="G2080" s="93" t="s">
        <v>2251</v>
      </c>
      <c r="H2080" s="93" t="s">
        <v>2252</v>
      </c>
      <c r="I2080" s="93">
        <v>2397.5457928860201</v>
      </c>
      <c r="J2080" s="93" t="s">
        <v>2253</v>
      </c>
      <c r="K2080" s="93" t="s">
        <v>2254</v>
      </c>
      <c r="L2080" s="93" t="s">
        <v>2255</v>
      </c>
      <c r="M2080" s="93" t="s">
        <v>1708</v>
      </c>
      <c r="N2080" s="95">
        <v>7.0000000000000007E-2</v>
      </c>
      <c r="O2080" s="95">
        <v>0.33</v>
      </c>
      <c r="P2080" s="95">
        <v>0.41</v>
      </c>
      <c r="Q2080" s="95">
        <v>0.15</v>
      </c>
      <c r="R2080" s="96">
        <v>0.04</v>
      </c>
    </row>
    <row r="2081" spans="1:18" ht="15" hidden="1" customHeight="1" x14ac:dyDescent="0.3">
      <c r="A2081" s="89">
        <v>2023</v>
      </c>
      <c r="B2081" s="90">
        <v>5</v>
      </c>
      <c r="C2081" s="90" t="s">
        <v>726</v>
      </c>
      <c r="D2081" s="90" t="s">
        <v>722</v>
      </c>
      <c r="E2081" s="91" t="s">
        <v>11</v>
      </c>
      <c r="F2081" s="92" t="s">
        <v>47</v>
      </c>
      <c r="G2081" s="93" t="s">
        <v>2256</v>
      </c>
      <c r="H2081" s="93" t="s">
        <v>2257</v>
      </c>
      <c r="I2081" s="93">
        <v>2397.5457928860201</v>
      </c>
      <c r="J2081" s="93" t="s">
        <v>2258</v>
      </c>
      <c r="K2081" s="93" t="s">
        <v>2259</v>
      </c>
      <c r="L2081" s="93" t="s">
        <v>2260</v>
      </c>
      <c r="M2081" s="93" t="s">
        <v>1714</v>
      </c>
      <c r="N2081" s="95">
        <v>0.04</v>
      </c>
      <c r="O2081" s="95">
        <v>0.32</v>
      </c>
      <c r="P2081" s="95">
        <v>0.46</v>
      </c>
      <c r="Q2081" s="95">
        <v>0.14000000000000001</v>
      </c>
      <c r="R2081" s="96">
        <v>0.04</v>
      </c>
    </row>
    <row r="2082" spans="1:18" ht="15" hidden="1" customHeight="1" x14ac:dyDescent="0.3">
      <c r="A2082" s="89">
        <v>2023</v>
      </c>
      <c r="B2082" s="90">
        <v>5</v>
      </c>
      <c r="C2082" s="90" t="s">
        <v>726</v>
      </c>
      <c r="D2082" s="90" t="s">
        <v>722</v>
      </c>
      <c r="E2082" s="91" t="s">
        <v>11</v>
      </c>
      <c r="F2082" s="92" t="s">
        <v>48</v>
      </c>
      <c r="G2082" s="93" t="s">
        <v>2261</v>
      </c>
      <c r="H2082" s="93" t="s">
        <v>2262</v>
      </c>
      <c r="I2082" s="93">
        <v>2397.5457928860201</v>
      </c>
      <c r="J2082" s="93" t="s">
        <v>2263</v>
      </c>
      <c r="K2082" s="93" t="s">
        <v>2264</v>
      </c>
      <c r="L2082" s="93" t="s">
        <v>2265</v>
      </c>
      <c r="M2082" s="93" t="s">
        <v>1720</v>
      </c>
      <c r="N2082" s="95">
        <v>0.02</v>
      </c>
      <c r="O2082" s="95">
        <v>0.01</v>
      </c>
      <c r="P2082" s="95">
        <v>0.05</v>
      </c>
      <c r="Q2082" s="95">
        <v>0.23</v>
      </c>
      <c r="R2082" s="96">
        <v>0.7</v>
      </c>
    </row>
    <row r="2083" spans="1:18" ht="15" hidden="1" customHeight="1" x14ac:dyDescent="0.3">
      <c r="A2083" s="89">
        <v>2023</v>
      </c>
      <c r="B2083" s="90">
        <v>6</v>
      </c>
      <c r="C2083" s="90" t="s">
        <v>727</v>
      </c>
      <c r="D2083" s="90" t="s">
        <v>719</v>
      </c>
      <c r="E2083" s="91" t="s">
        <v>11</v>
      </c>
      <c r="F2083" s="92" t="s">
        <v>12</v>
      </c>
      <c r="G2083" s="93" t="s">
        <v>2266</v>
      </c>
      <c r="H2083" s="93" t="s">
        <v>2267</v>
      </c>
      <c r="I2083" s="93">
        <v>2397.5457928860201</v>
      </c>
      <c r="J2083" s="93" t="s">
        <v>2268</v>
      </c>
      <c r="K2083" s="93" t="s">
        <v>2269</v>
      </c>
      <c r="L2083" s="93" t="s">
        <v>2270</v>
      </c>
      <c r="M2083" s="93" t="s">
        <v>1581</v>
      </c>
      <c r="N2083" s="95">
        <v>0.03</v>
      </c>
      <c r="O2083" s="95">
        <v>0.16</v>
      </c>
      <c r="P2083" s="95">
        <v>0.42</v>
      </c>
      <c r="Q2083" s="95">
        <v>0.33</v>
      </c>
      <c r="R2083" s="96">
        <v>0.05</v>
      </c>
    </row>
    <row r="2084" spans="1:18" ht="15" hidden="1" customHeight="1" x14ac:dyDescent="0.3">
      <c r="A2084" s="89">
        <v>2023</v>
      </c>
      <c r="B2084" s="90">
        <v>6</v>
      </c>
      <c r="C2084" s="90" t="s">
        <v>727</v>
      </c>
      <c r="D2084" s="90" t="s">
        <v>719</v>
      </c>
      <c r="E2084" s="91" t="s">
        <v>11</v>
      </c>
      <c r="F2084" s="92" t="s">
        <v>26</v>
      </c>
      <c r="G2084" s="93" t="s">
        <v>2271</v>
      </c>
      <c r="H2084" s="93" t="s">
        <v>2272</v>
      </c>
      <c r="I2084" s="93">
        <v>2397.5457928860201</v>
      </c>
      <c r="J2084" s="93" t="s">
        <v>2273</v>
      </c>
      <c r="K2084" s="93" t="s">
        <v>2274</v>
      </c>
      <c r="L2084" s="93" t="s">
        <v>2275</v>
      </c>
      <c r="M2084" s="93" t="s">
        <v>1575</v>
      </c>
      <c r="N2084" s="95">
        <v>0.06</v>
      </c>
      <c r="O2084" s="95">
        <v>0.11</v>
      </c>
      <c r="P2084" s="95">
        <v>0.23</v>
      </c>
      <c r="Q2084" s="95">
        <v>0.42</v>
      </c>
      <c r="R2084" s="96">
        <v>0.17</v>
      </c>
    </row>
    <row r="2085" spans="1:18" ht="15" hidden="1" customHeight="1" x14ac:dyDescent="0.3">
      <c r="A2085" s="89">
        <v>2023</v>
      </c>
      <c r="B2085" s="90">
        <v>6</v>
      </c>
      <c r="C2085" s="90" t="s">
        <v>727</v>
      </c>
      <c r="D2085" s="90" t="s">
        <v>719</v>
      </c>
      <c r="E2085" s="91" t="s">
        <v>11</v>
      </c>
      <c r="F2085" s="92" t="s">
        <v>27</v>
      </c>
      <c r="G2085" s="93" t="s">
        <v>2276</v>
      </c>
      <c r="H2085" s="93" t="s">
        <v>2277</v>
      </c>
      <c r="I2085" s="93">
        <v>2397.5457928860201</v>
      </c>
      <c r="J2085" s="93" t="s">
        <v>2278</v>
      </c>
      <c r="K2085" s="93" t="s">
        <v>2279</v>
      </c>
      <c r="L2085" s="93" t="s">
        <v>2280</v>
      </c>
      <c r="M2085" s="93" t="s">
        <v>1587</v>
      </c>
      <c r="N2085" s="95">
        <v>0.12</v>
      </c>
      <c r="O2085" s="95">
        <v>0.35</v>
      </c>
      <c r="P2085" s="95">
        <v>0.3</v>
      </c>
      <c r="Q2085" s="95">
        <v>0.2</v>
      </c>
      <c r="R2085" s="96">
        <v>0.03</v>
      </c>
    </row>
    <row r="2086" spans="1:18" ht="15" hidden="1" customHeight="1" x14ac:dyDescent="0.3">
      <c r="A2086" s="89">
        <v>2023</v>
      </c>
      <c r="B2086" s="90">
        <v>6</v>
      </c>
      <c r="C2086" s="90" t="s">
        <v>727</v>
      </c>
      <c r="D2086" s="90" t="s">
        <v>719</v>
      </c>
      <c r="E2086" s="91" t="s">
        <v>11</v>
      </c>
      <c r="F2086" s="92" t="s">
        <v>28</v>
      </c>
      <c r="G2086" s="93" t="s">
        <v>2281</v>
      </c>
      <c r="H2086" s="93" t="s">
        <v>2282</v>
      </c>
      <c r="I2086" s="93">
        <v>2397.5457928860201</v>
      </c>
      <c r="J2086" s="93" t="s">
        <v>2283</v>
      </c>
      <c r="K2086" s="93" t="s">
        <v>2284</v>
      </c>
      <c r="L2086" s="93" t="s">
        <v>2285</v>
      </c>
      <c r="M2086" s="93" t="s">
        <v>1593</v>
      </c>
      <c r="N2086" s="95">
        <v>0.02</v>
      </c>
      <c r="O2086" s="95">
        <v>0.1</v>
      </c>
      <c r="P2086" s="95">
        <v>0.34</v>
      </c>
      <c r="Q2086" s="95">
        <v>0.42</v>
      </c>
      <c r="R2086" s="96">
        <v>0.11</v>
      </c>
    </row>
    <row r="2087" spans="1:18" ht="15" customHeight="1" x14ac:dyDescent="0.3">
      <c r="A2087" s="89">
        <v>2023</v>
      </c>
      <c r="B2087" s="90">
        <v>6</v>
      </c>
      <c r="C2087" s="90" t="s">
        <v>727</v>
      </c>
      <c r="D2087" s="90" t="s">
        <v>719</v>
      </c>
      <c r="E2087" s="91" t="s">
        <v>11</v>
      </c>
      <c r="F2087" s="92" t="s">
        <v>29</v>
      </c>
      <c r="G2087" s="93" t="s">
        <v>2286</v>
      </c>
      <c r="H2087" s="93" t="s">
        <v>2287</v>
      </c>
      <c r="I2087" s="93">
        <v>2397.5457928860201</v>
      </c>
      <c r="J2087" s="93" t="s">
        <v>2288</v>
      </c>
      <c r="K2087" s="93" t="s">
        <v>2289</v>
      </c>
      <c r="L2087" s="93" t="s">
        <v>2290</v>
      </c>
      <c r="M2087" s="93" t="s">
        <v>1599</v>
      </c>
      <c r="N2087" s="95">
        <v>0.02</v>
      </c>
      <c r="O2087" s="95">
        <v>0.05</v>
      </c>
      <c r="P2087" s="95">
        <v>0.14000000000000001</v>
      </c>
      <c r="Q2087" s="95">
        <v>0.35</v>
      </c>
      <c r="R2087" s="96">
        <v>0.45</v>
      </c>
    </row>
    <row r="2088" spans="1:18" ht="15" hidden="1" customHeight="1" x14ac:dyDescent="0.3">
      <c r="A2088" s="89">
        <v>2023</v>
      </c>
      <c r="B2088" s="90">
        <v>6</v>
      </c>
      <c r="C2088" s="90" t="s">
        <v>727</v>
      </c>
      <c r="D2088" s="90" t="s">
        <v>719</v>
      </c>
      <c r="E2088" s="91" t="s">
        <v>11</v>
      </c>
      <c r="F2088" s="92" t="s">
        <v>30</v>
      </c>
      <c r="G2088" s="93" t="s">
        <v>2291</v>
      </c>
      <c r="H2088" s="93" t="s">
        <v>2292</v>
      </c>
      <c r="I2088" s="93">
        <v>2397.5457928860201</v>
      </c>
      <c r="J2088" s="93" t="s">
        <v>2293</v>
      </c>
      <c r="K2088" s="93" t="s">
        <v>2294</v>
      </c>
      <c r="L2088" s="93" t="s">
        <v>2295</v>
      </c>
      <c r="M2088" s="93" t="s">
        <v>1605</v>
      </c>
      <c r="N2088" s="95">
        <v>0.02</v>
      </c>
      <c r="O2088" s="95">
        <v>0.12</v>
      </c>
      <c r="P2088" s="95">
        <v>0.32</v>
      </c>
      <c r="Q2088" s="95">
        <v>0.42</v>
      </c>
      <c r="R2088" s="96">
        <v>0.12</v>
      </c>
    </row>
    <row r="2089" spans="1:18" ht="15" hidden="1" customHeight="1" x14ac:dyDescent="0.3">
      <c r="A2089" s="89">
        <v>2023</v>
      </c>
      <c r="B2089" s="90">
        <v>6</v>
      </c>
      <c r="C2089" s="90" t="s">
        <v>727</v>
      </c>
      <c r="D2089" s="90" t="s">
        <v>719</v>
      </c>
      <c r="E2089" s="91" t="s">
        <v>11</v>
      </c>
      <c r="F2089" s="92" t="s">
        <v>31</v>
      </c>
      <c r="G2089" s="93" t="s">
        <v>2296</v>
      </c>
      <c r="H2089" s="93" t="s">
        <v>2297</v>
      </c>
      <c r="I2089" s="93">
        <v>2397.5457928860201</v>
      </c>
      <c r="J2089" s="93" t="s">
        <v>2298</v>
      </c>
      <c r="K2089" s="93" t="s">
        <v>2299</v>
      </c>
      <c r="L2089" s="93" t="s">
        <v>2300</v>
      </c>
      <c r="M2089" s="93" t="s">
        <v>1611</v>
      </c>
      <c r="N2089" s="95">
        <v>0.06</v>
      </c>
      <c r="O2089" s="95">
        <v>0.57999999999999996</v>
      </c>
      <c r="P2089" s="95">
        <v>0.26</v>
      </c>
      <c r="Q2089" s="95">
        <v>0.08</v>
      </c>
      <c r="R2089" s="96">
        <v>0.03</v>
      </c>
    </row>
    <row r="2090" spans="1:18" ht="15" hidden="1" customHeight="1" x14ac:dyDescent="0.3">
      <c r="A2090" s="89">
        <v>2023</v>
      </c>
      <c r="B2090" s="90">
        <v>6</v>
      </c>
      <c r="C2090" s="90" t="s">
        <v>727</v>
      </c>
      <c r="D2090" s="90" t="s">
        <v>719</v>
      </c>
      <c r="E2090" s="91" t="s">
        <v>11</v>
      </c>
      <c r="F2090" s="92" t="s">
        <v>32</v>
      </c>
      <c r="G2090" s="93" t="s">
        <v>2301</v>
      </c>
      <c r="H2090" s="93" t="s">
        <v>2302</v>
      </c>
      <c r="I2090" s="93">
        <v>2397.5457928860201</v>
      </c>
      <c r="J2090" s="93" t="s">
        <v>2303</v>
      </c>
      <c r="K2090" s="93" t="s">
        <v>2304</v>
      </c>
      <c r="L2090" s="93" t="s">
        <v>2305</v>
      </c>
      <c r="M2090" s="93" t="s">
        <v>1617</v>
      </c>
      <c r="N2090" s="95">
        <v>0.04</v>
      </c>
      <c r="O2090" s="95">
        <v>0.09</v>
      </c>
      <c r="P2090" s="95">
        <v>0.21</v>
      </c>
      <c r="Q2090" s="95">
        <v>0.41</v>
      </c>
      <c r="R2090" s="96">
        <v>0.24</v>
      </c>
    </row>
    <row r="2091" spans="1:18" ht="15" hidden="1" customHeight="1" x14ac:dyDescent="0.3">
      <c r="A2091" s="89">
        <v>2023</v>
      </c>
      <c r="B2091" s="90">
        <v>6</v>
      </c>
      <c r="C2091" s="90" t="s">
        <v>727</v>
      </c>
      <c r="D2091" s="90" t="s">
        <v>719</v>
      </c>
      <c r="E2091" s="91" t="s">
        <v>11</v>
      </c>
      <c r="F2091" s="92" t="s">
        <v>33</v>
      </c>
      <c r="G2091" s="93" t="s">
        <v>2306</v>
      </c>
      <c r="H2091" s="93" t="s">
        <v>2307</v>
      </c>
      <c r="I2091" s="93">
        <v>2397.5457928860201</v>
      </c>
      <c r="J2091" s="93" t="s">
        <v>2308</v>
      </c>
      <c r="K2091" s="93" t="s">
        <v>2309</v>
      </c>
      <c r="L2091" s="93" t="s">
        <v>2310</v>
      </c>
      <c r="M2091" s="93" t="s">
        <v>1623</v>
      </c>
      <c r="N2091" s="95">
        <v>0.02</v>
      </c>
      <c r="O2091" s="95">
        <v>0.08</v>
      </c>
      <c r="P2091" s="95">
        <v>0.36</v>
      </c>
      <c r="Q2091" s="95">
        <v>0.43</v>
      </c>
      <c r="R2091" s="96">
        <v>0.11</v>
      </c>
    </row>
    <row r="2092" spans="1:18" ht="15" hidden="1" customHeight="1" x14ac:dyDescent="0.3">
      <c r="A2092" s="89">
        <v>2023</v>
      </c>
      <c r="B2092" s="90">
        <v>6</v>
      </c>
      <c r="C2092" s="90" t="s">
        <v>727</v>
      </c>
      <c r="D2092" s="90" t="s">
        <v>719</v>
      </c>
      <c r="E2092" s="91" t="s">
        <v>11</v>
      </c>
      <c r="F2092" s="92" t="s">
        <v>34</v>
      </c>
      <c r="G2092" s="93" t="s">
        <v>2311</v>
      </c>
      <c r="H2092" s="93" t="s">
        <v>2312</v>
      </c>
      <c r="I2092" s="93">
        <v>2397.5457928860201</v>
      </c>
      <c r="J2092" s="93" t="s">
        <v>2313</v>
      </c>
      <c r="K2092" s="93" t="s">
        <v>2314</v>
      </c>
      <c r="L2092" s="93" t="s">
        <v>2315</v>
      </c>
      <c r="M2092" s="93" t="s">
        <v>1628</v>
      </c>
      <c r="N2092" s="95">
        <v>0.02</v>
      </c>
      <c r="O2092" s="95">
        <v>0.06</v>
      </c>
      <c r="P2092" s="95">
        <v>0.18</v>
      </c>
      <c r="Q2092" s="95">
        <v>0.43</v>
      </c>
      <c r="R2092" s="96">
        <v>0.31</v>
      </c>
    </row>
    <row r="2093" spans="1:18" ht="15" hidden="1" customHeight="1" x14ac:dyDescent="0.3">
      <c r="A2093" s="89">
        <v>2023</v>
      </c>
      <c r="B2093" s="90">
        <v>6</v>
      </c>
      <c r="C2093" s="90" t="s">
        <v>727</v>
      </c>
      <c r="D2093" s="90" t="s">
        <v>719</v>
      </c>
      <c r="E2093" s="91" t="s">
        <v>11</v>
      </c>
      <c r="F2093" s="92" t="s">
        <v>35</v>
      </c>
      <c r="G2093" s="93" t="s">
        <v>2316</v>
      </c>
      <c r="H2093" s="93" t="s">
        <v>2317</v>
      </c>
      <c r="I2093" s="93">
        <v>2397.5457928860201</v>
      </c>
      <c r="J2093" s="93" t="s">
        <v>2318</v>
      </c>
      <c r="K2093" s="93" t="s">
        <v>2319</v>
      </c>
      <c r="L2093" s="93" t="s">
        <v>2320</v>
      </c>
      <c r="M2093" s="93" t="s">
        <v>799</v>
      </c>
      <c r="N2093" s="95">
        <v>0.08</v>
      </c>
      <c r="O2093" s="95">
        <v>0.33</v>
      </c>
      <c r="P2093" s="95">
        <v>0.37</v>
      </c>
      <c r="Q2093" s="95">
        <v>0.18</v>
      </c>
      <c r="R2093" s="96">
        <v>0.04</v>
      </c>
    </row>
    <row r="2094" spans="1:18" ht="15" hidden="1" customHeight="1" x14ac:dyDescent="0.3">
      <c r="A2094" s="89">
        <v>2023</v>
      </c>
      <c r="B2094" s="90">
        <v>6</v>
      </c>
      <c r="C2094" s="90" t="s">
        <v>727</v>
      </c>
      <c r="D2094" s="90" t="s">
        <v>719</v>
      </c>
      <c r="E2094" s="91" t="s">
        <v>11</v>
      </c>
      <c r="F2094" s="92" t="s">
        <v>36</v>
      </c>
      <c r="G2094" s="93" t="s">
        <v>2321</v>
      </c>
      <c r="H2094" s="93" t="s">
        <v>2322</v>
      </c>
      <c r="I2094" s="93">
        <v>2397.5457928860201</v>
      </c>
      <c r="J2094" s="93" t="s">
        <v>2323</v>
      </c>
      <c r="K2094" s="93" t="s">
        <v>2324</v>
      </c>
      <c r="L2094" s="93" t="s">
        <v>2325</v>
      </c>
      <c r="M2094" s="93" t="s">
        <v>1639</v>
      </c>
      <c r="N2094" s="95">
        <v>0.01</v>
      </c>
      <c r="O2094" s="95">
        <v>0.06</v>
      </c>
      <c r="P2094" s="95">
        <v>0.23</v>
      </c>
      <c r="Q2094" s="95">
        <v>0.44</v>
      </c>
      <c r="R2094" s="96">
        <v>0.26</v>
      </c>
    </row>
    <row r="2095" spans="1:18" ht="15" hidden="1" customHeight="1" x14ac:dyDescent="0.3">
      <c r="A2095" s="89">
        <v>2023</v>
      </c>
      <c r="B2095" s="90">
        <v>6</v>
      </c>
      <c r="C2095" s="90" t="s">
        <v>727</v>
      </c>
      <c r="D2095" s="90" t="s">
        <v>719</v>
      </c>
      <c r="E2095" s="91" t="s">
        <v>11</v>
      </c>
      <c r="F2095" s="92" t="s">
        <v>37</v>
      </c>
      <c r="G2095" s="93" t="s">
        <v>2326</v>
      </c>
      <c r="H2095" s="93" t="s">
        <v>2327</v>
      </c>
      <c r="I2095" s="93">
        <v>2397.5457928860201</v>
      </c>
      <c r="J2095" s="93" t="s">
        <v>2328</v>
      </c>
      <c r="K2095" s="93" t="s">
        <v>2329</v>
      </c>
      <c r="L2095" s="93" t="s">
        <v>2330</v>
      </c>
      <c r="M2095" s="93" t="s">
        <v>1645</v>
      </c>
      <c r="N2095" s="95">
        <v>0.01</v>
      </c>
      <c r="O2095" s="95">
        <v>0.05</v>
      </c>
      <c r="P2095" s="95">
        <v>0.2</v>
      </c>
      <c r="Q2095" s="95">
        <v>0.45</v>
      </c>
      <c r="R2095" s="96">
        <v>0.28000000000000003</v>
      </c>
    </row>
    <row r="2096" spans="1:18" ht="15" hidden="1" customHeight="1" x14ac:dyDescent="0.3">
      <c r="A2096" s="89">
        <v>2023</v>
      </c>
      <c r="B2096" s="90">
        <v>6</v>
      </c>
      <c r="C2096" s="90" t="s">
        <v>727</v>
      </c>
      <c r="D2096" s="90" t="s">
        <v>719</v>
      </c>
      <c r="E2096" s="91" t="s">
        <v>11</v>
      </c>
      <c r="F2096" s="92" t="s">
        <v>38</v>
      </c>
      <c r="G2096" s="93" t="s">
        <v>2331</v>
      </c>
      <c r="H2096" s="93" t="s">
        <v>2332</v>
      </c>
      <c r="I2096" s="93">
        <v>2397.5457928860201</v>
      </c>
      <c r="J2096" s="93" t="s">
        <v>2333</v>
      </c>
      <c r="K2096" s="93" t="s">
        <v>2334</v>
      </c>
      <c r="L2096" s="93" t="s">
        <v>2335</v>
      </c>
      <c r="M2096" s="93" t="s">
        <v>1651</v>
      </c>
      <c r="N2096" s="95">
        <v>0.06</v>
      </c>
      <c r="O2096" s="95">
        <v>0.14000000000000001</v>
      </c>
      <c r="P2096" s="95">
        <v>0.25</v>
      </c>
      <c r="Q2096" s="95">
        <v>0.37</v>
      </c>
      <c r="R2096" s="96">
        <v>0.18</v>
      </c>
    </row>
    <row r="2097" spans="1:18" ht="15" hidden="1" customHeight="1" x14ac:dyDescent="0.3">
      <c r="A2097" s="89">
        <v>2023</v>
      </c>
      <c r="B2097" s="90">
        <v>6</v>
      </c>
      <c r="C2097" s="90" t="s">
        <v>727</v>
      </c>
      <c r="D2097" s="90" t="s">
        <v>719</v>
      </c>
      <c r="E2097" s="91" t="s">
        <v>11</v>
      </c>
      <c r="F2097" s="92" t="s">
        <v>39</v>
      </c>
      <c r="G2097" s="93" t="s">
        <v>2336</v>
      </c>
      <c r="H2097" s="93" t="s">
        <v>2337</v>
      </c>
      <c r="I2097" s="93">
        <v>2397.5457928860201</v>
      </c>
      <c r="J2097" s="93" t="s">
        <v>2338</v>
      </c>
      <c r="K2097" s="93" t="s">
        <v>2339</v>
      </c>
      <c r="L2097" s="93" t="s">
        <v>2340</v>
      </c>
      <c r="M2097" s="93" t="s">
        <v>1657</v>
      </c>
      <c r="N2097" s="95">
        <v>0.13</v>
      </c>
      <c r="O2097" s="95">
        <v>0.24</v>
      </c>
      <c r="P2097" s="95">
        <v>0.25</v>
      </c>
      <c r="Q2097" s="95">
        <v>0.25</v>
      </c>
      <c r="R2097" s="96">
        <v>0.14000000000000001</v>
      </c>
    </row>
    <row r="2098" spans="1:18" ht="15" hidden="1" customHeight="1" x14ac:dyDescent="0.3">
      <c r="A2098" s="89">
        <v>2023</v>
      </c>
      <c r="B2098" s="90">
        <v>6</v>
      </c>
      <c r="C2098" s="90" t="s">
        <v>727</v>
      </c>
      <c r="D2098" s="90" t="s">
        <v>719</v>
      </c>
      <c r="E2098" s="91" t="s">
        <v>11</v>
      </c>
      <c r="F2098" s="92" t="s">
        <v>40</v>
      </c>
      <c r="G2098" s="93" t="s">
        <v>2341</v>
      </c>
      <c r="H2098" s="93" t="s">
        <v>2342</v>
      </c>
      <c r="I2098" s="93">
        <v>2397.5457928860201</v>
      </c>
      <c r="J2098" s="93" t="s">
        <v>2343</v>
      </c>
      <c r="K2098" s="93" t="s">
        <v>2344</v>
      </c>
      <c r="L2098" s="93" t="s">
        <v>2345</v>
      </c>
      <c r="M2098" s="93" t="s">
        <v>1726</v>
      </c>
      <c r="N2098" s="95">
        <v>0.02</v>
      </c>
      <c r="O2098" s="95">
        <v>0.09</v>
      </c>
      <c r="P2098" s="95">
        <v>0.28999999999999998</v>
      </c>
      <c r="Q2098" s="95">
        <v>0.48</v>
      </c>
      <c r="R2098" s="96">
        <v>0.13</v>
      </c>
    </row>
    <row r="2099" spans="1:18" ht="15" hidden="1" customHeight="1" x14ac:dyDescent="0.3">
      <c r="A2099" s="89">
        <v>2023</v>
      </c>
      <c r="B2099" s="90">
        <v>6</v>
      </c>
      <c r="C2099" s="90" t="s">
        <v>727</v>
      </c>
      <c r="D2099" s="90" t="s">
        <v>719</v>
      </c>
      <c r="E2099" s="91" t="s">
        <v>11</v>
      </c>
      <c r="F2099" s="92" t="s">
        <v>41</v>
      </c>
      <c r="G2099" s="93" t="s">
        <v>2346</v>
      </c>
      <c r="H2099" s="93" t="s">
        <v>2347</v>
      </c>
      <c r="I2099" s="93">
        <v>2397.5457928860201</v>
      </c>
      <c r="J2099" s="93" t="s">
        <v>2348</v>
      </c>
      <c r="K2099" s="93" t="s">
        <v>2349</v>
      </c>
      <c r="L2099" s="93" t="s">
        <v>2350</v>
      </c>
      <c r="M2099" s="93" t="s">
        <v>835</v>
      </c>
      <c r="N2099" s="95">
        <v>0.22</v>
      </c>
      <c r="O2099" s="95">
        <v>0.43</v>
      </c>
      <c r="P2099" s="95">
        <v>0.27</v>
      </c>
      <c r="Q2099" s="95">
        <v>7.0000000000000007E-2</v>
      </c>
      <c r="R2099" s="96">
        <v>0</v>
      </c>
    </row>
    <row r="2100" spans="1:18" ht="15" hidden="1" customHeight="1" x14ac:dyDescent="0.3">
      <c r="A2100" s="89">
        <v>2023</v>
      </c>
      <c r="B2100" s="90">
        <v>6</v>
      </c>
      <c r="C2100" s="90" t="s">
        <v>727</v>
      </c>
      <c r="D2100" s="90" t="s">
        <v>719</v>
      </c>
      <c r="E2100" s="91" t="s">
        <v>11</v>
      </c>
      <c r="F2100" s="92" t="s">
        <v>42</v>
      </c>
      <c r="G2100" s="93" t="s">
        <v>2351</v>
      </c>
      <c r="H2100" s="93" t="s">
        <v>2352</v>
      </c>
      <c r="I2100" s="93">
        <v>2397.5457928860201</v>
      </c>
      <c r="J2100" s="93" t="s">
        <v>2353</v>
      </c>
      <c r="K2100" s="93" t="s">
        <v>2354</v>
      </c>
      <c r="L2100" s="93" t="s">
        <v>2355</v>
      </c>
      <c r="M2100" s="93" t="s">
        <v>1668</v>
      </c>
      <c r="N2100" s="95">
        <v>0.06</v>
      </c>
      <c r="O2100" s="95">
        <v>0.2</v>
      </c>
      <c r="P2100" s="95">
        <v>0.42</v>
      </c>
      <c r="Q2100" s="95">
        <v>0.27</v>
      </c>
      <c r="R2100" s="96">
        <v>0.05</v>
      </c>
    </row>
    <row r="2101" spans="1:18" ht="15" hidden="1" customHeight="1" x14ac:dyDescent="0.3">
      <c r="A2101" s="89">
        <v>2023</v>
      </c>
      <c r="B2101" s="90">
        <v>6</v>
      </c>
      <c r="C2101" s="90" t="s">
        <v>727</v>
      </c>
      <c r="D2101" s="90" t="s">
        <v>719</v>
      </c>
      <c r="E2101" s="91" t="s">
        <v>11</v>
      </c>
      <c r="F2101" s="92" t="s">
        <v>43</v>
      </c>
      <c r="G2101" s="93" t="s">
        <v>2356</v>
      </c>
      <c r="H2101" s="93" t="s">
        <v>2357</v>
      </c>
      <c r="I2101" s="93">
        <v>2397.5457928860201</v>
      </c>
      <c r="J2101" s="93" t="s">
        <v>2358</v>
      </c>
      <c r="K2101" s="93" t="s">
        <v>2359</v>
      </c>
      <c r="L2101" s="93" t="s">
        <v>2360</v>
      </c>
      <c r="M2101" s="93" t="s">
        <v>1674</v>
      </c>
      <c r="N2101" s="95">
        <v>0.17</v>
      </c>
      <c r="O2101" s="95">
        <v>0.62</v>
      </c>
      <c r="P2101" s="95">
        <v>0.17</v>
      </c>
      <c r="Q2101" s="95">
        <v>0.04</v>
      </c>
      <c r="R2101" s="96">
        <v>0.01</v>
      </c>
    </row>
    <row r="2102" spans="1:18" ht="15" hidden="1" customHeight="1" x14ac:dyDescent="0.3">
      <c r="A2102" s="89">
        <v>2023</v>
      </c>
      <c r="B2102" s="90">
        <v>6</v>
      </c>
      <c r="C2102" s="90" t="s">
        <v>727</v>
      </c>
      <c r="D2102" s="90" t="s">
        <v>719</v>
      </c>
      <c r="E2102" s="91" t="s">
        <v>11</v>
      </c>
      <c r="F2102" s="92" t="s">
        <v>58</v>
      </c>
      <c r="G2102" s="93" t="s">
        <v>2361</v>
      </c>
      <c r="H2102" s="93" t="s">
        <v>2362</v>
      </c>
      <c r="I2102" s="93">
        <v>2397.5457928860201</v>
      </c>
      <c r="J2102" s="93" t="s">
        <v>2363</v>
      </c>
      <c r="K2102" s="93" t="s">
        <v>2364</v>
      </c>
      <c r="L2102" s="93" t="s">
        <v>2365</v>
      </c>
      <c r="M2102" s="93" t="s">
        <v>853</v>
      </c>
      <c r="N2102" s="95">
        <v>0.01</v>
      </c>
      <c r="O2102" s="95">
        <v>0.1</v>
      </c>
      <c r="P2102" s="95">
        <v>0.35</v>
      </c>
      <c r="Q2102" s="95">
        <v>0.45</v>
      </c>
      <c r="R2102" s="96">
        <v>0.09</v>
      </c>
    </row>
    <row r="2103" spans="1:18" ht="15" hidden="1" customHeight="1" x14ac:dyDescent="0.3">
      <c r="A2103" s="89">
        <v>2023</v>
      </c>
      <c r="B2103" s="90">
        <v>6</v>
      </c>
      <c r="C2103" s="90" t="s">
        <v>727</v>
      </c>
      <c r="D2103" s="90" t="s">
        <v>719</v>
      </c>
      <c r="E2103" s="91" t="s">
        <v>11</v>
      </c>
      <c r="F2103" s="92" t="s">
        <v>44</v>
      </c>
      <c r="G2103" s="93" t="s">
        <v>2366</v>
      </c>
      <c r="H2103" s="93" t="s">
        <v>2367</v>
      </c>
      <c r="I2103" s="93">
        <v>2397.5457928860201</v>
      </c>
      <c r="J2103" s="93" t="s">
        <v>2368</v>
      </c>
      <c r="K2103" s="93" t="s">
        <v>2369</v>
      </c>
      <c r="L2103" s="93" t="s">
        <v>2370</v>
      </c>
      <c r="M2103" s="93" t="s">
        <v>1685</v>
      </c>
      <c r="N2103" s="95">
        <v>0.02</v>
      </c>
      <c r="O2103" s="95">
        <v>0.01</v>
      </c>
      <c r="P2103" s="95">
        <v>0.04</v>
      </c>
      <c r="Q2103" s="95">
        <v>0.26</v>
      </c>
      <c r="R2103" s="96">
        <v>0.67</v>
      </c>
    </row>
    <row r="2104" spans="1:18" ht="15" hidden="1" customHeight="1" x14ac:dyDescent="0.3">
      <c r="A2104" s="89">
        <v>2023</v>
      </c>
      <c r="B2104" s="90">
        <v>6</v>
      </c>
      <c r="C2104" s="90" t="s">
        <v>727</v>
      </c>
      <c r="D2104" s="90" t="s">
        <v>719</v>
      </c>
      <c r="E2104" s="91" t="s">
        <v>11</v>
      </c>
      <c r="F2104" s="92" t="s">
        <v>51</v>
      </c>
      <c r="G2104" s="93" t="s">
        <v>2371</v>
      </c>
      <c r="H2104" s="93" t="s">
        <v>2372</v>
      </c>
      <c r="I2104" s="93">
        <v>2397.5457928860201</v>
      </c>
      <c r="J2104" s="93" t="s">
        <v>2373</v>
      </c>
      <c r="K2104" s="93" t="s">
        <v>2374</v>
      </c>
      <c r="L2104" s="93" t="s">
        <v>2375</v>
      </c>
      <c r="M2104" s="93" t="s">
        <v>1691</v>
      </c>
      <c r="N2104" s="95">
        <v>0.04</v>
      </c>
      <c r="O2104" s="95">
        <v>0.16</v>
      </c>
      <c r="P2104" s="95">
        <v>0.36</v>
      </c>
      <c r="Q2104" s="95">
        <v>0.36</v>
      </c>
      <c r="R2104" s="96">
        <v>0.08</v>
      </c>
    </row>
    <row r="2105" spans="1:18" ht="15" hidden="1" customHeight="1" x14ac:dyDescent="0.3">
      <c r="A2105" s="89">
        <v>2023</v>
      </c>
      <c r="B2105" s="90">
        <v>6</v>
      </c>
      <c r="C2105" s="90" t="s">
        <v>727</v>
      </c>
      <c r="D2105" s="90" t="s">
        <v>719</v>
      </c>
      <c r="E2105" s="91" t="s">
        <v>11</v>
      </c>
      <c r="F2105" s="92" t="s">
        <v>45</v>
      </c>
      <c r="G2105" s="93" t="s">
        <v>2376</v>
      </c>
      <c r="H2105" s="93" t="s">
        <v>2377</v>
      </c>
      <c r="I2105" s="93">
        <v>2397.5457928860201</v>
      </c>
      <c r="J2105" s="93" t="s">
        <v>2378</v>
      </c>
      <c r="K2105" s="93" t="s">
        <v>2379</v>
      </c>
      <c r="L2105" s="93" t="s">
        <v>2380</v>
      </c>
      <c r="M2105" s="93" t="s">
        <v>1697</v>
      </c>
      <c r="N2105" s="95">
        <v>0.02</v>
      </c>
      <c r="O2105" s="95">
        <v>0.09</v>
      </c>
      <c r="P2105" s="95">
        <v>0.21</v>
      </c>
      <c r="Q2105" s="95">
        <v>0.44</v>
      </c>
      <c r="R2105" s="96">
        <v>0.23</v>
      </c>
    </row>
    <row r="2106" spans="1:18" ht="15" hidden="1" customHeight="1" x14ac:dyDescent="0.3">
      <c r="A2106" s="89">
        <v>2023</v>
      </c>
      <c r="B2106" s="90">
        <v>6</v>
      </c>
      <c r="C2106" s="90" t="s">
        <v>727</v>
      </c>
      <c r="D2106" s="90" t="s">
        <v>719</v>
      </c>
      <c r="E2106" s="91" t="s">
        <v>11</v>
      </c>
      <c r="F2106" s="92" t="s">
        <v>721</v>
      </c>
      <c r="G2106" s="93" t="s">
        <v>2381</v>
      </c>
      <c r="H2106" s="93" t="s">
        <v>2382</v>
      </c>
      <c r="I2106" s="93">
        <v>2397.5457928860201</v>
      </c>
      <c r="J2106" s="93" t="s">
        <v>2383</v>
      </c>
      <c r="K2106" s="93" t="s">
        <v>2384</v>
      </c>
      <c r="L2106" s="93" t="s">
        <v>2385</v>
      </c>
      <c r="M2106" s="93" t="s">
        <v>1702</v>
      </c>
      <c r="N2106" s="95">
        <v>0.06</v>
      </c>
      <c r="O2106" s="95">
        <v>0.26</v>
      </c>
      <c r="P2106" s="95">
        <v>0.43</v>
      </c>
      <c r="Q2106" s="95">
        <v>0.21</v>
      </c>
      <c r="R2106" s="96">
        <v>0.03</v>
      </c>
    </row>
    <row r="2107" spans="1:18" ht="15" hidden="1" customHeight="1" x14ac:dyDescent="0.3">
      <c r="A2107" s="89">
        <v>2023</v>
      </c>
      <c r="B2107" s="90">
        <v>6</v>
      </c>
      <c r="C2107" s="90" t="s">
        <v>727</v>
      </c>
      <c r="D2107" s="90" t="s">
        <v>719</v>
      </c>
      <c r="E2107" s="91" t="s">
        <v>11</v>
      </c>
      <c r="F2107" s="92" t="s">
        <v>46</v>
      </c>
      <c r="G2107" s="93" t="s">
        <v>2386</v>
      </c>
      <c r="H2107" s="93" t="s">
        <v>2387</v>
      </c>
      <c r="I2107" s="93">
        <v>2397.5457928860201</v>
      </c>
      <c r="J2107" s="93" t="s">
        <v>2388</v>
      </c>
      <c r="K2107" s="93" t="s">
        <v>2389</v>
      </c>
      <c r="L2107" s="93" t="s">
        <v>2390</v>
      </c>
      <c r="M2107" s="93" t="s">
        <v>1708</v>
      </c>
      <c r="N2107" s="95">
        <v>0.17</v>
      </c>
      <c r="O2107" s="95">
        <v>0.5</v>
      </c>
      <c r="P2107" s="95">
        <v>0.26</v>
      </c>
      <c r="Q2107" s="95">
        <v>0.06</v>
      </c>
      <c r="R2107" s="96">
        <v>0.02</v>
      </c>
    </row>
    <row r="2108" spans="1:18" ht="15" hidden="1" customHeight="1" x14ac:dyDescent="0.3">
      <c r="A2108" s="89">
        <v>2023</v>
      </c>
      <c r="B2108" s="90">
        <v>6</v>
      </c>
      <c r="C2108" s="90" t="s">
        <v>727</v>
      </c>
      <c r="D2108" s="90" t="s">
        <v>719</v>
      </c>
      <c r="E2108" s="91" t="s">
        <v>11</v>
      </c>
      <c r="F2108" s="92" t="s">
        <v>47</v>
      </c>
      <c r="G2108" s="93" t="s">
        <v>2391</v>
      </c>
      <c r="H2108" s="93" t="s">
        <v>2392</v>
      </c>
      <c r="I2108" s="93">
        <v>2397.5457928860201</v>
      </c>
      <c r="J2108" s="93" t="s">
        <v>2393</v>
      </c>
      <c r="K2108" s="93" t="s">
        <v>2394</v>
      </c>
      <c r="L2108" s="93" t="s">
        <v>2395</v>
      </c>
      <c r="M2108" s="93" t="s">
        <v>1714</v>
      </c>
      <c r="N2108" s="95">
        <v>0.02</v>
      </c>
      <c r="O2108" s="95">
        <v>0.22</v>
      </c>
      <c r="P2108" s="95">
        <v>0.45</v>
      </c>
      <c r="Q2108" s="95">
        <v>0.21</v>
      </c>
      <c r="R2108" s="96">
        <v>0.09</v>
      </c>
    </row>
    <row r="2109" spans="1:18" ht="15" hidden="1" customHeight="1" x14ac:dyDescent="0.3">
      <c r="A2109" s="89">
        <v>2023</v>
      </c>
      <c r="B2109" s="90">
        <v>6</v>
      </c>
      <c r="C2109" s="90" t="s">
        <v>727</v>
      </c>
      <c r="D2109" s="90" t="s">
        <v>719</v>
      </c>
      <c r="E2109" s="91" t="s">
        <v>11</v>
      </c>
      <c r="F2109" s="92" t="s">
        <v>48</v>
      </c>
      <c r="G2109" s="93" t="s">
        <v>2396</v>
      </c>
      <c r="H2109" s="93" t="s">
        <v>2397</v>
      </c>
      <c r="I2109" s="93">
        <v>2397.5457928860201</v>
      </c>
      <c r="J2109" s="93" t="s">
        <v>2398</v>
      </c>
      <c r="K2109" s="93" t="s">
        <v>2399</v>
      </c>
      <c r="L2109" s="93" t="s">
        <v>2400</v>
      </c>
      <c r="M2109" s="93" t="s">
        <v>1720</v>
      </c>
      <c r="N2109" s="95">
        <v>0.01</v>
      </c>
      <c r="O2109" s="95">
        <v>0.02</v>
      </c>
      <c r="P2109" s="95">
        <v>0.09</v>
      </c>
      <c r="Q2109" s="95">
        <v>0.46</v>
      </c>
      <c r="R2109" s="96">
        <v>0.42</v>
      </c>
    </row>
    <row r="2110" spans="1:18" ht="15" hidden="1" customHeight="1" x14ac:dyDescent="0.3">
      <c r="A2110" s="89">
        <v>2023</v>
      </c>
      <c r="B2110" s="90">
        <v>6</v>
      </c>
      <c r="C2110" s="90" t="s">
        <v>727</v>
      </c>
      <c r="D2110" s="90" t="s">
        <v>722</v>
      </c>
      <c r="E2110" s="91" t="s">
        <v>11</v>
      </c>
      <c r="F2110" s="92" t="s">
        <v>12</v>
      </c>
      <c r="G2110" s="93">
        <v>15731.31</v>
      </c>
      <c r="H2110" s="93">
        <v>68357.61</v>
      </c>
      <c r="I2110" s="93">
        <v>2397.5457928860201</v>
      </c>
      <c r="J2110" s="93">
        <v>36673.86</v>
      </c>
      <c r="K2110" s="93">
        <v>9940.39</v>
      </c>
      <c r="L2110" s="93">
        <v>204246.27</v>
      </c>
      <c r="M2110" s="93">
        <v>433311.44</v>
      </c>
      <c r="N2110" s="95">
        <v>7.0000000000000007E-2</v>
      </c>
      <c r="O2110" s="95">
        <v>0.3</v>
      </c>
      <c r="P2110" s="95">
        <v>0.43</v>
      </c>
      <c r="Q2110" s="95">
        <v>0.16</v>
      </c>
      <c r="R2110" s="96">
        <v>0.04</v>
      </c>
    </row>
    <row r="2111" spans="1:18" ht="15" hidden="1" customHeight="1" x14ac:dyDescent="0.3">
      <c r="A2111" s="89">
        <v>2023</v>
      </c>
      <c r="B2111" s="90">
        <v>6</v>
      </c>
      <c r="C2111" s="90" t="s">
        <v>727</v>
      </c>
      <c r="D2111" s="90" t="s">
        <v>722</v>
      </c>
      <c r="E2111" s="91" t="s">
        <v>11</v>
      </c>
      <c r="F2111" s="92" t="s">
        <v>26</v>
      </c>
      <c r="G2111" s="93">
        <v>47759.64</v>
      </c>
      <c r="H2111" s="93">
        <v>107496.63</v>
      </c>
      <c r="I2111" s="93">
        <v>2397.5457928860201</v>
      </c>
      <c r="J2111" s="93">
        <v>181550.35</v>
      </c>
      <c r="K2111" s="93">
        <v>77852.19</v>
      </c>
      <c r="L2111" s="93">
        <v>743867.77</v>
      </c>
      <c r="M2111" s="93">
        <v>1302393.77</v>
      </c>
      <c r="N2111" s="95">
        <v>0.09</v>
      </c>
      <c r="O2111" s="95">
        <v>0.19</v>
      </c>
      <c r="P2111" s="95">
        <v>0.26</v>
      </c>
      <c r="Q2111" s="95">
        <v>0.33</v>
      </c>
      <c r="R2111" s="96">
        <v>0.14000000000000001</v>
      </c>
    </row>
    <row r="2112" spans="1:18" ht="15" hidden="1" customHeight="1" x14ac:dyDescent="0.3">
      <c r="A2112" s="89">
        <v>2023</v>
      </c>
      <c r="B2112" s="90">
        <v>6</v>
      </c>
      <c r="C2112" s="90" t="s">
        <v>727</v>
      </c>
      <c r="D2112" s="90" t="s">
        <v>722</v>
      </c>
      <c r="E2112" s="91" t="s">
        <v>11</v>
      </c>
      <c r="F2112" s="92" t="s">
        <v>27</v>
      </c>
      <c r="G2112" s="93">
        <v>7459.84</v>
      </c>
      <c r="H2112" s="93">
        <v>29784.880000000001</v>
      </c>
      <c r="I2112" s="93">
        <v>2397.5457928860201</v>
      </c>
      <c r="J2112" s="93">
        <v>14556.52</v>
      </c>
      <c r="K2112" s="93">
        <v>3190.4</v>
      </c>
      <c r="L2112" s="93">
        <v>146203.64000000001</v>
      </c>
      <c r="M2112" s="93">
        <v>226689.38</v>
      </c>
      <c r="N2112" s="95">
        <v>0.09</v>
      </c>
      <c r="O2112" s="95">
        <v>0.37</v>
      </c>
      <c r="P2112" s="95">
        <v>0.32</v>
      </c>
      <c r="Q2112" s="95">
        <v>0.18</v>
      </c>
      <c r="R2112" s="96">
        <v>0.04</v>
      </c>
    </row>
    <row r="2113" spans="1:18" ht="15" hidden="1" customHeight="1" x14ac:dyDescent="0.3">
      <c r="A2113" s="89">
        <v>2023</v>
      </c>
      <c r="B2113" s="90">
        <v>6</v>
      </c>
      <c r="C2113" s="90" t="s">
        <v>727</v>
      </c>
      <c r="D2113" s="90" t="s">
        <v>722</v>
      </c>
      <c r="E2113" s="91" t="s">
        <v>11</v>
      </c>
      <c r="F2113" s="92" t="s">
        <v>28</v>
      </c>
      <c r="G2113" s="93">
        <v>10044.1</v>
      </c>
      <c r="H2113" s="93">
        <v>77637.69</v>
      </c>
      <c r="I2113" s="93">
        <v>2397.5457928860201</v>
      </c>
      <c r="J2113" s="93">
        <v>38160.050000000003</v>
      </c>
      <c r="K2113" s="93">
        <v>6067.24</v>
      </c>
      <c r="L2113" s="93">
        <v>109184.44</v>
      </c>
      <c r="M2113" s="93">
        <v>373104.4</v>
      </c>
      <c r="N2113" s="95">
        <v>0.04</v>
      </c>
      <c r="O2113" s="95">
        <v>0.28999999999999998</v>
      </c>
      <c r="P2113" s="95">
        <v>0.5</v>
      </c>
      <c r="Q2113" s="95">
        <v>0.14000000000000001</v>
      </c>
      <c r="R2113" s="96">
        <v>0.02</v>
      </c>
    </row>
    <row r="2114" spans="1:18" ht="15" customHeight="1" x14ac:dyDescent="0.3">
      <c r="A2114" s="89">
        <v>2023</v>
      </c>
      <c r="B2114" s="90">
        <v>6</v>
      </c>
      <c r="C2114" s="90" t="s">
        <v>727</v>
      </c>
      <c r="D2114" s="90" t="s">
        <v>722</v>
      </c>
      <c r="E2114" s="91" t="s">
        <v>11</v>
      </c>
      <c r="F2114" s="92" t="s">
        <v>29</v>
      </c>
      <c r="G2114" s="93">
        <v>7619</v>
      </c>
      <c r="H2114" s="93">
        <v>15511.12</v>
      </c>
      <c r="I2114" s="93">
        <v>2397.5457928860201</v>
      </c>
      <c r="J2114" s="93">
        <v>64878.44</v>
      </c>
      <c r="K2114" s="93">
        <v>58166.39</v>
      </c>
      <c r="L2114" s="93">
        <v>163753.26999999999</v>
      </c>
      <c r="M2114" s="93">
        <v>354391.76</v>
      </c>
      <c r="N2114" s="95">
        <v>0.04</v>
      </c>
      <c r="O2114" s="95">
        <v>0.08</v>
      </c>
      <c r="P2114" s="95">
        <v>0.23</v>
      </c>
      <c r="Q2114" s="95">
        <v>0.34</v>
      </c>
      <c r="R2114" s="96">
        <v>0.31</v>
      </c>
    </row>
    <row r="2115" spans="1:18" ht="15" hidden="1" customHeight="1" x14ac:dyDescent="0.3">
      <c r="A2115" s="89">
        <v>2023</v>
      </c>
      <c r="B2115" s="90">
        <v>6</v>
      </c>
      <c r="C2115" s="90" t="s">
        <v>727</v>
      </c>
      <c r="D2115" s="90" t="s">
        <v>722</v>
      </c>
      <c r="E2115" s="91" t="s">
        <v>11</v>
      </c>
      <c r="F2115" s="92" t="s">
        <v>30</v>
      </c>
      <c r="G2115" s="93">
        <v>408.18</v>
      </c>
      <c r="H2115" s="93">
        <v>1860.35</v>
      </c>
      <c r="I2115" s="93">
        <v>2397.5457928860201</v>
      </c>
      <c r="J2115" s="93">
        <v>2162.96</v>
      </c>
      <c r="K2115" s="93">
        <v>708.7</v>
      </c>
      <c r="L2115" s="93">
        <v>221029.79</v>
      </c>
      <c r="M2115" s="93">
        <v>230086.24</v>
      </c>
      <c r="N2115" s="95">
        <v>0.05</v>
      </c>
      <c r="O2115" s="95">
        <v>0.21</v>
      </c>
      <c r="P2115" s="95">
        <v>0.43</v>
      </c>
      <c r="Q2115" s="95">
        <v>0.24</v>
      </c>
      <c r="R2115" s="96">
        <v>0.08</v>
      </c>
    </row>
    <row r="2116" spans="1:18" ht="15" hidden="1" customHeight="1" x14ac:dyDescent="0.3">
      <c r="A2116" s="89">
        <v>2023</v>
      </c>
      <c r="B2116" s="90">
        <v>6</v>
      </c>
      <c r="C2116" s="90" t="s">
        <v>727</v>
      </c>
      <c r="D2116" s="90" t="s">
        <v>722</v>
      </c>
      <c r="E2116" s="91" t="s">
        <v>11</v>
      </c>
      <c r="F2116" s="92" t="s">
        <v>31</v>
      </c>
      <c r="G2116" s="93">
        <v>2924.32</v>
      </c>
      <c r="H2116" s="93">
        <v>62292.72</v>
      </c>
      <c r="I2116" s="93">
        <v>2397.5457928860201</v>
      </c>
      <c r="J2116" s="93">
        <v>24657.71</v>
      </c>
      <c r="K2116" s="93">
        <v>8003.95</v>
      </c>
      <c r="L2116" s="93">
        <v>93090.58</v>
      </c>
      <c r="M2116" s="93">
        <v>251948.86</v>
      </c>
      <c r="N2116" s="95">
        <v>0.02</v>
      </c>
      <c r="O2116" s="95">
        <v>0.39</v>
      </c>
      <c r="P2116" s="95">
        <v>0.38</v>
      </c>
      <c r="Q2116" s="95">
        <v>0.16</v>
      </c>
      <c r="R2116" s="96">
        <v>0.05</v>
      </c>
    </row>
    <row r="2117" spans="1:18" ht="15" hidden="1" customHeight="1" x14ac:dyDescent="0.3">
      <c r="A2117" s="89">
        <v>2023</v>
      </c>
      <c r="B2117" s="90">
        <v>6</v>
      </c>
      <c r="C2117" s="90" t="s">
        <v>727</v>
      </c>
      <c r="D2117" s="90" t="s">
        <v>722</v>
      </c>
      <c r="E2117" s="91" t="s">
        <v>11</v>
      </c>
      <c r="F2117" s="92" t="s">
        <v>32</v>
      </c>
      <c r="G2117" s="93">
        <v>19983.52</v>
      </c>
      <c r="H2117" s="93">
        <v>66915</v>
      </c>
      <c r="I2117" s="93">
        <v>2397.5457928860201</v>
      </c>
      <c r="J2117" s="93">
        <v>149317.28</v>
      </c>
      <c r="K2117" s="93">
        <v>88236.72</v>
      </c>
      <c r="L2117" s="93">
        <v>145942.04999999999</v>
      </c>
      <c r="M2117" s="93">
        <v>609521.87</v>
      </c>
      <c r="N2117" s="95">
        <v>0.04</v>
      </c>
      <c r="O2117" s="95">
        <v>0.14000000000000001</v>
      </c>
      <c r="P2117" s="95">
        <v>0.3</v>
      </c>
      <c r="Q2117" s="95">
        <v>0.32</v>
      </c>
      <c r="R2117" s="96">
        <v>0.19</v>
      </c>
    </row>
    <row r="2118" spans="1:18" ht="15" hidden="1" customHeight="1" x14ac:dyDescent="0.3">
      <c r="A2118" s="89">
        <v>2023</v>
      </c>
      <c r="B2118" s="90">
        <v>6</v>
      </c>
      <c r="C2118" s="90" t="s">
        <v>727</v>
      </c>
      <c r="D2118" s="90" t="s">
        <v>722</v>
      </c>
      <c r="E2118" s="91" t="s">
        <v>11</v>
      </c>
      <c r="F2118" s="92" t="s">
        <v>33</v>
      </c>
      <c r="G2118" s="93">
        <v>29967.64</v>
      </c>
      <c r="H2118" s="93">
        <v>77850.679999999993</v>
      </c>
      <c r="I2118" s="93">
        <v>2397.5457928860201</v>
      </c>
      <c r="J2118" s="93">
        <v>343918.73</v>
      </c>
      <c r="K2118" s="93">
        <v>58253.64</v>
      </c>
      <c r="L2118" s="93">
        <v>495748.5</v>
      </c>
      <c r="M2118" s="93">
        <v>1352055.51</v>
      </c>
      <c r="N2118" s="95">
        <v>0.03</v>
      </c>
      <c r="O2118" s="95">
        <v>0.09</v>
      </c>
      <c r="P2118" s="95">
        <v>0.4</v>
      </c>
      <c r="Q2118" s="95">
        <v>0.4</v>
      </c>
      <c r="R2118" s="96">
        <v>7.0000000000000007E-2</v>
      </c>
    </row>
    <row r="2119" spans="1:18" ht="15" hidden="1" customHeight="1" x14ac:dyDescent="0.3">
      <c r="A2119" s="89">
        <v>2023</v>
      </c>
      <c r="B2119" s="90">
        <v>6</v>
      </c>
      <c r="C2119" s="90" t="s">
        <v>727</v>
      </c>
      <c r="D2119" s="90" t="s">
        <v>722</v>
      </c>
      <c r="E2119" s="91" t="s">
        <v>11</v>
      </c>
      <c r="F2119" s="92" t="s">
        <v>34</v>
      </c>
      <c r="G2119" s="93">
        <v>11378.39</v>
      </c>
      <c r="H2119" s="93">
        <v>31556.83</v>
      </c>
      <c r="I2119" s="93">
        <v>2397.5457928860201</v>
      </c>
      <c r="J2119" s="93">
        <v>153801.44</v>
      </c>
      <c r="K2119" s="93">
        <v>76214.210000000006</v>
      </c>
      <c r="L2119" s="93">
        <v>339742.46</v>
      </c>
      <c r="M2119" s="93">
        <v>713628.98</v>
      </c>
      <c r="N2119" s="95">
        <v>0.03</v>
      </c>
      <c r="O2119" s="95">
        <v>0.08</v>
      </c>
      <c r="P2119" s="95">
        <v>0.27</v>
      </c>
      <c r="Q2119" s="95">
        <v>0.41</v>
      </c>
      <c r="R2119" s="96">
        <v>0.2</v>
      </c>
    </row>
    <row r="2120" spans="1:18" ht="15" hidden="1" customHeight="1" x14ac:dyDescent="0.3">
      <c r="A2120" s="89">
        <v>2023</v>
      </c>
      <c r="B2120" s="90">
        <v>6</v>
      </c>
      <c r="C2120" s="90" t="s">
        <v>727</v>
      </c>
      <c r="D2120" s="90" t="s">
        <v>722</v>
      </c>
      <c r="E2120" s="91" t="s">
        <v>11</v>
      </c>
      <c r="F2120" s="92" t="s">
        <v>35</v>
      </c>
      <c r="G2120" s="93">
        <v>28798.09</v>
      </c>
      <c r="H2120" s="93">
        <v>58208.03</v>
      </c>
      <c r="I2120" s="93">
        <v>2397.5457928860201</v>
      </c>
      <c r="J2120" s="93">
        <v>14572.73</v>
      </c>
      <c r="K2120" s="93">
        <v>1875.94</v>
      </c>
      <c r="L2120" s="93">
        <v>455817.99</v>
      </c>
      <c r="M2120" s="93">
        <v>605861.19999999995</v>
      </c>
      <c r="N2120" s="95">
        <v>0.19</v>
      </c>
      <c r="O2120" s="95">
        <v>0.39</v>
      </c>
      <c r="P2120" s="95">
        <v>0.31</v>
      </c>
      <c r="Q2120" s="95">
        <v>0.1</v>
      </c>
      <c r="R2120" s="96">
        <v>0.01</v>
      </c>
    </row>
    <row r="2121" spans="1:18" ht="15" hidden="1" customHeight="1" x14ac:dyDescent="0.3">
      <c r="A2121" s="89">
        <v>2023</v>
      </c>
      <c r="B2121" s="90">
        <v>6</v>
      </c>
      <c r="C2121" s="90" t="s">
        <v>727</v>
      </c>
      <c r="D2121" s="90" t="s">
        <v>722</v>
      </c>
      <c r="E2121" s="91" t="s">
        <v>11</v>
      </c>
      <c r="F2121" s="92" t="s">
        <v>36</v>
      </c>
      <c r="G2121" s="93">
        <v>4259.22</v>
      </c>
      <c r="H2121" s="93">
        <v>24156.240000000002</v>
      </c>
      <c r="I2121" s="93">
        <v>2397.5457928860201</v>
      </c>
      <c r="J2121" s="93">
        <v>66441.539999999994</v>
      </c>
      <c r="K2121" s="93">
        <v>33458.22</v>
      </c>
      <c r="L2121" s="93">
        <v>79794.460000000006</v>
      </c>
      <c r="M2121" s="93">
        <v>258886.74</v>
      </c>
      <c r="N2121" s="95">
        <v>0.02</v>
      </c>
      <c r="O2121" s="95">
        <v>0.13</v>
      </c>
      <c r="P2121" s="95">
        <v>0.28000000000000003</v>
      </c>
      <c r="Q2121" s="95">
        <v>0.37</v>
      </c>
      <c r="R2121" s="96">
        <v>0.19</v>
      </c>
    </row>
    <row r="2122" spans="1:18" ht="15" hidden="1" customHeight="1" x14ac:dyDescent="0.3">
      <c r="A2122" s="89">
        <v>2023</v>
      </c>
      <c r="B2122" s="90">
        <v>6</v>
      </c>
      <c r="C2122" s="90" t="s">
        <v>727</v>
      </c>
      <c r="D2122" s="90" t="s">
        <v>722</v>
      </c>
      <c r="E2122" s="91" t="s">
        <v>11</v>
      </c>
      <c r="F2122" s="92" t="s">
        <v>37</v>
      </c>
      <c r="G2122" s="93">
        <v>6582.58</v>
      </c>
      <c r="H2122" s="93">
        <v>29455.87</v>
      </c>
      <c r="I2122" s="93">
        <v>2397.5457928860201</v>
      </c>
      <c r="J2122" s="93">
        <v>92610.67</v>
      </c>
      <c r="K2122" s="93">
        <v>44651.86</v>
      </c>
      <c r="L2122" s="93">
        <v>274683.71000000002</v>
      </c>
      <c r="M2122" s="93">
        <v>524074.32</v>
      </c>
      <c r="N2122" s="95">
        <v>0.03</v>
      </c>
      <c r="O2122" s="95">
        <v>0.12</v>
      </c>
      <c r="P2122" s="95">
        <v>0.31</v>
      </c>
      <c r="Q2122" s="95">
        <v>0.37</v>
      </c>
      <c r="R2122" s="96">
        <v>0.18</v>
      </c>
    </row>
    <row r="2123" spans="1:18" ht="15" hidden="1" customHeight="1" x14ac:dyDescent="0.3">
      <c r="A2123" s="89">
        <v>2023</v>
      </c>
      <c r="B2123" s="90">
        <v>6</v>
      </c>
      <c r="C2123" s="90" t="s">
        <v>727</v>
      </c>
      <c r="D2123" s="90" t="s">
        <v>722</v>
      </c>
      <c r="E2123" s="91" t="s">
        <v>11</v>
      </c>
      <c r="F2123" s="92" t="s">
        <v>38</v>
      </c>
      <c r="G2123" s="93">
        <v>27765.360000000001</v>
      </c>
      <c r="H2123" s="93">
        <v>55087.25</v>
      </c>
      <c r="I2123" s="93">
        <v>2397.5457928860201</v>
      </c>
      <c r="J2123" s="93">
        <v>87092.17</v>
      </c>
      <c r="K2123" s="93">
        <v>23618.29</v>
      </c>
      <c r="L2123" s="93">
        <v>644361.11</v>
      </c>
      <c r="M2123" s="93">
        <v>927959.02</v>
      </c>
      <c r="N2123" s="95">
        <v>0.1</v>
      </c>
      <c r="O2123" s="95">
        <v>0.19</v>
      </c>
      <c r="P2123" s="95">
        <v>0.32</v>
      </c>
      <c r="Q2123" s="95">
        <v>0.31</v>
      </c>
      <c r="R2123" s="96">
        <v>0.08</v>
      </c>
    </row>
    <row r="2124" spans="1:18" ht="15" hidden="1" customHeight="1" x14ac:dyDescent="0.3">
      <c r="A2124" s="89">
        <v>2023</v>
      </c>
      <c r="B2124" s="90">
        <v>6</v>
      </c>
      <c r="C2124" s="90" t="s">
        <v>727</v>
      </c>
      <c r="D2124" s="90" t="s">
        <v>722</v>
      </c>
      <c r="E2124" s="91" t="s">
        <v>11</v>
      </c>
      <c r="F2124" s="92" t="s">
        <v>39</v>
      </c>
      <c r="G2124" s="93">
        <v>14611.9</v>
      </c>
      <c r="H2124" s="93">
        <v>35409.93</v>
      </c>
      <c r="I2124" s="93">
        <v>2397.5457928860201</v>
      </c>
      <c r="J2124" s="93">
        <v>51000.58</v>
      </c>
      <c r="K2124" s="93">
        <v>28621.63</v>
      </c>
      <c r="L2124" s="93">
        <v>161557.35</v>
      </c>
      <c r="M2124" s="93">
        <v>331195.63</v>
      </c>
      <c r="N2124" s="95">
        <v>0.09</v>
      </c>
      <c r="O2124" s="95">
        <v>0.21</v>
      </c>
      <c r="P2124" s="95">
        <v>0.24</v>
      </c>
      <c r="Q2124" s="95">
        <v>0.3</v>
      </c>
      <c r="R2124" s="96">
        <v>0.17</v>
      </c>
    </row>
    <row r="2125" spans="1:18" ht="15" hidden="1" customHeight="1" x14ac:dyDescent="0.3">
      <c r="A2125" s="89">
        <v>2023</v>
      </c>
      <c r="B2125" s="90">
        <v>6</v>
      </c>
      <c r="C2125" s="90" t="s">
        <v>727</v>
      </c>
      <c r="D2125" s="90" t="s">
        <v>722</v>
      </c>
      <c r="E2125" s="91" t="s">
        <v>11</v>
      </c>
      <c r="F2125" s="92" t="s">
        <v>40</v>
      </c>
      <c r="G2125" s="93">
        <v>7144.51</v>
      </c>
      <c r="H2125" s="93">
        <v>48496.89</v>
      </c>
      <c r="I2125" s="93">
        <v>2397.5457928860201</v>
      </c>
      <c r="J2125" s="93">
        <v>57888.09</v>
      </c>
      <c r="K2125" s="93">
        <v>14400.4</v>
      </c>
      <c r="L2125" s="93">
        <v>93634.39</v>
      </c>
      <c r="M2125" s="93">
        <v>326305.03999999998</v>
      </c>
      <c r="N2125" s="95">
        <v>0.03</v>
      </c>
      <c r="O2125" s="95">
        <v>0.21</v>
      </c>
      <c r="P2125" s="95">
        <v>0.45</v>
      </c>
      <c r="Q2125" s="95">
        <v>0.25</v>
      </c>
      <c r="R2125" s="96">
        <v>0.06</v>
      </c>
    </row>
    <row r="2126" spans="1:18" ht="15" hidden="1" customHeight="1" x14ac:dyDescent="0.3">
      <c r="A2126" s="89">
        <v>2023</v>
      </c>
      <c r="B2126" s="90">
        <v>6</v>
      </c>
      <c r="C2126" s="90" t="s">
        <v>727</v>
      </c>
      <c r="D2126" s="90" t="s">
        <v>722</v>
      </c>
      <c r="E2126" s="91" t="s">
        <v>11</v>
      </c>
      <c r="F2126" s="92" t="s">
        <v>41</v>
      </c>
      <c r="G2126" s="93">
        <v>5939.86</v>
      </c>
      <c r="H2126" s="93">
        <v>6310.6</v>
      </c>
      <c r="I2126" s="93">
        <v>2397.5457928860201</v>
      </c>
      <c r="J2126" s="93">
        <v>843.86</v>
      </c>
      <c r="K2126" s="93">
        <v>62.01</v>
      </c>
      <c r="L2126" s="93">
        <v>2533.17</v>
      </c>
      <c r="M2126" s="93">
        <v>18714.330000000002</v>
      </c>
      <c r="N2126" s="95">
        <v>0.37</v>
      </c>
      <c r="O2126" s="95">
        <v>0.39</v>
      </c>
      <c r="P2126" s="95">
        <v>0.19</v>
      </c>
      <c r="Q2126" s="95">
        <v>0.05</v>
      </c>
      <c r="R2126" s="96">
        <v>0</v>
      </c>
    </row>
    <row r="2127" spans="1:18" ht="15" hidden="1" customHeight="1" x14ac:dyDescent="0.3">
      <c r="A2127" s="89">
        <v>2023</v>
      </c>
      <c r="B2127" s="90">
        <v>6</v>
      </c>
      <c r="C2127" s="90" t="s">
        <v>727</v>
      </c>
      <c r="D2127" s="90" t="s">
        <v>722</v>
      </c>
      <c r="E2127" s="91" t="s">
        <v>11</v>
      </c>
      <c r="F2127" s="92" t="s">
        <v>42</v>
      </c>
      <c r="G2127" s="93">
        <v>35043.54</v>
      </c>
      <c r="H2127" s="93">
        <v>159650.04</v>
      </c>
      <c r="I2127" s="93">
        <v>2397.5457928860201</v>
      </c>
      <c r="J2127" s="93">
        <v>22521.360000000001</v>
      </c>
      <c r="K2127" s="93">
        <v>2610.39</v>
      </c>
      <c r="L2127" s="93">
        <v>295900.53000000003</v>
      </c>
      <c r="M2127" s="93">
        <v>620824.21</v>
      </c>
      <c r="N2127" s="95">
        <v>0.11</v>
      </c>
      <c r="O2127" s="95">
        <v>0.49</v>
      </c>
      <c r="P2127" s="95">
        <v>0.32</v>
      </c>
      <c r="Q2127" s="95">
        <v>7.0000000000000007E-2</v>
      </c>
      <c r="R2127" s="96">
        <v>0.01</v>
      </c>
    </row>
    <row r="2128" spans="1:18" ht="15" hidden="1" customHeight="1" x14ac:dyDescent="0.3">
      <c r="A2128" s="89">
        <v>2023</v>
      </c>
      <c r="B2128" s="90">
        <v>6</v>
      </c>
      <c r="C2128" s="90" t="s">
        <v>727</v>
      </c>
      <c r="D2128" s="90" t="s">
        <v>722</v>
      </c>
      <c r="E2128" s="91" t="s">
        <v>11</v>
      </c>
      <c r="F2128" s="92" t="s">
        <v>43</v>
      </c>
      <c r="G2128" s="93">
        <v>3811.94</v>
      </c>
      <c r="H2128" s="93">
        <v>28061.88</v>
      </c>
      <c r="I2128" s="93">
        <v>2397.5457928860201</v>
      </c>
      <c r="J2128" s="93">
        <v>6976.51</v>
      </c>
      <c r="K2128" s="93">
        <v>1337.82</v>
      </c>
      <c r="L2128" s="93">
        <v>125916.78</v>
      </c>
      <c r="M2128" s="93">
        <v>185575.52</v>
      </c>
      <c r="N2128" s="95">
        <v>0.06</v>
      </c>
      <c r="O2128" s="95">
        <v>0.47</v>
      </c>
      <c r="P2128" s="95">
        <v>0.33</v>
      </c>
      <c r="Q2128" s="95">
        <v>0.12</v>
      </c>
      <c r="R2128" s="96">
        <v>0.02</v>
      </c>
    </row>
    <row r="2129" spans="1:18" ht="15" hidden="1" customHeight="1" x14ac:dyDescent="0.3">
      <c r="A2129" s="89">
        <v>2023</v>
      </c>
      <c r="B2129" s="90">
        <v>6</v>
      </c>
      <c r="C2129" s="90" t="s">
        <v>727</v>
      </c>
      <c r="D2129" s="90" t="s">
        <v>722</v>
      </c>
      <c r="E2129" s="91" t="s">
        <v>11</v>
      </c>
      <c r="F2129" s="92" t="s">
        <v>58</v>
      </c>
      <c r="G2129" s="93">
        <v>16374.22</v>
      </c>
      <c r="H2129" s="93">
        <v>105473.81</v>
      </c>
      <c r="I2129" s="93">
        <v>2397.5457928860201</v>
      </c>
      <c r="J2129" s="93">
        <v>25662.720000000001</v>
      </c>
      <c r="K2129" s="93">
        <v>8514.02</v>
      </c>
      <c r="L2129" s="93">
        <v>73842.39</v>
      </c>
      <c r="M2129" s="93">
        <v>371477.13</v>
      </c>
      <c r="N2129" s="95">
        <v>0.06</v>
      </c>
      <c r="O2129" s="95">
        <v>0.35</v>
      </c>
      <c r="P2129" s="95">
        <v>0.48</v>
      </c>
      <c r="Q2129" s="95">
        <v>0.09</v>
      </c>
      <c r="R2129" s="96">
        <v>0.03</v>
      </c>
    </row>
    <row r="2130" spans="1:18" ht="15" hidden="1" customHeight="1" x14ac:dyDescent="0.3">
      <c r="A2130" s="89">
        <v>2023</v>
      </c>
      <c r="B2130" s="90">
        <v>6</v>
      </c>
      <c r="C2130" s="90" t="s">
        <v>727</v>
      </c>
      <c r="D2130" s="90" t="s">
        <v>722</v>
      </c>
      <c r="E2130" s="91" t="s">
        <v>11</v>
      </c>
      <c r="F2130" s="92" t="s">
        <v>44</v>
      </c>
      <c r="G2130" s="93">
        <v>1726.29</v>
      </c>
      <c r="H2130" s="93">
        <v>4056.04</v>
      </c>
      <c r="I2130" s="93">
        <v>2397.5457928860201</v>
      </c>
      <c r="J2130" s="93">
        <v>36477.839999999997</v>
      </c>
      <c r="K2130" s="93">
        <v>41934.239999999998</v>
      </c>
      <c r="L2130" s="93">
        <v>116710.03</v>
      </c>
      <c r="M2130" s="93">
        <v>215729.36</v>
      </c>
      <c r="N2130" s="95">
        <v>0.02</v>
      </c>
      <c r="O2130" s="95">
        <v>0.04</v>
      </c>
      <c r="P2130" s="95">
        <v>0.15</v>
      </c>
      <c r="Q2130" s="95">
        <v>0.37</v>
      </c>
      <c r="R2130" s="96">
        <v>0.42</v>
      </c>
    </row>
    <row r="2131" spans="1:18" ht="15" hidden="1" customHeight="1" x14ac:dyDescent="0.3">
      <c r="A2131" s="89">
        <v>2023</v>
      </c>
      <c r="B2131" s="90">
        <v>6</v>
      </c>
      <c r="C2131" s="90" t="s">
        <v>727</v>
      </c>
      <c r="D2131" s="90" t="s">
        <v>722</v>
      </c>
      <c r="E2131" s="91" t="s">
        <v>11</v>
      </c>
      <c r="F2131" s="92" t="s">
        <v>51</v>
      </c>
      <c r="G2131" s="93">
        <v>12799.57</v>
      </c>
      <c r="H2131" s="93">
        <v>38513.15</v>
      </c>
      <c r="I2131" s="93">
        <v>2397.5457928860201</v>
      </c>
      <c r="J2131" s="93">
        <v>70901.41</v>
      </c>
      <c r="K2131" s="93">
        <v>11980.31</v>
      </c>
      <c r="L2131" s="93">
        <v>3176.58</v>
      </c>
      <c r="M2131" s="93">
        <v>211202.48</v>
      </c>
      <c r="N2131" s="95">
        <v>0.06</v>
      </c>
      <c r="O2131" s="95">
        <v>0.19</v>
      </c>
      <c r="P2131" s="95">
        <v>0.35</v>
      </c>
      <c r="Q2131" s="95">
        <v>0.34</v>
      </c>
      <c r="R2131" s="96">
        <v>0.06</v>
      </c>
    </row>
    <row r="2132" spans="1:18" ht="15" hidden="1" customHeight="1" x14ac:dyDescent="0.3">
      <c r="A2132" s="89">
        <v>2023</v>
      </c>
      <c r="B2132" s="90">
        <v>6</v>
      </c>
      <c r="C2132" s="90" t="s">
        <v>727</v>
      </c>
      <c r="D2132" s="90" t="s">
        <v>722</v>
      </c>
      <c r="E2132" s="91" t="s">
        <v>11</v>
      </c>
      <c r="F2132" s="92" t="s">
        <v>45</v>
      </c>
      <c r="G2132" s="93">
        <v>3158.65</v>
      </c>
      <c r="H2132" s="93">
        <v>6168.44</v>
      </c>
      <c r="I2132" s="93">
        <v>2397.5457928860201</v>
      </c>
      <c r="J2132" s="93">
        <v>19124.34</v>
      </c>
      <c r="K2132" s="93">
        <v>7954.08</v>
      </c>
      <c r="L2132" s="93">
        <v>82544.27</v>
      </c>
      <c r="M2132" s="93">
        <v>134096.20000000001</v>
      </c>
      <c r="N2132" s="95">
        <v>0.06</v>
      </c>
      <c r="O2132" s="95">
        <v>0.12</v>
      </c>
      <c r="P2132" s="95">
        <v>0.28999999999999998</v>
      </c>
      <c r="Q2132" s="95">
        <v>0.37</v>
      </c>
      <c r="R2132" s="96">
        <v>0.15</v>
      </c>
    </row>
    <row r="2133" spans="1:18" ht="15" hidden="1" customHeight="1" x14ac:dyDescent="0.3">
      <c r="A2133" s="89">
        <v>2023</v>
      </c>
      <c r="B2133" s="90">
        <v>6</v>
      </c>
      <c r="C2133" s="90" t="s">
        <v>727</v>
      </c>
      <c r="D2133" s="90" t="s">
        <v>722</v>
      </c>
      <c r="E2133" s="91" t="s">
        <v>11</v>
      </c>
      <c r="F2133" s="92" t="s">
        <v>721</v>
      </c>
      <c r="G2133" s="93">
        <v>35211.050000000003</v>
      </c>
      <c r="H2133" s="93">
        <v>126272.63</v>
      </c>
      <c r="I2133" s="93">
        <v>2397.5457928860201</v>
      </c>
      <c r="J2133" s="93">
        <v>9700.74</v>
      </c>
      <c r="K2133" s="93">
        <v>941.85</v>
      </c>
      <c r="L2133" s="93">
        <v>68978.83</v>
      </c>
      <c r="M2133" s="93">
        <v>309330.63</v>
      </c>
      <c r="N2133" s="95">
        <v>0.15</v>
      </c>
      <c r="O2133" s="95">
        <v>0.53</v>
      </c>
      <c r="P2133" s="95">
        <v>0.28000000000000003</v>
      </c>
      <c r="Q2133" s="95">
        <v>0.04</v>
      </c>
      <c r="R2133" s="96">
        <v>0</v>
      </c>
    </row>
    <row r="2134" spans="1:18" ht="15" hidden="1" customHeight="1" x14ac:dyDescent="0.3">
      <c r="A2134" s="89">
        <v>2023</v>
      </c>
      <c r="B2134" s="90">
        <v>6</v>
      </c>
      <c r="C2134" s="90" t="s">
        <v>727</v>
      </c>
      <c r="D2134" s="90" t="s">
        <v>722</v>
      </c>
      <c r="E2134" s="91" t="s">
        <v>11</v>
      </c>
      <c r="F2134" s="92" t="s">
        <v>46</v>
      </c>
      <c r="G2134" s="93">
        <v>33157.67</v>
      </c>
      <c r="H2134" s="93">
        <v>79575.09</v>
      </c>
      <c r="I2134" s="93">
        <v>2397.5457928860201</v>
      </c>
      <c r="J2134" s="93">
        <v>4721.51</v>
      </c>
      <c r="K2134" s="93">
        <v>1150.79</v>
      </c>
      <c r="L2134" s="93">
        <v>1203.43</v>
      </c>
      <c r="M2134" s="93">
        <v>149074.81</v>
      </c>
      <c r="N2134" s="95">
        <v>0.22</v>
      </c>
      <c r="O2134" s="95">
        <v>0.54</v>
      </c>
      <c r="P2134" s="95">
        <v>0.2</v>
      </c>
      <c r="Q2134" s="95">
        <v>0.03</v>
      </c>
      <c r="R2134" s="96">
        <v>0.01</v>
      </c>
    </row>
    <row r="2135" spans="1:18" ht="15" hidden="1" customHeight="1" x14ac:dyDescent="0.3">
      <c r="A2135" s="89">
        <v>2023</v>
      </c>
      <c r="B2135" s="90">
        <v>6</v>
      </c>
      <c r="C2135" s="90" t="s">
        <v>727</v>
      </c>
      <c r="D2135" s="90" t="s">
        <v>722</v>
      </c>
      <c r="E2135" s="91" t="s">
        <v>11</v>
      </c>
      <c r="F2135" s="92" t="s">
        <v>47</v>
      </c>
      <c r="G2135" s="93">
        <v>2184.52</v>
      </c>
      <c r="H2135" s="93">
        <v>37326.769999999997</v>
      </c>
      <c r="I2135" s="93">
        <v>2397.5457928860201</v>
      </c>
      <c r="J2135" s="93">
        <v>148319.4</v>
      </c>
      <c r="K2135" s="93">
        <v>103526.39</v>
      </c>
      <c r="L2135" s="93">
        <v>1007990.23</v>
      </c>
      <c r="M2135" s="93">
        <v>1461770.89</v>
      </c>
      <c r="N2135" s="95">
        <v>0</v>
      </c>
      <c r="O2135" s="95">
        <v>0.08</v>
      </c>
      <c r="P2135" s="95">
        <v>0.36</v>
      </c>
      <c r="Q2135" s="95">
        <v>0.33</v>
      </c>
      <c r="R2135" s="96">
        <v>0.23</v>
      </c>
    </row>
    <row r="2136" spans="1:18" ht="15" hidden="1" customHeight="1" x14ac:dyDescent="0.3">
      <c r="A2136" s="89">
        <v>2023</v>
      </c>
      <c r="B2136" s="90">
        <v>6</v>
      </c>
      <c r="C2136" s="90" t="s">
        <v>727</v>
      </c>
      <c r="D2136" s="90" t="s">
        <v>722</v>
      </c>
      <c r="E2136" s="91" t="s">
        <v>11</v>
      </c>
      <c r="F2136" s="92" t="s">
        <v>48</v>
      </c>
      <c r="G2136" s="93">
        <v>1150.79</v>
      </c>
      <c r="H2136" s="93">
        <v>3990.24</v>
      </c>
      <c r="I2136" s="93">
        <v>2397.5457928860201</v>
      </c>
      <c r="J2136" s="93">
        <v>47288.29</v>
      </c>
      <c r="K2136" s="93">
        <v>21328.28</v>
      </c>
      <c r="L2136" s="93">
        <v>14601.86</v>
      </c>
      <c r="M2136" s="93">
        <v>110314.47</v>
      </c>
      <c r="N2136" s="95">
        <v>0.01</v>
      </c>
      <c r="O2136" s="95">
        <v>0.04</v>
      </c>
      <c r="P2136" s="95">
        <v>0.23</v>
      </c>
      <c r="Q2136" s="95">
        <v>0.49</v>
      </c>
      <c r="R2136" s="96">
        <v>0.22</v>
      </c>
    </row>
    <row r="2137" spans="1:18" ht="15" hidden="1" customHeight="1" x14ac:dyDescent="0.3">
      <c r="A2137" s="89">
        <v>2023</v>
      </c>
      <c r="B2137" s="90">
        <v>7</v>
      </c>
      <c r="C2137" s="90" t="s">
        <v>728</v>
      </c>
      <c r="D2137" s="90" t="s">
        <v>719</v>
      </c>
      <c r="E2137" s="91" t="s">
        <v>11</v>
      </c>
      <c r="F2137" s="92" t="s">
        <v>12</v>
      </c>
      <c r="G2137" s="93" t="s">
        <v>2401</v>
      </c>
      <c r="H2137" s="93" t="s">
        <v>2402</v>
      </c>
      <c r="I2137" s="93">
        <v>2397.5457928860201</v>
      </c>
      <c r="J2137" s="93" t="s">
        <v>2403</v>
      </c>
      <c r="K2137" s="93" t="s">
        <v>2404</v>
      </c>
      <c r="L2137" s="93" t="s">
        <v>2405</v>
      </c>
      <c r="M2137" s="93" t="s">
        <v>1581</v>
      </c>
      <c r="N2137" s="95">
        <v>0.05</v>
      </c>
      <c r="O2137" s="95">
        <v>0.21</v>
      </c>
      <c r="P2137" s="95">
        <v>0.43</v>
      </c>
      <c r="Q2137" s="95">
        <v>0.28000000000000003</v>
      </c>
      <c r="R2137" s="96">
        <v>0.03</v>
      </c>
    </row>
    <row r="2138" spans="1:18" ht="15" hidden="1" customHeight="1" x14ac:dyDescent="0.3">
      <c r="A2138" s="89">
        <v>2023</v>
      </c>
      <c r="B2138" s="90">
        <v>7</v>
      </c>
      <c r="C2138" s="90" t="s">
        <v>728</v>
      </c>
      <c r="D2138" s="90" t="s">
        <v>719</v>
      </c>
      <c r="E2138" s="91" t="s">
        <v>11</v>
      </c>
      <c r="F2138" s="92" t="s">
        <v>26</v>
      </c>
      <c r="G2138" s="93" t="s">
        <v>2406</v>
      </c>
      <c r="H2138" s="93" t="s">
        <v>2407</v>
      </c>
      <c r="I2138" s="93">
        <v>2397.5457928860201</v>
      </c>
      <c r="J2138" s="93" t="s">
        <v>2408</v>
      </c>
      <c r="K2138" s="93" t="s">
        <v>2409</v>
      </c>
      <c r="L2138" s="93" t="s">
        <v>2410</v>
      </c>
      <c r="M2138" s="93" t="s">
        <v>1575</v>
      </c>
      <c r="N2138" s="95">
        <v>0.05</v>
      </c>
      <c r="O2138" s="95">
        <v>0.12</v>
      </c>
      <c r="P2138" s="95">
        <v>0.24</v>
      </c>
      <c r="Q2138" s="95">
        <v>0.45</v>
      </c>
      <c r="R2138" s="96">
        <v>0.14000000000000001</v>
      </c>
    </row>
    <row r="2139" spans="1:18" ht="15" hidden="1" customHeight="1" x14ac:dyDescent="0.3">
      <c r="A2139" s="89">
        <v>2023</v>
      </c>
      <c r="B2139" s="90">
        <v>7</v>
      </c>
      <c r="C2139" s="90" t="s">
        <v>728</v>
      </c>
      <c r="D2139" s="90" t="s">
        <v>719</v>
      </c>
      <c r="E2139" s="91" t="s">
        <v>11</v>
      </c>
      <c r="F2139" s="92" t="s">
        <v>27</v>
      </c>
      <c r="G2139" s="93" t="s">
        <v>2411</v>
      </c>
      <c r="H2139" s="93" t="s">
        <v>2412</v>
      </c>
      <c r="I2139" s="93">
        <v>2397.5457928860201</v>
      </c>
      <c r="J2139" s="93" t="s">
        <v>2413</v>
      </c>
      <c r="K2139" s="93" t="s">
        <v>2414</v>
      </c>
      <c r="L2139" s="93" t="s">
        <v>2415</v>
      </c>
      <c r="M2139" s="93" t="s">
        <v>1587</v>
      </c>
      <c r="N2139" s="95">
        <v>0.12</v>
      </c>
      <c r="O2139" s="95">
        <v>0.42</v>
      </c>
      <c r="P2139" s="95">
        <v>0.33</v>
      </c>
      <c r="Q2139" s="95">
        <v>0.11</v>
      </c>
      <c r="R2139" s="96">
        <v>0.01</v>
      </c>
    </row>
    <row r="2140" spans="1:18" ht="15" hidden="1" customHeight="1" x14ac:dyDescent="0.3">
      <c r="A2140" s="89">
        <v>2023</v>
      </c>
      <c r="B2140" s="90">
        <v>7</v>
      </c>
      <c r="C2140" s="90" t="s">
        <v>728</v>
      </c>
      <c r="D2140" s="90" t="s">
        <v>719</v>
      </c>
      <c r="E2140" s="91" t="s">
        <v>11</v>
      </c>
      <c r="F2140" s="92" t="s">
        <v>28</v>
      </c>
      <c r="G2140" s="93" t="s">
        <v>2416</v>
      </c>
      <c r="H2140" s="93" t="s">
        <v>2417</v>
      </c>
      <c r="I2140" s="93">
        <v>2397.5457928860201</v>
      </c>
      <c r="J2140" s="93" t="s">
        <v>2418</v>
      </c>
      <c r="K2140" s="93" t="s">
        <v>2419</v>
      </c>
      <c r="L2140" s="93" t="s">
        <v>2420</v>
      </c>
      <c r="M2140" s="93" t="s">
        <v>1593</v>
      </c>
      <c r="N2140" s="95">
        <v>0.03</v>
      </c>
      <c r="O2140" s="95">
        <v>0.15</v>
      </c>
      <c r="P2140" s="95">
        <v>0.43</v>
      </c>
      <c r="Q2140" s="95">
        <v>0.36</v>
      </c>
      <c r="R2140" s="96">
        <v>0.04</v>
      </c>
    </row>
    <row r="2141" spans="1:18" ht="15" customHeight="1" x14ac:dyDescent="0.3">
      <c r="A2141" s="89">
        <v>2023</v>
      </c>
      <c r="B2141" s="90">
        <v>7</v>
      </c>
      <c r="C2141" s="90" t="s">
        <v>728</v>
      </c>
      <c r="D2141" s="90" t="s">
        <v>719</v>
      </c>
      <c r="E2141" s="91" t="s">
        <v>11</v>
      </c>
      <c r="F2141" s="92" t="s">
        <v>29</v>
      </c>
      <c r="G2141" s="93" t="s">
        <v>2421</v>
      </c>
      <c r="H2141" s="93" t="s">
        <v>2422</v>
      </c>
      <c r="I2141" s="93">
        <v>2397.5457928860201</v>
      </c>
      <c r="J2141" s="93" t="s">
        <v>2423</v>
      </c>
      <c r="K2141" s="93" t="s">
        <v>2424</v>
      </c>
      <c r="L2141" s="93" t="s">
        <v>2425</v>
      </c>
      <c r="M2141" s="93" t="s">
        <v>1599</v>
      </c>
      <c r="N2141" s="95">
        <v>0.02</v>
      </c>
      <c r="O2141" s="95">
        <v>0.09</v>
      </c>
      <c r="P2141" s="95">
        <v>0.24</v>
      </c>
      <c r="Q2141" s="95">
        <v>0.32</v>
      </c>
      <c r="R2141" s="96">
        <v>0.33</v>
      </c>
    </row>
    <row r="2142" spans="1:18" ht="15" hidden="1" customHeight="1" x14ac:dyDescent="0.3">
      <c r="A2142" s="89">
        <v>2023</v>
      </c>
      <c r="B2142" s="90">
        <v>7</v>
      </c>
      <c r="C2142" s="90" t="s">
        <v>728</v>
      </c>
      <c r="D2142" s="90" t="s">
        <v>719</v>
      </c>
      <c r="E2142" s="91" t="s">
        <v>11</v>
      </c>
      <c r="F2142" s="92" t="s">
        <v>30</v>
      </c>
      <c r="G2142" s="93" t="s">
        <v>2426</v>
      </c>
      <c r="H2142" s="93" t="s">
        <v>2427</v>
      </c>
      <c r="I2142" s="93">
        <v>2397.5457928860201</v>
      </c>
      <c r="J2142" s="93" t="s">
        <v>2428</v>
      </c>
      <c r="K2142" s="93" t="s">
        <v>2429</v>
      </c>
      <c r="L2142" s="93" t="s">
        <v>2430</v>
      </c>
      <c r="M2142" s="93" t="s">
        <v>1605</v>
      </c>
      <c r="N2142" s="95">
        <v>0.01</v>
      </c>
      <c r="O2142" s="95">
        <v>0.14000000000000001</v>
      </c>
      <c r="P2142" s="95">
        <v>0.45</v>
      </c>
      <c r="Q2142" s="95">
        <v>0.34</v>
      </c>
      <c r="R2142" s="96">
        <v>7.0000000000000007E-2</v>
      </c>
    </row>
    <row r="2143" spans="1:18" ht="15" hidden="1" customHeight="1" x14ac:dyDescent="0.3">
      <c r="A2143" s="89">
        <v>2023</v>
      </c>
      <c r="B2143" s="90">
        <v>7</v>
      </c>
      <c r="C2143" s="90" t="s">
        <v>728</v>
      </c>
      <c r="D2143" s="90" t="s">
        <v>719</v>
      </c>
      <c r="E2143" s="91" t="s">
        <v>11</v>
      </c>
      <c r="F2143" s="92" t="s">
        <v>31</v>
      </c>
      <c r="G2143" s="93" t="s">
        <v>2431</v>
      </c>
      <c r="H2143" s="93" t="s">
        <v>2432</v>
      </c>
      <c r="I2143" s="93">
        <v>2397.5457928860201</v>
      </c>
      <c r="J2143" s="93" t="s">
        <v>2433</v>
      </c>
      <c r="K2143" s="93" t="s">
        <v>2434</v>
      </c>
      <c r="L2143" s="93" t="s">
        <v>2435</v>
      </c>
      <c r="M2143" s="93" t="s">
        <v>1611</v>
      </c>
      <c r="N2143" s="95">
        <v>0</v>
      </c>
      <c r="O2143" s="95">
        <v>0.25</v>
      </c>
      <c r="P2143" s="95">
        <v>0.45</v>
      </c>
      <c r="Q2143" s="95">
        <v>0.2</v>
      </c>
      <c r="R2143" s="96">
        <v>0.09</v>
      </c>
    </row>
    <row r="2144" spans="1:18" ht="15" hidden="1" customHeight="1" x14ac:dyDescent="0.3">
      <c r="A2144" s="89">
        <v>2023</v>
      </c>
      <c r="B2144" s="90">
        <v>7</v>
      </c>
      <c r="C2144" s="90" t="s">
        <v>728</v>
      </c>
      <c r="D2144" s="90" t="s">
        <v>719</v>
      </c>
      <c r="E2144" s="91" t="s">
        <v>11</v>
      </c>
      <c r="F2144" s="92" t="s">
        <v>32</v>
      </c>
      <c r="G2144" s="93" t="s">
        <v>2436</v>
      </c>
      <c r="H2144" s="93" t="s">
        <v>2437</v>
      </c>
      <c r="I2144" s="93">
        <v>2397.5457928860201</v>
      </c>
      <c r="J2144" s="93" t="s">
        <v>2438</v>
      </c>
      <c r="K2144" s="93" t="s">
        <v>2439</v>
      </c>
      <c r="L2144" s="93" t="s">
        <v>2440</v>
      </c>
      <c r="M2144" s="93" t="s">
        <v>1617</v>
      </c>
      <c r="N2144" s="95">
        <v>0.04</v>
      </c>
      <c r="O2144" s="95">
        <v>0.15</v>
      </c>
      <c r="P2144" s="95">
        <v>0.32</v>
      </c>
      <c r="Q2144" s="95">
        <v>0.33</v>
      </c>
      <c r="R2144" s="96">
        <v>0.17</v>
      </c>
    </row>
    <row r="2145" spans="1:18" ht="15" hidden="1" customHeight="1" x14ac:dyDescent="0.3">
      <c r="A2145" s="89">
        <v>2023</v>
      </c>
      <c r="B2145" s="90">
        <v>7</v>
      </c>
      <c r="C2145" s="90" t="s">
        <v>728</v>
      </c>
      <c r="D2145" s="90" t="s">
        <v>719</v>
      </c>
      <c r="E2145" s="91" t="s">
        <v>11</v>
      </c>
      <c r="F2145" s="92" t="s">
        <v>33</v>
      </c>
      <c r="G2145" s="93" t="s">
        <v>2441</v>
      </c>
      <c r="H2145" s="93" t="s">
        <v>2442</v>
      </c>
      <c r="I2145" s="93">
        <v>2397.5457928860201</v>
      </c>
      <c r="J2145" s="93" t="s">
        <v>2443</v>
      </c>
      <c r="K2145" s="93" t="s">
        <v>2444</v>
      </c>
      <c r="L2145" s="93" t="s">
        <v>2445</v>
      </c>
      <c r="M2145" s="93" t="s">
        <v>1623</v>
      </c>
      <c r="N2145" s="95">
        <v>0.01</v>
      </c>
      <c r="O2145" s="95">
        <v>0.04</v>
      </c>
      <c r="P2145" s="95">
        <v>0.22</v>
      </c>
      <c r="Q2145" s="95">
        <v>0.57999999999999996</v>
      </c>
      <c r="R2145" s="96">
        <v>0.14000000000000001</v>
      </c>
    </row>
    <row r="2146" spans="1:18" ht="15" hidden="1" customHeight="1" x14ac:dyDescent="0.3">
      <c r="A2146" s="89">
        <v>2023</v>
      </c>
      <c r="B2146" s="90">
        <v>7</v>
      </c>
      <c r="C2146" s="90" t="s">
        <v>728</v>
      </c>
      <c r="D2146" s="90" t="s">
        <v>719</v>
      </c>
      <c r="E2146" s="91" t="s">
        <v>11</v>
      </c>
      <c r="F2146" s="92" t="s">
        <v>34</v>
      </c>
      <c r="G2146" s="93" t="s">
        <v>2446</v>
      </c>
      <c r="H2146" s="93" t="s">
        <v>2447</v>
      </c>
      <c r="I2146" s="93">
        <v>2397.5457928860201</v>
      </c>
      <c r="J2146" s="93" t="s">
        <v>2448</v>
      </c>
      <c r="K2146" s="93" t="s">
        <v>2449</v>
      </c>
      <c r="L2146" s="93" t="s">
        <v>2450</v>
      </c>
      <c r="M2146" s="93" t="s">
        <v>1628</v>
      </c>
      <c r="N2146" s="95">
        <v>0.02</v>
      </c>
      <c r="O2146" s="95">
        <v>0.09</v>
      </c>
      <c r="P2146" s="95">
        <v>0.34</v>
      </c>
      <c r="Q2146" s="95">
        <v>0.43</v>
      </c>
      <c r="R2146" s="96">
        <v>0.12</v>
      </c>
    </row>
    <row r="2147" spans="1:18" ht="15" hidden="1" customHeight="1" x14ac:dyDescent="0.3">
      <c r="A2147" s="89">
        <v>2023</v>
      </c>
      <c r="B2147" s="90">
        <v>7</v>
      </c>
      <c r="C2147" s="90" t="s">
        <v>728</v>
      </c>
      <c r="D2147" s="90" t="s">
        <v>719</v>
      </c>
      <c r="E2147" s="91" t="s">
        <v>11</v>
      </c>
      <c r="F2147" s="92" t="s">
        <v>35</v>
      </c>
      <c r="G2147" s="93" t="s">
        <v>2451</v>
      </c>
      <c r="H2147" s="93" t="s">
        <v>2452</v>
      </c>
      <c r="I2147" s="93">
        <v>2397.5457928860201</v>
      </c>
      <c r="J2147" s="93" t="s">
        <v>2453</v>
      </c>
      <c r="K2147" s="93" t="s">
        <v>2454</v>
      </c>
      <c r="L2147" s="93" t="s">
        <v>2455</v>
      </c>
      <c r="M2147" s="93" t="s">
        <v>799</v>
      </c>
      <c r="N2147" s="95">
        <v>0.08</v>
      </c>
      <c r="O2147" s="95">
        <v>0.32</v>
      </c>
      <c r="P2147" s="95">
        <v>0.34</v>
      </c>
      <c r="Q2147" s="95">
        <v>0.21</v>
      </c>
      <c r="R2147" s="96">
        <v>0.05</v>
      </c>
    </row>
    <row r="2148" spans="1:18" ht="15" hidden="1" customHeight="1" x14ac:dyDescent="0.3">
      <c r="A2148" s="89">
        <v>2023</v>
      </c>
      <c r="B2148" s="90">
        <v>7</v>
      </c>
      <c r="C2148" s="90" t="s">
        <v>728</v>
      </c>
      <c r="D2148" s="90" t="s">
        <v>719</v>
      </c>
      <c r="E2148" s="91" t="s">
        <v>11</v>
      </c>
      <c r="F2148" s="92" t="s">
        <v>36</v>
      </c>
      <c r="G2148" s="93" t="s">
        <v>2456</v>
      </c>
      <c r="H2148" s="93" t="s">
        <v>2457</v>
      </c>
      <c r="I2148" s="93">
        <v>2397.5457928860201</v>
      </c>
      <c r="J2148" s="93" t="s">
        <v>2458</v>
      </c>
      <c r="K2148" s="93" t="s">
        <v>2459</v>
      </c>
      <c r="L2148" s="93" t="s">
        <v>2460</v>
      </c>
      <c r="M2148" s="93" t="s">
        <v>1639</v>
      </c>
      <c r="N2148" s="95">
        <v>0.02</v>
      </c>
      <c r="O2148" s="95">
        <v>0.13</v>
      </c>
      <c r="P2148" s="95">
        <v>0.32</v>
      </c>
      <c r="Q2148" s="95">
        <v>0.36</v>
      </c>
      <c r="R2148" s="96">
        <v>0.17</v>
      </c>
    </row>
    <row r="2149" spans="1:18" ht="15" hidden="1" customHeight="1" x14ac:dyDescent="0.3">
      <c r="A2149" s="89">
        <v>2023</v>
      </c>
      <c r="B2149" s="90">
        <v>7</v>
      </c>
      <c r="C2149" s="90" t="s">
        <v>728</v>
      </c>
      <c r="D2149" s="90" t="s">
        <v>719</v>
      </c>
      <c r="E2149" s="91" t="s">
        <v>11</v>
      </c>
      <c r="F2149" s="92" t="s">
        <v>37</v>
      </c>
      <c r="G2149" s="93" t="s">
        <v>2461</v>
      </c>
      <c r="H2149" s="93" t="s">
        <v>2462</v>
      </c>
      <c r="I2149" s="93">
        <v>2397.5457928860201</v>
      </c>
      <c r="J2149" s="93" t="s">
        <v>2463</v>
      </c>
      <c r="K2149" s="93" t="s">
        <v>2464</v>
      </c>
      <c r="L2149" s="93" t="s">
        <v>2465</v>
      </c>
      <c r="M2149" s="93" t="s">
        <v>1645</v>
      </c>
      <c r="N2149" s="95">
        <v>0.02</v>
      </c>
      <c r="O2149" s="95">
        <v>0.09</v>
      </c>
      <c r="P2149" s="95">
        <v>0.31</v>
      </c>
      <c r="Q2149" s="95">
        <v>0.42</v>
      </c>
      <c r="R2149" s="96">
        <v>0.16</v>
      </c>
    </row>
    <row r="2150" spans="1:18" ht="15" hidden="1" customHeight="1" x14ac:dyDescent="0.3">
      <c r="A2150" s="89">
        <v>2023</v>
      </c>
      <c r="B2150" s="90">
        <v>7</v>
      </c>
      <c r="C2150" s="90" t="s">
        <v>728</v>
      </c>
      <c r="D2150" s="90" t="s">
        <v>719</v>
      </c>
      <c r="E2150" s="91" t="s">
        <v>11</v>
      </c>
      <c r="F2150" s="92" t="s">
        <v>720</v>
      </c>
      <c r="G2150" s="93" t="s">
        <v>2466</v>
      </c>
      <c r="H2150" s="93" t="s">
        <v>2467</v>
      </c>
      <c r="I2150" s="93">
        <v>2397.5457928860201</v>
      </c>
      <c r="J2150" s="93" t="s">
        <v>2468</v>
      </c>
      <c r="K2150" s="93" t="s">
        <v>2469</v>
      </c>
      <c r="L2150" s="93" t="s">
        <v>2470</v>
      </c>
      <c r="M2150" s="93" t="s">
        <v>1651</v>
      </c>
      <c r="N2150" s="95">
        <v>7.0000000000000007E-2</v>
      </c>
      <c r="O2150" s="95">
        <v>0.16</v>
      </c>
      <c r="P2150" s="95">
        <v>0.27</v>
      </c>
      <c r="Q2150" s="95">
        <v>0.42</v>
      </c>
      <c r="R2150" s="96">
        <v>0.09</v>
      </c>
    </row>
    <row r="2151" spans="1:18" ht="15" hidden="1" customHeight="1" x14ac:dyDescent="0.3">
      <c r="A2151" s="89">
        <v>2023</v>
      </c>
      <c r="B2151" s="90">
        <v>7</v>
      </c>
      <c r="C2151" s="90" t="s">
        <v>728</v>
      </c>
      <c r="D2151" s="90" t="s">
        <v>719</v>
      </c>
      <c r="E2151" s="91" t="s">
        <v>11</v>
      </c>
      <c r="F2151" s="92" t="s">
        <v>39</v>
      </c>
      <c r="G2151" s="93" t="s">
        <v>2471</v>
      </c>
      <c r="H2151" s="93" t="s">
        <v>2472</v>
      </c>
      <c r="I2151" s="93">
        <v>2397.5457928860201</v>
      </c>
      <c r="J2151" s="93" t="s">
        <v>2473</v>
      </c>
      <c r="K2151" s="93" t="s">
        <v>2474</v>
      </c>
      <c r="L2151" s="93" t="s">
        <v>2475</v>
      </c>
      <c r="M2151" s="93" t="s">
        <v>1657</v>
      </c>
      <c r="N2151" s="95">
        <v>0.12</v>
      </c>
      <c r="O2151" s="95">
        <v>0.27</v>
      </c>
      <c r="P2151" s="95">
        <v>0.24</v>
      </c>
      <c r="Q2151" s="95">
        <v>0.25</v>
      </c>
      <c r="R2151" s="96">
        <v>0.12</v>
      </c>
    </row>
    <row r="2152" spans="1:18" ht="15" hidden="1" customHeight="1" x14ac:dyDescent="0.3">
      <c r="A2152" s="89">
        <v>2023</v>
      </c>
      <c r="B2152" s="90">
        <v>7</v>
      </c>
      <c r="C2152" s="90" t="s">
        <v>728</v>
      </c>
      <c r="D2152" s="90" t="s">
        <v>719</v>
      </c>
      <c r="E2152" s="91" t="s">
        <v>11</v>
      </c>
      <c r="F2152" s="92" t="s">
        <v>40</v>
      </c>
      <c r="G2152" s="93" t="s">
        <v>2476</v>
      </c>
      <c r="H2152" s="93" t="s">
        <v>2477</v>
      </c>
      <c r="I2152" s="93">
        <v>2397.5457928860201</v>
      </c>
      <c r="J2152" s="93" t="s">
        <v>2478</v>
      </c>
      <c r="K2152" s="93" t="s">
        <v>2479</v>
      </c>
      <c r="L2152" s="93" t="s">
        <v>2480</v>
      </c>
      <c r="M2152" s="93" t="s">
        <v>1726</v>
      </c>
      <c r="N2152" s="95">
        <v>0.03</v>
      </c>
      <c r="O2152" s="95">
        <v>0.25</v>
      </c>
      <c r="P2152" s="95">
        <v>0.4</v>
      </c>
      <c r="Q2152" s="95">
        <v>0.28000000000000003</v>
      </c>
      <c r="R2152" s="96">
        <v>0.04</v>
      </c>
    </row>
    <row r="2153" spans="1:18" ht="15" hidden="1" customHeight="1" x14ac:dyDescent="0.3">
      <c r="A2153" s="89">
        <v>2023</v>
      </c>
      <c r="B2153" s="90">
        <v>7</v>
      </c>
      <c r="C2153" s="90" t="s">
        <v>728</v>
      </c>
      <c r="D2153" s="90" t="s">
        <v>719</v>
      </c>
      <c r="E2153" s="91" t="s">
        <v>11</v>
      </c>
      <c r="F2153" s="92" t="s">
        <v>41</v>
      </c>
      <c r="G2153" s="93" t="s">
        <v>2481</v>
      </c>
      <c r="H2153" s="93" t="s">
        <v>2482</v>
      </c>
      <c r="I2153" s="93">
        <v>2397.5457928860201</v>
      </c>
      <c r="J2153" s="93" t="s">
        <v>2483</v>
      </c>
      <c r="K2153" s="93" t="s">
        <v>2484</v>
      </c>
      <c r="L2153" s="93" t="s">
        <v>2485</v>
      </c>
      <c r="M2153" s="93" t="s">
        <v>835</v>
      </c>
      <c r="N2153" s="95">
        <v>0.12</v>
      </c>
      <c r="O2153" s="95">
        <v>0.38</v>
      </c>
      <c r="P2153" s="95">
        <v>0.3</v>
      </c>
      <c r="Q2153" s="95">
        <v>0.17</v>
      </c>
      <c r="R2153" s="96">
        <v>0.04</v>
      </c>
    </row>
    <row r="2154" spans="1:18" ht="15" hidden="1" customHeight="1" x14ac:dyDescent="0.3">
      <c r="A2154" s="89">
        <v>2023</v>
      </c>
      <c r="B2154" s="90">
        <v>7</v>
      </c>
      <c r="C2154" s="90" t="s">
        <v>728</v>
      </c>
      <c r="D2154" s="90" t="s">
        <v>719</v>
      </c>
      <c r="E2154" s="91" t="s">
        <v>11</v>
      </c>
      <c r="F2154" s="92" t="s">
        <v>42</v>
      </c>
      <c r="G2154" s="93" t="s">
        <v>2486</v>
      </c>
      <c r="H2154" s="93" t="s">
        <v>2487</v>
      </c>
      <c r="I2154" s="93">
        <v>2397.5457928860201</v>
      </c>
      <c r="J2154" s="93" t="s">
        <v>2488</v>
      </c>
      <c r="K2154" s="93" t="s">
        <v>2489</v>
      </c>
      <c r="L2154" s="93" t="s">
        <v>2490</v>
      </c>
      <c r="M2154" s="93" t="s">
        <v>1668</v>
      </c>
      <c r="N2154" s="95">
        <v>0.11</v>
      </c>
      <c r="O2154" s="95">
        <v>0.47</v>
      </c>
      <c r="P2154" s="95">
        <v>0.33</v>
      </c>
      <c r="Q2154" s="95">
        <v>7.0000000000000007E-2</v>
      </c>
      <c r="R2154" s="96">
        <v>0.01</v>
      </c>
    </row>
    <row r="2155" spans="1:18" ht="15" hidden="1" customHeight="1" x14ac:dyDescent="0.3">
      <c r="A2155" s="89">
        <v>2023</v>
      </c>
      <c r="B2155" s="90">
        <v>7</v>
      </c>
      <c r="C2155" s="90" t="s">
        <v>728</v>
      </c>
      <c r="D2155" s="90" t="s">
        <v>719</v>
      </c>
      <c r="E2155" s="91" t="s">
        <v>11</v>
      </c>
      <c r="F2155" s="92" t="s">
        <v>43</v>
      </c>
      <c r="G2155" s="93" t="s">
        <v>2491</v>
      </c>
      <c r="H2155" s="93" t="s">
        <v>2492</v>
      </c>
      <c r="I2155" s="93">
        <v>2397.5457928860201</v>
      </c>
      <c r="J2155" s="93" t="s">
        <v>2493</v>
      </c>
      <c r="K2155" s="93" t="s">
        <v>2494</v>
      </c>
      <c r="L2155" s="93" t="s">
        <v>2495</v>
      </c>
      <c r="M2155" s="93" t="s">
        <v>1674</v>
      </c>
      <c r="N2155" s="95">
        <v>0.03</v>
      </c>
      <c r="O2155" s="95">
        <v>0.4</v>
      </c>
      <c r="P2155" s="95">
        <v>0.35</v>
      </c>
      <c r="Q2155" s="95">
        <v>0.18</v>
      </c>
      <c r="R2155" s="96">
        <v>0.05</v>
      </c>
    </row>
    <row r="2156" spans="1:18" ht="15" hidden="1" customHeight="1" x14ac:dyDescent="0.3">
      <c r="A2156" s="89">
        <v>2023</v>
      </c>
      <c r="B2156" s="90">
        <v>7</v>
      </c>
      <c r="C2156" s="90" t="s">
        <v>728</v>
      </c>
      <c r="D2156" s="90" t="s">
        <v>719</v>
      </c>
      <c r="E2156" s="91" t="s">
        <v>11</v>
      </c>
      <c r="F2156" s="92" t="s">
        <v>58</v>
      </c>
      <c r="G2156" s="93" t="s">
        <v>2496</v>
      </c>
      <c r="H2156" s="93" t="s">
        <v>2497</v>
      </c>
      <c r="I2156" s="93">
        <v>2397.5457928860201</v>
      </c>
      <c r="J2156" s="93" t="s">
        <v>2498</v>
      </c>
      <c r="K2156" s="93" t="s">
        <v>2499</v>
      </c>
      <c r="L2156" s="93" t="s">
        <v>2500</v>
      </c>
      <c r="M2156" s="93" t="s">
        <v>853</v>
      </c>
      <c r="N2156" s="95">
        <v>0.05</v>
      </c>
      <c r="O2156" s="95">
        <v>0.35</v>
      </c>
      <c r="P2156" s="95">
        <v>0.44</v>
      </c>
      <c r="Q2156" s="95">
        <v>0.13</v>
      </c>
      <c r="R2156" s="96">
        <v>0.03</v>
      </c>
    </row>
    <row r="2157" spans="1:18" ht="15" hidden="1" customHeight="1" x14ac:dyDescent="0.3">
      <c r="A2157" s="89">
        <v>2023</v>
      </c>
      <c r="B2157" s="90">
        <v>7</v>
      </c>
      <c r="C2157" s="90" t="s">
        <v>728</v>
      </c>
      <c r="D2157" s="90" t="s">
        <v>719</v>
      </c>
      <c r="E2157" s="91" t="s">
        <v>11</v>
      </c>
      <c r="F2157" s="92" t="s">
        <v>44</v>
      </c>
      <c r="G2157" s="93" t="s">
        <v>2501</v>
      </c>
      <c r="H2157" s="93" t="s">
        <v>2502</v>
      </c>
      <c r="I2157" s="93">
        <v>2397.5457928860201</v>
      </c>
      <c r="J2157" s="93" t="s">
        <v>2503</v>
      </c>
      <c r="K2157" s="93" t="s">
        <v>2504</v>
      </c>
      <c r="L2157" s="93" t="s">
        <v>2505</v>
      </c>
      <c r="M2157" s="93" t="s">
        <v>2506</v>
      </c>
      <c r="N2157" s="95">
        <v>0.01</v>
      </c>
      <c r="O2157" s="95">
        <v>0.03</v>
      </c>
      <c r="P2157" s="95">
        <v>0.15</v>
      </c>
      <c r="Q2157" s="95">
        <v>0.28999999999999998</v>
      </c>
      <c r="R2157" s="96">
        <v>0.52</v>
      </c>
    </row>
    <row r="2158" spans="1:18" ht="15" hidden="1" customHeight="1" x14ac:dyDescent="0.3">
      <c r="A2158" s="89">
        <v>2023</v>
      </c>
      <c r="B2158" s="90">
        <v>7</v>
      </c>
      <c r="C2158" s="90" t="s">
        <v>728</v>
      </c>
      <c r="D2158" s="90" t="s">
        <v>719</v>
      </c>
      <c r="E2158" s="91" t="s">
        <v>11</v>
      </c>
      <c r="F2158" s="92" t="s">
        <v>51</v>
      </c>
      <c r="G2158" s="93" t="s">
        <v>2507</v>
      </c>
      <c r="H2158" s="93" t="s">
        <v>2508</v>
      </c>
      <c r="I2158" s="93">
        <v>2397.5457928860201</v>
      </c>
      <c r="J2158" s="93" t="s">
        <v>2509</v>
      </c>
      <c r="K2158" s="93" t="s">
        <v>2510</v>
      </c>
      <c r="L2158" s="93" t="s">
        <v>2511</v>
      </c>
      <c r="M2158" s="93" t="s">
        <v>2512</v>
      </c>
      <c r="N2158" s="95">
        <v>0.04</v>
      </c>
      <c r="O2158" s="95">
        <v>0.2</v>
      </c>
      <c r="P2158" s="95">
        <v>0.33</v>
      </c>
      <c r="Q2158" s="95">
        <v>0.32</v>
      </c>
      <c r="R2158" s="96">
        <v>0.11</v>
      </c>
    </row>
    <row r="2159" spans="1:18" ht="15" hidden="1" customHeight="1" x14ac:dyDescent="0.3">
      <c r="A2159" s="89">
        <v>2023</v>
      </c>
      <c r="B2159" s="90">
        <v>7</v>
      </c>
      <c r="C2159" s="90" t="s">
        <v>728</v>
      </c>
      <c r="D2159" s="90" t="s">
        <v>719</v>
      </c>
      <c r="E2159" s="91" t="s">
        <v>11</v>
      </c>
      <c r="F2159" s="92" t="s">
        <v>45</v>
      </c>
      <c r="G2159" s="93" t="s">
        <v>2513</v>
      </c>
      <c r="H2159" s="93" t="s">
        <v>2514</v>
      </c>
      <c r="I2159" s="93">
        <v>2397.5457928860201</v>
      </c>
      <c r="J2159" s="93" t="s">
        <v>2515</v>
      </c>
      <c r="K2159" s="93" t="s">
        <v>2516</v>
      </c>
      <c r="L2159" s="93" t="s">
        <v>2517</v>
      </c>
      <c r="M2159" s="93" t="s">
        <v>1697</v>
      </c>
      <c r="N2159" s="95">
        <v>0.03</v>
      </c>
      <c r="O2159" s="95">
        <v>0.14000000000000001</v>
      </c>
      <c r="P2159" s="95">
        <v>0.33</v>
      </c>
      <c r="Q2159" s="95">
        <v>0.4</v>
      </c>
      <c r="R2159" s="96">
        <v>0.11</v>
      </c>
    </row>
    <row r="2160" spans="1:18" ht="15" hidden="1" customHeight="1" x14ac:dyDescent="0.3">
      <c r="A2160" s="89">
        <v>2023</v>
      </c>
      <c r="B2160" s="90">
        <v>7</v>
      </c>
      <c r="C2160" s="90" t="s">
        <v>728</v>
      </c>
      <c r="D2160" s="90" t="s">
        <v>719</v>
      </c>
      <c r="E2160" s="91" t="s">
        <v>11</v>
      </c>
      <c r="F2160" s="92" t="s">
        <v>721</v>
      </c>
      <c r="G2160" s="93" t="s">
        <v>2518</v>
      </c>
      <c r="H2160" s="93" t="s">
        <v>2519</v>
      </c>
      <c r="I2160" s="93">
        <v>2397.5457928860201</v>
      </c>
      <c r="J2160" s="93" t="s">
        <v>2520</v>
      </c>
      <c r="K2160" s="93" t="s">
        <v>2521</v>
      </c>
      <c r="L2160" s="93" t="s">
        <v>2522</v>
      </c>
      <c r="M2160" s="93" t="s">
        <v>1702</v>
      </c>
      <c r="N2160" s="95">
        <v>0.08</v>
      </c>
      <c r="O2160" s="95">
        <v>0.43</v>
      </c>
      <c r="P2160" s="95">
        <v>0.39</v>
      </c>
      <c r="Q2160" s="95">
        <v>0.09</v>
      </c>
      <c r="R2160" s="96">
        <v>0.01</v>
      </c>
    </row>
    <row r="2161" spans="1:18" ht="15" hidden="1" customHeight="1" x14ac:dyDescent="0.3">
      <c r="A2161" s="89">
        <v>2023</v>
      </c>
      <c r="B2161" s="90">
        <v>7</v>
      </c>
      <c r="C2161" s="90" t="s">
        <v>728</v>
      </c>
      <c r="D2161" s="90" t="s">
        <v>719</v>
      </c>
      <c r="E2161" s="91" t="s">
        <v>11</v>
      </c>
      <c r="F2161" s="92" t="s">
        <v>46</v>
      </c>
      <c r="G2161" s="93" t="s">
        <v>2523</v>
      </c>
      <c r="H2161" s="93" t="s">
        <v>2524</v>
      </c>
      <c r="I2161" s="93">
        <v>2397.5457928860201</v>
      </c>
      <c r="J2161" s="93" t="s">
        <v>2525</v>
      </c>
      <c r="K2161" s="93" t="s">
        <v>2526</v>
      </c>
      <c r="L2161" s="93" t="s">
        <v>2527</v>
      </c>
      <c r="M2161" s="93" t="s">
        <v>1708</v>
      </c>
      <c r="N2161" s="95">
        <v>0.21</v>
      </c>
      <c r="O2161" s="95">
        <v>0.5</v>
      </c>
      <c r="P2161" s="95">
        <v>0.22</v>
      </c>
      <c r="Q2161" s="95">
        <v>0.05</v>
      </c>
      <c r="R2161" s="96">
        <v>0.02</v>
      </c>
    </row>
    <row r="2162" spans="1:18" ht="15" hidden="1" customHeight="1" x14ac:dyDescent="0.3">
      <c r="A2162" s="89">
        <v>2023</v>
      </c>
      <c r="B2162" s="90">
        <v>7</v>
      </c>
      <c r="C2162" s="90" t="s">
        <v>728</v>
      </c>
      <c r="D2162" s="90" t="s">
        <v>719</v>
      </c>
      <c r="E2162" s="91" t="s">
        <v>11</v>
      </c>
      <c r="F2162" s="92" t="s">
        <v>47</v>
      </c>
      <c r="G2162" s="93" t="s">
        <v>2528</v>
      </c>
      <c r="H2162" s="93" t="s">
        <v>2529</v>
      </c>
      <c r="I2162" s="93">
        <v>2397.5457928860201</v>
      </c>
      <c r="J2162" s="93" t="s">
        <v>2530</v>
      </c>
      <c r="K2162" s="93" t="s">
        <v>2531</v>
      </c>
      <c r="L2162" s="93" t="s">
        <v>2532</v>
      </c>
      <c r="M2162" s="93" t="s">
        <v>2533</v>
      </c>
      <c r="N2162" s="95">
        <v>0.06</v>
      </c>
      <c r="O2162" s="95">
        <v>0.32</v>
      </c>
      <c r="P2162" s="95">
        <v>0.41</v>
      </c>
      <c r="Q2162" s="95">
        <v>0.16</v>
      </c>
      <c r="R2162" s="96">
        <v>0.05</v>
      </c>
    </row>
    <row r="2163" spans="1:18" ht="15" hidden="1" customHeight="1" x14ac:dyDescent="0.3">
      <c r="A2163" s="89">
        <v>2023</v>
      </c>
      <c r="B2163" s="90">
        <v>7</v>
      </c>
      <c r="C2163" s="90" t="s">
        <v>728</v>
      </c>
      <c r="D2163" s="90" t="s">
        <v>719</v>
      </c>
      <c r="E2163" s="91" t="s">
        <v>11</v>
      </c>
      <c r="F2163" s="92" t="s">
        <v>48</v>
      </c>
      <c r="G2163" s="93" t="s">
        <v>2534</v>
      </c>
      <c r="H2163" s="93" t="s">
        <v>2535</v>
      </c>
      <c r="I2163" s="93">
        <v>2397.5457928860201</v>
      </c>
      <c r="J2163" s="93" t="s">
        <v>2536</v>
      </c>
      <c r="K2163" s="93" t="s">
        <v>2537</v>
      </c>
      <c r="L2163" s="93" t="s">
        <v>2538</v>
      </c>
      <c r="M2163" s="93" t="s">
        <v>1720</v>
      </c>
      <c r="N2163" s="95">
        <v>0.01</v>
      </c>
      <c r="O2163" s="95">
        <v>0.04</v>
      </c>
      <c r="P2163" s="95">
        <v>0.21</v>
      </c>
      <c r="Q2163" s="95">
        <v>0.48</v>
      </c>
      <c r="R2163" s="96">
        <v>0.26</v>
      </c>
    </row>
    <row r="2164" spans="1:18" ht="15" hidden="1" customHeight="1" x14ac:dyDescent="0.3">
      <c r="A2164" s="101">
        <v>2023</v>
      </c>
      <c r="B2164" s="90">
        <v>7</v>
      </c>
      <c r="C2164" s="90" t="s">
        <v>728</v>
      </c>
      <c r="D2164" s="90" t="s">
        <v>722</v>
      </c>
      <c r="E2164" s="102" t="s">
        <v>11</v>
      </c>
      <c r="F2164" s="103" t="s">
        <v>12</v>
      </c>
      <c r="G2164" s="93" t="s">
        <v>2539</v>
      </c>
      <c r="H2164" s="93" t="s">
        <v>2540</v>
      </c>
      <c r="I2164" s="93">
        <v>2397.5457928860201</v>
      </c>
      <c r="J2164" s="93" t="s">
        <v>2541</v>
      </c>
      <c r="K2164" s="93" t="s">
        <v>2542</v>
      </c>
      <c r="L2164" s="93" t="s">
        <v>2543</v>
      </c>
      <c r="M2164" s="93" t="s">
        <v>1581</v>
      </c>
      <c r="N2164" s="95">
        <v>0.05</v>
      </c>
      <c r="O2164" s="95">
        <v>0.26</v>
      </c>
      <c r="P2164" s="95">
        <v>0.48</v>
      </c>
      <c r="Q2164" s="95">
        <v>0.19</v>
      </c>
      <c r="R2164" s="96">
        <v>0.01</v>
      </c>
    </row>
    <row r="2165" spans="1:18" ht="15" hidden="1" customHeight="1" x14ac:dyDescent="0.3">
      <c r="A2165" s="101">
        <v>2023</v>
      </c>
      <c r="B2165" s="90">
        <v>7</v>
      </c>
      <c r="C2165" s="90" t="s">
        <v>728</v>
      </c>
      <c r="D2165" s="90" t="s">
        <v>722</v>
      </c>
      <c r="E2165" s="102" t="s">
        <v>11</v>
      </c>
      <c r="F2165" s="103" t="s">
        <v>26</v>
      </c>
      <c r="G2165" s="93" t="s">
        <v>2544</v>
      </c>
      <c r="H2165" s="93" t="s">
        <v>2545</v>
      </c>
      <c r="I2165" s="93">
        <v>2397.5457928860201</v>
      </c>
      <c r="J2165" s="93" t="s">
        <v>2546</v>
      </c>
      <c r="K2165" s="93" t="s">
        <v>2547</v>
      </c>
      <c r="L2165" s="93" t="s">
        <v>2548</v>
      </c>
      <c r="M2165" s="93" t="s">
        <v>1575</v>
      </c>
      <c r="N2165" s="95">
        <v>0.05</v>
      </c>
      <c r="O2165" s="95">
        <v>0.13</v>
      </c>
      <c r="P2165" s="95">
        <v>0.17</v>
      </c>
      <c r="Q2165" s="95">
        <v>0.36</v>
      </c>
      <c r="R2165" s="96">
        <v>0.28999999999999998</v>
      </c>
    </row>
    <row r="2166" spans="1:18" ht="15" hidden="1" customHeight="1" x14ac:dyDescent="0.3">
      <c r="A2166" s="101">
        <v>2023</v>
      </c>
      <c r="B2166" s="90">
        <v>7</v>
      </c>
      <c r="C2166" s="90" t="s">
        <v>728</v>
      </c>
      <c r="D2166" s="90" t="s">
        <v>722</v>
      </c>
      <c r="E2166" s="102" t="s">
        <v>11</v>
      </c>
      <c r="F2166" s="103" t="s">
        <v>27</v>
      </c>
      <c r="G2166" s="93" t="s">
        <v>2549</v>
      </c>
      <c r="H2166" s="93" t="s">
        <v>2550</v>
      </c>
      <c r="I2166" s="93">
        <v>2397.5457928860201</v>
      </c>
      <c r="J2166" s="93" t="s">
        <v>2551</v>
      </c>
      <c r="K2166" s="93" t="s">
        <v>2552</v>
      </c>
      <c r="L2166" s="93" t="s">
        <v>2553</v>
      </c>
      <c r="M2166" s="93" t="s">
        <v>1587</v>
      </c>
      <c r="N2166" s="95">
        <v>0.12</v>
      </c>
      <c r="O2166" s="95">
        <v>0.38</v>
      </c>
      <c r="P2166" s="95">
        <v>0.33</v>
      </c>
      <c r="Q2166" s="95">
        <v>0.15</v>
      </c>
      <c r="R2166" s="96">
        <v>0.02</v>
      </c>
    </row>
    <row r="2167" spans="1:18" ht="15" hidden="1" customHeight="1" x14ac:dyDescent="0.3">
      <c r="A2167" s="101">
        <v>2023</v>
      </c>
      <c r="B2167" s="90">
        <v>7</v>
      </c>
      <c r="C2167" s="90" t="s">
        <v>728</v>
      </c>
      <c r="D2167" s="90" t="s">
        <v>722</v>
      </c>
      <c r="E2167" s="102" t="s">
        <v>11</v>
      </c>
      <c r="F2167" s="103" t="s">
        <v>28</v>
      </c>
      <c r="G2167" s="93" t="s">
        <v>2554</v>
      </c>
      <c r="H2167" s="93" t="s">
        <v>2555</v>
      </c>
      <c r="I2167" s="93">
        <v>2397.5457928860201</v>
      </c>
      <c r="J2167" s="93" t="s">
        <v>2556</v>
      </c>
      <c r="K2167" s="93" t="s">
        <v>2557</v>
      </c>
      <c r="L2167" s="93" t="s">
        <v>2558</v>
      </c>
      <c r="M2167" s="93" t="s">
        <v>1593</v>
      </c>
      <c r="N2167" s="95">
        <v>0.02</v>
      </c>
      <c r="O2167" s="95">
        <v>0.12</v>
      </c>
      <c r="P2167" s="95">
        <v>0.41</v>
      </c>
      <c r="Q2167" s="95">
        <v>0.39</v>
      </c>
      <c r="R2167" s="96">
        <v>0.06</v>
      </c>
    </row>
    <row r="2168" spans="1:18" ht="15" customHeight="1" x14ac:dyDescent="0.3">
      <c r="A2168" s="101">
        <v>2023</v>
      </c>
      <c r="B2168" s="90">
        <v>7</v>
      </c>
      <c r="C2168" s="90" t="s">
        <v>728</v>
      </c>
      <c r="D2168" s="90" t="s">
        <v>722</v>
      </c>
      <c r="E2168" s="102" t="s">
        <v>11</v>
      </c>
      <c r="F2168" s="103" t="s">
        <v>29</v>
      </c>
      <c r="G2168" s="93" t="s">
        <v>2559</v>
      </c>
      <c r="H2168" s="93" t="s">
        <v>2560</v>
      </c>
      <c r="I2168" s="93">
        <v>2397.5457928860201</v>
      </c>
      <c r="J2168" s="93" t="s">
        <v>2561</v>
      </c>
      <c r="K2168" s="93" t="s">
        <v>2562</v>
      </c>
      <c r="L2168" s="93" t="s">
        <v>2563</v>
      </c>
      <c r="M2168" s="93" t="s">
        <v>1599</v>
      </c>
      <c r="N2168" s="95">
        <v>0.02</v>
      </c>
      <c r="O2168" s="95">
        <v>0.06</v>
      </c>
      <c r="P2168" s="95">
        <v>0.18</v>
      </c>
      <c r="Q2168" s="95">
        <v>0.28999999999999998</v>
      </c>
      <c r="R2168" s="96">
        <v>0.45</v>
      </c>
    </row>
    <row r="2169" spans="1:18" ht="15" hidden="1" customHeight="1" x14ac:dyDescent="0.3">
      <c r="A2169" s="101">
        <v>2023</v>
      </c>
      <c r="B2169" s="90">
        <v>7</v>
      </c>
      <c r="C2169" s="90" t="s">
        <v>728</v>
      </c>
      <c r="D2169" s="90" t="s">
        <v>722</v>
      </c>
      <c r="E2169" s="102" t="s">
        <v>11</v>
      </c>
      <c r="F2169" s="103" t="s">
        <v>30</v>
      </c>
      <c r="G2169" s="93" t="s">
        <v>2564</v>
      </c>
      <c r="H2169" s="93" t="s">
        <v>2565</v>
      </c>
      <c r="I2169" s="93">
        <v>2397.5457928860201</v>
      </c>
      <c r="J2169" s="93" t="s">
        <v>2566</v>
      </c>
      <c r="K2169" s="93" t="s">
        <v>2567</v>
      </c>
      <c r="L2169" s="93" t="s">
        <v>2568</v>
      </c>
      <c r="M2169" s="93" t="s">
        <v>1605</v>
      </c>
      <c r="N2169" s="95">
        <v>0.02</v>
      </c>
      <c r="O2169" s="95">
        <v>0.14000000000000001</v>
      </c>
      <c r="P2169" s="95">
        <v>0.47</v>
      </c>
      <c r="Q2169" s="95">
        <v>0.3</v>
      </c>
      <c r="R2169" s="96">
        <v>7.0000000000000007E-2</v>
      </c>
    </row>
    <row r="2170" spans="1:18" ht="15" hidden="1" customHeight="1" x14ac:dyDescent="0.3">
      <c r="A2170" s="101">
        <v>2023</v>
      </c>
      <c r="B2170" s="90">
        <v>7</v>
      </c>
      <c r="C2170" s="90" t="s">
        <v>728</v>
      </c>
      <c r="D2170" s="90" t="s">
        <v>722</v>
      </c>
      <c r="E2170" s="102" t="s">
        <v>11</v>
      </c>
      <c r="F2170" s="103" t="s">
        <v>31</v>
      </c>
      <c r="G2170" s="93" t="s">
        <v>2569</v>
      </c>
      <c r="H2170" s="93" t="s">
        <v>2570</v>
      </c>
      <c r="I2170" s="93">
        <v>2397.5457928860201</v>
      </c>
      <c r="J2170" s="93" t="s">
        <v>2571</v>
      </c>
      <c r="K2170" s="93" t="s">
        <v>2572</v>
      </c>
      <c r="L2170" s="93" t="s">
        <v>2573</v>
      </c>
      <c r="M2170" s="93" t="s">
        <v>1611</v>
      </c>
      <c r="N2170" s="95">
        <v>0.01</v>
      </c>
      <c r="O2170" s="95">
        <v>0.28999999999999998</v>
      </c>
      <c r="P2170" s="95">
        <v>0.45</v>
      </c>
      <c r="Q2170" s="95">
        <v>0.18</v>
      </c>
      <c r="R2170" s="96">
        <v>7.0000000000000007E-2</v>
      </c>
    </row>
    <row r="2171" spans="1:18" ht="15" hidden="1" customHeight="1" x14ac:dyDescent="0.3">
      <c r="A2171" s="101">
        <v>2023</v>
      </c>
      <c r="B2171" s="90">
        <v>7</v>
      </c>
      <c r="C2171" s="90" t="s">
        <v>728</v>
      </c>
      <c r="D2171" s="90" t="s">
        <v>722</v>
      </c>
      <c r="E2171" s="102" t="s">
        <v>11</v>
      </c>
      <c r="F2171" s="103" t="s">
        <v>32</v>
      </c>
      <c r="G2171" s="93" t="s">
        <v>2574</v>
      </c>
      <c r="H2171" s="93" t="s">
        <v>2575</v>
      </c>
      <c r="I2171" s="93">
        <v>2397.5457928860201</v>
      </c>
      <c r="J2171" s="93" t="s">
        <v>2576</v>
      </c>
      <c r="K2171" s="93" t="s">
        <v>2577</v>
      </c>
      <c r="L2171" s="93" t="s">
        <v>2578</v>
      </c>
      <c r="M2171" s="93" t="s">
        <v>1617</v>
      </c>
      <c r="N2171" s="95">
        <v>0.04</v>
      </c>
      <c r="O2171" s="95">
        <v>0.14000000000000001</v>
      </c>
      <c r="P2171" s="95">
        <v>0.27</v>
      </c>
      <c r="Q2171" s="95">
        <v>0.32</v>
      </c>
      <c r="R2171" s="96">
        <v>0.24</v>
      </c>
    </row>
    <row r="2172" spans="1:18" ht="15" hidden="1" customHeight="1" x14ac:dyDescent="0.3">
      <c r="A2172" s="101">
        <v>2023</v>
      </c>
      <c r="B2172" s="90">
        <v>7</v>
      </c>
      <c r="C2172" s="90" t="s">
        <v>728</v>
      </c>
      <c r="D2172" s="90" t="s">
        <v>722</v>
      </c>
      <c r="E2172" s="102" t="s">
        <v>11</v>
      </c>
      <c r="F2172" s="103" t="s">
        <v>33</v>
      </c>
      <c r="G2172" s="93" t="s">
        <v>2579</v>
      </c>
      <c r="H2172" s="93" t="s">
        <v>2580</v>
      </c>
      <c r="I2172" s="93">
        <v>2397.5457928860201</v>
      </c>
      <c r="J2172" s="93" t="s">
        <v>2581</v>
      </c>
      <c r="K2172" s="93" t="s">
        <v>2582</v>
      </c>
      <c r="L2172" s="93" t="s">
        <v>2583</v>
      </c>
      <c r="M2172" s="93" t="s">
        <v>1623</v>
      </c>
      <c r="N2172" s="95">
        <v>0.01</v>
      </c>
      <c r="O2172" s="95">
        <v>0.04</v>
      </c>
      <c r="P2172" s="95">
        <v>0.13</v>
      </c>
      <c r="Q2172" s="95">
        <v>0.52</v>
      </c>
      <c r="R2172" s="96">
        <v>0.28999999999999998</v>
      </c>
    </row>
    <row r="2173" spans="1:18" ht="15" hidden="1" customHeight="1" x14ac:dyDescent="0.3">
      <c r="A2173" s="101">
        <v>2023</v>
      </c>
      <c r="B2173" s="90">
        <v>7</v>
      </c>
      <c r="C2173" s="90" t="s">
        <v>728</v>
      </c>
      <c r="D2173" s="90" t="s">
        <v>722</v>
      </c>
      <c r="E2173" s="102" t="s">
        <v>11</v>
      </c>
      <c r="F2173" s="103" t="s">
        <v>34</v>
      </c>
      <c r="G2173" s="93" t="s">
        <v>2584</v>
      </c>
      <c r="H2173" s="93" t="s">
        <v>2585</v>
      </c>
      <c r="I2173" s="93">
        <v>2397.5457928860201</v>
      </c>
      <c r="J2173" s="93" t="s">
        <v>2586</v>
      </c>
      <c r="K2173" s="93" t="s">
        <v>2587</v>
      </c>
      <c r="L2173" s="93" t="s">
        <v>2588</v>
      </c>
      <c r="M2173" s="93" t="s">
        <v>1628</v>
      </c>
      <c r="N2173" s="95">
        <v>0.02</v>
      </c>
      <c r="O2173" s="95">
        <v>0.06</v>
      </c>
      <c r="P2173" s="95">
        <v>0.24</v>
      </c>
      <c r="Q2173" s="95">
        <v>0.43</v>
      </c>
      <c r="R2173" s="96">
        <v>0.25</v>
      </c>
    </row>
    <row r="2174" spans="1:18" ht="15" hidden="1" customHeight="1" x14ac:dyDescent="0.3">
      <c r="A2174" s="101">
        <v>2023</v>
      </c>
      <c r="B2174" s="90">
        <v>7</v>
      </c>
      <c r="C2174" s="90" t="s">
        <v>728</v>
      </c>
      <c r="D2174" s="90" t="s">
        <v>722</v>
      </c>
      <c r="E2174" s="102" t="s">
        <v>11</v>
      </c>
      <c r="F2174" s="103" t="s">
        <v>35</v>
      </c>
      <c r="G2174" s="93" t="s">
        <v>2589</v>
      </c>
      <c r="H2174" s="93" t="s">
        <v>2590</v>
      </c>
      <c r="I2174" s="93">
        <v>2397.5457928860201</v>
      </c>
      <c r="J2174" s="93" t="s">
        <v>2591</v>
      </c>
      <c r="K2174" s="93" t="s">
        <v>2592</v>
      </c>
      <c r="L2174" s="93" t="s">
        <v>2593</v>
      </c>
      <c r="M2174" s="93" t="s">
        <v>799</v>
      </c>
      <c r="N2174" s="95">
        <v>0.08</v>
      </c>
      <c r="O2174" s="95">
        <v>0.34</v>
      </c>
      <c r="P2174" s="95">
        <v>0.32</v>
      </c>
      <c r="Q2174" s="95">
        <v>0.2</v>
      </c>
      <c r="R2174" s="96">
        <v>0.05</v>
      </c>
    </row>
    <row r="2175" spans="1:18" ht="15" hidden="1" customHeight="1" x14ac:dyDescent="0.3">
      <c r="A2175" s="101">
        <v>2023</v>
      </c>
      <c r="B2175" s="90">
        <v>7</v>
      </c>
      <c r="C2175" s="90" t="s">
        <v>728</v>
      </c>
      <c r="D2175" s="90" t="s">
        <v>722</v>
      </c>
      <c r="E2175" s="102" t="s">
        <v>11</v>
      </c>
      <c r="F2175" s="103" t="s">
        <v>36</v>
      </c>
      <c r="G2175" s="93" t="s">
        <v>2594</v>
      </c>
      <c r="H2175" s="93" t="s">
        <v>2595</v>
      </c>
      <c r="I2175" s="93">
        <v>2397.5457928860201</v>
      </c>
      <c r="J2175" s="93" t="s">
        <v>2596</v>
      </c>
      <c r="K2175" s="93" t="s">
        <v>2597</v>
      </c>
      <c r="L2175" s="93" t="s">
        <v>2598</v>
      </c>
      <c r="M2175" s="93" t="s">
        <v>1639</v>
      </c>
      <c r="N2175" s="95">
        <v>0.02</v>
      </c>
      <c r="O2175" s="95">
        <v>0.09</v>
      </c>
      <c r="P2175" s="95">
        <v>0.23</v>
      </c>
      <c r="Q2175" s="95">
        <v>0.36</v>
      </c>
      <c r="R2175" s="96">
        <v>0.31</v>
      </c>
    </row>
    <row r="2176" spans="1:18" ht="15" hidden="1" customHeight="1" x14ac:dyDescent="0.3">
      <c r="A2176" s="101">
        <v>2023</v>
      </c>
      <c r="B2176" s="90">
        <v>7</v>
      </c>
      <c r="C2176" s="90" t="s">
        <v>728</v>
      </c>
      <c r="D2176" s="90" t="s">
        <v>722</v>
      </c>
      <c r="E2176" s="102" t="s">
        <v>11</v>
      </c>
      <c r="F2176" s="103" t="s">
        <v>37</v>
      </c>
      <c r="G2176" s="93" t="s">
        <v>2599</v>
      </c>
      <c r="H2176" s="93" t="s">
        <v>2600</v>
      </c>
      <c r="I2176" s="93">
        <v>2397.5457928860201</v>
      </c>
      <c r="J2176" s="93" t="s">
        <v>2601</v>
      </c>
      <c r="K2176" s="93" t="s">
        <v>2602</v>
      </c>
      <c r="L2176" s="93" t="s">
        <v>2603</v>
      </c>
      <c r="M2176" s="93" t="s">
        <v>1645</v>
      </c>
      <c r="N2176" s="95">
        <v>0.01</v>
      </c>
      <c r="O2176" s="95">
        <v>7.0000000000000007E-2</v>
      </c>
      <c r="P2176" s="95">
        <v>0.21</v>
      </c>
      <c r="Q2176" s="95">
        <v>0.37</v>
      </c>
      <c r="R2176" s="96">
        <v>0.34</v>
      </c>
    </row>
    <row r="2177" spans="1:18" ht="15" hidden="1" customHeight="1" x14ac:dyDescent="0.3">
      <c r="A2177" s="101">
        <v>2023</v>
      </c>
      <c r="B2177" s="90">
        <v>7</v>
      </c>
      <c r="C2177" s="90" t="s">
        <v>728</v>
      </c>
      <c r="D2177" s="90" t="s">
        <v>722</v>
      </c>
      <c r="E2177" s="102" t="s">
        <v>11</v>
      </c>
      <c r="F2177" s="103" t="s">
        <v>720</v>
      </c>
      <c r="G2177" s="93" t="s">
        <v>2604</v>
      </c>
      <c r="H2177" s="93" t="s">
        <v>2605</v>
      </c>
      <c r="I2177" s="93">
        <v>2397.5457928860201</v>
      </c>
      <c r="J2177" s="93" t="s">
        <v>2606</v>
      </c>
      <c r="K2177" s="93" t="s">
        <v>2607</v>
      </c>
      <c r="L2177" s="93" t="s">
        <v>2608</v>
      </c>
      <c r="M2177" s="93" t="s">
        <v>1651</v>
      </c>
      <c r="N2177" s="95">
        <v>0.06</v>
      </c>
      <c r="O2177" s="95">
        <v>0.17</v>
      </c>
      <c r="P2177" s="95">
        <v>0.26</v>
      </c>
      <c r="Q2177" s="95">
        <v>0.37</v>
      </c>
      <c r="R2177" s="96">
        <v>0.13</v>
      </c>
    </row>
    <row r="2178" spans="1:18" ht="15" hidden="1" customHeight="1" x14ac:dyDescent="0.3">
      <c r="A2178" s="101">
        <v>2023</v>
      </c>
      <c r="B2178" s="90">
        <v>7</v>
      </c>
      <c r="C2178" s="90" t="s">
        <v>728</v>
      </c>
      <c r="D2178" s="90" t="s">
        <v>722</v>
      </c>
      <c r="E2178" s="102" t="s">
        <v>11</v>
      </c>
      <c r="F2178" s="103" t="s">
        <v>39</v>
      </c>
      <c r="G2178" s="93" t="s">
        <v>2609</v>
      </c>
      <c r="H2178" s="93" t="s">
        <v>2610</v>
      </c>
      <c r="I2178" s="93">
        <v>2397.5457928860201</v>
      </c>
      <c r="J2178" s="93" t="s">
        <v>2611</v>
      </c>
      <c r="K2178" s="93" t="s">
        <v>2612</v>
      </c>
      <c r="L2178" s="93" t="s">
        <v>2613</v>
      </c>
      <c r="M2178" s="93" t="s">
        <v>1657</v>
      </c>
      <c r="N2178" s="95">
        <v>0.12</v>
      </c>
      <c r="O2178" s="95">
        <v>0.25</v>
      </c>
      <c r="P2178" s="95">
        <v>0.21</v>
      </c>
      <c r="Q2178" s="95">
        <v>0.24</v>
      </c>
      <c r="R2178" s="96">
        <v>0.18</v>
      </c>
    </row>
    <row r="2179" spans="1:18" ht="15" hidden="1" customHeight="1" x14ac:dyDescent="0.3">
      <c r="A2179" s="101">
        <v>2023</v>
      </c>
      <c r="B2179" s="90">
        <v>7</v>
      </c>
      <c r="C2179" s="90" t="s">
        <v>728</v>
      </c>
      <c r="D2179" s="90" t="s">
        <v>722</v>
      </c>
      <c r="E2179" s="102" t="s">
        <v>11</v>
      </c>
      <c r="F2179" s="103" t="s">
        <v>40</v>
      </c>
      <c r="G2179" s="93" t="s">
        <v>2614</v>
      </c>
      <c r="H2179" s="93" t="s">
        <v>2615</v>
      </c>
      <c r="I2179" s="93">
        <v>2397.5457928860201</v>
      </c>
      <c r="J2179" s="93" t="s">
        <v>2616</v>
      </c>
      <c r="K2179" s="93" t="s">
        <v>2617</v>
      </c>
      <c r="L2179" s="93" t="s">
        <v>2618</v>
      </c>
      <c r="M2179" s="93" t="s">
        <v>1726</v>
      </c>
      <c r="N2179" s="95">
        <v>0.03</v>
      </c>
      <c r="O2179" s="95">
        <v>0.34</v>
      </c>
      <c r="P2179" s="95">
        <v>0.45</v>
      </c>
      <c r="Q2179" s="95">
        <v>0.17</v>
      </c>
      <c r="R2179" s="96">
        <v>0.01</v>
      </c>
    </row>
    <row r="2180" spans="1:18" ht="15" hidden="1" customHeight="1" x14ac:dyDescent="0.3">
      <c r="A2180" s="101">
        <v>2023</v>
      </c>
      <c r="B2180" s="90">
        <v>7</v>
      </c>
      <c r="C2180" s="90" t="s">
        <v>728</v>
      </c>
      <c r="D2180" s="90" t="s">
        <v>722</v>
      </c>
      <c r="E2180" s="102" t="s">
        <v>11</v>
      </c>
      <c r="F2180" s="103" t="s">
        <v>41</v>
      </c>
      <c r="G2180" s="93" t="s">
        <v>2619</v>
      </c>
      <c r="H2180" s="93" t="s">
        <v>2620</v>
      </c>
      <c r="I2180" s="93">
        <v>2397.5457928860201</v>
      </c>
      <c r="J2180" s="93" t="s">
        <v>2621</v>
      </c>
      <c r="K2180" s="93" t="s">
        <v>2622</v>
      </c>
      <c r="L2180" s="93" t="s">
        <v>2623</v>
      </c>
      <c r="M2180" s="93" t="s">
        <v>835</v>
      </c>
      <c r="N2180" s="95">
        <v>0.12</v>
      </c>
      <c r="O2180" s="95">
        <v>0.4</v>
      </c>
      <c r="P2180" s="95">
        <v>0.3</v>
      </c>
      <c r="Q2180" s="95">
        <v>0.15</v>
      </c>
      <c r="R2180" s="96">
        <v>0.03</v>
      </c>
    </row>
    <row r="2181" spans="1:18" ht="15" hidden="1" customHeight="1" x14ac:dyDescent="0.3">
      <c r="A2181" s="101">
        <v>2023</v>
      </c>
      <c r="B2181" s="90">
        <v>7</v>
      </c>
      <c r="C2181" s="90" t="s">
        <v>728</v>
      </c>
      <c r="D2181" s="90" t="s">
        <v>722</v>
      </c>
      <c r="E2181" s="102" t="s">
        <v>11</v>
      </c>
      <c r="F2181" s="103" t="s">
        <v>42</v>
      </c>
      <c r="G2181" s="93" t="s">
        <v>2624</v>
      </c>
      <c r="H2181" s="93" t="s">
        <v>2625</v>
      </c>
      <c r="I2181" s="93">
        <v>2397.5457928860201</v>
      </c>
      <c r="J2181" s="93" t="s">
        <v>2626</v>
      </c>
      <c r="K2181" s="93" t="s">
        <v>2627</v>
      </c>
      <c r="L2181" s="93" t="s">
        <v>2628</v>
      </c>
      <c r="M2181" s="93" t="s">
        <v>1668</v>
      </c>
      <c r="N2181" s="95">
        <v>0.06</v>
      </c>
      <c r="O2181" s="95">
        <v>0.39</v>
      </c>
      <c r="P2181" s="95">
        <v>0.43</v>
      </c>
      <c r="Q2181" s="95">
        <v>0.1</v>
      </c>
      <c r="R2181" s="96">
        <v>0.02</v>
      </c>
    </row>
    <row r="2182" spans="1:18" ht="15" hidden="1" customHeight="1" x14ac:dyDescent="0.3">
      <c r="A2182" s="101">
        <v>2023</v>
      </c>
      <c r="B2182" s="90">
        <v>7</v>
      </c>
      <c r="C2182" s="90" t="s">
        <v>728</v>
      </c>
      <c r="D2182" s="90" t="s">
        <v>722</v>
      </c>
      <c r="E2182" s="102" t="s">
        <v>11</v>
      </c>
      <c r="F2182" s="103" t="s">
        <v>43</v>
      </c>
      <c r="G2182" s="93" t="s">
        <v>2629</v>
      </c>
      <c r="H2182" s="93" t="s">
        <v>2630</v>
      </c>
      <c r="I2182" s="93">
        <v>2397.5457928860201</v>
      </c>
      <c r="J2182" s="93" t="s">
        <v>2631</v>
      </c>
      <c r="K2182" s="93" t="s">
        <v>2632</v>
      </c>
      <c r="L2182" s="93" t="s">
        <v>2633</v>
      </c>
      <c r="M2182" s="93" t="s">
        <v>1674</v>
      </c>
      <c r="N2182" s="95">
        <v>0.05</v>
      </c>
      <c r="O2182" s="95">
        <v>0.4</v>
      </c>
      <c r="P2182" s="95">
        <v>0.33</v>
      </c>
      <c r="Q2182" s="95">
        <v>0.17</v>
      </c>
      <c r="R2182" s="96">
        <v>0.06</v>
      </c>
    </row>
    <row r="2183" spans="1:18" ht="15" hidden="1" customHeight="1" x14ac:dyDescent="0.3">
      <c r="A2183" s="101">
        <v>2023</v>
      </c>
      <c r="B2183" s="90">
        <v>7</v>
      </c>
      <c r="C2183" s="90" t="s">
        <v>728</v>
      </c>
      <c r="D2183" s="90" t="s">
        <v>722</v>
      </c>
      <c r="E2183" s="102" t="s">
        <v>11</v>
      </c>
      <c r="F2183" s="103" t="s">
        <v>58</v>
      </c>
      <c r="G2183" s="93" t="s">
        <v>2634</v>
      </c>
      <c r="H2183" s="93" t="s">
        <v>2635</v>
      </c>
      <c r="I2183" s="93">
        <v>2397.5457928860201</v>
      </c>
      <c r="J2183" s="93" t="s">
        <v>2636</v>
      </c>
      <c r="K2183" s="93" t="s">
        <v>2637</v>
      </c>
      <c r="L2183" s="93" t="s">
        <v>2638</v>
      </c>
      <c r="M2183" s="93" t="s">
        <v>853</v>
      </c>
      <c r="N2183" s="95">
        <v>0.02</v>
      </c>
      <c r="O2183" s="95">
        <v>0.24</v>
      </c>
      <c r="P2183" s="95">
        <v>0.51</v>
      </c>
      <c r="Q2183" s="95">
        <v>0.21</v>
      </c>
      <c r="R2183" s="96">
        <v>0.02</v>
      </c>
    </row>
    <row r="2184" spans="1:18" ht="15" hidden="1" customHeight="1" x14ac:dyDescent="0.3">
      <c r="A2184" s="101">
        <v>2023</v>
      </c>
      <c r="B2184" s="90">
        <v>7</v>
      </c>
      <c r="C2184" s="90" t="s">
        <v>728</v>
      </c>
      <c r="D2184" s="90" t="s">
        <v>722</v>
      </c>
      <c r="E2184" s="102" t="s">
        <v>11</v>
      </c>
      <c r="F2184" s="103" t="s">
        <v>44</v>
      </c>
      <c r="G2184" s="93" t="s">
        <v>2639</v>
      </c>
      <c r="H2184" s="93" t="s">
        <v>2640</v>
      </c>
      <c r="I2184" s="93">
        <v>2397.5457928860201</v>
      </c>
      <c r="J2184" s="93" t="s">
        <v>2641</v>
      </c>
      <c r="K2184" s="93" t="s">
        <v>2642</v>
      </c>
      <c r="L2184" s="93" t="s">
        <v>2643</v>
      </c>
      <c r="M2184" s="93" t="s">
        <v>2644</v>
      </c>
      <c r="N2184" s="95">
        <v>0.02</v>
      </c>
      <c r="O2184" s="95">
        <v>0.01</v>
      </c>
      <c r="P2184" s="95">
        <v>0.06</v>
      </c>
      <c r="Q2184" s="95">
        <v>0.26</v>
      </c>
      <c r="R2184" s="96">
        <v>0.65</v>
      </c>
    </row>
    <row r="2185" spans="1:18" ht="15" hidden="1" customHeight="1" x14ac:dyDescent="0.3">
      <c r="A2185" s="101">
        <v>2023</v>
      </c>
      <c r="B2185" s="90">
        <v>7</v>
      </c>
      <c r="C2185" s="90" t="s">
        <v>728</v>
      </c>
      <c r="D2185" s="90" t="s">
        <v>722</v>
      </c>
      <c r="E2185" s="102" t="s">
        <v>11</v>
      </c>
      <c r="F2185" s="103" t="s">
        <v>51</v>
      </c>
      <c r="G2185" s="93" t="s">
        <v>2645</v>
      </c>
      <c r="H2185" s="93" t="s">
        <v>2646</v>
      </c>
      <c r="I2185" s="93">
        <v>2397.5457928860201</v>
      </c>
      <c r="J2185" s="93" t="s">
        <v>2647</v>
      </c>
      <c r="K2185" s="93" t="s">
        <v>2648</v>
      </c>
      <c r="L2185" s="93" t="s">
        <v>2649</v>
      </c>
      <c r="M2185" s="93" t="s">
        <v>2650</v>
      </c>
      <c r="N2185" s="95">
        <v>7.0000000000000007E-2</v>
      </c>
      <c r="O2185" s="95">
        <v>0.23</v>
      </c>
      <c r="P2185" s="95">
        <v>0.33</v>
      </c>
      <c r="Q2185" s="95">
        <v>0.28999999999999998</v>
      </c>
      <c r="R2185" s="96">
        <v>0.08</v>
      </c>
    </row>
    <row r="2186" spans="1:18" ht="15" hidden="1" customHeight="1" x14ac:dyDescent="0.3">
      <c r="A2186" s="101">
        <v>2023</v>
      </c>
      <c r="B2186" s="90">
        <v>7</v>
      </c>
      <c r="C2186" s="90" t="s">
        <v>728</v>
      </c>
      <c r="D2186" s="90" t="s">
        <v>722</v>
      </c>
      <c r="E2186" s="102" t="s">
        <v>11</v>
      </c>
      <c r="F2186" s="103" t="s">
        <v>45</v>
      </c>
      <c r="G2186" s="93" t="s">
        <v>2651</v>
      </c>
      <c r="H2186" s="93" t="s">
        <v>2652</v>
      </c>
      <c r="I2186" s="93">
        <v>2397.5457928860201</v>
      </c>
      <c r="J2186" s="93" t="s">
        <v>2653</v>
      </c>
      <c r="K2186" s="93" t="s">
        <v>2654</v>
      </c>
      <c r="L2186" s="93" t="s">
        <v>2655</v>
      </c>
      <c r="M2186" s="93" t="s">
        <v>1697</v>
      </c>
      <c r="N2186" s="95">
        <v>0.02</v>
      </c>
      <c r="O2186" s="95">
        <v>0.12</v>
      </c>
      <c r="P2186" s="95">
        <v>0.27</v>
      </c>
      <c r="Q2186" s="95">
        <v>0.39</v>
      </c>
      <c r="R2186" s="96">
        <v>0.2</v>
      </c>
    </row>
    <row r="2187" spans="1:18" ht="15" hidden="1" customHeight="1" x14ac:dyDescent="0.3">
      <c r="A2187" s="101">
        <v>2023</v>
      </c>
      <c r="B2187" s="90">
        <v>7</v>
      </c>
      <c r="C2187" s="90" t="s">
        <v>728</v>
      </c>
      <c r="D2187" s="90" t="s">
        <v>722</v>
      </c>
      <c r="E2187" s="102" t="s">
        <v>11</v>
      </c>
      <c r="F2187" s="103" t="s">
        <v>721</v>
      </c>
      <c r="G2187" s="93" t="s">
        <v>2656</v>
      </c>
      <c r="H2187" s="93" t="s">
        <v>2657</v>
      </c>
      <c r="I2187" s="93">
        <v>2397.5457928860201</v>
      </c>
      <c r="J2187" s="93" t="s">
        <v>2658</v>
      </c>
      <c r="K2187" s="93" t="s">
        <v>2659</v>
      </c>
      <c r="L2187" s="93" t="s">
        <v>2660</v>
      </c>
      <c r="M2187" s="93" t="s">
        <v>1702</v>
      </c>
      <c r="N2187" s="95">
        <v>7.0000000000000007E-2</v>
      </c>
      <c r="O2187" s="95">
        <v>0.45</v>
      </c>
      <c r="P2187" s="95">
        <v>0.39</v>
      </c>
      <c r="Q2187" s="95">
        <v>0.09</v>
      </c>
      <c r="R2187" s="96">
        <v>0.01</v>
      </c>
    </row>
    <row r="2188" spans="1:18" ht="15" hidden="1" customHeight="1" x14ac:dyDescent="0.3">
      <c r="A2188" s="101">
        <v>2023</v>
      </c>
      <c r="B2188" s="90">
        <v>7</v>
      </c>
      <c r="C2188" s="90" t="s">
        <v>728</v>
      </c>
      <c r="D2188" s="90" t="s">
        <v>722</v>
      </c>
      <c r="E2188" s="102" t="s">
        <v>11</v>
      </c>
      <c r="F2188" s="103" t="s">
        <v>46</v>
      </c>
      <c r="G2188" s="93" t="s">
        <v>2661</v>
      </c>
      <c r="H2188" s="93" t="s">
        <v>2662</v>
      </c>
      <c r="I2188" s="93">
        <v>2397.5457928860201</v>
      </c>
      <c r="J2188" s="93" t="s">
        <v>2663</v>
      </c>
      <c r="K2188" s="93" t="s">
        <v>2664</v>
      </c>
      <c r="L2188" s="93" t="s">
        <v>2665</v>
      </c>
      <c r="M2188" s="93" t="s">
        <v>1708</v>
      </c>
      <c r="N2188" s="95">
        <v>0.37</v>
      </c>
      <c r="O2188" s="95">
        <v>0.46</v>
      </c>
      <c r="P2188" s="95">
        <v>0.13</v>
      </c>
      <c r="Q2188" s="95">
        <v>0.03</v>
      </c>
      <c r="R2188" s="96">
        <v>0.01</v>
      </c>
    </row>
    <row r="2189" spans="1:18" ht="15" hidden="1" customHeight="1" x14ac:dyDescent="0.3">
      <c r="A2189" s="101">
        <v>2023</v>
      </c>
      <c r="B2189" s="90">
        <v>7</v>
      </c>
      <c r="C2189" s="90" t="s">
        <v>728</v>
      </c>
      <c r="D2189" s="90" t="s">
        <v>722</v>
      </c>
      <c r="E2189" s="102" t="s">
        <v>11</v>
      </c>
      <c r="F2189" s="103" t="s">
        <v>47</v>
      </c>
      <c r="G2189" s="93" t="s">
        <v>2666</v>
      </c>
      <c r="H2189" s="93" t="s">
        <v>2667</v>
      </c>
      <c r="I2189" s="93">
        <v>2397.5457928860201</v>
      </c>
      <c r="J2189" s="93" t="s">
        <v>2668</v>
      </c>
      <c r="K2189" s="93" t="s">
        <v>2669</v>
      </c>
      <c r="L2189" s="93" t="s">
        <v>2670</v>
      </c>
      <c r="M2189" s="93" t="s">
        <v>2671</v>
      </c>
      <c r="N2189" s="95">
        <v>0.06</v>
      </c>
      <c r="O2189" s="95">
        <v>0.44</v>
      </c>
      <c r="P2189" s="95">
        <v>0.36</v>
      </c>
      <c r="Q2189" s="95">
        <v>0.12</v>
      </c>
      <c r="R2189" s="96">
        <v>0.03</v>
      </c>
    </row>
    <row r="2190" spans="1:18" ht="15" hidden="1" customHeight="1" x14ac:dyDescent="0.3">
      <c r="A2190" s="101">
        <v>2023</v>
      </c>
      <c r="B2190" s="90">
        <v>7</v>
      </c>
      <c r="C2190" s="90" t="s">
        <v>728</v>
      </c>
      <c r="D2190" s="90" t="s">
        <v>722</v>
      </c>
      <c r="E2190" s="102" t="s">
        <v>11</v>
      </c>
      <c r="F2190" s="103" t="s">
        <v>48</v>
      </c>
      <c r="G2190" s="93" t="s">
        <v>2672</v>
      </c>
      <c r="H2190" s="93" t="s">
        <v>2673</v>
      </c>
      <c r="I2190" s="93">
        <v>2397.5457928860201</v>
      </c>
      <c r="J2190" s="93" t="s">
        <v>2674</v>
      </c>
      <c r="K2190" s="93" t="s">
        <v>2675</v>
      </c>
      <c r="L2190" s="93" t="s">
        <v>2676</v>
      </c>
      <c r="M2190" s="93" t="s">
        <v>1720</v>
      </c>
      <c r="N2190" s="95">
        <v>0.01</v>
      </c>
      <c r="O2190" s="95">
        <v>0.03</v>
      </c>
      <c r="P2190" s="95">
        <v>0.11</v>
      </c>
      <c r="Q2190" s="95">
        <v>0.37</v>
      </c>
      <c r="R2190" s="96">
        <v>0.48</v>
      </c>
    </row>
    <row r="2191" spans="1:18" ht="15" hidden="1" customHeight="1" x14ac:dyDescent="0.3">
      <c r="A2191" s="101">
        <v>2023</v>
      </c>
      <c r="B2191" s="90">
        <v>8</v>
      </c>
      <c r="C2191" s="90" t="s">
        <v>729</v>
      </c>
      <c r="D2191" s="90" t="s">
        <v>719</v>
      </c>
      <c r="E2191" s="102" t="s">
        <v>11</v>
      </c>
      <c r="F2191" s="103" t="s">
        <v>12</v>
      </c>
      <c r="G2191" s="93">
        <v>18714.48</v>
      </c>
      <c r="H2191" s="93">
        <v>126219.13</v>
      </c>
      <c r="I2191" s="93">
        <v>2397.5457928860201</v>
      </c>
      <c r="J2191" s="93">
        <v>36251.26</v>
      </c>
      <c r="K2191" s="93">
        <v>1153.93</v>
      </c>
      <c r="L2191" s="93">
        <v>58258.71</v>
      </c>
      <c r="M2191" s="93">
        <v>433311.44</v>
      </c>
      <c r="N2191" s="95">
        <v>0.05</v>
      </c>
      <c r="O2191" s="95">
        <v>0.34</v>
      </c>
      <c r="P2191" s="95">
        <v>0.51</v>
      </c>
      <c r="Q2191" s="95">
        <v>0.1</v>
      </c>
      <c r="R2191" s="96">
        <v>0</v>
      </c>
    </row>
    <row r="2192" spans="1:18" ht="15" hidden="1" customHeight="1" x14ac:dyDescent="0.3">
      <c r="A2192" s="101">
        <v>2023</v>
      </c>
      <c r="B2192" s="90">
        <v>8</v>
      </c>
      <c r="C2192" s="90" t="s">
        <v>729</v>
      </c>
      <c r="D2192" s="90" t="s">
        <v>719</v>
      </c>
      <c r="E2192" s="102" t="s">
        <v>11</v>
      </c>
      <c r="F2192" s="103" t="s">
        <v>26</v>
      </c>
      <c r="G2192" s="93">
        <v>57823.85</v>
      </c>
      <c r="H2192" s="93">
        <v>144283.6</v>
      </c>
      <c r="I2192" s="93">
        <v>2397.5457928860201</v>
      </c>
      <c r="J2192" s="93">
        <v>429386.64</v>
      </c>
      <c r="K2192" s="93">
        <v>165978.19</v>
      </c>
      <c r="L2192" s="93">
        <v>267057.7</v>
      </c>
      <c r="M2192" s="93">
        <v>1302393.77</v>
      </c>
      <c r="N2192" s="95">
        <v>0.06</v>
      </c>
      <c r="O2192" s="95">
        <v>0.14000000000000001</v>
      </c>
      <c r="P2192" s="95">
        <v>0.23</v>
      </c>
      <c r="Q2192" s="95">
        <v>0.41</v>
      </c>
      <c r="R2192" s="96">
        <v>0.16</v>
      </c>
    </row>
    <row r="2193" spans="1:18" ht="15" hidden="1" customHeight="1" x14ac:dyDescent="0.3">
      <c r="A2193" s="101">
        <v>2023</v>
      </c>
      <c r="B2193" s="90">
        <v>8</v>
      </c>
      <c r="C2193" s="90" t="s">
        <v>729</v>
      </c>
      <c r="D2193" s="90" t="s">
        <v>719</v>
      </c>
      <c r="E2193" s="102" t="s">
        <v>11</v>
      </c>
      <c r="F2193" s="103" t="s">
        <v>27</v>
      </c>
      <c r="G2193" s="93">
        <v>46806.66</v>
      </c>
      <c r="H2193" s="93">
        <v>100625.39</v>
      </c>
      <c r="I2193" s="93">
        <v>2397.5457928860201</v>
      </c>
      <c r="J2193" s="93">
        <v>9540.4</v>
      </c>
      <c r="K2193" s="93">
        <v>1060.75</v>
      </c>
      <c r="L2193" s="93">
        <v>7353.21</v>
      </c>
      <c r="M2193" s="93">
        <v>226689.38</v>
      </c>
      <c r="N2193" s="95">
        <v>0.21</v>
      </c>
      <c r="O2193" s="95">
        <v>0.46</v>
      </c>
      <c r="P2193" s="95">
        <v>0.28000000000000003</v>
      </c>
      <c r="Q2193" s="95">
        <v>0.04</v>
      </c>
      <c r="R2193" s="96">
        <v>0</v>
      </c>
    </row>
    <row r="2194" spans="1:18" ht="15" hidden="1" customHeight="1" x14ac:dyDescent="0.3">
      <c r="A2194" s="101">
        <v>2023</v>
      </c>
      <c r="B2194" s="90">
        <v>8</v>
      </c>
      <c r="C2194" s="90" t="s">
        <v>729</v>
      </c>
      <c r="D2194" s="90" t="s">
        <v>719</v>
      </c>
      <c r="E2194" s="102" t="s">
        <v>11</v>
      </c>
      <c r="F2194" s="103" t="s">
        <v>28</v>
      </c>
      <c r="G2194" s="93">
        <v>13451.37</v>
      </c>
      <c r="H2194" s="93">
        <v>124356.89</v>
      </c>
      <c r="I2194" s="93">
        <v>2397.5457928860201</v>
      </c>
      <c r="J2194" s="93">
        <v>42867.19</v>
      </c>
      <c r="K2194" s="93">
        <v>2854.56</v>
      </c>
      <c r="L2194" s="93">
        <v>3838.23</v>
      </c>
      <c r="M2194" s="93">
        <v>373104.4</v>
      </c>
      <c r="N2194" s="95">
        <v>0.04</v>
      </c>
      <c r="O2194" s="95">
        <v>0.34</v>
      </c>
      <c r="P2194" s="95">
        <v>0.5</v>
      </c>
      <c r="Q2194" s="95">
        <v>0.12</v>
      </c>
      <c r="R2194" s="96">
        <v>0.01</v>
      </c>
    </row>
    <row r="2195" spans="1:18" ht="15" customHeight="1" x14ac:dyDescent="0.3">
      <c r="A2195" s="101">
        <v>2023</v>
      </c>
      <c r="B2195" s="90">
        <v>8</v>
      </c>
      <c r="C2195" s="90" t="s">
        <v>729</v>
      </c>
      <c r="D2195" s="90" t="s">
        <v>719</v>
      </c>
      <c r="E2195" s="102" t="s">
        <v>11</v>
      </c>
      <c r="F2195" s="103" t="s">
        <v>29</v>
      </c>
      <c r="G2195" s="93">
        <v>5630.74</v>
      </c>
      <c r="H2195" s="93">
        <v>31777.1</v>
      </c>
      <c r="I2195" s="93">
        <v>2397.5457928860201</v>
      </c>
      <c r="J2195" s="93">
        <v>99273.74</v>
      </c>
      <c r="K2195" s="93">
        <v>24528.87</v>
      </c>
      <c r="L2195" s="93">
        <v>96670.81</v>
      </c>
      <c r="M2195" s="93">
        <v>354391.76</v>
      </c>
      <c r="N2195" s="95">
        <v>0.02</v>
      </c>
      <c r="O2195" s="95">
        <v>0.12</v>
      </c>
      <c r="P2195" s="95">
        <v>0.37</v>
      </c>
      <c r="Q2195" s="95">
        <v>0.39</v>
      </c>
      <c r="R2195" s="96">
        <v>0.1</v>
      </c>
    </row>
    <row r="2196" spans="1:18" ht="15" hidden="1" customHeight="1" x14ac:dyDescent="0.3">
      <c r="A2196" s="101">
        <v>2023</v>
      </c>
      <c r="B2196" s="90">
        <v>8</v>
      </c>
      <c r="C2196" s="90" t="s">
        <v>729</v>
      </c>
      <c r="D2196" s="90" t="s">
        <v>719</v>
      </c>
      <c r="E2196" s="102" t="s">
        <v>11</v>
      </c>
      <c r="F2196" s="103" t="s">
        <v>30</v>
      </c>
      <c r="G2196" s="93">
        <v>235.94</v>
      </c>
      <c r="H2196" s="93">
        <v>2592.5500000000002</v>
      </c>
      <c r="I2196" s="93">
        <v>2397.5457928860201</v>
      </c>
      <c r="J2196" s="93">
        <v>3000.27</v>
      </c>
      <c r="K2196" s="93">
        <v>749.47</v>
      </c>
      <c r="L2196" s="93">
        <v>217300.09</v>
      </c>
      <c r="M2196" s="93">
        <v>230086.24</v>
      </c>
      <c r="N2196" s="95">
        <v>0.02</v>
      </c>
      <c r="O2196" s="95">
        <v>0.2</v>
      </c>
      <c r="P2196" s="95">
        <v>0.49</v>
      </c>
      <c r="Q2196" s="95">
        <v>0.23</v>
      </c>
      <c r="R2196" s="96">
        <v>0.06</v>
      </c>
    </row>
    <row r="2197" spans="1:18" ht="15" hidden="1" customHeight="1" x14ac:dyDescent="0.3">
      <c r="A2197" s="101">
        <v>2023</v>
      </c>
      <c r="B2197" s="90">
        <v>8</v>
      </c>
      <c r="C2197" s="90" t="s">
        <v>729</v>
      </c>
      <c r="D2197" s="90" t="s">
        <v>719</v>
      </c>
      <c r="E2197" s="102" t="s">
        <v>11</v>
      </c>
      <c r="F2197" s="103" t="s">
        <v>31</v>
      </c>
      <c r="G2197" s="93">
        <v>1363.16</v>
      </c>
      <c r="H2197" s="93">
        <v>62211.82</v>
      </c>
      <c r="I2197" s="93">
        <v>2397.5457928860201</v>
      </c>
      <c r="J2197" s="93">
        <v>33193.589999999997</v>
      </c>
      <c r="K2197" s="93">
        <v>9454.6299999999992</v>
      </c>
      <c r="L2197" s="93">
        <v>50114.1</v>
      </c>
      <c r="M2197" s="93">
        <v>251948.86</v>
      </c>
      <c r="N2197" s="95">
        <v>0.01</v>
      </c>
      <c r="O2197" s="95">
        <v>0.31</v>
      </c>
      <c r="P2197" s="95">
        <v>0.47</v>
      </c>
      <c r="Q2197" s="95">
        <v>0.16</v>
      </c>
      <c r="R2197" s="96">
        <v>0.05</v>
      </c>
    </row>
    <row r="2198" spans="1:18" ht="15" hidden="1" customHeight="1" x14ac:dyDescent="0.3">
      <c r="A2198" s="101">
        <v>2023</v>
      </c>
      <c r="B2198" s="90">
        <v>8</v>
      </c>
      <c r="C2198" s="90" t="s">
        <v>729</v>
      </c>
      <c r="D2198" s="90" t="s">
        <v>719</v>
      </c>
      <c r="E2198" s="102" t="s">
        <v>11</v>
      </c>
      <c r="F2198" s="103" t="s">
        <v>32</v>
      </c>
      <c r="G2198" s="93">
        <v>29660.15</v>
      </c>
      <c r="H2198" s="93">
        <v>154853.07</v>
      </c>
      <c r="I2198" s="93">
        <v>2397.5457928860201</v>
      </c>
      <c r="J2198" s="93">
        <v>120311.34</v>
      </c>
      <c r="K2198" s="93">
        <v>24446.86</v>
      </c>
      <c r="L2198" s="93">
        <v>50991.91</v>
      </c>
      <c r="M2198" s="93">
        <v>609521.87</v>
      </c>
      <c r="N2198" s="95">
        <v>0.05</v>
      </c>
      <c r="O2198" s="95">
        <v>0.28000000000000003</v>
      </c>
      <c r="P2198" s="95">
        <v>0.41</v>
      </c>
      <c r="Q2198" s="95">
        <v>0.22</v>
      </c>
      <c r="R2198" s="96">
        <v>0.04</v>
      </c>
    </row>
    <row r="2199" spans="1:18" ht="15" hidden="1" customHeight="1" x14ac:dyDescent="0.3">
      <c r="A2199" s="101">
        <v>2023</v>
      </c>
      <c r="B2199" s="90">
        <v>8</v>
      </c>
      <c r="C2199" s="90" t="s">
        <v>729</v>
      </c>
      <c r="D2199" s="90" t="s">
        <v>719</v>
      </c>
      <c r="E2199" s="102" t="s">
        <v>11</v>
      </c>
      <c r="F2199" s="103" t="s">
        <v>33</v>
      </c>
      <c r="G2199" s="93">
        <v>17613.689999999999</v>
      </c>
      <c r="H2199" s="93">
        <v>65974.11</v>
      </c>
      <c r="I2199" s="93">
        <v>2397.5457928860201</v>
      </c>
      <c r="J2199" s="93">
        <v>721612.9</v>
      </c>
      <c r="K2199" s="93">
        <v>210846.8</v>
      </c>
      <c r="L2199" s="93">
        <v>39583.089999999997</v>
      </c>
      <c r="M2199" s="93">
        <v>1352055.51</v>
      </c>
      <c r="N2199" s="95">
        <v>0.01</v>
      </c>
      <c r="O2199" s="95">
        <v>0.05</v>
      </c>
      <c r="P2199" s="95">
        <v>0.23</v>
      </c>
      <c r="Q2199" s="95">
        <v>0.55000000000000004</v>
      </c>
      <c r="R2199" s="96">
        <v>0.16</v>
      </c>
    </row>
    <row r="2200" spans="1:18" ht="15" hidden="1" customHeight="1" x14ac:dyDescent="0.3">
      <c r="A2200" s="101">
        <v>2023</v>
      </c>
      <c r="B2200" s="90">
        <v>8</v>
      </c>
      <c r="C2200" s="90" t="s">
        <v>729</v>
      </c>
      <c r="D2200" s="90" t="s">
        <v>719</v>
      </c>
      <c r="E2200" s="102" t="s">
        <v>11</v>
      </c>
      <c r="F2200" s="103" t="s">
        <v>34</v>
      </c>
      <c r="G2200" s="93">
        <v>14211.47</v>
      </c>
      <c r="H2200" s="93">
        <v>74614.59</v>
      </c>
      <c r="I2200" s="93">
        <v>2397.5457928860201</v>
      </c>
      <c r="J2200" s="93">
        <v>201266.43</v>
      </c>
      <c r="K2200" s="93">
        <v>86994.93</v>
      </c>
      <c r="L2200" s="93">
        <v>65878.720000000001</v>
      </c>
      <c r="M2200" s="93">
        <v>713628.98</v>
      </c>
      <c r="N2200" s="95">
        <v>0.02</v>
      </c>
      <c r="O2200" s="95">
        <v>0.12</v>
      </c>
      <c r="P2200" s="95">
        <v>0.42</v>
      </c>
      <c r="Q2200" s="95">
        <v>0.31</v>
      </c>
      <c r="R2200" s="96">
        <v>0.13</v>
      </c>
    </row>
    <row r="2201" spans="1:18" ht="15" hidden="1" customHeight="1" x14ac:dyDescent="0.3">
      <c r="A2201" s="101">
        <v>2023</v>
      </c>
      <c r="B2201" s="90">
        <v>8</v>
      </c>
      <c r="C2201" s="90" t="s">
        <v>729</v>
      </c>
      <c r="D2201" s="90" t="s">
        <v>719</v>
      </c>
      <c r="E2201" s="102" t="s">
        <v>11</v>
      </c>
      <c r="F2201" s="103" t="s">
        <v>35</v>
      </c>
      <c r="G2201" s="93">
        <v>28866.29</v>
      </c>
      <c r="H2201" s="93">
        <v>123594.48</v>
      </c>
      <c r="I2201" s="93">
        <v>2397.5457928860201</v>
      </c>
      <c r="J2201" s="93">
        <v>59266.98</v>
      </c>
      <c r="K2201" s="93">
        <v>8304.64</v>
      </c>
      <c r="L2201" s="93">
        <v>259835.03</v>
      </c>
      <c r="M2201" s="93">
        <v>605861.19999999995</v>
      </c>
      <c r="N2201" s="95">
        <v>0.08</v>
      </c>
      <c r="O2201" s="95">
        <v>0.36</v>
      </c>
      <c r="P2201" s="95">
        <v>0.36</v>
      </c>
      <c r="Q2201" s="95">
        <v>0.17</v>
      </c>
      <c r="R2201" s="96">
        <v>0.02</v>
      </c>
    </row>
    <row r="2202" spans="1:18" ht="15" hidden="1" customHeight="1" x14ac:dyDescent="0.3">
      <c r="A2202" s="101">
        <v>2023</v>
      </c>
      <c r="B2202" s="90">
        <v>8</v>
      </c>
      <c r="C2202" s="90" t="s">
        <v>729</v>
      </c>
      <c r="D2202" s="90" t="s">
        <v>719</v>
      </c>
      <c r="E2202" s="102" t="s">
        <v>11</v>
      </c>
      <c r="F2202" s="103" t="s">
        <v>36</v>
      </c>
      <c r="G2202" s="93">
        <v>4645.33</v>
      </c>
      <c r="H2202" s="93">
        <v>39784.629999999997</v>
      </c>
      <c r="I2202" s="93">
        <v>2397.5457928860201</v>
      </c>
      <c r="J2202" s="93">
        <v>69269.67</v>
      </c>
      <c r="K2202" s="93">
        <v>12035.87</v>
      </c>
      <c r="L2202" s="93">
        <v>32853.379999999997</v>
      </c>
      <c r="M2202" s="93">
        <v>258886.74</v>
      </c>
      <c r="N2202" s="95">
        <v>0.02</v>
      </c>
      <c r="O2202" s="95">
        <v>0.18</v>
      </c>
      <c r="P2202" s="95">
        <v>0.44</v>
      </c>
      <c r="Q2202" s="95">
        <v>0.31</v>
      </c>
      <c r="R2202" s="96">
        <v>0.05</v>
      </c>
    </row>
    <row r="2203" spans="1:18" ht="15" hidden="1" customHeight="1" x14ac:dyDescent="0.3">
      <c r="A2203" s="101">
        <v>2023</v>
      </c>
      <c r="B2203" s="90">
        <v>8</v>
      </c>
      <c r="C2203" s="90" t="s">
        <v>729</v>
      </c>
      <c r="D2203" s="90" t="s">
        <v>719</v>
      </c>
      <c r="E2203" s="102" t="s">
        <v>11</v>
      </c>
      <c r="F2203" s="103" t="s">
        <v>37</v>
      </c>
      <c r="G2203" s="93">
        <v>7540.76</v>
      </c>
      <c r="H2203" s="93">
        <v>56802.87</v>
      </c>
      <c r="I2203" s="93">
        <v>2397.5457928860201</v>
      </c>
      <c r="J2203" s="93">
        <v>133523.34</v>
      </c>
      <c r="K2203" s="93">
        <v>23773.38</v>
      </c>
      <c r="L2203" s="93">
        <v>159411.68</v>
      </c>
      <c r="M2203" s="93">
        <v>524074.32</v>
      </c>
      <c r="N2203" s="95">
        <v>0.02</v>
      </c>
      <c r="O2203" s="95">
        <v>0.16</v>
      </c>
      <c r="P2203" s="95">
        <v>0.39</v>
      </c>
      <c r="Q2203" s="95">
        <v>0.37</v>
      </c>
      <c r="R2203" s="96">
        <v>7.0000000000000007E-2</v>
      </c>
    </row>
    <row r="2204" spans="1:18" ht="15" hidden="1" customHeight="1" x14ac:dyDescent="0.3">
      <c r="A2204" s="101">
        <v>2023</v>
      </c>
      <c r="B2204" s="90">
        <v>8</v>
      </c>
      <c r="C2204" s="90" t="s">
        <v>729</v>
      </c>
      <c r="D2204" s="90" t="s">
        <v>719</v>
      </c>
      <c r="E2204" s="102" t="s">
        <v>11</v>
      </c>
      <c r="F2204" s="103" t="s">
        <v>38</v>
      </c>
      <c r="G2204" s="93">
        <v>44679.43</v>
      </c>
      <c r="H2204" s="93">
        <v>127799.32</v>
      </c>
      <c r="I2204" s="93">
        <v>2397.5457928860201</v>
      </c>
      <c r="J2204" s="93">
        <v>265225.90999999997</v>
      </c>
      <c r="K2204" s="93">
        <v>30870.15</v>
      </c>
      <c r="L2204" s="93">
        <v>214783.66</v>
      </c>
      <c r="M2204" s="93">
        <v>927959.02</v>
      </c>
      <c r="N2204" s="95">
        <v>0.06</v>
      </c>
      <c r="O2204" s="95">
        <v>0.18</v>
      </c>
      <c r="P2204" s="95">
        <v>0.34</v>
      </c>
      <c r="Q2204" s="95">
        <v>0.37</v>
      </c>
      <c r="R2204" s="96">
        <v>0.04</v>
      </c>
    </row>
    <row r="2205" spans="1:18" ht="15" hidden="1" customHeight="1" x14ac:dyDescent="0.3">
      <c r="A2205" s="101">
        <v>2023</v>
      </c>
      <c r="B2205" s="90">
        <v>8</v>
      </c>
      <c r="C2205" s="90" t="s">
        <v>729</v>
      </c>
      <c r="D2205" s="90" t="s">
        <v>719</v>
      </c>
      <c r="E2205" s="102" t="s">
        <v>11</v>
      </c>
      <c r="F2205" s="103" t="s">
        <v>39</v>
      </c>
      <c r="G2205" s="93">
        <v>46958.37</v>
      </c>
      <c r="H2205" s="93">
        <v>95029.72</v>
      </c>
      <c r="I2205" s="93">
        <v>2397.5457928860201</v>
      </c>
      <c r="J2205" s="93">
        <v>41303.99</v>
      </c>
      <c r="K2205" s="93">
        <v>3746.33</v>
      </c>
      <c r="L2205" s="93">
        <v>49587.91</v>
      </c>
      <c r="M2205" s="93">
        <v>331195.63</v>
      </c>
      <c r="N2205" s="95">
        <v>0.17</v>
      </c>
      <c r="O2205" s="95">
        <v>0.34</v>
      </c>
      <c r="P2205" s="95">
        <v>0.34</v>
      </c>
      <c r="Q2205" s="95">
        <v>0.15</v>
      </c>
      <c r="R2205" s="96">
        <v>0.01</v>
      </c>
    </row>
    <row r="2206" spans="1:18" ht="15" hidden="1" customHeight="1" x14ac:dyDescent="0.3">
      <c r="A2206" s="101">
        <v>2023</v>
      </c>
      <c r="B2206" s="90">
        <v>8</v>
      </c>
      <c r="C2206" s="90" t="s">
        <v>729</v>
      </c>
      <c r="D2206" s="90" t="s">
        <v>719</v>
      </c>
      <c r="E2206" s="102" t="s">
        <v>11</v>
      </c>
      <c r="F2206" s="103" t="s">
        <v>40</v>
      </c>
      <c r="G2206" s="93">
        <v>11000.16</v>
      </c>
      <c r="H2206" s="93">
        <v>145485.65</v>
      </c>
      <c r="I2206" s="93">
        <v>2397.5457928860201</v>
      </c>
      <c r="J2206" s="93">
        <v>22479.33</v>
      </c>
      <c r="K2206" s="93">
        <v>1241.94</v>
      </c>
      <c r="L2206" s="93">
        <v>8237.7999999999993</v>
      </c>
      <c r="M2206" s="93">
        <v>326305.03999999998</v>
      </c>
      <c r="N2206" s="95">
        <v>0.03</v>
      </c>
      <c r="O2206" s="95">
        <v>0.46</v>
      </c>
      <c r="P2206" s="95">
        <v>0.43</v>
      </c>
      <c r="Q2206" s="95">
        <v>7.0000000000000007E-2</v>
      </c>
      <c r="R2206" s="96">
        <v>0</v>
      </c>
    </row>
    <row r="2207" spans="1:18" ht="15" hidden="1" customHeight="1" x14ac:dyDescent="0.3">
      <c r="A2207" s="101">
        <v>2023</v>
      </c>
      <c r="B2207" s="90">
        <v>8</v>
      </c>
      <c r="C2207" s="90" t="s">
        <v>729</v>
      </c>
      <c r="D2207" s="90" t="s">
        <v>719</v>
      </c>
      <c r="E2207" s="102" t="s">
        <v>11</v>
      </c>
      <c r="F2207" s="103" t="s">
        <v>41</v>
      </c>
      <c r="G2207" s="93">
        <v>452.87</v>
      </c>
      <c r="H2207" s="93">
        <v>5300.05</v>
      </c>
      <c r="I2207" s="93">
        <v>2397.5457928860201</v>
      </c>
      <c r="J2207" s="93">
        <v>4608.29</v>
      </c>
      <c r="K2207" s="93">
        <v>1354.33</v>
      </c>
      <c r="L2207" s="93">
        <v>130.24</v>
      </c>
      <c r="M2207" s="93">
        <v>18714.330000000002</v>
      </c>
      <c r="N2207" s="95">
        <v>0.02</v>
      </c>
      <c r="O2207" s="95">
        <v>0.28999999999999998</v>
      </c>
      <c r="P2207" s="95">
        <v>0.37</v>
      </c>
      <c r="Q2207" s="95">
        <v>0.25</v>
      </c>
      <c r="R2207" s="96">
        <v>7.0000000000000007E-2</v>
      </c>
    </row>
    <row r="2208" spans="1:18" ht="15" hidden="1" customHeight="1" x14ac:dyDescent="0.3">
      <c r="A2208" s="101">
        <v>2023</v>
      </c>
      <c r="B2208" s="90">
        <v>8</v>
      </c>
      <c r="C2208" s="90" t="s">
        <v>729</v>
      </c>
      <c r="D2208" s="90" t="s">
        <v>719</v>
      </c>
      <c r="E2208" s="102" t="s">
        <v>11</v>
      </c>
      <c r="F2208" s="103" t="s">
        <v>42</v>
      </c>
      <c r="G2208" s="93">
        <v>48395.62</v>
      </c>
      <c r="H2208" s="93">
        <v>212037.38</v>
      </c>
      <c r="I2208" s="93">
        <v>2397.5457928860201</v>
      </c>
      <c r="J2208" s="93">
        <v>40729.85</v>
      </c>
      <c r="K2208" s="93">
        <v>3273.24</v>
      </c>
      <c r="L2208" s="93">
        <v>177756.86</v>
      </c>
      <c r="M2208" s="93">
        <v>620824.21</v>
      </c>
      <c r="N2208" s="95">
        <v>0.11</v>
      </c>
      <c r="O2208" s="95">
        <v>0.48</v>
      </c>
      <c r="P2208" s="95">
        <v>0.31</v>
      </c>
      <c r="Q2208" s="95">
        <v>0.09</v>
      </c>
      <c r="R2208" s="96">
        <v>0.01</v>
      </c>
    </row>
    <row r="2209" spans="1:18" ht="15" hidden="1" customHeight="1" x14ac:dyDescent="0.3">
      <c r="A2209" s="101">
        <v>2023</v>
      </c>
      <c r="B2209" s="90">
        <v>8</v>
      </c>
      <c r="C2209" s="90" t="s">
        <v>729</v>
      </c>
      <c r="D2209" s="90" t="s">
        <v>719</v>
      </c>
      <c r="E2209" s="102" t="s">
        <v>11</v>
      </c>
      <c r="F2209" s="103" t="s">
        <v>43</v>
      </c>
      <c r="G2209" s="93">
        <v>3487.17</v>
      </c>
      <c r="H2209" s="93">
        <v>28128.91</v>
      </c>
      <c r="I2209" s="93">
        <v>2397.5457928860201</v>
      </c>
      <c r="J2209" s="93">
        <v>11637.76</v>
      </c>
      <c r="K2209" s="93">
        <v>3163.71</v>
      </c>
      <c r="L2209" s="93">
        <v>118792.16</v>
      </c>
      <c r="M2209" s="93">
        <v>185575.52</v>
      </c>
      <c r="N2209" s="95">
        <v>0.05</v>
      </c>
      <c r="O2209" s="95">
        <v>0.42</v>
      </c>
      <c r="P2209" s="95">
        <v>0.3</v>
      </c>
      <c r="Q2209" s="95">
        <v>0.17</v>
      </c>
      <c r="R2209" s="96">
        <v>0.05</v>
      </c>
    </row>
    <row r="2210" spans="1:18" ht="15" hidden="1" customHeight="1" x14ac:dyDescent="0.3">
      <c r="A2210" s="101">
        <v>2023</v>
      </c>
      <c r="B2210" s="90">
        <v>8</v>
      </c>
      <c r="C2210" s="90" t="s">
        <v>729</v>
      </c>
      <c r="D2210" s="90" t="s">
        <v>719</v>
      </c>
      <c r="E2210" s="102" t="s">
        <v>11</v>
      </c>
      <c r="F2210" s="103" t="s">
        <v>58</v>
      </c>
      <c r="G2210" s="93">
        <v>14285.24</v>
      </c>
      <c r="H2210" s="93">
        <v>158098.65</v>
      </c>
      <c r="I2210" s="93">
        <v>2397.5457928860201</v>
      </c>
      <c r="J2210" s="93">
        <v>30305.53</v>
      </c>
      <c r="K2210" s="93">
        <v>1009.77</v>
      </c>
      <c r="L2210" s="93">
        <v>8606.5400000000009</v>
      </c>
      <c r="M2210" s="93">
        <v>371477.13</v>
      </c>
      <c r="N2210" s="95">
        <v>0.04</v>
      </c>
      <c r="O2210" s="95">
        <v>0.44</v>
      </c>
      <c r="P2210" s="95">
        <v>0.44</v>
      </c>
      <c r="Q2210" s="95">
        <v>0.08</v>
      </c>
      <c r="R2210" s="96">
        <v>0</v>
      </c>
    </row>
    <row r="2211" spans="1:18" ht="15" hidden="1" customHeight="1" x14ac:dyDescent="0.3">
      <c r="A2211" s="101">
        <v>2023</v>
      </c>
      <c r="B2211" s="90">
        <v>8</v>
      </c>
      <c r="C2211" s="90" t="s">
        <v>729</v>
      </c>
      <c r="D2211" s="90" t="s">
        <v>719</v>
      </c>
      <c r="E2211" s="102" t="s">
        <v>11</v>
      </c>
      <c r="F2211" s="103" t="s">
        <v>44</v>
      </c>
      <c r="G2211" s="93">
        <v>4347.24</v>
      </c>
      <c r="H2211" s="93">
        <v>7841.1</v>
      </c>
      <c r="I2211" s="93">
        <v>2397.5457928860201</v>
      </c>
      <c r="J2211" s="93">
        <v>81981.52</v>
      </c>
      <c r="K2211" s="93">
        <v>34051.72</v>
      </c>
      <c r="L2211" s="93">
        <v>41880.11</v>
      </c>
      <c r="M2211" s="93">
        <v>215729.36</v>
      </c>
      <c r="N2211" s="95">
        <v>0.03</v>
      </c>
      <c r="O2211" s="95">
        <v>0.05</v>
      </c>
      <c r="P2211" s="95">
        <v>0.26</v>
      </c>
      <c r="Q2211" s="95">
        <v>0.47</v>
      </c>
      <c r="R2211" s="96">
        <v>0.2</v>
      </c>
    </row>
    <row r="2212" spans="1:18" ht="15" hidden="1" customHeight="1" x14ac:dyDescent="0.3">
      <c r="A2212" s="101">
        <v>2023</v>
      </c>
      <c r="B2212" s="90">
        <v>8</v>
      </c>
      <c r="C2212" s="90" t="s">
        <v>729</v>
      </c>
      <c r="D2212" s="90" t="s">
        <v>719</v>
      </c>
      <c r="E2212" s="102" t="s">
        <v>11</v>
      </c>
      <c r="F2212" s="103" t="s">
        <v>51</v>
      </c>
      <c r="G2212" s="93">
        <v>4555.72</v>
      </c>
      <c r="H2212" s="93">
        <v>30478.83</v>
      </c>
      <c r="I2212" s="93">
        <v>2397.5457928860201</v>
      </c>
      <c r="J2212" s="93">
        <v>56453.72</v>
      </c>
      <c r="K2212" s="93">
        <v>58076.75</v>
      </c>
      <c r="L2212" s="93">
        <v>9112.32</v>
      </c>
      <c r="M2212" s="93">
        <v>211202.48</v>
      </c>
      <c r="N2212" s="95">
        <v>0.02</v>
      </c>
      <c r="O2212" s="95">
        <v>0.15</v>
      </c>
      <c r="P2212" s="95">
        <v>0.26</v>
      </c>
      <c r="Q2212" s="95">
        <v>0.28000000000000003</v>
      </c>
      <c r="R2212" s="96">
        <v>0.28999999999999998</v>
      </c>
    </row>
    <row r="2213" spans="1:18" ht="15" hidden="1" customHeight="1" x14ac:dyDescent="0.3">
      <c r="A2213" s="101">
        <v>2023</v>
      </c>
      <c r="B2213" s="90">
        <v>8</v>
      </c>
      <c r="C2213" s="90" t="s">
        <v>729</v>
      </c>
      <c r="D2213" s="90" t="s">
        <v>719</v>
      </c>
      <c r="E2213" s="102" t="s">
        <v>11</v>
      </c>
      <c r="F2213" s="103" t="s">
        <v>45</v>
      </c>
      <c r="G2213" s="93">
        <v>2189.5</v>
      </c>
      <c r="H2213" s="93">
        <v>16958.96</v>
      </c>
      <c r="I2213" s="93">
        <v>2397.5457928860201</v>
      </c>
      <c r="J2213" s="93">
        <v>24755.06</v>
      </c>
      <c r="K2213" s="93">
        <v>4550.53</v>
      </c>
      <c r="L2213" s="93">
        <v>49385.87</v>
      </c>
      <c r="M2213" s="93">
        <v>134096.20000000001</v>
      </c>
      <c r="N2213" s="95">
        <v>0.03</v>
      </c>
      <c r="O2213" s="95">
        <v>0.2</v>
      </c>
      <c r="P2213" s="95">
        <v>0.43</v>
      </c>
      <c r="Q2213" s="95">
        <v>0.28999999999999998</v>
      </c>
      <c r="R2213" s="96">
        <v>0.05</v>
      </c>
    </row>
    <row r="2214" spans="1:18" ht="15" hidden="1" customHeight="1" x14ac:dyDescent="0.3">
      <c r="A2214" s="101">
        <v>2023</v>
      </c>
      <c r="B2214" s="90">
        <v>8</v>
      </c>
      <c r="C2214" s="90" t="s">
        <v>729</v>
      </c>
      <c r="D2214" s="90" t="s">
        <v>719</v>
      </c>
      <c r="E2214" s="102" t="s">
        <v>11</v>
      </c>
      <c r="F2214" s="103" t="s">
        <v>721</v>
      </c>
      <c r="G2214" s="93">
        <v>32508.85</v>
      </c>
      <c r="H2214" s="93">
        <v>180390.16</v>
      </c>
      <c r="I2214" s="93">
        <v>2397.5457928860201</v>
      </c>
      <c r="J2214" s="93">
        <v>7201.64</v>
      </c>
      <c r="K2214" s="93">
        <v>458.57</v>
      </c>
      <c r="L2214" s="93">
        <v>1589.49</v>
      </c>
      <c r="M2214" s="93">
        <v>309330.63</v>
      </c>
      <c r="N2214" s="95">
        <v>0.11</v>
      </c>
      <c r="O2214" s="95">
        <v>0.59</v>
      </c>
      <c r="P2214" s="95">
        <v>0.28000000000000003</v>
      </c>
      <c r="Q2214" s="95">
        <v>0.02</v>
      </c>
      <c r="R2214" s="96">
        <v>0</v>
      </c>
    </row>
    <row r="2215" spans="1:18" ht="15" hidden="1" customHeight="1" x14ac:dyDescent="0.3">
      <c r="A2215" s="101">
        <v>2023</v>
      </c>
      <c r="B2215" s="90">
        <v>8</v>
      </c>
      <c r="C2215" s="90" t="s">
        <v>729</v>
      </c>
      <c r="D2215" s="90" t="s">
        <v>719</v>
      </c>
      <c r="E2215" s="102" t="s">
        <v>11</v>
      </c>
      <c r="F2215" s="103" t="s">
        <v>46</v>
      </c>
      <c r="G2215" s="93">
        <v>28198.080000000002</v>
      </c>
      <c r="H2215" s="93">
        <v>69891.460000000006</v>
      </c>
      <c r="I2215" s="93">
        <v>2397.5457928860201</v>
      </c>
      <c r="J2215" s="93">
        <v>8297.2999999999993</v>
      </c>
      <c r="K2215" s="93">
        <v>2557.06</v>
      </c>
      <c r="L2215" s="93">
        <v>3549.39</v>
      </c>
      <c r="M2215" s="93">
        <v>149074.81</v>
      </c>
      <c r="N2215" s="95">
        <v>0.19</v>
      </c>
      <c r="O2215" s="95">
        <v>0.48</v>
      </c>
      <c r="P2215" s="95">
        <v>0.25</v>
      </c>
      <c r="Q2215" s="95">
        <v>0.06</v>
      </c>
      <c r="R2215" s="96">
        <v>0.02</v>
      </c>
    </row>
    <row r="2216" spans="1:18" ht="15" hidden="1" customHeight="1" x14ac:dyDescent="0.3">
      <c r="A2216" s="101">
        <v>2023</v>
      </c>
      <c r="B2216" s="90">
        <v>8</v>
      </c>
      <c r="C2216" s="90" t="s">
        <v>729</v>
      </c>
      <c r="D2216" s="90" t="s">
        <v>719</v>
      </c>
      <c r="E2216" s="102" t="s">
        <v>11</v>
      </c>
      <c r="F2216" s="103" t="s">
        <v>47</v>
      </c>
      <c r="G2216" s="93">
        <v>65471.68</v>
      </c>
      <c r="H2216" s="93">
        <v>380614.62</v>
      </c>
      <c r="I2216" s="93">
        <v>2397.5457928860201</v>
      </c>
      <c r="J2216" s="93">
        <v>140971.12</v>
      </c>
      <c r="K2216" s="93">
        <v>26038.76</v>
      </c>
      <c r="L2216" s="93">
        <v>408533.87</v>
      </c>
      <c r="M2216" s="93">
        <v>1461770.89</v>
      </c>
      <c r="N2216" s="95">
        <v>0.06</v>
      </c>
      <c r="O2216" s="95">
        <v>0.36</v>
      </c>
      <c r="P2216" s="95">
        <v>0.42</v>
      </c>
      <c r="Q2216" s="95">
        <v>0.13</v>
      </c>
      <c r="R2216" s="96">
        <v>0.02</v>
      </c>
    </row>
    <row r="2217" spans="1:18" ht="15" hidden="1" customHeight="1" x14ac:dyDescent="0.3">
      <c r="A2217" s="101">
        <v>2023</v>
      </c>
      <c r="B2217" s="90">
        <v>8</v>
      </c>
      <c r="C2217" s="90" t="s">
        <v>729</v>
      </c>
      <c r="D2217" s="90" t="s">
        <v>719</v>
      </c>
      <c r="E2217" s="102" t="s">
        <v>11</v>
      </c>
      <c r="F2217" s="103" t="s">
        <v>48</v>
      </c>
      <c r="G2217" s="93">
        <v>1749.78</v>
      </c>
      <c r="H2217" s="93">
        <v>11099.78</v>
      </c>
      <c r="I2217" s="93">
        <v>2397.5457928860201</v>
      </c>
      <c r="J2217" s="93">
        <v>39761.599999999999</v>
      </c>
      <c r="K2217" s="93">
        <v>4800.99</v>
      </c>
      <c r="L2217" s="93">
        <v>8772.31</v>
      </c>
      <c r="M2217" s="93">
        <v>110314.47</v>
      </c>
      <c r="N2217" s="95">
        <v>0.02</v>
      </c>
      <c r="O2217" s="95">
        <v>0.11</v>
      </c>
      <c r="P2217" s="95">
        <v>0.43</v>
      </c>
      <c r="Q2217" s="95">
        <v>0.39</v>
      </c>
      <c r="R2217" s="96">
        <v>0.05</v>
      </c>
    </row>
    <row r="2218" spans="1:18" ht="15" hidden="1" customHeight="1" x14ac:dyDescent="0.3">
      <c r="A2218" s="101">
        <v>2023</v>
      </c>
      <c r="B2218" s="90">
        <v>8</v>
      </c>
      <c r="C2218" s="90" t="s">
        <v>729</v>
      </c>
      <c r="D2218" s="90" t="s">
        <v>722</v>
      </c>
      <c r="E2218" s="102" t="s">
        <v>11</v>
      </c>
      <c r="F2218" s="103" t="s">
        <v>12</v>
      </c>
      <c r="G2218" s="93">
        <v>17002.97</v>
      </c>
      <c r="H2218" s="93">
        <v>148780.5</v>
      </c>
      <c r="I2218" s="93">
        <v>2397.5457928860201</v>
      </c>
      <c r="J2218" s="93">
        <v>32052.27</v>
      </c>
      <c r="K2218" s="93">
        <v>762.74</v>
      </c>
      <c r="L2218" s="93">
        <v>53258.6</v>
      </c>
      <c r="M2218" s="93">
        <v>433311.44</v>
      </c>
      <c r="N2218" s="95">
        <v>0.04</v>
      </c>
      <c r="O2218" s="95">
        <v>0.39</v>
      </c>
      <c r="P2218" s="95">
        <v>0.48</v>
      </c>
      <c r="Q2218" s="95">
        <v>0.08</v>
      </c>
      <c r="R2218" s="104">
        <v>0</v>
      </c>
    </row>
    <row r="2219" spans="1:18" ht="15" hidden="1" customHeight="1" x14ac:dyDescent="0.3">
      <c r="A2219" s="101">
        <v>2023</v>
      </c>
      <c r="B2219" s="90">
        <v>8</v>
      </c>
      <c r="C2219" s="90" t="s">
        <v>729</v>
      </c>
      <c r="D2219" s="90" t="s">
        <v>722</v>
      </c>
      <c r="E2219" s="102" t="s">
        <v>11</v>
      </c>
      <c r="F2219" s="103" t="s">
        <v>26</v>
      </c>
      <c r="G2219" s="93">
        <v>57723.61</v>
      </c>
      <c r="H2219" s="93">
        <v>139385.74</v>
      </c>
      <c r="I2219" s="93">
        <v>2397.5457928860201</v>
      </c>
      <c r="J2219" s="93">
        <v>419813.12</v>
      </c>
      <c r="K2219" s="93">
        <v>238344.27</v>
      </c>
      <c r="L2219" s="93">
        <v>262968.40999999997</v>
      </c>
      <c r="M2219" s="93">
        <v>1302393.77</v>
      </c>
      <c r="N2219" s="95">
        <v>0.06</v>
      </c>
      <c r="O2219" s="95">
        <v>0.13</v>
      </c>
      <c r="P2219" s="95">
        <v>0.18</v>
      </c>
      <c r="Q2219" s="95">
        <v>0.4</v>
      </c>
      <c r="R2219" s="104">
        <v>0.23</v>
      </c>
    </row>
    <row r="2220" spans="1:18" ht="15" hidden="1" customHeight="1" x14ac:dyDescent="0.3">
      <c r="A2220" s="101">
        <v>2023</v>
      </c>
      <c r="B2220" s="90">
        <v>8</v>
      </c>
      <c r="C2220" s="90" t="s">
        <v>729</v>
      </c>
      <c r="D2220" s="90" t="s">
        <v>722</v>
      </c>
      <c r="E2220" s="102" t="s">
        <v>11</v>
      </c>
      <c r="F2220" s="103" t="s">
        <v>27</v>
      </c>
      <c r="G2220" s="93">
        <v>33611.46</v>
      </c>
      <c r="H2220" s="93">
        <v>95724.64</v>
      </c>
      <c r="I2220" s="93">
        <v>2397.5457928860201</v>
      </c>
      <c r="J2220" s="93">
        <v>16512.650000000001</v>
      </c>
      <c r="K2220" s="93">
        <v>1659.71</v>
      </c>
      <c r="L2220" s="93">
        <v>3085.97</v>
      </c>
      <c r="M2220" s="93">
        <v>226689.38</v>
      </c>
      <c r="N2220" s="95">
        <v>0.15</v>
      </c>
      <c r="O2220" s="95">
        <v>0.43</v>
      </c>
      <c r="P2220" s="95">
        <v>0.34</v>
      </c>
      <c r="Q2220" s="95">
        <v>7.0000000000000007E-2</v>
      </c>
      <c r="R2220" s="104">
        <v>0.01</v>
      </c>
    </row>
    <row r="2221" spans="1:18" ht="15" hidden="1" customHeight="1" x14ac:dyDescent="0.3">
      <c r="A2221" s="101">
        <v>2023</v>
      </c>
      <c r="B2221" s="90">
        <v>8</v>
      </c>
      <c r="C2221" s="90" t="s">
        <v>729</v>
      </c>
      <c r="D2221" s="90" t="s">
        <v>722</v>
      </c>
      <c r="E2221" s="102" t="s">
        <v>11</v>
      </c>
      <c r="F2221" s="103" t="s">
        <v>28</v>
      </c>
      <c r="G2221" s="93">
        <v>11377.79</v>
      </c>
      <c r="H2221" s="93">
        <v>93433.49</v>
      </c>
      <c r="I2221" s="93">
        <v>2397.5457928860201</v>
      </c>
      <c r="J2221" s="93">
        <v>48256.63</v>
      </c>
      <c r="K2221" s="93">
        <v>2545.3000000000002</v>
      </c>
      <c r="L2221" s="93">
        <v>3336.39</v>
      </c>
      <c r="M2221" s="93">
        <v>373104.4</v>
      </c>
      <c r="N2221" s="95">
        <v>0.03</v>
      </c>
      <c r="O2221" s="95">
        <v>0.25</v>
      </c>
      <c r="P2221" s="95">
        <v>0.57999999999999996</v>
      </c>
      <c r="Q2221" s="95">
        <v>0.13</v>
      </c>
      <c r="R2221" s="104">
        <v>0.01</v>
      </c>
    </row>
    <row r="2222" spans="1:18" ht="15" customHeight="1" x14ac:dyDescent="0.3">
      <c r="A2222" s="101">
        <v>2023</v>
      </c>
      <c r="B2222" s="90">
        <v>8</v>
      </c>
      <c r="C2222" s="90" t="s">
        <v>729</v>
      </c>
      <c r="D2222" s="90" t="s">
        <v>722</v>
      </c>
      <c r="E2222" s="102" t="s">
        <v>11</v>
      </c>
      <c r="F2222" s="103" t="s">
        <v>29</v>
      </c>
      <c r="G2222" s="93">
        <v>4497.3900000000003</v>
      </c>
      <c r="H2222" s="93">
        <v>22561.83</v>
      </c>
      <c r="I2222" s="93">
        <v>2397.5457928860201</v>
      </c>
      <c r="J2222" s="93">
        <v>111323.85</v>
      </c>
      <c r="K2222" s="93">
        <v>64560.66</v>
      </c>
      <c r="L2222" s="93">
        <v>88004.15</v>
      </c>
      <c r="M2222" s="93">
        <v>354391.76</v>
      </c>
      <c r="N2222" s="95">
        <v>0.02</v>
      </c>
      <c r="O2222" s="95">
        <v>0.08</v>
      </c>
      <c r="P2222" s="95">
        <v>0.24</v>
      </c>
      <c r="Q2222" s="95">
        <v>0.42</v>
      </c>
      <c r="R2222" s="104">
        <v>0.24</v>
      </c>
    </row>
    <row r="2223" spans="1:18" ht="15" hidden="1" customHeight="1" x14ac:dyDescent="0.3">
      <c r="A2223" s="101">
        <v>2023</v>
      </c>
      <c r="B2223" s="90">
        <v>8</v>
      </c>
      <c r="C2223" s="90" t="s">
        <v>729</v>
      </c>
      <c r="D2223" s="90" t="s">
        <v>722</v>
      </c>
      <c r="E2223" s="102" t="s">
        <v>11</v>
      </c>
      <c r="F2223" s="103" t="s">
        <v>30</v>
      </c>
      <c r="G2223" s="93">
        <v>150.25</v>
      </c>
      <c r="H2223" s="93">
        <v>1936.47</v>
      </c>
      <c r="I2223" s="93">
        <v>2397.5457928860201</v>
      </c>
      <c r="J2223" s="93">
        <v>3833.75</v>
      </c>
      <c r="K2223" s="93">
        <v>1185.97</v>
      </c>
      <c r="L2223" s="93">
        <v>216031.73</v>
      </c>
      <c r="M2223" s="93">
        <v>230086.24</v>
      </c>
      <c r="N2223" s="95">
        <v>0.01</v>
      </c>
      <c r="O2223" s="95">
        <v>0.14000000000000001</v>
      </c>
      <c r="P2223" s="95">
        <v>0.49</v>
      </c>
      <c r="Q2223" s="95">
        <v>0.27</v>
      </c>
      <c r="R2223" s="104">
        <v>0.08</v>
      </c>
    </row>
    <row r="2224" spans="1:18" ht="15" hidden="1" customHeight="1" x14ac:dyDescent="0.3">
      <c r="A2224" s="101">
        <v>2023</v>
      </c>
      <c r="B2224" s="90">
        <v>8</v>
      </c>
      <c r="C2224" s="90" t="s">
        <v>729</v>
      </c>
      <c r="D2224" s="90" t="s">
        <v>722</v>
      </c>
      <c r="E2224" s="102" t="s">
        <v>11</v>
      </c>
      <c r="F2224" s="103" t="s">
        <v>31</v>
      </c>
      <c r="G2224" s="93">
        <v>2098.61</v>
      </c>
      <c r="H2224" s="93">
        <v>73803.61</v>
      </c>
      <c r="I2224" s="93">
        <v>2397.5457928860201</v>
      </c>
      <c r="J2224" s="93">
        <v>25574.35</v>
      </c>
      <c r="K2224" s="93">
        <v>5346.5</v>
      </c>
      <c r="L2224" s="93">
        <v>60359</v>
      </c>
      <c r="M2224" s="93">
        <v>251948.86</v>
      </c>
      <c r="N2224" s="95">
        <v>0.01</v>
      </c>
      <c r="O2224" s="95">
        <v>0.39</v>
      </c>
      <c r="P2224" s="95">
        <v>0.44</v>
      </c>
      <c r="Q2224" s="95">
        <v>0.13</v>
      </c>
      <c r="R2224" s="104">
        <v>0.03</v>
      </c>
    </row>
    <row r="2225" spans="1:18" ht="15" hidden="1" customHeight="1" x14ac:dyDescent="0.3">
      <c r="A2225" s="101">
        <v>2023</v>
      </c>
      <c r="B2225" s="90">
        <v>8</v>
      </c>
      <c r="C2225" s="90" t="s">
        <v>729</v>
      </c>
      <c r="D2225" s="90" t="s">
        <v>722</v>
      </c>
      <c r="E2225" s="102" t="s">
        <v>11</v>
      </c>
      <c r="F2225" s="103" t="s">
        <v>32</v>
      </c>
      <c r="G2225" s="93">
        <v>25164.78</v>
      </c>
      <c r="H2225" s="93">
        <v>114313.68</v>
      </c>
      <c r="I2225" s="93">
        <v>2397.5457928860201</v>
      </c>
      <c r="J2225" s="93">
        <v>177246.3</v>
      </c>
      <c r="K2225" s="93">
        <v>58931.45</v>
      </c>
      <c r="L2225" s="93">
        <v>35589.14</v>
      </c>
      <c r="M2225" s="93">
        <v>609521.87</v>
      </c>
      <c r="N2225" s="95">
        <v>0.04</v>
      </c>
      <c r="O2225" s="95">
        <v>0.2</v>
      </c>
      <c r="P2225" s="95">
        <v>0.35</v>
      </c>
      <c r="Q2225" s="95">
        <v>0.31</v>
      </c>
      <c r="R2225" s="104">
        <v>0.1</v>
      </c>
    </row>
    <row r="2226" spans="1:18" ht="15" hidden="1" customHeight="1" x14ac:dyDescent="0.3">
      <c r="A2226" s="101">
        <v>2023</v>
      </c>
      <c r="B2226" s="90">
        <v>8</v>
      </c>
      <c r="C2226" s="90" t="s">
        <v>729</v>
      </c>
      <c r="D2226" s="90" t="s">
        <v>722</v>
      </c>
      <c r="E2226" s="102" t="s">
        <v>11</v>
      </c>
      <c r="F2226" s="103" t="s">
        <v>33</v>
      </c>
      <c r="G2226" s="93">
        <v>14757.4</v>
      </c>
      <c r="H2226" s="93">
        <v>48151.6</v>
      </c>
      <c r="I2226" s="93">
        <v>2397.5457928860201</v>
      </c>
      <c r="J2226" s="93">
        <v>664684.38</v>
      </c>
      <c r="K2226" s="93">
        <v>382864.37</v>
      </c>
      <c r="L2226" s="93">
        <v>35951.25</v>
      </c>
      <c r="M2226" s="93">
        <v>1352055.51</v>
      </c>
      <c r="N2226" s="95">
        <v>0.01</v>
      </c>
      <c r="O2226" s="95">
        <v>0.04</v>
      </c>
      <c r="P2226" s="95">
        <v>0.16</v>
      </c>
      <c r="Q2226" s="95">
        <v>0.51</v>
      </c>
      <c r="R2226" s="104">
        <v>0.28999999999999998</v>
      </c>
    </row>
    <row r="2227" spans="1:18" ht="15" hidden="1" customHeight="1" x14ac:dyDescent="0.3">
      <c r="A2227" s="101">
        <v>2023</v>
      </c>
      <c r="B2227" s="90">
        <v>8</v>
      </c>
      <c r="C2227" s="90" t="s">
        <v>729</v>
      </c>
      <c r="D2227" s="90" t="s">
        <v>722</v>
      </c>
      <c r="E2227" s="102" t="s">
        <v>11</v>
      </c>
      <c r="F2227" s="103" t="s">
        <v>34</v>
      </c>
      <c r="G2227" s="93">
        <v>14367.49</v>
      </c>
      <c r="H2227" s="93">
        <v>52021.65</v>
      </c>
      <c r="I2227" s="93">
        <v>2397.5457928860201</v>
      </c>
      <c r="J2227" s="93">
        <v>281252.86</v>
      </c>
      <c r="K2227" s="93">
        <v>129126.75</v>
      </c>
      <c r="L2227" s="93">
        <v>64590.41</v>
      </c>
      <c r="M2227" s="93">
        <v>713628.98</v>
      </c>
      <c r="N2227" s="95">
        <v>0.02</v>
      </c>
      <c r="O2227" s="95">
        <v>0.08</v>
      </c>
      <c r="P2227" s="95">
        <v>0.27</v>
      </c>
      <c r="Q2227" s="95">
        <v>0.43</v>
      </c>
      <c r="R2227" s="104">
        <v>0.2</v>
      </c>
    </row>
    <row r="2228" spans="1:18" ht="15" hidden="1" customHeight="1" x14ac:dyDescent="0.3">
      <c r="A2228" s="101">
        <v>2023</v>
      </c>
      <c r="B2228" s="90">
        <v>8</v>
      </c>
      <c r="C2228" s="90" t="s">
        <v>729</v>
      </c>
      <c r="D2228" s="90" t="s">
        <v>722</v>
      </c>
      <c r="E2228" s="102" t="s">
        <v>11</v>
      </c>
      <c r="F2228" s="103" t="s">
        <v>35</v>
      </c>
      <c r="G2228" s="93">
        <v>31242.01</v>
      </c>
      <c r="H2228" s="93">
        <v>146542.34</v>
      </c>
      <c r="I2228" s="93">
        <v>2397.5457928860201</v>
      </c>
      <c r="J2228" s="93">
        <v>63043.27</v>
      </c>
      <c r="K2228" s="93">
        <v>9540.58</v>
      </c>
      <c r="L2228" s="93">
        <v>234348.88</v>
      </c>
      <c r="M2228" s="93">
        <v>605861.19999999995</v>
      </c>
      <c r="N2228" s="95">
        <v>0.08</v>
      </c>
      <c r="O2228" s="95">
        <v>0.39</v>
      </c>
      <c r="P2228" s="95">
        <v>0.33</v>
      </c>
      <c r="Q2228" s="95">
        <v>0.17</v>
      </c>
      <c r="R2228" s="104">
        <v>0.03</v>
      </c>
    </row>
    <row r="2229" spans="1:18" ht="15" hidden="1" customHeight="1" x14ac:dyDescent="0.3">
      <c r="A2229" s="101">
        <v>2023</v>
      </c>
      <c r="B2229" s="90">
        <v>8</v>
      </c>
      <c r="C2229" s="90" t="s">
        <v>729</v>
      </c>
      <c r="D2229" s="90" t="s">
        <v>722</v>
      </c>
      <c r="E2229" s="102" t="s">
        <v>11</v>
      </c>
      <c r="F2229" s="103" t="s">
        <v>36</v>
      </c>
      <c r="G2229" s="93">
        <v>2770.63</v>
      </c>
      <c r="H2229" s="93">
        <v>28984.79</v>
      </c>
      <c r="I2229" s="93">
        <v>2397.5457928860201</v>
      </c>
      <c r="J2229" s="93">
        <v>83478.789999999994</v>
      </c>
      <c r="K2229" s="93">
        <v>31417.37</v>
      </c>
      <c r="L2229" s="93">
        <v>32872.379999999997</v>
      </c>
      <c r="M2229" s="93">
        <v>258886.74</v>
      </c>
      <c r="N2229" s="95">
        <v>0.01</v>
      </c>
      <c r="O2229" s="95">
        <v>0.13</v>
      </c>
      <c r="P2229" s="95">
        <v>0.35</v>
      </c>
      <c r="Q2229" s="95">
        <v>0.37</v>
      </c>
      <c r="R2229" s="104">
        <v>0.14000000000000001</v>
      </c>
    </row>
    <row r="2230" spans="1:18" ht="15" hidden="1" customHeight="1" x14ac:dyDescent="0.3">
      <c r="A2230" s="101">
        <v>2023</v>
      </c>
      <c r="B2230" s="90">
        <v>8</v>
      </c>
      <c r="C2230" s="90" t="s">
        <v>729</v>
      </c>
      <c r="D2230" s="90" t="s">
        <v>722</v>
      </c>
      <c r="E2230" s="102" t="s">
        <v>11</v>
      </c>
      <c r="F2230" s="103" t="s">
        <v>37</v>
      </c>
      <c r="G2230" s="93">
        <v>4942.59</v>
      </c>
      <c r="H2230" s="93">
        <v>36029.83</v>
      </c>
      <c r="I2230" s="93">
        <v>2397.5457928860201</v>
      </c>
      <c r="J2230" s="93">
        <v>163731.64000000001</v>
      </c>
      <c r="K2230" s="93">
        <v>62823.07</v>
      </c>
      <c r="L2230" s="93">
        <v>152886.32999999999</v>
      </c>
      <c r="M2230" s="93">
        <v>524074.32</v>
      </c>
      <c r="N2230" s="95">
        <v>0.01</v>
      </c>
      <c r="O2230" s="95">
        <v>0.1</v>
      </c>
      <c r="P2230" s="95">
        <v>0.28000000000000003</v>
      </c>
      <c r="Q2230" s="95">
        <v>0.44</v>
      </c>
      <c r="R2230" s="104">
        <v>0.17</v>
      </c>
    </row>
    <row r="2231" spans="1:18" ht="15" hidden="1" customHeight="1" x14ac:dyDescent="0.3">
      <c r="A2231" s="101">
        <v>2023</v>
      </c>
      <c r="B2231" s="90">
        <v>8</v>
      </c>
      <c r="C2231" s="90" t="s">
        <v>729</v>
      </c>
      <c r="D2231" s="90" t="s">
        <v>722</v>
      </c>
      <c r="E2231" s="102" t="s">
        <v>11</v>
      </c>
      <c r="F2231" s="103" t="s">
        <v>38</v>
      </c>
      <c r="G2231" s="93">
        <v>48204.4</v>
      </c>
      <c r="H2231" s="93">
        <v>122573.33</v>
      </c>
      <c r="I2231" s="93">
        <v>2397.5457928860201</v>
      </c>
      <c r="J2231" s="93">
        <v>286785.51</v>
      </c>
      <c r="K2231" s="93">
        <v>85724.02</v>
      </c>
      <c r="L2231" s="93">
        <v>190464.38</v>
      </c>
      <c r="M2231" s="93">
        <v>927959.02</v>
      </c>
      <c r="N2231" s="95">
        <v>7.0000000000000007E-2</v>
      </c>
      <c r="O2231" s="95">
        <v>0.17</v>
      </c>
      <c r="P2231" s="95">
        <v>0.26</v>
      </c>
      <c r="Q2231" s="95">
        <v>0.39</v>
      </c>
      <c r="R2231" s="104">
        <v>0.12</v>
      </c>
    </row>
    <row r="2232" spans="1:18" ht="15" hidden="1" customHeight="1" x14ac:dyDescent="0.3">
      <c r="A2232" s="101">
        <v>2023</v>
      </c>
      <c r="B2232" s="90">
        <v>8</v>
      </c>
      <c r="C2232" s="90" t="s">
        <v>729</v>
      </c>
      <c r="D2232" s="90" t="s">
        <v>722</v>
      </c>
      <c r="E2232" s="102" t="s">
        <v>11</v>
      </c>
      <c r="F2232" s="103" t="s">
        <v>39</v>
      </c>
      <c r="G2232" s="93">
        <v>40058.68</v>
      </c>
      <c r="H2232" s="93">
        <v>95719.32</v>
      </c>
      <c r="I2232" s="93">
        <v>2397.5457928860201</v>
      </c>
      <c r="J2232" s="93">
        <v>67428.960000000006</v>
      </c>
      <c r="K2232" s="93">
        <v>9488.39</v>
      </c>
      <c r="L2232" s="93">
        <v>32786.239999999998</v>
      </c>
      <c r="M2232" s="93">
        <v>331195.63</v>
      </c>
      <c r="N2232" s="95">
        <v>0.13</v>
      </c>
      <c r="O2232" s="95">
        <v>0.32</v>
      </c>
      <c r="P2232" s="95">
        <v>0.28999999999999998</v>
      </c>
      <c r="Q2232" s="95">
        <v>0.23</v>
      </c>
      <c r="R2232" s="104">
        <v>0.03</v>
      </c>
    </row>
    <row r="2233" spans="1:18" ht="15" hidden="1" customHeight="1" x14ac:dyDescent="0.3">
      <c r="A2233" s="101">
        <v>2023</v>
      </c>
      <c r="B2233" s="90">
        <v>8</v>
      </c>
      <c r="C2233" s="90" t="s">
        <v>729</v>
      </c>
      <c r="D2233" s="90" t="s">
        <v>722</v>
      </c>
      <c r="E2233" s="102" t="s">
        <v>11</v>
      </c>
      <c r="F2233" s="103" t="s">
        <v>40</v>
      </c>
      <c r="G2233" s="93">
        <v>13770.3</v>
      </c>
      <c r="H2233" s="93">
        <v>152689.48000000001</v>
      </c>
      <c r="I2233" s="93">
        <v>2397.5457928860201</v>
      </c>
      <c r="J2233" s="93">
        <v>27318.03</v>
      </c>
      <c r="K2233" s="93">
        <v>1860.86</v>
      </c>
      <c r="L2233" s="93">
        <v>13639.29</v>
      </c>
      <c r="M2233" s="93">
        <v>326305.03999999998</v>
      </c>
      <c r="N2233" s="95">
        <v>0.04</v>
      </c>
      <c r="O2233" s="95">
        <v>0.49</v>
      </c>
      <c r="P2233" s="95">
        <v>0.37</v>
      </c>
      <c r="Q2233" s="95">
        <v>0.09</v>
      </c>
      <c r="R2233" s="104">
        <v>0.01</v>
      </c>
    </row>
    <row r="2234" spans="1:18" ht="15" hidden="1" customHeight="1" x14ac:dyDescent="0.3">
      <c r="A2234" s="101">
        <v>2023</v>
      </c>
      <c r="B2234" s="90">
        <v>8</v>
      </c>
      <c r="C2234" s="90" t="s">
        <v>729</v>
      </c>
      <c r="D2234" s="90" t="s">
        <v>722</v>
      </c>
      <c r="E2234" s="102" t="s">
        <v>11</v>
      </c>
      <c r="F2234" s="103" t="s">
        <v>41</v>
      </c>
      <c r="G2234" s="93">
        <v>4045.19</v>
      </c>
      <c r="H2234" s="93">
        <v>4943.29</v>
      </c>
      <c r="I2234" s="93">
        <v>2397.5457928860201</v>
      </c>
      <c r="J2234" s="93">
        <v>1016.49</v>
      </c>
      <c r="K2234" s="93">
        <v>162.37</v>
      </c>
      <c r="L2234" s="93">
        <v>6195.57</v>
      </c>
      <c r="M2234" s="93">
        <v>18714.330000000002</v>
      </c>
      <c r="N2234" s="95">
        <v>0.32</v>
      </c>
      <c r="O2234" s="95">
        <v>0.39</v>
      </c>
      <c r="P2234" s="95">
        <v>0.19</v>
      </c>
      <c r="Q2234" s="95">
        <v>0.08</v>
      </c>
      <c r="R2234" s="104">
        <v>0.01</v>
      </c>
    </row>
    <row r="2235" spans="1:18" ht="15" hidden="1" customHeight="1" x14ac:dyDescent="0.3">
      <c r="A2235" s="101">
        <v>2023</v>
      </c>
      <c r="B2235" s="90">
        <v>8</v>
      </c>
      <c r="C2235" s="90" t="s">
        <v>729</v>
      </c>
      <c r="D2235" s="90" t="s">
        <v>722</v>
      </c>
      <c r="E2235" s="102" t="s">
        <v>11</v>
      </c>
      <c r="F2235" s="103" t="s">
        <v>42</v>
      </c>
      <c r="G2235" s="93">
        <v>36130.11</v>
      </c>
      <c r="H2235" s="93">
        <v>224314.03</v>
      </c>
      <c r="I2235" s="93">
        <v>2397.5457928860201</v>
      </c>
      <c r="J2235" s="93">
        <v>45842.22</v>
      </c>
      <c r="K2235" s="93">
        <v>4235.03</v>
      </c>
      <c r="L2235" s="93">
        <v>130111.33</v>
      </c>
      <c r="M2235" s="93">
        <v>620824.21</v>
      </c>
      <c r="N2235" s="95">
        <v>7.0000000000000007E-2</v>
      </c>
      <c r="O2235" s="95">
        <v>0.46</v>
      </c>
      <c r="P2235" s="95">
        <v>0.37</v>
      </c>
      <c r="Q2235" s="95">
        <v>0.09</v>
      </c>
      <c r="R2235" s="104">
        <v>0.01</v>
      </c>
    </row>
    <row r="2236" spans="1:18" ht="15" hidden="1" customHeight="1" x14ac:dyDescent="0.3">
      <c r="A2236" s="101">
        <v>2023</v>
      </c>
      <c r="B2236" s="90">
        <v>8</v>
      </c>
      <c r="C2236" s="90" t="s">
        <v>729</v>
      </c>
      <c r="D2236" s="90" t="s">
        <v>722</v>
      </c>
      <c r="E2236" s="102" t="s">
        <v>11</v>
      </c>
      <c r="F2236" s="103" t="s">
        <v>43</v>
      </c>
      <c r="G2236" s="93">
        <v>2577.27</v>
      </c>
      <c r="H2236" s="93">
        <v>27018.97</v>
      </c>
      <c r="I2236" s="93">
        <v>2397.5457928860201</v>
      </c>
      <c r="J2236" s="93">
        <v>11507.21</v>
      </c>
      <c r="K2236" s="93">
        <v>2296.4699999999998</v>
      </c>
      <c r="L2236" s="93">
        <v>119661.09</v>
      </c>
      <c r="M2236" s="93">
        <v>185575.52</v>
      </c>
      <c r="N2236" s="95">
        <v>0.04</v>
      </c>
      <c r="O2236" s="95">
        <v>0.41</v>
      </c>
      <c r="P2236" s="95">
        <v>0.34</v>
      </c>
      <c r="Q2236" s="95">
        <v>0.17</v>
      </c>
      <c r="R2236" s="104">
        <v>0.03</v>
      </c>
    </row>
    <row r="2237" spans="1:18" ht="15" hidden="1" customHeight="1" x14ac:dyDescent="0.3">
      <c r="A2237" s="101">
        <v>2023</v>
      </c>
      <c r="B2237" s="90">
        <v>8</v>
      </c>
      <c r="C2237" s="90" t="s">
        <v>729</v>
      </c>
      <c r="D2237" s="90" t="s">
        <v>722</v>
      </c>
      <c r="E2237" s="102" t="s">
        <v>11</v>
      </c>
      <c r="F2237" s="103" t="s">
        <v>58</v>
      </c>
      <c r="G2237" s="93">
        <v>11049.61</v>
      </c>
      <c r="H2237" s="93">
        <v>144291.92000000001</v>
      </c>
      <c r="I2237" s="93">
        <v>2397.5457928860201</v>
      </c>
      <c r="J2237" s="93">
        <v>38446.400000000001</v>
      </c>
      <c r="K2237" s="93">
        <v>898.63</v>
      </c>
      <c r="L2237" s="93">
        <v>4087.1</v>
      </c>
      <c r="M2237" s="93">
        <v>371477.13</v>
      </c>
      <c r="N2237" s="95">
        <v>0.03</v>
      </c>
      <c r="O2237" s="95">
        <v>0.39</v>
      </c>
      <c r="P2237" s="95">
        <v>0.47</v>
      </c>
      <c r="Q2237" s="95">
        <v>0.1</v>
      </c>
      <c r="R2237" s="104">
        <v>0</v>
      </c>
    </row>
    <row r="2238" spans="1:18" ht="15" hidden="1" customHeight="1" x14ac:dyDescent="0.3">
      <c r="A2238" s="101">
        <v>2023</v>
      </c>
      <c r="B2238" s="90">
        <v>8</v>
      </c>
      <c r="C2238" s="90" t="s">
        <v>729</v>
      </c>
      <c r="D2238" s="90" t="s">
        <v>722</v>
      </c>
      <c r="E2238" s="102" t="s">
        <v>11</v>
      </c>
      <c r="F2238" s="103" t="s">
        <v>44</v>
      </c>
      <c r="G2238" s="93">
        <v>1934.66</v>
      </c>
      <c r="H2238" s="93">
        <v>2544.96</v>
      </c>
      <c r="I2238" s="93">
        <v>2397.5457928860201</v>
      </c>
      <c r="J2238" s="93">
        <v>77264.63</v>
      </c>
      <c r="K2238" s="93">
        <v>72575.649999999994</v>
      </c>
      <c r="L2238" s="93">
        <v>43485.23</v>
      </c>
      <c r="M2238" s="93">
        <v>215729.36</v>
      </c>
      <c r="N2238" s="95">
        <v>0.01</v>
      </c>
      <c r="O2238" s="95">
        <v>0.01</v>
      </c>
      <c r="P2238" s="95">
        <v>0.1</v>
      </c>
      <c r="Q2238" s="95">
        <v>0.45</v>
      </c>
      <c r="R2238" s="104">
        <v>0.42</v>
      </c>
    </row>
    <row r="2239" spans="1:18" ht="15" hidden="1" customHeight="1" x14ac:dyDescent="0.3">
      <c r="A2239" s="101">
        <v>2023</v>
      </c>
      <c r="B2239" s="90">
        <v>8</v>
      </c>
      <c r="C2239" s="90" t="s">
        <v>729</v>
      </c>
      <c r="D2239" s="90" t="s">
        <v>722</v>
      </c>
      <c r="E2239" s="102" t="s">
        <v>11</v>
      </c>
      <c r="F2239" s="103" t="s">
        <v>51</v>
      </c>
      <c r="G2239" s="93">
        <v>9447.7999999999993</v>
      </c>
      <c r="H2239" s="93">
        <v>55012.68</v>
      </c>
      <c r="I2239" s="93">
        <v>2397.5457928860201</v>
      </c>
      <c r="J2239" s="93">
        <v>44851.1</v>
      </c>
      <c r="K2239" s="93">
        <v>6985.43</v>
      </c>
      <c r="L2239" s="93">
        <v>3340.71</v>
      </c>
      <c r="M2239" s="93">
        <v>211180.12</v>
      </c>
      <c r="N2239" s="95">
        <v>0.05</v>
      </c>
      <c r="O2239" s="95">
        <v>0.26</v>
      </c>
      <c r="P2239" s="95">
        <v>0.44</v>
      </c>
      <c r="Q2239" s="95">
        <v>0.22</v>
      </c>
      <c r="R2239" s="104">
        <v>0.03</v>
      </c>
    </row>
    <row r="2240" spans="1:18" ht="15" hidden="1" customHeight="1" x14ac:dyDescent="0.3">
      <c r="A2240" s="101">
        <v>2023</v>
      </c>
      <c r="B2240" s="90">
        <v>8</v>
      </c>
      <c r="C2240" s="90" t="s">
        <v>729</v>
      </c>
      <c r="D2240" s="90" t="s">
        <v>722</v>
      </c>
      <c r="E2240" s="102" t="s">
        <v>11</v>
      </c>
      <c r="F2240" s="103" t="s">
        <v>45</v>
      </c>
      <c r="G2240" s="93">
        <v>2050.23</v>
      </c>
      <c r="H2240" s="93">
        <v>12501.54</v>
      </c>
      <c r="I2240" s="93">
        <v>2397.5457928860201</v>
      </c>
      <c r="J2240" s="93">
        <v>33353.71</v>
      </c>
      <c r="K2240" s="93">
        <v>10426.219999999999</v>
      </c>
      <c r="L2240" s="93">
        <v>49251.65</v>
      </c>
      <c r="M2240" s="93">
        <v>134096.20000000001</v>
      </c>
      <c r="N2240" s="95">
        <v>0.02</v>
      </c>
      <c r="O2240" s="95">
        <v>0.15</v>
      </c>
      <c r="P2240" s="95">
        <v>0.31</v>
      </c>
      <c r="Q2240" s="95">
        <v>0.39</v>
      </c>
      <c r="R2240" s="104">
        <v>0.12</v>
      </c>
    </row>
    <row r="2241" spans="1:18" ht="15" hidden="1" customHeight="1" x14ac:dyDescent="0.3">
      <c r="A2241" s="101">
        <v>2023</v>
      </c>
      <c r="B2241" s="90">
        <v>8</v>
      </c>
      <c r="C2241" s="90" t="s">
        <v>729</v>
      </c>
      <c r="D2241" s="90" t="s">
        <v>722</v>
      </c>
      <c r="E2241" s="102" t="s">
        <v>11</v>
      </c>
      <c r="F2241" s="103" t="s">
        <v>721</v>
      </c>
      <c r="G2241" s="93">
        <v>27759.17</v>
      </c>
      <c r="H2241" s="93">
        <v>170623.64</v>
      </c>
      <c r="I2241" s="93">
        <v>2397.5457928860201</v>
      </c>
      <c r="J2241" s="93">
        <v>9547.41</v>
      </c>
      <c r="K2241" s="93">
        <v>608.03</v>
      </c>
      <c r="L2241" s="93">
        <v>130.91</v>
      </c>
      <c r="M2241" s="93">
        <v>309330.63</v>
      </c>
      <c r="N2241" s="95">
        <v>0.09</v>
      </c>
      <c r="O2241" s="95">
        <v>0.55000000000000004</v>
      </c>
      <c r="P2241" s="95">
        <v>0.33</v>
      </c>
      <c r="Q2241" s="95">
        <v>0.03</v>
      </c>
      <c r="R2241" s="104">
        <v>0</v>
      </c>
    </row>
    <row r="2242" spans="1:18" ht="15" hidden="1" customHeight="1" x14ac:dyDescent="0.3">
      <c r="A2242" s="101">
        <v>2023</v>
      </c>
      <c r="B2242" s="90">
        <v>8</v>
      </c>
      <c r="C2242" s="90" t="s">
        <v>729</v>
      </c>
      <c r="D2242" s="90" t="s">
        <v>722</v>
      </c>
      <c r="E2242" s="102" t="s">
        <v>11</v>
      </c>
      <c r="F2242" s="103" t="s">
        <v>46</v>
      </c>
      <c r="G2242" s="93">
        <v>31619.26</v>
      </c>
      <c r="H2242" s="93">
        <v>82020.570000000007</v>
      </c>
      <c r="I2242" s="93">
        <v>2397.5457928860201</v>
      </c>
      <c r="J2242" s="93">
        <v>5443.04</v>
      </c>
      <c r="K2242" s="93">
        <v>2525.34</v>
      </c>
      <c r="L2242" s="93">
        <v>1855.02</v>
      </c>
      <c r="M2242" s="93">
        <v>149074.81</v>
      </c>
      <c r="N2242" s="95">
        <v>0.21</v>
      </c>
      <c r="O2242" s="95">
        <v>0.56000000000000005</v>
      </c>
      <c r="P2242" s="95">
        <v>0.17</v>
      </c>
      <c r="Q2242" s="95">
        <v>0.04</v>
      </c>
      <c r="R2242" s="104">
        <v>0.02</v>
      </c>
    </row>
    <row r="2243" spans="1:18" ht="15" hidden="1" customHeight="1" x14ac:dyDescent="0.3">
      <c r="A2243" s="101">
        <v>2023</v>
      </c>
      <c r="B2243" s="90">
        <v>8</v>
      </c>
      <c r="C2243" s="90" t="s">
        <v>729</v>
      </c>
      <c r="D2243" s="90" t="s">
        <v>722</v>
      </c>
      <c r="E2243" s="102" t="s">
        <v>11</v>
      </c>
      <c r="F2243" s="103" t="s">
        <v>47</v>
      </c>
      <c r="G2243" s="93">
        <v>107182.49</v>
      </c>
      <c r="H2243" s="93">
        <v>729517.19</v>
      </c>
      <c r="I2243" s="93">
        <v>2397.5457928860201</v>
      </c>
      <c r="J2243" s="93">
        <v>63245.09</v>
      </c>
      <c r="K2243" s="93">
        <v>8917.06</v>
      </c>
      <c r="L2243" s="93">
        <v>181327.86</v>
      </c>
      <c r="M2243" s="93">
        <v>1450842.96</v>
      </c>
      <c r="N2243" s="95">
        <v>0.08</v>
      </c>
      <c r="O2243" s="95">
        <v>0.56999999999999995</v>
      </c>
      <c r="P2243" s="95">
        <v>0.28000000000000003</v>
      </c>
      <c r="Q2243" s="95">
        <v>0.05</v>
      </c>
      <c r="R2243" s="104">
        <v>0.01</v>
      </c>
    </row>
    <row r="2244" spans="1:18" ht="15" hidden="1" customHeight="1" x14ac:dyDescent="0.3">
      <c r="A2244" s="101">
        <v>2023</v>
      </c>
      <c r="B2244" s="90">
        <v>8</v>
      </c>
      <c r="C2244" s="90" t="s">
        <v>729</v>
      </c>
      <c r="D2244" s="90" t="s">
        <v>722</v>
      </c>
      <c r="E2244" s="102" t="s">
        <v>11</v>
      </c>
      <c r="F2244" s="103" t="s">
        <v>48</v>
      </c>
      <c r="G2244" s="93">
        <v>1867.9</v>
      </c>
      <c r="H2244" s="93">
        <v>8604.19</v>
      </c>
      <c r="I2244" s="93">
        <v>2397.5457928860201</v>
      </c>
      <c r="J2244" s="93">
        <v>49264.98</v>
      </c>
      <c r="K2244" s="93">
        <v>11893.4</v>
      </c>
      <c r="L2244" s="93">
        <v>8613.3799999999992</v>
      </c>
      <c r="M2244" s="93">
        <v>110314.47</v>
      </c>
      <c r="N2244" s="95">
        <v>0.02</v>
      </c>
      <c r="O2244" s="95">
        <v>0.08</v>
      </c>
      <c r="P2244" s="95">
        <v>0.3</v>
      </c>
      <c r="Q2244" s="95">
        <v>0.48</v>
      </c>
      <c r="R2244" s="104">
        <v>0.12</v>
      </c>
    </row>
    <row r="2245" spans="1:18" ht="15" hidden="1" customHeight="1" x14ac:dyDescent="0.3">
      <c r="A2245" s="101">
        <v>2023</v>
      </c>
      <c r="B2245" s="90">
        <v>9</v>
      </c>
      <c r="C2245" s="90" t="s">
        <v>730</v>
      </c>
      <c r="D2245" s="90" t="s">
        <v>719</v>
      </c>
      <c r="E2245" s="102" t="s">
        <v>11</v>
      </c>
      <c r="F2245" s="103" t="s">
        <v>12</v>
      </c>
      <c r="G2245" s="93">
        <v>31494.33</v>
      </c>
      <c r="H2245" s="93">
        <v>204358.28</v>
      </c>
      <c r="I2245" s="93">
        <v>2397.5457928860201</v>
      </c>
      <c r="J2245" s="93">
        <v>12153.61</v>
      </c>
      <c r="K2245" s="93">
        <v>401.64</v>
      </c>
      <c r="L2245" s="93">
        <v>55346.46</v>
      </c>
      <c r="M2245" s="93">
        <v>433311.44</v>
      </c>
      <c r="N2245" s="95">
        <v>0.08</v>
      </c>
      <c r="O2245" s="95">
        <v>0.54</v>
      </c>
      <c r="P2245" s="95">
        <v>0.34</v>
      </c>
      <c r="Q2245" s="95">
        <v>0.03</v>
      </c>
      <c r="R2245" s="104">
        <v>0</v>
      </c>
    </row>
    <row r="2246" spans="1:18" ht="15" hidden="1" customHeight="1" x14ac:dyDescent="0.3">
      <c r="A2246" s="101">
        <v>2023</v>
      </c>
      <c r="B2246" s="90">
        <v>9</v>
      </c>
      <c r="C2246" s="90" t="s">
        <v>730</v>
      </c>
      <c r="D2246" s="90" t="s">
        <v>719</v>
      </c>
      <c r="E2246" s="102" t="s">
        <v>11</v>
      </c>
      <c r="F2246" s="103" t="s">
        <v>26</v>
      </c>
      <c r="G2246" s="93">
        <v>69954.19</v>
      </c>
      <c r="H2246" s="93">
        <v>211369.05</v>
      </c>
      <c r="I2246" s="93">
        <v>2397.5457928860201</v>
      </c>
      <c r="J2246" s="93">
        <v>247672.13</v>
      </c>
      <c r="K2246" s="93">
        <v>18725.14</v>
      </c>
      <c r="L2246" s="93">
        <v>263345.69</v>
      </c>
      <c r="M2246" s="93">
        <v>1302393.77</v>
      </c>
      <c r="N2246" s="95">
        <v>7.0000000000000007E-2</v>
      </c>
      <c r="O2246" s="95">
        <v>0.2</v>
      </c>
      <c r="P2246" s="95">
        <v>0.47</v>
      </c>
      <c r="Q2246" s="95">
        <v>0.24</v>
      </c>
      <c r="R2246" s="104">
        <v>0.02</v>
      </c>
    </row>
    <row r="2247" spans="1:18" ht="15" hidden="1" customHeight="1" x14ac:dyDescent="0.3">
      <c r="A2247" s="101">
        <v>2023</v>
      </c>
      <c r="B2247" s="90">
        <v>9</v>
      </c>
      <c r="C2247" s="90" t="s">
        <v>730</v>
      </c>
      <c r="D2247" s="90" t="s">
        <v>719</v>
      </c>
      <c r="E2247" s="102" t="s">
        <v>11</v>
      </c>
      <c r="F2247" s="103" t="s">
        <v>27</v>
      </c>
      <c r="G2247" s="93">
        <v>39484.9</v>
      </c>
      <c r="H2247" s="93">
        <v>110036.37</v>
      </c>
      <c r="I2247" s="93">
        <v>2397.5457928860201</v>
      </c>
      <c r="J2247" s="93">
        <v>16056.58</v>
      </c>
      <c r="K2247" s="93">
        <v>1689.53</v>
      </c>
      <c r="L2247" s="93">
        <v>2299.5100000000002</v>
      </c>
      <c r="M2247" s="93">
        <v>226689.38</v>
      </c>
      <c r="N2247" s="95">
        <v>0.18</v>
      </c>
      <c r="O2247" s="95">
        <v>0.49</v>
      </c>
      <c r="P2247" s="95">
        <v>0.25</v>
      </c>
      <c r="Q2247" s="95">
        <v>7.0000000000000007E-2</v>
      </c>
      <c r="R2247" s="104">
        <v>0.01</v>
      </c>
    </row>
    <row r="2248" spans="1:18" ht="15" hidden="1" customHeight="1" x14ac:dyDescent="0.3">
      <c r="A2248" s="101">
        <v>2023</v>
      </c>
      <c r="B2248" s="90">
        <v>9</v>
      </c>
      <c r="C2248" s="90" t="s">
        <v>730</v>
      </c>
      <c r="D2248" s="90" t="s">
        <v>719</v>
      </c>
      <c r="E2248" s="102" t="s">
        <v>11</v>
      </c>
      <c r="F2248" s="103" t="s">
        <v>28</v>
      </c>
      <c r="G2248" s="93">
        <v>27553.75</v>
      </c>
      <c r="H2248" s="93">
        <v>167434.07999999999</v>
      </c>
      <c r="I2248" s="93">
        <v>2397.5457928860201</v>
      </c>
      <c r="J2248" s="93">
        <v>37982.18</v>
      </c>
      <c r="K2248" s="93">
        <v>1042.03</v>
      </c>
      <c r="L2248" s="93">
        <v>3975.52</v>
      </c>
      <c r="M2248" s="93">
        <v>373104.4</v>
      </c>
      <c r="N2248" s="95">
        <v>7.0000000000000007E-2</v>
      </c>
      <c r="O2248" s="95">
        <v>0.45</v>
      </c>
      <c r="P2248" s="95">
        <v>0.37</v>
      </c>
      <c r="Q2248" s="95">
        <v>0.1</v>
      </c>
      <c r="R2248" s="104">
        <v>0</v>
      </c>
    </row>
    <row r="2249" spans="1:18" ht="15" customHeight="1" x14ac:dyDescent="0.3">
      <c r="A2249" s="101">
        <v>2023</v>
      </c>
      <c r="B2249" s="90">
        <v>9</v>
      </c>
      <c r="C2249" s="90" t="s">
        <v>730</v>
      </c>
      <c r="D2249" s="90" t="s">
        <v>719</v>
      </c>
      <c r="E2249" s="102" t="s">
        <v>11</v>
      </c>
      <c r="F2249" s="103" t="s">
        <v>29</v>
      </c>
      <c r="G2249" s="93">
        <v>6292.36</v>
      </c>
      <c r="H2249" s="93">
        <v>35935.300000000003</v>
      </c>
      <c r="I2249" s="93">
        <v>2397.5457928860201</v>
      </c>
      <c r="J2249" s="93">
        <v>94500.54</v>
      </c>
      <c r="K2249" s="93">
        <v>54096.92</v>
      </c>
      <c r="L2249" s="93">
        <v>84685.27</v>
      </c>
      <c r="M2249" s="93">
        <v>354391.76</v>
      </c>
      <c r="N2249" s="95">
        <v>0.02</v>
      </c>
      <c r="O2249" s="95">
        <v>0.13</v>
      </c>
      <c r="P2249" s="95">
        <v>0.28999999999999998</v>
      </c>
      <c r="Q2249" s="95">
        <v>0.35</v>
      </c>
      <c r="R2249" s="104">
        <v>0.2</v>
      </c>
    </row>
    <row r="2250" spans="1:18" ht="15" hidden="1" customHeight="1" x14ac:dyDescent="0.3">
      <c r="A2250" s="101">
        <v>2023</v>
      </c>
      <c r="B2250" s="90">
        <v>9</v>
      </c>
      <c r="C2250" s="90" t="s">
        <v>730</v>
      </c>
      <c r="D2250" s="90" t="s">
        <v>719</v>
      </c>
      <c r="E2250" s="102" t="s">
        <v>11</v>
      </c>
      <c r="F2250" s="103" t="s">
        <v>30</v>
      </c>
      <c r="G2250" s="93">
        <v>463.83</v>
      </c>
      <c r="H2250" s="93">
        <v>2983.77</v>
      </c>
      <c r="I2250" s="93">
        <v>2397.5457928860201</v>
      </c>
      <c r="J2250" s="93">
        <v>2555.91</v>
      </c>
      <c r="K2250" s="93">
        <v>548.13</v>
      </c>
      <c r="L2250" s="93">
        <v>217749.09</v>
      </c>
      <c r="M2250" s="93">
        <v>230086.24</v>
      </c>
      <c r="N2250" s="95">
        <v>0.04</v>
      </c>
      <c r="O2250" s="95">
        <v>0.24</v>
      </c>
      <c r="P2250" s="95">
        <v>0.47</v>
      </c>
      <c r="Q2250" s="95">
        <v>0.21</v>
      </c>
      <c r="R2250" s="104">
        <v>0.04</v>
      </c>
    </row>
    <row r="2251" spans="1:18" ht="15" hidden="1" customHeight="1" x14ac:dyDescent="0.3">
      <c r="A2251" s="101">
        <v>2023</v>
      </c>
      <c r="B2251" s="90">
        <v>9</v>
      </c>
      <c r="C2251" s="90" t="s">
        <v>730</v>
      </c>
      <c r="D2251" s="90" t="s">
        <v>719</v>
      </c>
      <c r="E2251" s="102" t="s">
        <v>11</v>
      </c>
      <c r="F2251" s="103" t="s">
        <v>31</v>
      </c>
      <c r="G2251" s="93">
        <v>1217.1400000000001</v>
      </c>
      <c r="H2251" s="93">
        <v>61345.67</v>
      </c>
      <c r="I2251" s="93">
        <v>2397.5457928860201</v>
      </c>
      <c r="J2251" s="93">
        <v>34129.47</v>
      </c>
      <c r="K2251" s="93">
        <v>8866.98</v>
      </c>
      <c r="L2251" s="93">
        <v>50251.51</v>
      </c>
      <c r="M2251" s="93">
        <v>251948.86</v>
      </c>
      <c r="N2251" s="95">
        <v>0.01</v>
      </c>
      <c r="O2251" s="95">
        <v>0.3</v>
      </c>
      <c r="P2251" s="95">
        <v>0.48</v>
      </c>
      <c r="Q2251" s="95">
        <v>0.17</v>
      </c>
      <c r="R2251" s="104">
        <v>0.04</v>
      </c>
    </row>
    <row r="2252" spans="1:18" ht="15" hidden="1" customHeight="1" x14ac:dyDescent="0.3">
      <c r="A2252" s="101">
        <v>2023</v>
      </c>
      <c r="B2252" s="90">
        <v>9</v>
      </c>
      <c r="C2252" s="90" t="s">
        <v>730</v>
      </c>
      <c r="D2252" s="90" t="s">
        <v>719</v>
      </c>
      <c r="E2252" s="102" t="s">
        <v>11</v>
      </c>
      <c r="F2252" s="103" t="s">
        <v>32</v>
      </c>
      <c r="G2252" s="93">
        <v>27540.68</v>
      </c>
      <c r="H2252" s="93">
        <v>136464.35</v>
      </c>
      <c r="I2252" s="93">
        <v>2397.5457928860201</v>
      </c>
      <c r="J2252" s="93">
        <v>135333.06</v>
      </c>
      <c r="K2252" s="93">
        <v>79388</v>
      </c>
      <c r="L2252" s="93">
        <v>40276.019999999997</v>
      </c>
      <c r="M2252" s="93">
        <v>609521.87</v>
      </c>
      <c r="N2252" s="95">
        <v>0.05</v>
      </c>
      <c r="O2252" s="95">
        <v>0.24</v>
      </c>
      <c r="P2252" s="95">
        <v>0.33</v>
      </c>
      <c r="Q2252" s="95">
        <v>0.24</v>
      </c>
      <c r="R2252" s="104">
        <v>0.14000000000000001</v>
      </c>
    </row>
    <row r="2253" spans="1:18" ht="15" hidden="1" customHeight="1" x14ac:dyDescent="0.3">
      <c r="A2253" s="101">
        <v>2023</v>
      </c>
      <c r="B2253" s="90">
        <v>9</v>
      </c>
      <c r="C2253" s="90" t="s">
        <v>730</v>
      </c>
      <c r="D2253" s="90" t="s">
        <v>719</v>
      </c>
      <c r="E2253" s="102" t="s">
        <v>11</v>
      </c>
      <c r="F2253" s="103" t="s">
        <v>33</v>
      </c>
      <c r="G2253" s="93">
        <v>22179.06</v>
      </c>
      <c r="H2253" s="93">
        <v>174080.44</v>
      </c>
      <c r="I2253" s="93">
        <v>2397.5457928860201</v>
      </c>
      <c r="J2253" s="93">
        <v>472481.55</v>
      </c>
      <c r="K2253" s="93">
        <v>97222.89</v>
      </c>
      <c r="L2253" s="93">
        <v>54513.86</v>
      </c>
      <c r="M2253" s="93">
        <v>1352055.51</v>
      </c>
      <c r="N2253" s="95">
        <v>0.02</v>
      </c>
      <c r="O2253" s="95">
        <v>0.13</v>
      </c>
      <c r="P2253" s="95">
        <v>0.41</v>
      </c>
      <c r="Q2253" s="95">
        <v>0.36</v>
      </c>
      <c r="R2253" s="104">
        <v>7.0000000000000007E-2</v>
      </c>
    </row>
    <row r="2254" spans="1:18" ht="15" hidden="1" customHeight="1" x14ac:dyDescent="0.3">
      <c r="A2254" s="101">
        <v>2023</v>
      </c>
      <c r="B2254" s="90">
        <v>9</v>
      </c>
      <c r="C2254" s="90" t="s">
        <v>730</v>
      </c>
      <c r="D2254" s="90" t="s">
        <v>719</v>
      </c>
      <c r="E2254" s="102" t="s">
        <v>11</v>
      </c>
      <c r="F2254" s="103" t="s">
        <v>34</v>
      </c>
      <c r="G2254" s="93">
        <v>23937.49</v>
      </c>
      <c r="H2254" s="93">
        <v>155524.88</v>
      </c>
      <c r="I2254" s="93">
        <v>2397.5457928860201</v>
      </c>
      <c r="J2254" s="93">
        <v>146598.67000000001</v>
      </c>
      <c r="K2254" s="93">
        <v>10742.29</v>
      </c>
      <c r="L2254" s="93">
        <v>55114.57</v>
      </c>
      <c r="M2254" s="93">
        <v>713628.98</v>
      </c>
      <c r="N2254" s="95">
        <v>0.04</v>
      </c>
      <c r="O2254" s="95">
        <v>0.24</v>
      </c>
      <c r="P2254" s="95">
        <v>0.49</v>
      </c>
      <c r="Q2254" s="95">
        <v>0.22</v>
      </c>
      <c r="R2254" s="104">
        <v>0.02</v>
      </c>
    </row>
    <row r="2255" spans="1:18" ht="15" hidden="1" customHeight="1" x14ac:dyDescent="0.3">
      <c r="A2255" s="101">
        <v>2023</v>
      </c>
      <c r="B2255" s="90">
        <v>9</v>
      </c>
      <c r="C2255" s="90" t="s">
        <v>730</v>
      </c>
      <c r="D2255" s="90" t="s">
        <v>719</v>
      </c>
      <c r="E2255" s="102" t="s">
        <v>11</v>
      </c>
      <c r="F2255" s="103" t="s">
        <v>35</v>
      </c>
      <c r="G2255" s="93">
        <v>41652.589999999997</v>
      </c>
      <c r="H2255" s="93">
        <v>169442.95</v>
      </c>
      <c r="I2255" s="93">
        <v>2397.5457928860201</v>
      </c>
      <c r="J2255" s="93">
        <v>46352.81</v>
      </c>
      <c r="K2255" s="93">
        <v>4225.83</v>
      </c>
      <c r="L2255" s="93">
        <v>238753.26</v>
      </c>
      <c r="M2255" s="93">
        <v>605861.19999999995</v>
      </c>
      <c r="N2255" s="95">
        <v>0.11</v>
      </c>
      <c r="O2255" s="95">
        <v>0.46</v>
      </c>
      <c r="P2255" s="95">
        <v>0.28999999999999998</v>
      </c>
      <c r="Q2255" s="95">
        <v>0.13</v>
      </c>
      <c r="R2255" s="104">
        <v>0.01</v>
      </c>
    </row>
    <row r="2256" spans="1:18" ht="15" hidden="1" customHeight="1" x14ac:dyDescent="0.3">
      <c r="A2256" s="101">
        <v>2023</v>
      </c>
      <c r="B2256" s="90">
        <v>9</v>
      </c>
      <c r="C2256" s="90" t="s">
        <v>730</v>
      </c>
      <c r="D2256" s="90" t="s">
        <v>719</v>
      </c>
      <c r="E2256" s="102" t="s">
        <v>11</v>
      </c>
      <c r="F2256" s="103" t="s">
        <v>36</v>
      </c>
      <c r="G2256" s="93">
        <v>2730.62</v>
      </c>
      <c r="H2256" s="93">
        <v>36833.89</v>
      </c>
      <c r="I2256" s="93">
        <v>2397.5457928860201</v>
      </c>
      <c r="J2256" s="93">
        <v>64191.72</v>
      </c>
      <c r="K2256" s="93">
        <v>34057.980000000003</v>
      </c>
      <c r="L2256" s="93">
        <v>32862.89</v>
      </c>
      <c r="M2256" s="93">
        <v>258886.74</v>
      </c>
      <c r="N2256" s="95">
        <v>0.01</v>
      </c>
      <c r="O2256" s="95">
        <v>0.16</v>
      </c>
      <c r="P2256" s="95">
        <v>0.39</v>
      </c>
      <c r="Q2256" s="95">
        <v>0.28000000000000003</v>
      </c>
      <c r="R2256" s="104">
        <v>0.15</v>
      </c>
    </row>
    <row r="2257" spans="1:18" ht="15" hidden="1" customHeight="1" x14ac:dyDescent="0.3">
      <c r="A2257" s="101">
        <v>2023</v>
      </c>
      <c r="B2257" s="90">
        <v>9</v>
      </c>
      <c r="C2257" s="90" t="s">
        <v>730</v>
      </c>
      <c r="D2257" s="90" t="s">
        <v>719</v>
      </c>
      <c r="E2257" s="102" t="s">
        <v>11</v>
      </c>
      <c r="F2257" s="103" t="s">
        <v>37</v>
      </c>
      <c r="G2257" s="93">
        <v>8532.1</v>
      </c>
      <c r="H2257" s="93">
        <v>72641.39</v>
      </c>
      <c r="I2257" s="93">
        <v>2397.5457928860201</v>
      </c>
      <c r="J2257" s="93">
        <v>113754.51</v>
      </c>
      <c r="K2257" s="93">
        <v>30148.79</v>
      </c>
      <c r="L2257" s="93">
        <v>151449.1</v>
      </c>
      <c r="M2257" s="93">
        <v>524074.32</v>
      </c>
      <c r="N2257" s="95">
        <v>0.02</v>
      </c>
      <c r="O2257" s="95">
        <v>0.19</v>
      </c>
      <c r="P2257" s="95">
        <v>0.4</v>
      </c>
      <c r="Q2257" s="95">
        <v>0.31</v>
      </c>
      <c r="R2257" s="104">
        <v>0.08</v>
      </c>
    </row>
    <row r="2258" spans="1:18" ht="15" hidden="1" customHeight="1" x14ac:dyDescent="0.3">
      <c r="A2258" s="101">
        <v>2023</v>
      </c>
      <c r="B2258" s="90">
        <v>9</v>
      </c>
      <c r="C2258" s="90" t="s">
        <v>730</v>
      </c>
      <c r="D2258" s="90" t="s">
        <v>719</v>
      </c>
      <c r="E2258" s="102" t="s">
        <v>11</v>
      </c>
      <c r="F2258" s="103" t="s">
        <v>38</v>
      </c>
      <c r="G2258" s="93">
        <v>56165.1</v>
      </c>
      <c r="H2258" s="93">
        <v>169303.52</v>
      </c>
      <c r="I2258" s="93">
        <v>2397.5457928860201</v>
      </c>
      <c r="J2258" s="93">
        <v>173509.27</v>
      </c>
      <c r="K2258" s="93">
        <v>22058.36</v>
      </c>
      <c r="L2258" s="93">
        <v>204064.71</v>
      </c>
      <c r="M2258" s="93">
        <v>927959.02</v>
      </c>
      <c r="N2258" s="95">
        <v>0.08</v>
      </c>
      <c r="O2258" s="95">
        <v>0.23</v>
      </c>
      <c r="P2258" s="95">
        <v>0.42</v>
      </c>
      <c r="Q2258" s="95">
        <v>0.24</v>
      </c>
      <c r="R2258" s="104">
        <v>0.03</v>
      </c>
    </row>
    <row r="2259" spans="1:18" ht="15" hidden="1" customHeight="1" x14ac:dyDescent="0.3">
      <c r="A2259" s="101">
        <v>2023</v>
      </c>
      <c r="B2259" s="90">
        <v>9</v>
      </c>
      <c r="C2259" s="90" t="s">
        <v>730</v>
      </c>
      <c r="D2259" s="90" t="s">
        <v>719</v>
      </c>
      <c r="E2259" s="102" t="s">
        <v>11</v>
      </c>
      <c r="F2259" s="103" t="s">
        <v>39</v>
      </c>
      <c r="G2259" s="93">
        <v>64284.62</v>
      </c>
      <c r="H2259" s="93">
        <v>93333.91</v>
      </c>
      <c r="I2259" s="93">
        <v>2397.5457928860201</v>
      </c>
      <c r="J2259" s="93">
        <v>54258.47</v>
      </c>
      <c r="K2259" s="93">
        <v>22261.52</v>
      </c>
      <c r="L2259" s="93">
        <v>29309.14</v>
      </c>
      <c r="M2259" s="93">
        <v>331195.63</v>
      </c>
      <c r="N2259" s="95">
        <v>0.21</v>
      </c>
      <c r="O2259" s="95">
        <v>0.31</v>
      </c>
      <c r="P2259" s="95">
        <v>0.22</v>
      </c>
      <c r="Q2259" s="95">
        <v>0.18</v>
      </c>
      <c r="R2259" s="104">
        <v>7.0000000000000007E-2</v>
      </c>
    </row>
    <row r="2260" spans="1:18" ht="15" hidden="1" customHeight="1" x14ac:dyDescent="0.3">
      <c r="A2260" s="101">
        <v>2023</v>
      </c>
      <c r="B2260" s="90">
        <v>9</v>
      </c>
      <c r="C2260" s="90" t="s">
        <v>730</v>
      </c>
      <c r="D2260" s="90" t="s">
        <v>719</v>
      </c>
      <c r="E2260" s="102" t="s">
        <v>11</v>
      </c>
      <c r="F2260" s="103" t="s">
        <v>40</v>
      </c>
      <c r="G2260" s="93">
        <v>68710.080000000002</v>
      </c>
      <c r="H2260" s="93">
        <v>193612.21</v>
      </c>
      <c r="I2260" s="93">
        <v>2397.5457928860201</v>
      </c>
      <c r="J2260" s="93">
        <v>4312.92</v>
      </c>
      <c r="K2260" s="93">
        <v>180.58</v>
      </c>
      <c r="L2260" s="93">
        <v>6984.77</v>
      </c>
      <c r="M2260" s="93">
        <v>326305.03999999998</v>
      </c>
      <c r="N2260" s="95">
        <v>0.22</v>
      </c>
      <c r="O2260" s="95">
        <v>0.61</v>
      </c>
      <c r="P2260" s="95">
        <v>0.16</v>
      </c>
      <c r="Q2260" s="95">
        <v>0.01</v>
      </c>
      <c r="R2260" s="104">
        <v>0</v>
      </c>
    </row>
    <row r="2261" spans="1:18" ht="15" hidden="1" customHeight="1" x14ac:dyDescent="0.3">
      <c r="A2261" s="101">
        <v>2023</v>
      </c>
      <c r="B2261" s="90">
        <v>9</v>
      </c>
      <c r="C2261" s="90" t="s">
        <v>730</v>
      </c>
      <c r="D2261" s="90" t="s">
        <v>719</v>
      </c>
      <c r="E2261" s="102" t="s">
        <v>11</v>
      </c>
      <c r="F2261" s="103" t="s">
        <v>41</v>
      </c>
      <c r="G2261" s="93">
        <v>3077.12</v>
      </c>
      <c r="H2261" s="93">
        <v>6051.91</v>
      </c>
      <c r="I2261" s="93">
        <v>2397.5457928860201</v>
      </c>
      <c r="J2261" s="93">
        <v>2584.02</v>
      </c>
      <c r="K2261" s="93">
        <v>217.55</v>
      </c>
      <c r="L2261" s="93">
        <v>2869.14</v>
      </c>
      <c r="M2261" s="93">
        <v>18714.330000000002</v>
      </c>
      <c r="N2261" s="95">
        <v>0.19</v>
      </c>
      <c r="O2261" s="95">
        <v>0.38</v>
      </c>
      <c r="P2261" s="95">
        <v>0.25</v>
      </c>
      <c r="Q2261" s="95">
        <v>0.16</v>
      </c>
      <c r="R2261" s="104">
        <v>0.01</v>
      </c>
    </row>
    <row r="2262" spans="1:18" ht="15" hidden="1" customHeight="1" x14ac:dyDescent="0.3">
      <c r="A2262" s="101">
        <v>2023</v>
      </c>
      <c r="B2262" s="90">
        <v>9</v>
      </c>
      <c r="C2262" s="90" t="s">
        <v>730</v>
      </c>
      <c r="D2262" s="90" t="s">
        <v>719</v>
      </c>
      <c r="E2262" s="102" t="s">
        <v>11</v>
      </c>
      <c r="F2262" s="103" t="s">
        <v>42</v>
      </c>
      <c r="G2262" s="93">
        <v>80944.27</v>
      </c>
      <c r="H2262" s="93">
        <v>262268.59000000003</v>
      </c>
      <c r="I2262" s="93">
        <v>2397.5457928860201</v>
      </c>
      <c r="J2262" s="93">
        <v>27000.93</v>
      </c>
      <c r="K2262" s="93">
        <v>1498.58</v>
      </c>
      <c r="L2262" s="93">
        <v>140229.32</v>
      </c>
      <c r="M2262" s="93">
        <v>620824.21</v>
      </c>
      <c r="N2262" s="95">
        <v>0.17</v>
      </c>
      <c r="O2262" s="95">
        <v>0.55000000000000004</v>
      </c>
      <c r="P2262" s="95">
        <v>0.23</v>
      </c>
      <c r="Q2262" s="95">
        <v>0.06</v>
      </c>
      <c r="R2262" s="104">
        <v>0</v>
      </c>
    </row>
    <row r="2263" spans="1:18" ht="15" hidden="1" customHeight="1" x14ac:dyDescent="0.3">
      <c r="A2263" s="101">
        <v>2023</v>
      </c>
      <c r="B2263" s="90">
        <v>9</v>
      </c>
      <c r="C2263" s="90" t="s">
        <v>730</v>
      </c>
      <c r="D2263" s="90" t="s">
        <v>719</v>
      </c>
      <c r="E2263" s="102" t="s">
        <v>11</v>
      </c>
      <c r="F2263" s="103" t="s">
        <v>43</v>
      </c>
      <c r="G2263" s="93">
        <v>3588.08</v>
      </c>
      <c r="H2263" s="93">
        <v>30351.17</v>
      </c>
      <c r="I2263" s="93">
        <v>2397.5457928860201</v>
      </c>
      <c r="J2263" s="93">
        <v>9828.43</v>
      </c>
      <c r="K2263" s="93">
        <v>2054.9699999999998</v>
      </c>
      <c r="L2263" s="93">
        <v>120001.93</v>
      </c>
      <c r="M2263" s="93">
        <v>185575.52</v>
      </c>
      <c r="N2263" s="95">
        <v>0.05</v>
      </c>
      <c r="O2263" s="95">
        <v>0.46</v>
      </c>
      <c r="P2263" s="95">
        <v>0.3</v>
      </c>
      <c r="Q2263" s="95">
        <v>0.15</v>
      </c>
      <c r="R2263" s="104">
        <v>0.03</v>
      </c>
    </row>
    <row r="2264" spans="1:18" ht="15" hidden="1" customHeight="1" x14ac:dyDescent="0.3">
      <c r="A2264" s="101">
        <v>2023</v>
      </c>
      <c r="B2264" s="90">
        <v>9</v>
      </c>
      <c r="C2264" s="90" t="s">
        <v>730</v>
      </c>
      <c r="D2264" s="90" t="s">
        <v>719</v>
      </c>
      <c r="E2264" s="102" t="s">
        <v>11</v>
      </c>
      <c r="F2264" s="103" t="s">
        <v>58</v>
      </c>
      <c r="G2264" s="93">
        <v>24864.51</v>
      </c>
      <c r="H2264" s="93">
        <v>185568.11</v>
      </c>
      <c r="I2264" s="93">
        <v>2397.5457928860201</v>
      </c>
      <c r="J2264" s="93">
        <v>23097.7</v>
      </c>
      <c r="K2264" s="93">
        <v>918.09</v>
      </c>
      <c r="L2264" s="93">
        <v>11462.35</v>
      </c>
      <c r="M2264" s="93">
        <v>371477.13</v>
      </c>
      <c r="N2264" s="95">
        <v>7.0000000000000007E-2</v>
      </c>
      <c r="O2264" s="95">
        <v>0.52</v>
      </c>
      <c r="P2264" s="95">
        <v>0.35</v>
      </c>
      <c r="Q2264" s="95">
        <v>0.06</v>
      </c>
      <c r="R2264" s="104">
        <v>0</v>
      </c>
    </row>
    <row r="2265" spans="1:18" ht="15" hidden="1" customHeight="1" x14ac:dyDescent="0.3">
      <c r="A2265" s="101">
        <v>2023</v>
      </c>
      <c r="B2265" s="90">
        <v>9</v>
      </c>
      <c r="C2265" s="90" t="s">
        <v>730</v>
      </c>
      <c r="D2265" s="90" t="s">
        <v>719</v>
      </c>
      <c r="E2265" s="102" t="s">
        <v>11</v>
      </c>
      <c r="F2265" s="103" t="s">
        <v>44</v>
      </c>
      <c r="G2265" s="93">
        <v>3174.76</v>
      </c>
      <c r="H2265" s="93">
        <v>6375.19</v>
      </c>
      <c r="I2265" s="93">
        <v>2397.5457928860201</v>
      </c>
      <c r="J2265" s="93">
        <v>58546.62</v>
      </c>
      <c r="K2265" s="93">
        <v>80016.899999999994</v>
      </c>
      <c r="L2265" s="93">
        <v>41353.89</v>
      </c>
      <c r="M2265" s="93">
        <v>215729.36</v>
      </c>
      <c r="N2265" s="95">
        <v>0.02</v>
      </c>
      <c r="O2265" s="95">
        <v>0.04</v>
      </c>
      <c r="P2265" s="95">
        <v>0.15</v>
      </c>
      <c r="Q2265" s="95">
        <v>0.34</v>
      </c>
      <c r="R2265" s="104">
        <v>0.46</v>
      </c>
    </row>
    <row r="2266" spans="1:18" ht="15" hidden="1" customHeight="1" x14ac:dyDescent="0.3">
      <c r="A2266" s="101">
        <v>2023</v>
      </c>
      <c r="B2266" s="90">
        <v>9</v>
      </c>
      <c r="C2266" s="90" t="s">
        <v>730</v>
      </c>
      <c r="D2266" s="90" t="s">
        <v>719</v>
      </c>
      <c r="E2266" s="102" t="s">
        <v>11</v>
      </c>
      <c r="F2266" s="103" t="s">
        <v>51</v>
      </c>
      <c r="G2266" s="93">
        <v>6255.84</v>
      </c>
      <c r="H2266" s="93">
        <v>29624.94</v>
      </c>
      <c r="I2266" s="93">
        <v>2397.5457928860201</v>
      </c>
      <c r="J2266" s="93">
        <v>68336.62</v>
      </c>
      <c r="K2266" s="93">
        <v>14774.52</v>
      </c>
      <c r="L2266" s="93">
        <v>922.61</v>
      </c>
      <c r="M2266" s="93">
        <v>211099.48</v>
      </c>
      <c r="N2266" s="95">
        <v>0.03</v>
      </c>
      <c r="O2266" s="95">
        <v>0.14000000000000001</v>
      </c>
      <c r="P2266" s="95">
        <v>0.43</v>
      </c>
      <c r="Q2266" s="95">
        <v>0.33</v>
      </c>
      <c r="R2266" s="104">
        <v>7.0000000000000007E-2</v>
      </c>
    </row>
    <row r="2267" spans="1:18" ht="15" hidden="1" customHeight="1" x14ac:dyDescent="0.3">
      <c r="A2267" s="101">
        <v>2023</v>
      </c>
      <c r="B2267" s="90">
        <v>9</v>
      </c>
      <c r="C2267" s="90" t="s">
        <v>730</v>
      </c>
      <c r="D2267" s="90" t="s">
        <v>719</v>
      </c>
      <c r="E2267" s="102" t="s">
        <v>11</v>
      </c>
      <c r="F2267" s="103" t="s">
        <v>45</v>
      </c>
      <c r="G2267" s="93">
        <v>3413.46</v>
      </c>
      <c r="H2267" s="93">
        <v>16272.97</v>
      </c>
      <c r="I2267" s="93">
        <v>2397.5457928860201</v>
      </c>
      <c r="J2267" s="93">
        <v>27434.19</v>
      </c>
      <c r="K2267" s="93">
        <v>10774.94</v>
      </c>
      <c r="L2267" s="93">
        <v>49225.88</v>
      </c>
      <c r="M2267" s="93">
        <v>134096.20000000001</v>
      </c>
      <c r="N2267" s="95">
        <v>0.04</v>
      </c>
      <c r="O2267" s="95">
        <v>0.19</v>
      </c>
      <c r="P2267" s="95">
        <v>0.32</v>
      </c>
      <c r="Q2267" s="95">
        <v>0.32</v>
      </c>
      <c r="R2267" s="104">
        <v>0.13</v>
      </c>
    </row>
    <row r="2268" spans="1:18" ht="15" hidden="1" customHeight="1" x14ac:dyDescent="0.3">
      <c r="A2268" s="101">
        <v>2023</v>
      </c>
      <c r="B2268" s="90">
        <v>9</v>
      </c>
      <c r="C2268" s="90" t="s">
        <v>730</v>
      </c>
      <c r="D2268" s="90" t="s">
        <v>719</v>
      </c>
      <c r="E2268" s="102" t="s">
        <v>11</v>
      </c>
      <c r="F2268" s="103" t="s">
        <v>721</v>
      </c>
      <c r="G2268" s="93">
        <v>66268.009999999995</v>
      </c>
      <c r="H2268" s="93">
        <v>161389.18</v>
      </c>
      <c r="I2268" s="93">
        <v>2397.5457928860201</v>
      </c>
      <c r="J2268" s="93">
        <v>13205.45</v>
      </c>
      <c r="K2268" s="93">
        <v>424.36</v>
      </c>
      <c r="L2268" s="93">
        <v>70.010000000000005</v>
      </c>
      <c r="M2268" s="93">
        <v>309330.63</v>
      </c>
      <c r="N2268" s="95">
        <v>0.21</v>
      </c>
      <c r="O2268" s="95">
        <v>0.52</v>
      </c>
      <c r="P2268" s="95">
        <v>0.22</v>
      </c>
      <c r="Q2268" s="95">
        <v>0.04</v>
      </c>
      <c r="R2268" s="104">
        <v>0</v>
      </c>
    </row>
    <row r="2269" spans="1:18" ht="15" hidden="1" customHeight="1" x14ac:dyDescent="0.3">
      <c r="A2269" s="101">
        <v>2023</v>
      </c>
      <c r="B2269" s="90">
        <v>9</v>
      </c>
      <c r="C2269" s="90" t="s">
        <v>730</v>
      </c>
      <c r="D2269" s="90" t="s">
        <v>719</v>
      </c>
      <c r="E2269" s="102" t="s">
        <v>11</v>
      </c>
      <c r="F2269" s="103" t="s">
        <v>46</v>
      </c>
      <c r="G2269" s="93">
        <v>29295.4</v>
      </c>
      <c r="H2269" s="93">
        <v>79250.14</v>
      </c>
      <c r="I2269" s="93">
        <v>2397.5457928860201</v>
      </c>
      <c r="J2269" s="93">
        <v>9016.41</v>
      </c>
      <c r="K2269" s="93">
        <v>4547.8900000000003</v>
      </c>
      <c r="L2269" s="93">
        <v>780.89</v>
      </c>
      <c r="M2269" s="93">
        <v>149074.81</v>
      </c>
      <c r="N2269" s="95">
        <v>0.2</v>
      </c>
      <c r="O2269" s="95">
        <v>0.53</v>
      </c>
      <c r="P2269" s="95">
        <v>0.18</v>
      </c>
      <c r="Q2269" s="95">
        <v>0.06</v>
      </c>
      <c r="R2269" s="104">
        <v>0.03</v>
      </c>
    </row>
    <row r="2270" spans="1:18" ht="15" hidden="1" customHeight="1" x14ac:dyDescent="0.3">
      <c r="A2270" s="101">
        <v>2023</v>
      </c>
      <c r="B2270" s="90">
        <v>9</v>
      </c>
      <c r="C2270" s="90" t="s">
        <v>730</v>
      </c>
      <c r="D2270" s="90" t="s">
        <v>719</v>
      </c>
      <c r="E2270" s="102" t="s">
        <v>11</v>
      </c>
      <c r="F2270" s="103" t="s">
        <v>47</v>
      </c>
      <c r="G2270" s="93">
        <v>56908.57</v>
      </c>
      <c r="H2270" s="93">
        <v>554592.03</v>
      </c>
      <c r="I2270" s="93">
        <v>2397.5457928860201</v>
      </c>
      <c r="J2270" s="93">
        <v>159807.25</v>
      </c>
      <c r="K2270" s="93">
        <v>24120.13</v>
      </c>
      <c r="L2270" s="93">
        <v>84155.44</v>
      </c>
      <c r="M2270" s="93">
        <v>1452683.21</v>
      </c>
      <c r="N2270" s="95">
        <v>0.04</v>
      </c>
      <c r="O2270" s="95">
        <v>0.41</v>
      </c>
      <c r="P2270" s="95">
        <v>0.42</v>
      </c>
      <c r="Q2270" s="95">
        <v>0.12</v>
      </c>
      <c r="R2270" s="104">
        <v>0.02</v>
      </c>
    </row>
    <row r="2271" spans="1:18" ht="15" hidden="1" customHeight="1" x14ac:dyDescent="0.3">
      <c r="A2271" s="101">
        <v>2023</v>
      </c>
      <c r="B2271" s="90">
        <v>9</v>
      </c>
      <c r="C2271" s="90" t="s">
        <v>730</v>
      </c>
      <c r="D2271" s="90" t="s">
        <v>719</v>
      </c>
      <c r="E2271" s="102" t="s">
        <v>11</v>
      </c>
      <c r="F2271" s="103" t="s">
        <v>48</v>
      </c>
      <c r="G2271" s="93">
        <v>778.92</v>
      </c>
      <c r="H2271" s="93">
        <v>4768.76</v>
      </c>
      <c r="I2271" s="93">
        <v>2397.5457928860201</v>
      </c>
      <c r="J2271" s="93">
        <v>36363.65</v>
      </c>
      <c r="K2271" s="93">
        <v>44704.59</v>
      </c>
      <c r="L2271" s="93">
        <v>8742.27</v>
      </c>
      <c r="M2271" s="93">
        <v>110314.47</v>
      </c>
      <c r="N2271" s="95">
        <v>0.01</v>
      </c>
      <c r="O2271" s="95">
        <v>0.05</v>
      </c>
      <c r="P2271" s="95">
        <v>0.15</v>
      </c>
      <c r="Q2271" s="95">
        <v>0.36</v>
      </c>
      <c r="R2271" s="104">
        <v>0.44</v>
      </c>
    </row>
    <row r="2272" spans="1:18" ht="15" hidden="1" customHeight="1" x14ac:dyDescent="0.3">
      <c r="A2272" s="105">
        <v>2023</v>
      </c>
      <c r="B2272" s="90">
        <v>9</v>
      </c>
      <c r="C2272" s="90" t="s">
        <v>730</v>
      </c>
      <c r="D2272" s="90" t="s">
        <v>722</v>
      </c>
      <c r="E2272" s="102" t="s">
        <v>11</v>
      </c>
      <c r="F2272" s="106" t="s">
        <v>12</v>
      </c>
      <c r="G2272" s="93">
        <v>38750.86</v>
      </c>
      <c r="H2272" s="93">
        <v>273596.21000000002</v>
      </c>
      <c r="I2272" s="93">
        <v>2397.5457928860201</v>
      </c>
      <c r="J2272" s="93">
        <v>2589.9899999999998</v>
      </c>
      <c r="K2272" s="93">
        <v>51.31</v>
      </c>
      <c r="L2272" s="93">
        <v>48974.400000000001</v>
      </c>
      <c r="M2272" s="93">
        <v>433311.44</v>
      </c>
      <c r="N2272" s="95">
        <v>0.1</v>
      </c>
      <c r="O2272" s="95">
        <v>0.71</v>
      </c>
      <c r="P2272" s="95">
        <v>0.18</v>
      </c>
      <c r="Q2272" s="95">
        <v>0.01</v>
      </c>
      <c r="R2272" s="95">
        <v>0</v>
      </c>
    </row>
    <row r="2273" spans="1:18" ht="15" hidden="1" customHeight="1" x14ac:dyDescent="0.3">
      <c r="A2273" s="105">
        <v>2023</v>
      </c>
      <c r="B2273" s="90">
        <v>9</v>
      </c>
      <c r="C2273" s="90" t="s">
        <v>730</v>
      </c>
      <c r="D2273" s="90" t="s">
        <v>722</v>
      </c>
      <c r="E2273" s="102" t="s">
        <v>11</v>
      </c>
      <c r="F2273" s="106" t="s">
        <v>26</v>
      </c>
      <c r="G2273" s="93">
        <v>88963.76</v>
      </c>
      <c r="H2273" s="93">
        <v>379560.36</v>
      </c>
      <c r="I2273" s="93">
        <v>2397.5457928860201</v>
      </c>
      <c r="J2273" s="93">
        <v>26342.21</v>
      </c>
      <c r="K2273" s="93">
        <v>1927.95</v>
      </c>
      <c r="L2273" s="93">
        <v>385395.48</v>
      </c>
      <c r="M2273" s="93">
        <v>1302393.77</v>
      </c>
      <c r="N2273" s="95">
        <v>0.1</v>
      </c>
      <c r="O2273" s="95">
        <v>0.41</v>
      </c>
      <c r="P2273" s="95">
        <v>0.46</v>
      </c>
      <c r="Q2273" s="95">
        <v>0.03</v>
      </c>
      <c r="R2273" s="95">
        <v>0</v>
      </c>
    </row>
    <row r="2274" spans="1:18" ht="15" hidden="1" customHeight="1" x14ac:dyDescent="0.3">
      <c r="A2274" s="105">
        <v>2023</v>
      </c>
      <c r="B2274" s="90">
        <v>9</v>
      </c>
      <c r="C2274" s="90" t="s">
        <v>730</v>
      </c>
      <c r="D2274" s="90" t="s">
        <v>722</v>
      </c>
      <c r="E2274" s="102" t="s">
        <v>11</v>
      </c>
      <c r="F2274" s="106" t="s">
        <v>27</v>
      </c>
      <c r="G2274" s="93">
        <v>45259.78</v>
      </c>
      <c r="H2274" s="93">
        <v>133518.6</v>
      </c>
      <c r="I2274" s="93">
        <v>2397.5457928860201</v>
      </c>
      <c r="J2274" s="93">
        <v>4726.41</v>
      </c>
      <c r="K2274" s="93">
        <v>427.22</v>
      </c>
      <c r="L2274" s="93">
        <v>1571.38</v>
      </c>
      <c r="M2274" s="93">
        <v>226689.38</v>
      </c>
      <c r="N2274" s="95">
        <v>0.2</v>
      </c>
      <c r="O2274" s="95">
        <v>0.59</v>
      </c>
      <c r="P2274" s="95">
        <v>0.18</v>
      </c>
      <c r="Q2274" s="95">
        <v>0.02</v>
      </c>
      <c r="R2274" s="95">
        <v>0</v>
      </c>
    </row>
    <row r="2275" spans="1:18" ht="15" hidden="1" customHeight="1" x14ac:dyDescent="0.3">
      <c r="A2275" s="105">
        <v>2023</v>
      </c>
      <c r="B2275" s="90">
        <v>9</v>
      </c>
      <c r="C2275" s="90" t="s">
        <v>730</v>
      </c>
      <c r="D2275" s="90" t="s">
        <v>722</v>
      </c>
      <c r="E2275" s="102" t="s">
        <v>11</v>
      </c>
      <c r="F2275" s="106" t="s">
        <v>28</v>
      </c>
      <c r="G2275" s="93">
        <v>27463.81</v>
      </c>
      <c r="H2275" s="93">
        <v>253659.67</v>
      </c>
      <c r="I2275" s="93">
        <v>2397.5457928860201</v>
      </c>
      <c r="J2275" s="93">
        <v>4395.1899999999996</v>
      </c>
      <c r="K2275" s="93">
        <v>122.1</v>
      </c>
      <c r="L2275" s="93">
        <v>3252.02</v>
      </c>
      <c r="M2275" s="93">
        <v>373104.4</v>
      </c>
      <c r="N2275" s="95">
        <v>7.0000000000000007E-2</v>
      </c>
      <c r="O2275" s="95">
        <v>0.69</v>
      </c>
      <c r="P2275" s="95">
        <v>0.23</v>
      </c>
      <c r="Q2275" s="95">
        <v>0.01</v>
      </c>
      <c r="R2275" s="95">
        <v>0</v>
      </c>
    </row>
    <row r="2276" spans="1:18" ht="15" customHeight="1" x14ac:dyDescent="0.3">
      <c r="A2276" s="105">
        <v>2023</v>
      </c>
      <c r="B2276" s="90">
        <v>9</v>
      </c>
      <c r="C2276" s="90" t="s">
        <v>730</v>
      </c>
      <c r="D2276" s="90" t="s">
        <v>722</v>
      </c>
      <c r="E2276" s="102" t="s">
        <v>11</v>
      </c>
      <c r="F2276" s="106" t="s">
        <v>29</v>
      </c>
      <c r="G2276" s="93">
        <v>9547.26</v>
      </c>
      <c r="H2276" s="93">
        <v>65653.3</v>
      </c>
      <c r="I2276" s="93">
        <v>2397.5457928860201</v>
      </c>
      <c r="J2276" s="93">
        <v>71282</v>
      </c>
      <c r="K2276" s="93">
        <v>16858.48</v>
      </c>
      <c r="L2276" s="93">
        <v>73764.929999999993</v>
      </c>
      <c r="M2276" s="93">
        <v>354391.76</v>
      </c>
      <c r="N2276" s="95">
        <v>0.03</v>
      </c>
      <c r="O2276" s="95">
        <v>0.23</v>
      </c>
      <c r="P2276" s="95">
        <v>0.42</v>
      </c>
      <c r="Q2276" s="95">
        <v>0.25</v>
      </c>
      <c r="R2276" s="95">
        <v>0.06</v>
      </c>
    </row>
    <row r="2277" spans="1:18" ht="15" hidden="1" customHeight="1" x14ac:dyDescent="0.3">
      <c r="A2277" s="105">
        <v>2023</v>
      </c>
      <c r="B2277" s="90">
        <v>9</v>
      </c>
      <c r="C2277" s="90" t="s">
        <v>730</v>
      </c>
      <c r="D2277" s="90" t="s">
        <v>722</v>
      </c>
      <c r="E2277" s="102" t="s">
        <v>11</v>
      </c>
      <c r="F2277" s="106" t="s">
        <v>30</v>
      </c>
      <c r="G2277" s="93">
        <v>896.86</v>
      </c>
      <c r="H2277" s="93">
        <v>7738.53</v>
      </c>
      <c r="I2277" s="93">
        <v>2397.5457928860201</v>
      </c>
      <c r="J2277" s="93">
        <v>1392.96</v>
      </c>
      <c r="K2277" s="93">
        <v>376.08</v>
      </c>
      <c r="L2277" s="93">
        <v>215183.64</v>
      </c>
      <c r="M2277" s="93">
        <v>230086.24</v>
      </c>
      <c r="N2277" s="95">
        <v>0.06</v>
      </c>
      <c r="O2277" s="95">
        <v>0.52</v>
      </c>
      <c r="P2277" s="95">
        <v>0.3</v>
      </c>
      <c r="Q2277" s="95">
        <v>0.09</v>
      </c>
      <c r="R2277" s="95">
        <v>0.03</v>
      </c>
    </row>
    <row r="2278" spans="1:18" ht="15" hidden="1" customHeight="1" x14ac:dyDescent="0.3">
      <c r="A2278" s="105">
        <v>2023</v>
      </c>
      <c r="B2278" s="90">
        <v>9</v>
      </c>
      <c r="C2278" s="90" t="s">
        <v>730</v>
      </c>
      <c r="D2278" s="90" t="s">
        <v>722</v>
      </c>
      <c r="E2278" s="102" t="s">
        <v>11</v>
      </c>
      <c r="F2278" s="106" t="s">
        <v>31</v>
      </c>
      <c r="G2278" s="93">
        <v>5689.18</v>
      </c>
      <c r="H2278" s="93">
        <v>90285.19</v>
      </c>
      <c r="I2278" s="93">
        <v>2397.5457928860201</v>
      </c>
      <c r="J2278" s="93">
        <v>24799.9</v>
      </c>
      <c r="K2278" s="93">
        <v>5540.74</v>
      </c>
      <c r="L2278" s="93">
        <v>48308.68</v>
      </c>
      <c r="M2278" s="93">
        <v>251948.86</v>
      </c>
      <c r="N2278" s="95">
        <v>0.03</v>
      </c>
      <c r="O2278" s="95">
        <v>0.44</v>
      </c>
      <c r="P2278" s="95">
        <v>0.38</v>
      </c>
      <c r="Q2278" s="95">
        <v>0.12</v>
      </c>
      <c r="R2278" s="95">
        <v>0.03</v>
      </c>
    </row>
    <row r="2279" spans="1:18" ht="15" hidden="1" customHeight="1" x14ac:dyDescent="0.3">
      <c r="A2279" s="105">
        <v>2023</v>
      </c>
      <c r="B2279" s="90">
        <v>9</v>
      </c>
      <c r="C2279" s="90" t="s">
        <v>730</v>
      </c>
      <c r="D2279" s="90" t="s">
        <v>722</v>
      </c>
      <c r="E2279" s="102" t="s">
        <v>11</v>
      </c>
      <c r="F2279" s="106" t="s">
        <v>32</v>
      </c>
      <c r="G2279" s="93">
        <v>18187.5</v>
      </c>
      <c r="H2279" s="93">
        <v>210906.92</v>
      </c>
      <c r="I2279" s="93">
        <v>2397.5457928860201</v>
      </c>
      <c r="J2279" s="93">
        <v>113078.72</v>
      </c>
      <c r="K2279" s="93">
        <v>19529.259999999998</v>
      </c>
      <c r="L2279" s="93">
        <v>27755.62</v>
      </c>
      <c r="M2279" s="93">
        <v>609521.87</v>
      </c>
      <c r="N2279" s="95">
        <v>0.03</v>
      </c>
      <c r="O2279" s="95">
        <v>0.36</v>
      </c>
      <c r="P2279" s="95">
        <v>0.38</v>
      </c>
      <c r="Q2279" s="95">
        <v>0.19</v>
      </c>
      <c r="R2279" s="95">
        <v>0.03</v>
      </c>
    </row>
    <row r="2280" spans="1:18" ht="15" hidden="1" customHeight="1" x14ac:dyDescent="0.3">
      <c r="A2280" s="105">
        <v>2023</v>
      </c>
      <c r="B2280" s="90">
        <v>9</v>
      </c>
      <c r="C2280" s="90" t="s">
        <v>730</v>
      </c>
      <c r="D2280" s="90" t="s">
        <v>722</v>
      </c>
      <c r="E2280" s="102" t="s">
        <v>11</v>
      </c>
      <c r="F2280" s="106" t="s">
        <v>33</v>
      </c>
      <c r="G2280" s="93">
        <v>22328.44</v>
      </c>
      <c r="H2280" s="93">
        <v>294321.42</v>
      </c>
      <c r="I2280" s="93">
        <v>2397.5457928860201</v>
      </c>
      <c r="J2280" s="93">
        <v>129892.25</v>
      </c>
      <c r="K2280" s="93">
        <v>7852.89</v>
      </c>
      <c r="L2280" s="93">
        <v>234586.06</v>
      </c>
      <c r="M2280" s="93">
        <v>1352055.51</v>
      </c>
      <c r="N2280" s="95">
        <v>0.02</v>
      </c>
      <c r="O2280" s="95">
        <v>0.26</v>
      </c>
      <c r="P2280" s="95">
        <v>0.59</v>
      </c>
      <c r="Q2280" s="95">
        <v>0.12</v>
      </c>
      <c r="R2280" s="95">
        <v>0.01</v>
      </c>
    </row>
    <row r="2281" spans="1:18" ht="15" hidden="1" customHeight="1" x14ac:dyDescent="0.3">
      <c r="A2281" s="105">
        <v>2023</v>
      </c>
      <c r="B2281" s="90">
        <v>9</v>
      </c>
      <c r="C2281" s="90" t="s">
        <v>730</v>
      </c>
      <c r="D2281" s="90" t="s">
        <v>722</v>
      </c>
      <c r="E2281" s="102" t="s">
        <v>11</v>
      </c>
      <c r="F2281" s="106" t="s">
        <v>34</v>
      </c>
      <c r="G2281" s="93">
        <v>32053.18</v>
      </c>
      <c r="H2281" s="93">
        <v>248487.26</v>
      </c>
      <c r="I2281" s="93">
        <v>2397.5457928860201</v>
      </c>
      <c r="J2281" s="93">
        <v>62359.15</v>
      </c>
      <c r="K2281" s="93">
        <v>2845.27</v>
      </c>
      <c r="L2281" s="93">
        <v>48877.83</v>
      </c>
      <c r="M2281" s="93">
        <v>713628.98</v>
      </c>
      <c r="N2281" s="95">
        <v>0.05</v>
      </c>
      <c r="O2281" s="95">
        <v>0.37</v>
      </c>
      <c r="P2281" s="95">
        <v>0.48</v>
      </c>
      <c r="Q2281" s="95">
        <v>0.09</v>
      </c>
      <c r="R2281" s="95">
        <v>0</v>
      </c>
    </row>
    <row r="2282" spans="1:18" ht="15" hidden="1" customHeight="1" x14ac:dyDescent="0.3">
      <c r="A2282" s="105">
        <v>2023</v>
      </c>
      <c r="B2282" s="90">
        <v>9</v>
      </c>
      <c r="C2282" s="90" t="s">
        <v>730</v>
      </c>
      <c r="D2282" s="90" t="s">
        <v>722</v>
      </c>
      <c r="E2282" s="102" t="s">
        <v>11</v>
      </c>
      <c r="F2282" s="106" t="s">
        <v>35</v>
      </c>
      <c r="G2282" s="93">
        <v>51890.97</v>
      </c>
      <c r="H2282" s="93">
        <v>240116.33</v>
      </c>
      <c r="I2282" s="93">
        <v>2397.5457928860201</v>
      </c>
      <c r="J2282" s="93">
        <v>6363.51</v>
      </c>
      <c r="K2282" s="93">
        <v>126.89</v>
      </c>
      <c r="L2282" s="93">
        <v>232444.84</v>
      </c>
      <c r="M2282" s="93">
        <v>605861.19999999995</v>
      </c>
      <c r="N2282" s="95">
        <v>0.14000000000000001</v>
      </c>
      <c r="O2282" s="95">
        <v>0.64</v>
      </c>
      <c r="P2282" s="95">
        <v>0.2</v>
      </c>
      <c r="Q2282" s="95">
        <v>0.02</v>
      </c>
      <c r="R2282" s="95">
        <v>0</v>
      </c>
    </row>
    <row r="2283" spans="1:18" ht="15" hidden="1" customHeight="1" x14ac:dyDescent="0.3">
      <c r="A2283" s="105">
        <v>2023</v>
      </c>
      <c r="B2283" s="90">
        <v>9</v>
      </c>
      <c r="C2283" s="90" t="s">
        <v>730</v>
      </c>
      <c r="D2283" s="90" t="s">
        <v>722</v>
      </c>
      <c r="E2283" s="102" t="s">
        <v>11</v>
      </c>
      <c r="F2283" s="106" t="s">
        <v>36</v>
      </c>
      <c r="G2283" s="93">
        <v>3437.65</v>
      </c>
      <c r="H2283" s="93">
        <v>69577.14</v>
      </c>
      <c r="I2283" s="93">
        <v>2397.5457928860201</v>
      </c>
      <c r="J2283" s="93">
        <v>44821.73</v>
      </c>
      <c r="K2283" s="93">
        <v>8141.74</v>
      </c>
      <c r="L2283" s="93">
        <v>32740.14</v>
      </c>
      <c r="M2283" s="93">
        <v>258886.74</v>
      </c>
      <c r="N2283" s="95">
        <v>0.02</v>
      </c>
      <c r="O2283" s="95">
        <v>0.31</v>
      </c>
      <c r="P2283" s="95">
        <v>0.44</v>
      </c>
      <c r="Q2283" s="95">
        <v>0.2</v>
      </c>
      <c r="R2283" s="95">
        <v>0.04</v>
      </c>
    </row>
    <row r="2284" spans="1:18" ht="15" hidden="1" customHeight="1" x14ac:dyDescent="0.3">
      <c r="A2284" s="105">
        <v>2023</v>
      </c>
      <c r="B2284" s="90">
        <v>9</v>
      </c>
      <c r="C2284" s="90" t="s">
        <v>730</v>
      </c>
      <c r="D2284" s="90" t="s">
        <v>722</v>
      </c>
      <c r="E2284" s="102" t="s">
        <v>11</v>
      </c>
      <c r="F2284" s="106" t="s">
        <v>37</v>
      </c>
      <c r="G2284" s="93">
        <v>15485.04</v>
      </c>
      <c r="H2284" s="93">
        <v>133601.09</v>
      </c>
      <c r="I2284" s="93">
        <v>2397.5457928860201</v>
      </c>
      <c r="J2284" s="93">
        <v>52370.07</v>
      </c>
      <c r="K2284" s="93">
        <v>7015.7</v>
      </c>
      <c r="L2284" s="93">
        <v>149579.1</v>
      </c>
      <c r="M2284" s="93">
        <v>524074.32</v>
      </c>
      <c r="N2284" s="95">
        <v>0.04</v>
      </c>
      <c r="O2284" s="95">
        <v>0.36</v>
      </c>
      <c r="P2284" s="95">
        <v>0.44</v>
      </c>
      <c r="Q2284" s="95">
        <v>0.14000000000000001</v>
      </c>
      <c r="R2284" s="95">
        <v>0.02</v>
      </c>
    </row>
    <row r="2285" spans="1:18" ht="15" hidden="1" customHeight="1" x14ac:dyDescent="0.3">
      <c r="A2285" s="105">
        <v>2023</v>
      </c>
      <c r="B2285" s="90">
        <v>9</v>
      </c>
      <c r="C2285" s="90" t="s">
        <v>730</v>
      </c>
      <c r="D2285" s="90" t="s">
        <v>722</v>
      </c>
      <c r="E2285" s="102" t="s">
        <v>11</v>
      </c>
      <c r="F2285" s="106" t="s">
        <v>38</v>
      </c>
      <c r="G2285" s="93">
        <v>60444.53</v>
      </c>
      <c r="H2285" s="93">
        <v>327851.03000000003</v>
      </c>
      <c r="I2285" s="93">
        <v>2397.5457928860201</v>
      </c>
      <c r="J2285" s="93">
        <v>23193.47</v>
      </c>
      <c r="K2285" s="93">
        <v>486.11</v>
      </c>
      <c r="L2285" s="93">
        <v>203674.73</v>
      </c>
      <c r="M2285" s="93">
        <v>927959.02</v>
      </c>
      <c r="N2285" s="95">
        <v>0.08</v>
      </c>
      <c r="O2285" s="95">
        <v>0.45</v>
      </c>
      <c r="P2285" s="95">
        <v>0.43</v>
      </c>
      <c r="Q2285" s="95">
        <v>0.03</v>
      </c>
      <c r="R2285" s="95">
        <v>0</v>
      </c>
    </row>
    <row r="2286" spans="1:18" ht="15" hidden="1" customHeight="1" x14ac:dyDescent="0.3">
      <c r="A2286" s="105">
        <v>2023</v>
      </c>
      <c r="B2286" s="90">
        <v>9</v>
      </c>
      <c r="C2286" s="90" t="s">
        <v>730</v>
      </c>
      <c r="D2286" s="90" t="s">
        <v>722</v>
      </c>
      <c r="E2286" s="102" t="s">
        <v>11</v>
      </c>
      <c r="F2286" s="106" t="s">
        <v>39</v>
      </c>
      <c r="G2286" s="93">
        <v>63900.75</v>
      </c>
      <c r="H2286" s="93">
        <v>131601</v>
      </c>
      <c r="I2286" s="93">
        <v>2397.5457928860201</v>
      </c>
      <c r="J2286" s="93">
        <v>29701.61</v>
      </c>
      <c r="K2286" s="93">
        <v>1575.49</v>
      </c>
      <c r="L2286" s="93">
        <v>22156.959999999999</v>
      </c>
      <c r="M2286" s="93">
        <v>331195.63</v>
      </c>
      <c r="N2286" s="95">
        <v>0.21</v>
      </c>
      <c r="O2286" s="95">
        <v>0.43</v>
      </c>
      <c r="P2286" s="95">
        <v>0.27</v>
      </c>
      <c r="Q2286" s="95">
        <v>0.1</v>
      </c>
      <c r="R2286" s="95">
        <v>0.01</v>
      </c>
    </row>
    <row r="2287" spans="1:18" ht="15" hidden="1" customHeight="1" x14ac:dyDescent="0.3">
      <c r="A2287" s="105">
        <v>2023</v>
      </c>
      <c r="B2287" s="90">
        <v>9</v>
      </c>
      <c r="C2287" s="90" t="s">
        <v>730</v>
      </c>
      <c r="D2287" s="90" t="s">
        <v>722</v>
      </c>
      <c r="E2287" s="102" t="s">
        <v>11</v>
      </c>
      <c r="F2287" s="106" t="s">
        <v>40</v>
      </c>
      <c r="G2287" s="93">
        <v>89450.71</v>
      </c>
      <c r="H2287" s="93">
        <v>204670.32</v>
      </c>
      <c r="I2287" s="93">
        <v>2397.5457928860201</v>
      </c>
      <c r="J2287" s="93">
        <v>1069.28</v>
      </c>
      <c r="K2287" s="93">
        <v>13.97</v>
      </c>
      <c r="L2287" s="93">
        <v>5051.7700000000004</v>
      </c>
      <c r="M2287" s="93">
        <v>326305.03999999998</v>
      </c>
      <c r="N2287" s="95">
        <v>0.28000000000000003</v>
      </c>
      <c r="O2287" s="95">
        <v>0.64</v>
      </c>
      <c r="P2287" s="95">
        <v>0.08</v>
      </c>
      <c r="Q2287" s="95">
        <v>0</v>
      </c>
      <c r="R2287" s="95">
        <v>0</v>
      </c>
    </row>
    <row r="2288" spans="1:18" ht="15" hidden="1" customHeight="1" x14ac:dyDescent="0.3">
      <c r="A2288" s="105">
        <v>2023</v>
      </c>
      <c r="B2288" s="90">
        <v>9</v>
      </c>
      <c r="C2288" s="90" t="s">
        <v>730</v>
      </c>
      <c r="D2288" s="90" t="s">
        <v>722</v>
      </c>
      <c r="E2288" s="102" t="s">
        <v>11</v>
      </c>
      <c r="F2288" s="106" t="s">
        <v>41</v>
      </c>
      <c r="G2288" s="93">
        <v>7468.48</v>
      </c>
      <c r="H2288" s="93">
        <v>5567.2</v>
      </c>
      <c r="I2288" s="93">
        <v>2397.5457928860201</v>
      </c>
      <c r="J2288" s="93">
        <v>1415.78</v>
      </c>
      <c r="K2288" s="93">
        <v>30.7</v>
      </c>
      <c r="L2288" s="93">
        <v>1538.75</v>
      </c>
      <c r="M2288" s="93">
        <v>18714.330000000002</v>
      </c>
      <c r="N2288" s="95">
        <v>0.43</v>
      </c>
      <c r="O2288" s="95">
        <v>0.32</v>
      </c>
      <c r="P2288" s="95">
        <v>0.16</v>
      </c>
      <c r="Q2288" s="95">
        <v>0.08</v>
      </c>
      <c r="R2288" s="95">
        <v>0</v>
      </c>
    </row>
    <row r="2289" spans="1:18" ht="15" hidden="1" customHeight="1" x14ac:dyDescent="0.3">
      <c r="A2289" s="105">
        <v>2023</v>
      </c>
      <c r="B2289" s="90">
        <v>9</v>
      </c>
      <c r="C2289" s="90" t="s">
        <v>730</v>
      </c>
      <c r="D2289" s="90" t="s">
        <v>722</v>
      </c>
      <c r="E2289" s="102" t="s">
        <v>11</v>
      </c>
      <c r="F2289" s="106" t="s">
        <v>42</v>
      </c>
      <c r="G2289" s="93">
        <v>33715.339999999997</v>
      </c>
      <c r="H2289" s="93">
        <v>317423.11</v>
      </c>
      <c r="I2289" s="93">
        <v>2397.5457928860201</v>
      </c>
      <c r="J2289" s="93">
        <v>15184.74</v>
      </c>
      <c r="K2289" s="93">
        <v>424.69</v>
      </c>
      <c r="L2289" s="93">
        <v>117003.34</v>
      </c>
      <c r="M2289" s="93">
        <v>620824.21</v>
      </c>
      <c r="N2289" s="95">
        <v>7.0000000000000007E-2</v>
      </c>
      <c r="O2289" s="95">
        <v>0.63</v>
      </c>
      <c r="P2289" s="95">
        <v>0.27</v>
      </c>
      <c r="Q2289" s="95">
        <v>0.03</v>
      </c>
      <c r="R2289" s="95">
        <v>0</v>
      </c>
    </row>
    <row r="2290" spans="1:18" ht="15" hidden="1" customHeight="1" x14ac:dyDescent="0.3">
      <c r="A2290" s="105">
        <v>2023</v>
      </c>
      <c r="B2290" s="90">
        <v>9</v>
      </c>
      <c r="C2290" s="90" t="s">
        <v>730</v>
      </c>
      <c r="D2290" s="90" t="s">
        <v>722</v>
      </c>
      <c r="E2290" s="102" t="s">
        <v>11</v>
      </c>
      <c r="F2290" s="106" t="s">
        <v>43</v>
      </c>
      <c r="G2290" s="93">
        <v>7588.03</v>
      </c>
      <c r="H2290" s="93">
        <v>37000.46</v>
      </c>
      <c r="I2290" s="93">
        <v>2397.5457928860201</v>
      </c>
      <c r="J2290" s="93">
        <v>7093.26</v>
      </c>
      <c r="K2290" s="93">
        <v>964.53</v>
      </c>
      <c r="L2290" s="93">
        <v>115468.05</v>
      </c>
      <c r="M2290" s="93">
        <v>185575.52</v>
      </c>
      <c r="N2290" s="95">
        <v>0.11</v>
      </c>
      <c r="O2290" s="95">
        <v>0.53</v>
      </c>
      <c r="P2290" s="95">
        <v>0.25</v>
      </c>
      <c r="Q2290" s="95">
        <v>0.1</v>
      </c>
      <c r="R2290" s="95">
        <v>0.01</v>
      </c>
    </row>
    <row r="2291" spans="1:18" ht="15" hidden="1" customHeight="1" x14ac:dyDescent="0.3">
      <c r="A2291" s="105">
        <v>2023</v>
      </c>
      <c r="B2291" s="90">
        <v>9</v>
      </c>
      <c r="C2291" s="90" t="s">
        <v>730</v>
      </c>
      <c r="D2291" s="90" t="s">
        <v>722</v>
      </c>
      <c r="E2291" s="102" t="s">
        <v>11</v>
      </c>
      <c r="F2291" s="106" t="s">
        <v>58</v>
      </c>
      <c r="G2291" s="93">
        <v>25583.39</v>
      </c>
      <c r="H2291" s="93">
        <v>275562.55</v>
      </c>
      <c r="I2291" s="93">
        <v>2397.5457928860201</v>
      </c>
      <c r="J2291" s="93">
        <v>2734.53</v>
      </c>
      <c r="K2291" s="93">
        <v>23.28</v>
      </c>
      <c r="L2291" s="93">
        <v>4063.84</v>
      </c>
      <c r="M2291" s="93">
        <v>371477.13</v>
      </c>
      <c r="N2291" s="95">
        <v>7.0000000000000007E-2</v>
      </c>
      <c r="O2291" s="95">
        <v>0.75</v>
      </c>
      <c r="P2291" s="95">
        <v>0.17</v>
      </c>
      <c r="Q2291" s="95">
        <v>0.01</v>
      </c>
      <c r="R2291" s="95">
        <v>0</v>
      </c>
    </row>
    <row r="2292" spans="1:18" ht="15" hidden="1" customHeight="1" x14ac:dyDescent="0.3">
      <c r="A2292" s="105">
        <v>2023</v>
      </c>
      <c r="B2292" s="90">
        <v>9</v>
      </c>
      <c r="C2292" s="90" t="s">
        <v>730</v>
      </c>
      <c r="D2292" s="90" t="s">
        <v>722</v>
      </c>
      <c r="E2292" s="102" t="s">
        <v>11</v>
      </c>
      <c r="F2292" s="106" t="s">
        <v>44</v>
      </c>
      <c r="G2292" s="93">
        <v>4843.83</v>
      </c>
      <c r="H2292" s="93">
        <v>18066.63</v>
      </c>
      <c r="I2292" s="93">
        <v>2397.5457928860201</v>
      </c>
      <c r="J2292" s="93">
        <v>72118.31</v>
      </c>
      <c r="K2292" s="93">
        <v>28729.5</v>
      </c>
      <c r="L2292" s="93">
        <v>38446.400000000001</v>
      </c>
      <c r="M2292" s="93">
        <v>215729.36</v>
      </c>
      <c r="N2292" s="95">
        <v>0.03</v>
      </c>
      <c r="O2292" s="95">
        <v>0.1</v>
      </c>
      <c r="P2292" s="95">
        <v>0.3</v>
      </c>
      <c r="Q2292" s="95">
        <v>0.41</v>
      </c>
      <c r="R2292" s="95">
        <v>0.16</v>
      </c>
    </row>
    <row r="2293" spans="1:18" ht="15" hidden="1" customHeight="1" x14ac:dyDescent="0.3">
      <c r="A2293" s="105">
        <v>2023</v>
      </c>
      <c r="B2293" s="90">
        <v>9</v>
      </c>
      <c r="C2293" s="90" t="s">
        <v>730</v>
      </c>
      <c r="D2293" s="90" t="s">
        <v>722</v>
      </c>
      <c r="E2293" s="102" t="s">
        <v>11</v>
      </c>
      <c r="F2293" s="106" t="s">
        <v>51</v>
      </c>
      <c r="G2293" s="93">
        <v>4575.03</v>
      </c>
      <c r="H2293" s="93">
        <v>27928.5</v>
      </c>
      <c r="I2293" s="93">
        <v>2397.5457928860201</v>
      </c>
      <c r="J2293" s="93">
        <v>71157.58</v>
      </c>
      <c r="K2293" s="93">
        <v>7851.35</v>
      </c>
      <c r="L2293" s="93">
        <v>349.31</v>
      </c>
      <c r="M2293" s="93">
        <v>211202.48</v>
      </c>
      <c r="N2293" s="95">
        <v>0.02</v>
      </c>
      <c r="O2293" s="95">
        <v>0.13</v>
      </c>
      <c r="P2293" s="95">
        <v>0.47</v>
      </c>
      <c r="Q2293" s="95">
        <v>0.34</v>
      </c>
      <c r="R2293" s="95">
        <v>0.04</v>
      </c>
    </row>
    <row r="2294" spans="1:18" ht="15" hidden="1" customHeight="1" x14ac:dyDescent="0.3">
      <c r="A2294" s="105">
        <v>2023</v>
      </c>
      <c r="B2294" s="90">
        <v>9</v>
      </c>
      <c r="C2294" s="90" t="s">
        <v>730</v>
      </c>
      <c r="D2294" s="90" t="s">
        <v>722</v>
      </c>
      <c r="E2294" s="102" t="s">
        <v>11</v>
      </c>
      <c r="F2294" s="106" t="s">
        <v>45</v>
      </c>
      <c r="G2294" s="93">
        <v>4426.01</v>
      </c>
      <c r="H2294" s="93">
        <v>21949.74</v>
      </c>
      <c r="I2294" s="93">
        <v>2397.5457928860201</v>
      </c>
      <c r="J2294" s="93">
        <v>22038.66</v>
      </c>
      <c r="K2294" s="93">
        <v>2683.29</v>
      </c>
      <c r="L2294" s="93">
        <v>48851.17</v>
      </c>
      <c r="M2294" s="93">
        <v>134096.20000000001</v>
      </c>
      <c r="N2294" s="95">
        <v>0.05</v>
      </c>
      <c r="O2294" s="95">
        <v>0.26</v>
      </c>
      <c r="P2294" s="95">
        <v>0.4</v>
      </c>
      <c r="Q2294" s="95">
        <v>0.26</v>
      </c>
      <c r="R2294" s="95">
        <v>0.03</v>
      </c>
    </row>
    <row r="2295" spans="1:18" ht="15" hidden="1" customHeight="1" x14ac:dyDescent="0.3">
      <c r="A2295" s="105">
        <v>2023</v>
      </c>
      <c r="B2295" s="90">
        <v>9</v>
      </c>
      <c r="C2295" s="90" t="s">
        <v>730</v>
      </c>
      <c r="D2295" s="90" t="s">
        <v>722</v>
      </c>
      <c r="E2295" s="102" t="s">
        <v>11</v>
      </c>
      <c r="F2295" s="106" t="s">
        <v>721</v>
      </c>
      <c r="G2295" s="93">
        <v>88644.45</v>
      </c>
      <c r="H2295" s="93">
        <v>190134.14</v>
      </c>
      <c r="I2295" s="93">
        <v>2397.5457928860201</v>
      </c>
      <c r="J2295" s="93">
        <v>1289.42</v>
      </c>
      <c r="K2295" s="93">
        <v>145.18</v>
      </c>
      <c r="L2295" s="93">
        <v>4.34</v>
      </c>
      <c r="M2295" s="93">
        <v>309330.63</v>
      </c>
      <c r="N2295" s="95">
        <v>0.28999999999999998</v>
      </c>
      <c r="O2295" s="95">
        <v>0.61</v>
      </c>
      <c r="P2295" s="95">
        <v>0.09</v>
      </c>
      <c r="Q2295" s="95">
        <v>0</v>
      </c>
      <c r="R2295" s="95">
        <v>0</v>
      </c>
    </row>
    <row r="2296" spans="1:18" ht="15" hidden="1" customHeight="1" x14ac:dyDescent="0.3">
      <c r="A2296" s="105">
        <v>2023</v>
      </c>
      <c r="B2296" s="90">
        <v>9</v>
      </c>
      <c r="C2296" s="90" t="s">
        <v>730</v>
      </c>
      <c r="D2296" s="90" t="s">
        <v>722</v>
      </c>
      <c r="E2296" s="102" t="s">
        <v>11</v>
      </c>
      <c r="F2296" s="106" t="s">
        <v>46</v>
      </c>
      <c r="G2296" s="93">
        <v>14100.32</v>
      </c>
      <c r="H2296" s="93">
        <v>91231.12</v>
      </c>
      <c r="I2296" s="93">
        <v>2397.5457928860201</v>
      </c>
      <c r="J2296" s="93">
        <v>9101.42</v>
      </c>
      <c r="K2296" s="93">
        <v>3946.31</v>
      </c>
      <c r="L2296" s="93">
        <v>659.04</v>
      </c>
      <c r="M2296" s="93">
        <v>149074.81</v>
      </c>
      <c r="N2296" s="95">
        <v>0.1</v>
      </c>
      <c r="O2296" s="95">
        <v>0.61</v>
      </c>
      <c r="P2296" s="95">
        <v>0.2</v>
      </c>
      <c r="Q2296" s="95">
        <v>0.06</v>
      </c>
      <c r="R2296" s="95">
        <v>0.03</v>
      </c>
    </row>
    <row r="2297" spans="1:18" ht="15" hidden="1" customHeight="1" x14ac:dyDescent="0.3">
      <c r="A2297" s="105">
        <v>2023</v>
      </c>
      <c r="B2297" s="90">
        <v>9</v>
      </c>
      <c r="C2297" s="90" t="s">
        <v>730</v>
      </c>
      <c r="D2297" s="90" t="s">
        <v>722</v>
      </c>
      <c r="E2297" s="102" t="s">
        <v>11</v>
      </c>
      <c r="F2297" s="106" t="s">
        <v>47</v>
      </c>
      <c r="G2297" s="93">
        <v>108472.46</v>
      </c>
      <c r="H2297" s="93">
        <v>786951.11</v>
      </c>
      <c r="I2297" s="93">
        <v>2397.5457928860201</v>
      </c>
      <c r="J2297" s="93">
        <v>55902.03</v>
      </c>
      <c r="K2297" s="93">
        <v>8053.91</v>
      </c>
      <c r="L2297" s="93">
        <v>109745.99</v>
      </c>
      <c r="M2297" s="93">
        <v>1445179.54</v>
      </c>
      <c r="N2297" s="95">
        <v>0.08</v>
      </c>
      <c r="O2297" s="95">
        <v>0.59</v>
      </c>
      <c r="P2297" s="95">
        <v>0.28000000000000003</v>
      </c>
      <c r="Q2297" s="95">
        <v>0.04</v>
      </c>
      <c r="R2297" s="95">
        <v>0.01</v>
      </c>
    </row>
    <row r="2298" spans="1:18" ht="15" hidden="1" customHeight="1" x14ac:dyDescent="0.3">
      <c r="A2298" s="105">
        <v>2023</v>
      </c>
      <c r="B2298" s="90">
        <v>9</v>
      </c>
      <c r="C2298" s="90" t="s">
        <v>730</v>
      </c>
      <c r="D2298" s="90" t="s">
        <v>722</v>
      </c>
      <c r="E2298" s="102" t="s">
        <v>11</v>
      </c>
      <c r="F2298" s="106" t="s">
        <v>48</v>
      </c>
      <c r="G2298" s="93">
        <v>1168.1099999999999</v>
      </c>
      <c r="H2298" s="93">
        <v>10200.76</v>
      </c>
      <c r="I2298" s="93">
        <v>2397.5457928860201</v>
      </c>
      <c r="J2298" s="93">
        <v>41944.06</v>
      </c>
      <c r="K2298" s="93">
        <v>8961.86</v>
      </c>
      <c r="L2298" s="93">
        <v>8640.91</v>
      </c>
      <c r="M2298" s="93">
        <v>110314.47</v>
      </c>
      <c r="N2298" s="95">
        <v>0.01</v>
      </c>
      <c r="O2298" s="95">
        <v>0.1</v>
      </c>
      <c r="P2298" s="95">
        <v>0.39</v>
      </c>
      <c r="Q2298" s="95">
        <v>0.41</v>
      </c>
      <c r="R2298" s="95">
        <v>0.09</v>
      </c>
    </row>
    <row r="2299" spans="1:18" ht="15" hidden="1" customHeight="1" x14ac:dyDescent="0.3">
      <c r="A2299" s="101">
        <v>2023</v>
      </c>
      <c r="B2299" s="90">
        <v>10</v>
      </c>
      <c r="C2299" s="90" t="s">
        <v>731</v>
      </c>
      <c r="D2299" s="90" t="s">
        <v>719</v>
      </c>
      <c r="E2299" s="102" t="s">
        <v>11</v>
      </c>
      <c r="F2299" s="103" t="s">
        <v>12</v>
      </c>
      <c r="G2299" s="93">
        <v>36995.71</v>
      </c>
      <c r="H2299" s="93">
        <v>229285.55</v>
      </c>
      <c r="I2299" s="93">
        <v>2397.5457928860201</v>
      </c>
      <c r="J2299" s="93">
        <v>5852.31</v>
      </c>
      <c r="K2299" s="93">
        <v>139.86000000000001</v>
      </c>
      <c r="L2299" s="93">
        <v>65078.17</v>
      </c>
      <c r="M2299" s="93">
        <v>433311.44</v>
      </c>
      <c r="N2299" s="95">
        <v>0.1</v>
      </c>
      <c r="O2299" s="95">
        <v>0.62</v>
      </c>
      <c r="P2299" s="95">
        <v>0.26</v>
      </c>
      <c r="Q2299" s="95">
        <v>0.02</v>
      </c>
      <c r="R2299" s="104">
        <v>0</v>
      </c>
    </row>
    <row r="2300" spans="1:18" ht="15" hidden="1" customHeight="1" x14ac:dyDescent="0.3">
      <c r="A2300" s="101">
        <v>2023</v>
      </c>
      <c r="B2300" s="90">
        <v>10</v>
      </c>
      <c r="C2300" s="90" t="s">
        <v>731</v>
      </c>
      <c r="D2300" s="90" t="s">
        <v>719</v>
      </c>
      <c r="E2300" s="102" t="s">
        <v>11</v>
      </c>
      <c r="F2300" s="103" t="s">
        <v>26</v>
      </c>
      <c r="G2300" s="93">
        <v>85258.01</v>
      </c>
      <c r="H2300" s="93">
        <v>414367.82</v>
      </c>
      <c r="I2300" s="93">
        <v>2397.5457928860201</v>
      </c>
      <c r="J2300" s="93">
        <v>34513.15</v>
      </c>
      <c r="K2300" s="93">
        <v>1283.01</v>
      </c>
      <c r="L2300" s="93">
        <v>399932.33</v>
      </c>
      <c r="M2300" s="93">
        <v>1302393.77</v>
      </c>
      <c r="N2300" s="95">
        <v>0.09</v>
      </c>
      <c r="O2300" s="95">
        <v>0.46</v>
      </c>
      <c r="P2300" s="95">
        <v>0.41</v>
      </c>
      <c r="Q2300" s="95">
        <v>0.04</v>
      </c>
      <c r="R2300" s="104">
        <v>0</v>
      </c>
    </row>
    <row r="2301" spans="1:18" ht="15" hidden="1" customHeight="1" x14ac:dyDescent="0.3">
      <c r="A2301" s="101">
        <v>2023</v>
      </c>
      <c r="B2301" s="90">
        <v>10</v>
      </c>
      <c r="C2301" s="90" t="s">
        <v>731</v>
      </c>
      <c r="D2301" s="90" t="s">
        <v>719</v>
      </c>
      <c r="E2301" s="102" t="s">
        <v>11</v>
      </c>
      <c r="F2301" s="103" t="s">
        <v>27</v>
      </c>
      <c r="G2301" s="93">
        <v>3766.07</v>
      </c>
      <c r="H2301" s="93">
        <v>115674.93</v>
      </c>
      <c r="I2301" s="93">
        <v>2397.5457928860201</v>
      </c>
      <c r="J2301" s="93">
        <v>5387.11</v>
      </c>
      <c r="K2301" s="93">
        <v>497.05</v>
      </c>
      <c r="L2301" s="93">
        <v>31900.92</v>
      </c>
      <c r="M2301" s="93">
        <v>226689.38</v>
      </c>
      <c r="N2301" s="95">
        <v>0.02</v>
      </c>
      <c r="O2301" s="95">
        <v>0.59</v>
      </c>
      <c r="P2301" s="95">
        <v>0.36</v>
      </c>
      <c r="Q2301" s="95">
        <v>0.03</v>
      </c>
      <c r="R2301" s="104">
        <v>0</v>
      </c>
    </row>
    <row r="2302" spans="1:18" ht="15" hidden="1" customHeight="1" x14ac:dyDescent="0.3">
      <c r="A2302" s="101">
        <v>2023</v>
      </c>
      <c r="B2302" s="90">
        <v>10</v>
      </c>
      <c r="C2302" s="90" t="s">
        <v>731</v>
      </c>
      <c r="D2302" s="90" t="s">
        <v>719</v>
      </c>
      <c r="E2302" s="102" t="s">
        <v>11</v>
      </c>
      <c r="F2302" s="103" t="s">
        <v>28</v>
      </c>
      <c r="G2302" s="93">
        <v>11442.28</v>
      </c>
      <c r="H2302" s="93">
        <v>212333.3</v>
      </c>
      <c r="I2302" s="93">
        <v>2397.5457928860201</v>
      </c>
      <c r="J2302" s="93">
        <v>7753.92</v>
      </c>
      <c r="K2302" s="93">
        <v>672.33</v>
      </c>
      <c r="L2302" s="93">
        <v>4044.28</v>
      </c>
      <c r="M2302" s="93">
        <v>373104.4</v>
      </c>
      <c r="N2302" s="95">
        <v>0.03</v>
      </c>
      <c r="O2302" s="95">
        <v>0.57999999999999996</v>
      </c>
      <c r="P2302" s="95">
        <v>0.37</v>
      </c>
      <c r="Q2302" s="95">
        <v>0.02</v>
      </c>
      <c r="R2302" s="104">
        <v>0</v>
      </c>
    </row>
    <row r="2303" spans="1:18" ht="15" customHeight="1" x14ac:dyDescent="0.3">
      <c r="A2303" s="101">
        <v>2023</v>
      </c>
      <c r="B2303" s="90">
        <v>10</v>
      </c>
      <c r="C2303" s="90" t="s">
        <v>731</v>
      </c>
      <c r="D2303" s="90" t="s">
        <v>719</v>
      </c>
      <c r="E2303" s="102" t="s">
        <v>11</v>
      </c>
      <c r="F2303" s="103" t="s">
        <v>29</v>
      </c>
      <c r="G2303" s="93">
        <v>8568.49</v>
      </c>
      <c r="H2303" s="93">
        <v>66104.179999999993</v>
      </c>
      <c r="I2303" s="93">
        <v>2397.5457928860201</v>
      </c>
      <c r="J2303" s="93">
        <v>63987.4</v>
      </c>
      <c r="K2303" s="93">
        <v>7163.55</v>
      </c>
      <c r="L2303" s="93">
        <v>65987.88</v>
      </c>
      <c r="M2303" s="93">
        <v>354391.76</v>
      </c>
      <c r="N2303" s="95">
        <v>0.03</v>
      </c>
      <c r="O2303" s="95">
        <v>0.23</v>
      </c>
      <c r="P2303" s="95">
        <v>0.49</v>
      </c>
      <c r="Q2303" s="95">
        <v>0.22</v>
      </c>
      <c r="R2303" s="104">
        <v>0.02</v>
      </c>
    </row>
    <row r="2304" spans="1:18" ht="15" hidden="1" customHeight="1" x14ac:dyDescent="0.3">
      <c r="A2304" s="101">
        <v>2023</v>
      </c>
      <c r="B2304" s="90">
        <v>10</v>
      </c>
      <c r="C2304" s="90" t="s">
        <v>731</v>
      </c>
      <c r="D2304" s="90" t="s">
        <v>719</v>
      </c>
      <c r="E2304" s="102" t="s">
        <v>11</v>
      </c>
      <c r="F2304" s="103" t="s">
        <v>30</v>
      </c>
      <c r="G2304" s="93">
        <v>686.28</v>
      </c>
      <c r="H2304" s="93">
        <v>4269.8100000000004</v>
      </c>
      <c r="I2304" s="93">
        <v>2397.5457928860201</v>
      </c>
      <c r="J2304" s="93">
        <v>2561</v>
      </c>
      <c r="K2304" s="93">
        <v>496.65</v>
      </c>
      <c r="L2304" s="93">
        <v>215385.44</v>
      </c>
      <c r="M2304" s="93">
        <v>230086.24</v>
      </c>
      <c r="N2304" s="95">
        <v>0.05</v>
      </c>
      <c r="O2304" s="95">
        <v>0.28999999999999998</v>
      </c>
      <c r="P2304" s="95">
        <v>0.45</v>
      </c>
      <c r="Q2304" s="95">
        <v>0.17</v>
      </c>
      <c r="R2304" s="104">
        <v>0.03</v>
      </c>
    </row>
    <row r="2305" spans="1:18" ht="15" hidden="1" customHeight="1" x14ac:dyDescent="0.3">
      <c r="A2305" s="101">
        <v>2023</v>
      </c>
      <c r="B2305" s="90">
        <v>10</v>
      </c>
      <c r="C2305" s="90" t="s">
        <v>731</v>
      </c>
      <c r="D2305" s="90" t="s">
        <v>719</v>
      </c>
      <c r="E2305" s="102" t="s">
        <v>11</v>
      </c>
      <c r="F2305" s="103" t="s">
        <v>31</v>
      </c>
      <c r="G2305" s="93">
        <v>5382.97</v>
      </c>
      <c r="H2305" s="93">
        <v>78692.13</v>
      </c>
      <c r="I2305" s="93">
        <v>2397.5457928860201</v>
      </c>
      <c r="J2305" s="93">
        <v>29228.39</v>
      </c>
      <c r="K2305" s="93">
        <v>4498.54</v>
      </c>
      <c r="L2305" s="93">
        <v>48010.29</v>
      </c>
      <c r="M2305" s="93">
        <v>251948.86</v>
      </c>
      <c r="N2305" s="95">
        <v>0.03</v>
      </c>
      <c r="O2305" s="95">
        <v>0.39</v>
      </c>
      <c r="P2305" s="95">
        <v>0.42</v>
      </c>
      <c r="Q2305" s="95">
        <v>0.14000000000000001</v>
      </c>
      <c r="R2305" s="104">
        <v>0.02</v>
      </c>
    </row>
    <row r="2306" spans="1:18" ht="15" hidden="1" customHeight="1" x14ac:dyDescent="0.3">
      <c r="A2306" s="101">
        <v>2023</v>
      </c>
      <c r="B2306" s="90">
        <v>10</v>
      </c>
      <c r="C2306" s="90" t="s">
        <v>731</v>
      </c>
      <c r="D2306" s="90" t="s">
        <v>719</v>
      </c>
      <c r="E2306" s="102" t="s">
        <v>11</v>
      </c>
      <c r="F2306" s="103" t="s">
        <v>32</v>
      </c>
      <c r="G2306" s="93">
        <v>14632.27</v>
      </c>
      <c r="H2306" s="93">
        <v>238227.7</v>
      </c>
      <c r="I2306" s="93">
        <v>2397.5457928860201</v>
      </c>
      <c r="J2306" s="93">
        <v>65764.14</v>
      </c>
      <c r="K2306" s="93">
        <v>3228.25</v>
      </c>
      <c r="L2306" s="93">
        <v>33008.42</v>
      </c>
      <c r="M2306" s="93">
        <v>609521.87</v>
      </c>
      <c r="N2306" s="95">
        <v>0.03</v>
      </c>
      <c r="O2306" s="95">
        <v>0.41</v>
      </c>
      <c r="P2306" s="95">
        <v>0.44</v>
      </c>
      <c r="Q2306" s="95">
        <v>0.11</v>
      </c>
      <c r="R2306" s="104">
        <v>0.01</v>
      </c>
    </row>
    <row r="2307" spans="1:18" ht="15" hidden="1" customHeight="1" x14ac:dyDescent="0.3">
      <c r="A2307" s="101">
        <v>2023</v>
      </c>
      <c r="B2307" s="90">
        <v>10</v>
      </c>
      <c r="C2307" s="90" t="s">
        <v>731</v>
      </c>
      <c r="D2307" s="90" t="s">
        <v>719</v>
      </c>
      <c r="E2307" s="102" t="s">
        <v>11</v>
      </c>
      <c r="F2307" s="103" t="s">
        <v>33</v>
      </c>
      <c r="G2307" s="93">
        <v>14327.41</v>
      </c>
      <c r="H2307" s="93">
        <v>381330.16</v>
      </c>
      <c r="I2307" s="93">
        <v>2397.5457928860201</v>
      </c>
      <c r="J2307" s="93">
        <v>29405.54</v>
      </c>
      <c r="K2307" s="93">
        <v>2071.1</v>
      </c>
      <c r="L2307" s="93">
        <v>551704.5</v>
      </c>
      <c r="M2307" s="93">
        <v>1352055.51</v>
      </c>
      <c r="N2307" s="95">
        <v>0.02</v>
      </c>
      <c r="O2307" s="95">
        <v>0.48</v>
      </c>
      <c r="P2307" s="95">
        <v>0.47</v>
      </c>
      <c r="Q2307" s="95">
        <v>0.04</v>
      </c>
      <c r="R2307" s="104">
        <v>0</v>
      </c>
    </row>
    <row r="2308" spans="1:18" ht="15" hidden="1" customHeight="1" x14ac:dyDescent="0.3">
      <c r="A2308" s="101">
        <v>2023</v>
      </c>
      <c r="B2308" s="90">
        <v>10</v>
      </c>
      <c r="C2308" s="90" t="s">
        <v>731</v>
      </c>
      <c r="D2308" s="90" t="s">
        <v>719</v>
      </c>
      <c r="E2308" s="102" t="s">
        <v>11</v>
      </c>
      <c r="F2308" s="103" t="s">
        <v>34</v>
      </c>
      <c r="G2308" s="93">
        <v>19982.61</v>
      </c>
      <c r="H2308" s="93">
        <v>136292.24</v>
      </c>
      <c r="I2308" s="93">
        <v>2397.5457928860201</v>
      </c>
      <c r="J2308" s="93">
        <v>38759.449999999997</v>
      </c>
      <c r="K2308" s="93">
        <v>3030.93</v>
      </c>
      <c r="L2308" s="93">
        <v>325439</v>
      </c>
      <c r="M2308" s="93">
        <v>713628.98</v>
      </c>
      <c r="N2308" s="95">
        <v>0.05</v>
      </c>
      <c r="O2308" s="95">
        <v>0.35</v>
      </c>
      <c r="P2308" s="95">
        <v>0.49</v>
      </c>
      <c r="Q2308" s="95">
        <v>0.1</v>
      </c>
      <c r="R2308" s="104">
        <v>0.01</v>
      </c>
    </row>
    <row r="2309" spans="1:18" ht="15" hidden="1" customHeight="1" x14ac:dyDescent="0.3">
      <c r="A2309" s="101">
        <v>2023</v>
      </c>
      <c r="B2309" s="90">
        <v>10</v>
      </c>
      <c r="C2309" s="90" t="s">
        <v>731</v>
      </c>
      <c r="D2309" s="90" t="s">
        <v>719</v>
      </c>
      <c r="E2309" s="102" t="s">
        <v>11</v>
      </c>
      <c r="F2309" s="103" t="s">
        <v>35</v>
      </c>
      <c r="G2309" s="93">
        <v>48697.39</v>
      </c>
      <c r="H2309" s="93">
        <v>223569.75</v>
      </c>
      <c r="I2309" s="93">
        <v>2397.5457928860201</v>
      </c>
      <c r="J2309" s="93">
        <v>9101.93</v>
      </c>
      <c r="K2309" s="93">
        <v>557.88</v>
      </c>
      <c r="L2309" s="93">
        <v>241838.33</v>
      </c>
      <c r="M2309" s="93">
        <v>605861.19999999995</v>
      </c>
      <c r="N2309" s="95">
        <v>0.13</v>
      </c>
      <c r="O2309" s="95">
        <v>0.61</v>
      </c>
      <c r="P2309" s="95">
        <v>0.23</v>
      </c>
      <c r="Q2309" s="95">
        <v>0.03</v>
      </c>
      <c r="R2309" s="104">
        <v>0</v>
      </c>
    </row>
    <row r="2310" spans="1:18" ht="15" hidden="1" customHeight="1" x14ac:dyDescent="0.3">
      <c r="A2310" s="101">
        <v>2023</v>
      </c>
      <c r="B2310" s="90">
        <v>10</v>
      </c>
      <c r="C2310" s="90" t="s">
        <v>731</v>
      </c>
      <c r="D2310" s="90" t="s">
        <v>719</v>
      </c>
      <c r="E2310" s="102" t="s">
        <v>11</v>
      </c>
      <c r="F2310" s="103" t="s">
        <v>36</v>
      </c>
      <c r="G2310" s="93">
        <v>1715.02</v>
      </c>
      <c r="H2310" s="93">
        <v>59807.01</v>
      </c>
      <c r="I2310" s="93">
        <v>2397.5457928860201</v>
      </c>
      <c r="J2310" s="93">
        <v>45525.99</v>
      </c>
      <c r="K2310" s="93">
        <v>3201.83</v>
      </c>
      <c r="L2310" s="93">
        <v>32759.09</v>
      </c>
      <c r="M2310" s="93">
        <v>258886.74</v>
      </c>
      <c r="N2310" s="95">
        <v>0.01</v>
      </c>
      <c r="O2310" s="95">
        <v>0.26</v>
      </c>
      <c r="P2310" s="95">
        <v>0.51</v>
      </c>
      <c r="Q2310" s="95">
        <v>0.2</v>
      </c>
      <c r="R2310" s="104">
        <v>0.01</v>
      </c>
    </row>
    <row r="2311" spans="1:18" ht="15" hidden="1" customHeight="1" x14ac:dyDescent="0.3">
      <c r="A2311" s="101">
        <v>2023</v>
      </c>
      <c r="B2311" s="90">
        <v>10</v>
      </c>
      <c r="C2311" s="90" t="s">
        <v>731</v>
      </c>
      <c r="D2311" s="90" t="s">
        <v>719</v>
      </c>
      <c r="E2311" s="102" t="s">
        <v>11</v>
      </c>
      <c r="F2311" s="103" t="s">
        <v>37</v>
      </c>
      <c r="G2311" s="93">
        <v>4787.5600000000004</v>
      </c>
      <c r="H2311" s="93">
        <v>95195.95</v>
      </c>
      <c r="I2311" s="93">
        <v>2397.5457928860201</v>
      </c>
      <c r="J2311" s="93">
        <v>81411.399999999994</v>
      </c>
      <c r="K2311" s="93">
        <v>11233.71</v>
      </c>
      <c r="L2311" s="93">
        <v>142152.45000000001</v>
      </c>
      <c r="M2311" s="93">
        <v>524074.32</v>
      </c>
      <c r="N2311" s="95">
        <v>0.01</v>
      </c>
      <c r="O2311" s="95">
        <v>0.25</v>
      </c>
      <c r="P2311" s="95">
        <v>0.5</v>
      </c>
      <c r="Q2311" s="95">
        <v>0.21</v>
      </c>
      <c r="R2311" s="104">
        <v>0.03</v>
      </c>
    </row>
    <row r="2312" spans="1:18" ht="15" hidden="1" customHeight="1" x14ac:dyDescent="0.3">
      <c r="A2312" s="101">
        <v>2023</v>
      </c>
      <c r="B2312" s="90">
        <v>10</v>
      </c>
      <c r="C2312" s="90" t="s">
        <v>731</v>
      </c>
      <c r="D2312" s="90" t="s">
        <v>719</v>
      </c>
      <c r="E2312" s="102" t="s">
        <v>11</v>
      </c>
      <c r="F2312" s="103" t="s">
        <v>38</v>
      </c>
      <c r="G2312" s="93">
        <v>51414.93</v>
      </c>
      <c r="H2312" s="93">
        <v>215586.76</v>
      </c>
      <c r="I2312" s="93">
        <v>2397.5457928860201</v>
      </c>
      <c r="J2312" s="93">
        <v>37516.51</v>
      </c>
      <c r="K2312" s="93">
        <v>919.71</v>
      </c>
      <c r="L2312" s="93">
        <v>342026.78</v>
      </c>
      <c r="M2312" s="93">
        <v>927959.02</v>
      </c>
      <c r="N2312" s="95">
        <v>0.09</v>
      </c>
      <c r="O2312" s="95">
        <v>0.37</v>
      </c>
      <c r="P2312" s="95">
        <v>0.48</v>
      </c>
      <c r="Q2312" s="95">
        <v>0.06</v>
      </c>
      <c r="R2312" s="104">
        <v>0</v>
      </c>
    </row>
    <row r="2313" spans="1:18" ht="15" hidden="1" customHeight="1" x14ac:dyDescent="0.3">
      <c r="A2313" s="101">
        <v>2023</v>
      </c>
      <c r="B2313" s="90">
        <v>10</v>
      </c>
      <c r="C2313" s="90" t="s">
        <v>731</v>
      </c>
      <c r="D2313" s="90" t="s">
        <v>719</v>
      </c>
      <c r="E2313" s="102" t="s">
        <v>11</v>
      </c>
      <c r="F2313" s="103" t="s">
        <v>39</v>
      </c>
      <c r="G2313" s="93">
        <v>20357.79</v>
      </c>
      <c r="H2313" s="93">
        <v>118560.31</v>
      </c>
      <c r="I2313" s="93">
        <v>2397.5457928860201</v>
      </c>
      <c r="J2313" s="93">
        <v>34790.870000000003</v>
      </c>
      <c r="K2313" s="93">
        <v>2021.53</v>
      </c>
      <c r="L2313" s="93">
        <v>28064.37</v>
      </c>
      <c r="M2313" s="93">
        <v>331195.63</v>
      </c>
      <c r="N2313" s="95">
        <v>7.0000000000000007E-2</v>
      </c>
      <c r="O2313" s="95">
        <v>0.39</v>
      </c>
      <c r="P2313" s="95">
        <v>0.42</v>
      </c>
      <c r="Q2313" s="95">
        <v>0.11</v>
      </c>
      <c r="R2313" s="104">
        <v>0.01</v>
      </c>
    </row>
    <row r="2314" spans="1:18" ht="15" hidden="1" customHeight="1" x14ac:dyDescent="0.3">
      <c r="A2314" s="101">
        <v>2023</v>
      </c>
      <c r="B2314" s="90">
        <v>10</v>
      </c>
      <c r="C2314" s="90" t="s">
        <v>731</v>
      </c>
      <c r="D2314" s="90" t="s">
        <v>719</v>
      </c>
      <c r="E2314" s="102" t="s">
        <v>11</v>
      </c>
      <c r="F2314" s="103" t="s">
        <v>40</v>
      </c>
      <c r="G2314" s="93">
        <v>59971.77</v>
      </c>
      <c r="H2314" s="93">
        <v>203246.38</v>
      </c>
      <c r="I2314" s="93">
        <v>2397.5457928860201</v>
      </c>
      <c r="J2314" s="93">
        <v>4029.73</v>
      </c>
      <c r="K2314" s="93">
        <v>78.099999999999994</v>
      </c>
      <c r="L2314" s="93">
        <v>5318.5</v>
      </c>
      <c r="M2314" s="93">
        <v>326305.03999999998</v>
      </c>
      <c r="N2314" s="95">
        <v>0.19</v>
      </c>
      <c r="O2314" s="95">
        <v>0.63</v>
      </c>
      <c r="P2314" s="95">
        <v>0.17</v>
      </c>
      <c r="Q2314" s="95">
        <v>0.01</v>
      </c>
      <c r="R2314" s="104">
        <v>0</v>
      </c>
    </row>
    <row r="2315" spans="1:18" ht="15" hidden="1" customHeight="1" x14ac:dyDescent="0.3">
      <c r="A2315" s="101">
        <v>2023</v>
      </c>
      <c r="B2315" s="90">
        <v>10</v>
      </c>
      <c r="C2315" s="90" t="s">
        <v>731</v>
      </c>
      <c r="D2315" s="90" t="s">
        <v>719</v>
      </c>
      <c r="E2315" s="102" t="s">
        <v>11</v>
      </c>
      <c r="F2315" s="103" t="s">
        <v>41</v>
      </c>
      <c r="G2315" s="93">
        <v>9624.91</v>
      </c>
      <c r="H2315" s="93">
        <v>5041.68</v>
      </c>
      <c r="I2315" s="93">
        <v>2397.5457928860201</v>
      </c>
      <c r="J2315" s="93">
        <v>951.45</v>
      </c>
      <c r="K2315" s="93">
        <v>52.59</v>
      </c>
      <c r="L2315" s="93">
        <v>227.43</v>
      </c>
      <c r="M2315" s="93">
        <v>18714.330000000002</v>
      </c>
      <c r="N2315" s="95">
        <v>0.52</v>
      </c>
      <c r="O2315" s="95">
        <v>0.27</v>
      </c>
      <c r="P2315" s="95">
        <v>0.15</v>
      </c>
      <c r="Q2315" s="95">
        <v>0.05</v>
      </c>
      <c r="R2315" s="104">
        <v>0</v>
      </c>
    </row>
    <row r="2316" spans="1:18" ht="15" hidden="1" customHeight="1" x14ac:dyDescent="0.3">
      <c r="A2316" s="101">
        <v>2023</v>
      </c>
      <c r="B2316" s="90">
        <v>10</v>
      </c>
      <c r="C2316" s="90" t="s">
        <v>731</v>
      </c>
      <c r="D2316" s="90" t="s">
        <v>719</v>
      </c>
      <c r="E2316" s="102" t="s">
        <v>11</v>
      </c>
      <c r="F2316" s="103" t="s">
        <v>42</v>
      </c>
      <c r="G2316" s="93">
        <v>9439.1200000000008</v>
      </c>
      <c r="H2316" s="93">
        <v>278513.56</v>
      </c>
      <c r="I2316" s="93">
        <v>2397.5457928860201</v>
      </c>
      <c r="J2316" s="93">
        <v>8143.57</v>
      </c>
      <c r="K2316" s="93">
        <v>237.75</v>
      </c>
      <c r="L2316" s="93">
        <v>178246.58</v>
      </c>
      <c r="M2316" s="93">
        <v>620824.21</v>
      </c>
      <c r="N2316" s="95">
        <v>0.02</v>
      </c>
      <c r="O2316" s="95">
        <v>0.63</v>
      </c>
      <c r="P2316" s="95">
        <v>0.33</v>
      </c>
      <c r="Q2316" s="95">
        <v>0.02</v>
      </c>
      <c r="R2316" s="104">
        <v>0</v>
      </c>
    </row>
    <row r="2317" spans="1:18" ht="15" hidden="1" customHeight="1" x14ac:dyDescent="0.3">
      <c r="A2317" s="101">
        <v>2023</v>
      </c>
      <c r="B2317" s="90">
        <v>10</v>
      </c>
      <c r="C2317" s="90" t="s">
        <v>731</v>
      </c>
      <c r="D2317" s="90" t="s">
        <v>719</v>
      </c>
      <c r="E2317" s="102" t="s">
        <v>11</v>
      </c>
      <c r="F2317" s="103" t="s">
        <v>43</v>
      </c>
      <c r="G2317" s="93">
        <v>4273.74</v>
      </c>
      <c r="H2317" s="93">
        <v>32750.37</v>
      </c>
      <c r="I2317" s="93">
        <v>2397.5457928860201</v>
      </c>
      <c r="J2317" s="93">
        <v>8603.2099999999991</v>
      </c>
      <c r="K2317" s="93">
        <v>1259.1199999999999</v>
      </c>
      <c r="L2317" s="93">
        <v>117586.23</v>
      </c>
      <c r="M2317" s="93">
        <v>185575.52</v>
      </c>
      <c r="N2317" s="95">
        <v>0.06</v>
      </c>
      <c r="O2317" s="95">
        <v>0.48</v>
      </c>
      <c r="P2317" s="95">
        <v>0.31</v>
      </c>
      <c r="Q2317" s="95">
        <v>0.13</v>
      </c>
      <c r="R2317" s="104">
        <v>0.02</v>
      </c>
    </row>
    <row r="2318" spans="1:18" ht="15" hidden="1" customHeight="1" x14ac:dyDescent="0.3">
      <c r="A2318" s="101">
        <v>2023</v>
      </c>
      <c r="B2318" s="90">
        <v>10</v>
      </c>
      <c r="C2318" s="90" t="s">
        <v>731</v>
      </c>
      <c r="D2318" s="90" t="s">
        <v>719</v>
      </c>
      <c r="E2318" s="102" t="s">
        <v>11</v>
      </c>
      <c r="F2318" s="103" t="s">
        <v>58</v>
      </c>
      <c r="G2318" s="93">
        <v>9557.5300000000007</v>
      </c>
      <c r="H2318" s="93">
        <v>228779.98</v>
      </c>
      <c r="I2318" s="93">
        <v>2397.5457928860201</v>
      </c>
      <c r="J2318" s="93">
        <v>4989.1099999999997</v>
      </c>
      <c r="K2318" s="93">
        <v>69.83</v>
      </c>
      <c r="L2318" s="93">
        <v>4412</v>
      </c>
      <c r="M2318" s="93">
        <v>371477.13</v>
      </c>
      <c r="N2318" s="95">
        <v>0.03</v>
      </c>
      <c r="O2318" s="95">
        <v>0.62</v>
      </c>
      <c r="P2318" s="95">
        <v>0.34</v>
      </c>
      <c r="Q2318" s="95">
        <v>0.01</v>
      </c>
      <c r="R2318" s="104">
        <v>0</v>
      </c>
    </row>
    <row r="2319" spans="1:18" ht="15" hidden="1" customHeight="1" x14ac:dyDescent="0.3">
      <c r="A2319" s="101">
        <v>2023</v>
      </c>
      <c r="B2319" s="90">
        <v>10</v>
      </c>
      <c r="C2319" s="90" t="s">
        <v>731</v>
      </c>
      <c r="D2319" s="90" t="s">
        <v>719</v>
      </c>
      <c r="E2319" s="102" t="s">
        <v>11</v>
      </c>
      <c r="F2319" s="103" t="s">
        <v>44</v>
      </c>
      <c r="G2319" s="93">
        <v>4530.74</v>
      </c>
      <c r="H2319" s="93">
        <v>14126.02</v>
      </c>
      <c r="I2319" s="93">
        <v>2397.5457928860201</v>
      </c>
      <c r="J2319" s="93">
        <v>78095.12</v>
      </c>
      <c r="K2319" s="93">
        <v>13039.96</v>
      </c>
      <c r="L2319" s="93">
        <v>39023.94</v>
      </c>
      <c r="M2319" s="93">
        <v>215729.36</v>
      </c>
      <c r="N2319" s="95">
        <v>0.03</v>
      </c>
      <c r="O2319" s="95">
        <v>0.08</v>
      </c>
      <c r="P2319" s="95">
        <v>0.38</v>
      </c>
      <c r="Q2319" s="95">
        <v>0.44</v>
      </c>
      <c r="R2319" s="104">
        <v>7.0000000000000007E-2</v>
      </c>
    </row>
    <row r="2320" spans="1:18" ht="15" hidden="1" customHeight="1" x14ac:dyDescent="0.3">
      <c r="A2320" s="101">
        <v>2023</v>
      </c>
      <c r="B2320" s="90">
        <v>10</v>
      </c>
      <c r="C2320" s="90" t="s">
        <v>731</v>
      </c>
      <c r="D2320" s="90" t="s">
        <v>719</v>
      </c>
      <c r="E2320" s="102" t="s">
        <v>11</v>
      </c>
      <c r="F2320" s="103" t="s">
        <v>51</v>
      </c>
      <c r="G2320" s="93">
        <v>7128.27</v>
      </c>
      <c r="H2320" s="93">
        <v>27876.84</v>
      </c>
      <c r="I2320" s="93">
        <v>2397.5457928860201</v>
      </c>
      <c r="J2320" s="93">
        <v>54894.3</v>
      </c>
      <c r="K2320" s="93">
        <v>4820.6000000000004</v>
      </c>
      <c r="L2320" s="93">
        <v>325.64999999999998</v>
      </c>
      <c r="M2320" s="93">
        <v>211202.22</v>
      </c>
      <c r="N2320" s="95">
        <v>0.03</v>
      </c>
      <c r="O2320" s="95">
        <v>0.13</v>
      </c>
      <c r="P2320" s="95">
        <v>0.55000000000000004</v>
      </c>
      <c r="Q2320" s="95">
        <v>0.26</v>
      </c>
      <c r="R2320" s="104">
        <v>0.02</v>
      </c>
    </row>
    <row r="2321" spans="1:18" ht="15" hidden="1" customHeight="1" x14ac:dyDescent="0.3">
      <c r="A2321" s="101">
        <v>2023</v>
      </c>
      <c r="B2321" s="90">
        <v>10</v>
      </c>
      <c r="C2321" s="90" t="s">
        <v>731</v>
      </c>
      <c r="D2321" s="90" t="s">
        <v>719</v>
      </c>
      <c r="E2321" s="102" t="s">
        <v>11</v>
      </c>
      <c r="F2321" s="103" t="s">
        <v>45</v>
      </c>
      <c r="G2321" s="93">
        <v>5401</v>
      </c>
      <c r="H2321" s="93">
        <v>23765.21</v>
      </c>
      <c r="I2321" s="93">
        <v>2397.5457928860201</v>
      </c>
      <c r="J2321" s="93">
        <v>16288.88</v>
      </c>
      <c r="K2321" s="93">
        <v>1754.04</v>
      </c>
      <c r="L2321" s="93">
        <v>54935.41</v>
      </c>
      <c r="M2321" s="93">
        <v>134096.20000000001</v>
      </c>
      <c r="N2321" s="95">
        <v>7.0000000000000007E-2</v>
      </c>
      <c r="O2321" s="95">
        <v>0.3</v>
      </c>
      <c r="P2321" s="95">
        <v>0.4</v>
      </c>
      <c r="Q2321" s="95">
        <v>0.21</v>
      </c>
      <c r="R2321" s="104">
        <v>0.02</v>
      </c>
    </row>
    <row r="2322" spans="1:18" ht="15" hidden="1" customHeight="1" x14ac:dyDescent="0.3">
      <c r="A2322" s="101">
        <v>2023</v>
      </c>
      <c r="B2322" s="90">
        <v>10</v>
      </c>
      <c r="C2322" s="90" t="s">
        <v>731</v>
      </c>
      <c r="D2322" s="90" t="s">
        <v>719</v>
      </c>
      <c r="E2322" s="102" t="s">
        <v>11</v>
      </c>
      <c r="F2322" s="103" t="s">
        <v>721</v>
      </c>
      <c r="G2322" s="93">
        <v>40300.720000000001</v>
      </c>
      <c r="H2322" s="93">
        <v>220949.72</v>
      </c>
      <c r="I2322" s="93">
        <v>2397.5457928860201</v>
      </c>
      <c r="J2322" s="93">
        <v>1236.8900000000001</v>
      </c>
      <c r="K2322" s="93">
        <v>37.47</v>
      </c>
      <c r="L2322" s="93">
        <v>6136.36</v>
      </c>
      <c r="M2322" s="93">
        <v>309330.63</v>
      </c>
      <c r="N2322" s="95">
        <v>0.13</v>
      </c>
      <c r="O2322" s="95">
        <v>0.73</v>
      </c>
      <c r="P2322" s="95">
        <v>0.13</v>
      </c>
      <c r="Q2322" s="95">
        <v>0</v>
      </c>
      <c r="R2322" s="104">
        <v>0</v>
      </c>
    </row>
    <row r="2323" spans="1:18" ht="15" hidden="1" customHeight="1" x14ac:dyDescent="0.3">
      <c r="A2323" s="101">
        <v>2023</v>
      </c>
      <c r="B2323" s="90">
        <v>10</v>
      </c>
      <c r="C2323" s="90" t="s">
        <v>731</v>
      </c>
      <c r="D2323" s="90" t="s">
        <v>719</v>
      </c>
      <c r="E2323" s="102" t="s">
        <v>11</v>
      </c>
      <c r="F2323" s="103" t="s">
        <v>46</v>
      </c>
      <c r="G2323" s="93">
        <v>7983.03</v>
      </c>
      <c r="H2323" s="93">
        <v>84806.62</v>
      </c>
      <c r="I2323" s="93">
        <v>2397.5457928860201</v>
      </c>
      <c r="J2323" s="93">
        <v>15211.67</v>
      </c>
      <c r="K2323" s="93">
        <v>5983.99</v>
      </c>
      <c r="L2323" s="93">
        <v>806.3</v>
      </c>
      <c r="M2323" s="93">
        <v>149074.81</v>
      </c>
      <c r="N2323" s="95">
        <v>0.05</v>
      </c>
      <c r="O2323" s="95">
        <v>0.56999999999999995</v>
      </c>
      <c r="P2323" s="95">
        <v>0.23</v>
      </c>
      <c r="Q2323" s="95">
        <v>0.1</v>
      </c>
      <c r="R2323" s="104">
        <v>0.04</v>
      </c>
    </row>
    <row r="2324" spans="1:18" ht="15" hidden="1" customHeight="1" x14ac:dyDescent="0.3">
      <c r="A2324" s="101">
        <v>2023</v>
      </c>
      <c r="B2324" s="90">
        <v>10</v>
      </c>
      <c r="C2324" s="90" t="s">
        <v>731</v>
      </c>
      <c r="D2324" s="90" t="s">
        <v>719</v>
      </c>
      <c r="E2324" s="102" t="s">
        <v>11</v>
      </c>
      <c r="F2324" s="103" t="s">
        <v>47</v>
      </c>
      <c r="G2324" s="93">
        <v>97354.27</v>
      </c>
      <c r="H2324" s="93">
        <v>751459.93</v>
      </c>
      <c r="I2324" s="93">
        <v>2397.5457928860201</v>
      </c>
      <c r="J2324" s="93">
        <v>54426.64</v>
      </c>
      <c r="K2324" s="93">
        <v>7376.82</v>
      </c>
      <c r="L2324" s="93">
        <v>112293.55</v>
      </c>
      <c r="M2324" s="93">
        <v>1447712.43</v>
      </c>
      <c r="N2324" s="95">
        <v>7.0000000000000007E-2</v>
      </c>
      <c r="O2324" s="95">
        <v>0.56000000000000005</v>
      </c>
      <c r="P2324" s="95">
        <v>0.32</v>
      </c>
      <c r="Q2324" s="95">
        <v>0.04</v>
      </c>
      <c r="R2324" s="104">
        <v>0.01</v>
      </c>
    </row>
    <row r="2325" spans="1:18" ht="15" hidden="1" customHeight="1" x14ac:dyDescent="0.3">
      <c r="A2325" s="101">
        <v>2023</v>
      </c>
      <c r="B2325" s="90">
        <v>10</v>
      </c>
      <c r="C2325" s="90" t="s">
        <v>731</v>
      </c>
      <c r="D2325" s="90" t="s">
        <v>719</v>
      </c>
      <c r="E2325" s="102" t="s">
        <v>11</v>
      </c>
      <c r="F2325" s="103" t="s">
        <v>48</v>
      </c>
      <c r="G2325" s="93">
        <v>434.99</v>
      </c>
      <c r="H2325" s="93">
        <v>7872.43</v>
      </c>
      <c r="I2325" s="93">
        <v>2397.5457928860201</v>
      </c>
      <c r="J2325" s="93">
        <v>41409.449999999997</v>
      </c>
      <c r="K2325" s="93">
        <v>3717.1</v>
      </c>
      <c r="L2325" s="93">
        <v>8608.61</v>
      </c>
      <c r="M2325" s="93">
        <v>110314.47</v>
      </c>
      <c r="N2325" s="95">
        <v>0</v>
      </c>
      <c r="O2325" s="95">
        <v>0.08</v>
      </c>
      <c r="P2325" s="95">
        <v>0.47</v>
      </c>
      <c r="Q2325" s="95">
        <v>0.41</v>
      </c>
      <c r="R2325" s="104">
        <v>0.04</v>
      </c>
    </row>
    <row r="2326" spans="1:18" ht="15" hidden="1" customHeight="1" x14ac:dyDescent="0.3">
      <c r="A2326" s="101">
        <v>2023</v>
      </c>
      <c r="B2326" s="90">
        <v>11</v>
      </c>
      <c r="C2326" s="90" t="s">
        <v>732</v>
      </c>
      <c r="D2326" s="90" t="s">
        <v>719</v>
      </c>
      <c r="E2326" s="102" t="s">
        <v>11</v>
      </c>
      <c r="F2326" s="103" t="s">
        <v>12</v>
      </c>
      <c r="G2326" s="93">
        <v>51619.58</v>
      </c>
      <c r="H2326" s="93">
        <v>239476.15</v>
      </c>
      <c r="I2326" s="93">
        <v>2397.5457928860201</v>
      </c>
      <c r="J2326" s="93">
        <v>5513.45</v>
      </c>
      <c r="K2326" s="93">
        <v>153.84</v>
      </c>
      <c r="L2326" s="93">
        <v>47433.73</v>
      </c>
      <c r="M2326" s="93">
        <v>433311.44</v>
      </c>
      <c r="N2326" s="95">
        <v>0.13</v>
      </c>
      <c r="O2326" s="95">
        <v>0.62</v>
      </c>
      <c r="P2326" s="95">
        <v>0.23</v>
      </c>
      <c r="Q2326" s="95">
        <v>0.01</v>
      </c>
      <c r="R2326" s="104">
        <v>0</v>
      </c>
    </row>
    <row r="2327" spans="1:18" ht="15" hidden="1" customHeight="1" x14ac:dyDescent="0.3">
      <c r="A2327" s="101">
        <v>2023</v>
      </c>
      <c r="B2327" s="90">
        <v>11</v>
      </c>
      <c r="C2327" s="90" t="s">
        <v>732</v>
      </c>
      <c r="D2327" s="90" t="s">
        <v>719</v>
      </c>
      <c r="E2327" s="102" t="s">
        <v>11</v>
      </c>
      <c r="F2327" s="103" t="s">
        <v>26</v>
      </c>
      <c r="G2327" s="93">
        <v>200279.54</v>
      </c>
      <c r="H2327" s="93">
        <v>721337.35</v>
      </c>
      <c r="I2327" s="93">
        <v>2397.5457928860201</v>
      </c>
      <c r="J2327" s="93">
        <v>4573.8599999999997</v>
      </c>
      <c r="K2327" s="93">
        <v>57.32</v>
      </c>
      <c r="L2327" s="93">
        <v>257181.8</v>
      </c>
      <c r="M2327" s="93">
        <v>1302393.77</v>
      </c>
      <c r="N2327" s="95">
        <v>0.19</v>
      </c>
      <c r="O2327" s="95">
        <v>0.69</v>
      </c>
      <c r="P2327" s="95">
        <v>0.11</v>
      </c>
      <c r="Q2327" s="95">
        <v>0</v>
      </c>
      <c r="R2327" s="104">
        <v>0</v>
      </c>
    </row>
    <row r="2328" spans="1:18" ht="15" hidden="1" customHeight="1" x14ac:dyDescent="0.3">
      <c r="A2328" s="101">
        <v>2023</v>
      </c>
      <c r="B2328" s="90">
        <v>11</v>
      </c>
      <c r="C2328" s="90" t="s">
        <v>732</v>
      </c>
      <c r="D2328" s="90" t="s">
        <v>719</v>
      </c>
      <c r="E2328" s="102" t="s">
        <v>11</v>
      </c>
      <c r="F2328" s="103" t="s">
        <v>27</v>
      </c>
      <c r="G2328" s="93">
        <v>28993.89</v>
      </c>
      <c r="H2328" s="93">
        <v>154347.17000000001</v>
      </c>
      <c r="I2328" s="93">
        <v>2397.5457928860201</v>
      </c>
      <c r="J2328" s="93">
        <v>1318.15</v>
      </c>
      <c r="K2328" s="93">
        <v>37.54</v>
      </c>
      <c r="L2328" s="93">
        <v>14418.41</v>
      </c>
      <c r="M2328" s="93">
        <v>226689.38</v>
      </c>
      <c r="N2328" s="95">
        <v>0.14000000000000001</v>
      </c>
      <c r="O2328" s="95">
        <v>0.73</v>
      </c>
      <c r="P2328" s="95">
        <v>0.13</v>
      </c>
      <c r="Q2328" s="95">
        <v>0.01</v>
      </c>
      <c r="R2328" s="104">
        <v>0</v>
      </c>
    </row>
    <row r="2329" spans="1:18" ht="15" hidden="1" customHeight="1" x14ac:dyDescent="0.3">
      <c r="A2329" s="101">
        <v>2023</v>
      </c>
      <c r="B2329" s="90">
        <v>11</v>
      </c>
      <c r="C2329" s="90" t="s">
        <v>732</v>
      </c>
      <c r="D2329" s="90" t="s">
        <v>719</v>
      </c>
      <c r="E2329" s="102" t="s">
        <v>11</v>
      </c>
      <c r="F2329" s="103" t="s">
        <v>28</v>
      </c>
      <c r="G2329" s="93">
        <v>34050.980000000003</v>
      </c>
      <c r="H2329" s="93">
        <v>298819.06</v>
      </c>
      <c r="I2329" s="93">
        <v>2397.5457928860201</v>
      </c>
      <c r="J2329" s="93">
        <v>2879.97</v>
      </c>
      <c r="K2329" s="93">
        <v>84.48</v>
      </c>
      <c r="L2329" s="93">
        <v>3293.9</v>
      </c>
      <c r="M2329" s="93">
        <v>373104.4</v>
      </c>
      <c r="N2329" s="95">
        <v>0.09</v>
      </c>
      <c r="O2329" s="95">
        <v>0.81</v>
      </c>
      <c r="P2329" s="95">
        <v>0.09</v>
      </c>
      <c r="Q2329" s="95">
        <v>0.01</v>
      </c>
      <c r="R2329" s="104">
        <v>0</v>
      </c>
    </row>
    <row r="2330" spans="1:18" ht="15" customHeight="1" x14ac:dyDescent="0.3">
      <c r="A2330" s="101">
        <v>2023</v>
      </c>
      <c r="B2330" s="90">
        <v>11</v>
      </c>
      <c r="C2330" s="90" t="s">
        <v>732</v>
      </c>
      <c r="D2330" s="90" t="s">
        <v>719</v>
      </c>
      <c r="E2330" s="102" t="s">
        <v>11</v>
      </c>
      <c r="F2330" s="103" t="s">
        <v>29</v>
      </c>
      <c r="G2330" s="93">
        <v>26715.74</v>
      </c>
      <c r="H2330" s="93">
        <v>128326.1</v>
      </c>
      <c r="I2330" s="93">
        <v>2397.5457928860201</v>
      </c>
      <c r="J2330" s="93">
        <v>11140.17</v>
      </c>
      <c r="K2330" s="93">
        <v>537.53</v>
      </c>
      <c r="L2330" s="93">
        <v>99901.82</v>
      </c>
      <c r="M2330" s="93">
        <v>354391.76</v>
      </c>
      <c r="N2330" s="95">
        <v>0.1</v>
      </c>
      <c r="O2330" s="95">
        <v>0.5</v>
      </c>
      <c r="P2330" s="95">
        <v>0.34</v>
      </c>
      <c r="Q2330" s="95">
        <v>0.04</v>
      </c>
      <c r="R2330" s="104">
        <v>0</v>
      </c>
    </row>
    <row r="2331" spans="1:18" ht="15" hidden="1" customHeight="1" x14ac:dyDescent="0.3">
      <c r="A2331" s="101">
        <v>2023</v>
      </c>
      <c r="B2331" s="90">
        <v>11</v>
      </c>
      <c r="C2331" s="90" t="s">
        <v>732</v>
      </c>
      <c r="D2331" s="90" t="s">
        <v>719</v>
      </c>
      <c r="E2331" s="102" t="s">
        <v>11</v>
      </c>
      <c r="F2331" s="103" t="s">
        <v>30</v>
      </c>
      <c r="G2331" s="93">
        <v>708.78</v>
      </c>
      <c r="H2331" s="93">
        <v>2803.46</v>
      </c>
      <c r="I2331" s="93">
        <v>2397.5457928860201</v>
      </c>
      <c r="J2331" s="93">
        <v>3625.16</v>
      </c>
      <c r="K2331" s="93">
        <v>916</v>
      </c>
      <c r="L2331" s="93">
        <v>215342.57</v>
      </c>
      <c r="M2331" s="93">
        <v>230086.24</v>
      </c>
      <c r="N2331" s="95">
        <v>0.05</v>
      </c>
      <c r="O2331" s="95">
        <v>0.19</v>
      </c>
      <c r="P2331" s="95">
        <v>0.45</v>
      </c>
      <c r="Q2331" s="95">
        <v>0.25</v>
      </c>
      <c r="R2331" s="104">
        <v>0.06</v>
      </c>
    </row>
    <row r="2332" spans="1:18" ht="15" hidden="1" customHeight="1" x14ac:dyDescent="0.3">
      <c r="A2332" s="101">
        <v>2023</v>
      </c>
      <c r="B2332" s="90">
        <v>11</v>
      </c>
      <c r="C2332" s="90" t="s">
        <v>732</v>
      </c>
      <c r="D2332" s="90" t="s">
        <v>719</v>
      </c>
      <c r="E2332" s="102" t="s">
        <v>11</v>
      </c>
      <c r="F2332" s="103" t="s">
        <v>31</v>
      </c>
      <c r="G2332" s="93">
        <v>5220.57</v>
      </c>
      <c r="H2332" s="93">
        <v>63555.79</v>
      </c>
      <c r="I2332" s="93">
        <v>2397.5457928860201</v>
      </c>
      <c r="J2332" s="93">
        <v>41389.89</v>
      </c>
      <c r="K2332" s="93">
        <v>5502.86</v>
      </c>
      <c r="L2332" s="93">
        <v>43994.29</v>
      </c>
      <c r="M2332" s="93">
        <v>251948.86</v>
      </c>
      <c r="N2332" s="95">
        <v>0.03</v>
      </c>
      <c r="O2332" s="95">
        <v>0.31</v>
      </c>
      <c r="P2332" s="95">
        <v>0.44</v>
      </c>
      <c r="Q2332" s="95">
        <v>0.2</v>
      </c>
      <c r="R2332" s="104">
        <v>0.03</v>
      </c>
    </row>
    <row r="2333" spans="1:18" ht="15" hidden="1" customHeight="1" x14ac:dyDescent="0.3">
      <c r="A2333" s="101">
        <v>2023</v>
      </c>
      <c r="B2333" s="90">
        <v>11</v>
      </c>
      <c r="C2333" s="90" t="s">
        <v>732</v>
      </c>
      <c r="D2333" s="90" t="s">
        <v>719</v>
      </c>
      <c r="E2333" s="102" t="s">
        <v>11</v>
      </c>
      <c r="F2333" s="103" t="s">
        <v>32</v>
      </c>
      <c r="G2333" s="93">
        <v>47929.01</v>
      </c>
      <c r="H2333" s="93">
        <v>375230.58</v>
      </c>
      <c r="I2333" s="93">
        <v>2397.5457928860201</v>
      </c>
      <c r="J2333" s="93">
        <v>10562.28</v>
      </c>
      <c r="K2333" s="93">
        <v>225.41</v>
      </c>
      <c r="L2333" s="93">
        <v>27849.58</v>
      </c>
      <c r="M2333" s="93">
        <v>609521.87</v>
      </c>
      <c r="N2333" s="95">
        <v>0.08</v>
      </c>
      <c r="O2333" s="95">
        <v>0.65</v>
      </c>
      <c r="P2333" s="95">
        <v>0.25</v>
      </c>
      <c r="Q2333" s="95">
        <v>0.02</v>
      </c>
      <c r="R2333" s="104">
        <v>0</v>
      </c>
    </row>
    <row r="2334" spans="1:18" ht="15" hidden="1" customHeight="1" x14ac:dyDescent="0.3">
      <c r="A2334" s="101">
        <v>2023</v>
      </c>
      <c r="B2334" s="90">
        <v>11</v>
      </c>
      <c r="C2334" s="90" t="s">
        <v>732</v>
      </c>
      <c r="D2334" s="90" t="s">
        <v>719</v>
      </c>
      <c r="E2334" s="102" t="s">
        <v>11</v>
      </c>
      <c r="F2334" s="103" t="s">
        <v>33</v>
      </c>
      <c r="G2334" s="93">
        <v>309257.64</v>
      </c>
      <c r="H2334" s="93">
        <v>913748.46</v>
      </c>
      <c r="I2334" s="93">
        <v>2397.5457928860201</v>
      </c>
      <c r="J2334" s="93">
        <v>4575.8500000000004</v>
      </c>
      <c r="K2334" s="93">
        <v>149.11000000000001</v>
      </c>
      <c r="L2334" s="93">
        <v>34342.17</v>
      </c>
      <c r="M2334" s="93">
        <v>1352055.51</v>
      </c>
      <c r="N2334" s="95">
        <v>0.23</v>
      </c>
      <c r="O2334" s="95">
        <v>0.69</v>
      </c>
      <c r="P2334" s="95">
        <v>7.0000000000000007E-2</v>
      </c>
      <c r="Q2334" s="95">
        <v>0</v>
      </c>
      <c r="R2334" s="104">
        <v>0</v>
      </c>
    </row>
    <row r="2335" spans="1:18" ht="15" hidden="1" customHeight="1" x14ac:dyDescent="0.3">
      <c r="A2335" s="101">
        <v>2023</v>
      </c>
      <c r="B2335" s="90">
        <v>11</v>
      </c>
      <c r="C2335" s="90" t="s">
        <v>732</v>
      </c>
      <c r="D2335" s="90" t="s">
        <v>719</v>
      </c>
      <c r="E2335" s="102" t="s">
        <v>11</v>
      </c>
      <c r="F2335" s="103" t="s">
        <v>34</v>
      </c>
      <c r="G2335" s="93">
        <v>75260.91</v>
      </c>
      <c r="H2335" s="93">
        <v>438042.61</v>
      </c>
      <c r="I2335" s="93">
        <v>2397.5457928860201</v>
      </c>
      <c r="J2335" s="93">
        <v>12952.72</v>
      </c>
      <c r="K2335" s="93">
        <v>644.41999999999996</v>
      </c>
      <c r="L2335" s="93">
        <v>66090.22</v>
      </c>
      <c r="M2335" s="93">
        <v>713628.98</v>
      </c>
      <c r="N2335" s="95">
        <v>0.12</v>
      </c>
      <c r="O2335" s="95">
        <v>0.68</v>
      </c>
      <c r="P2335" s="95">
        <v>0.19</v>
      </c>
      <c r="Q2335" s="95">
        <v>0.02</v>
      </c>
      <c r="R2335" s="104">
        <v>0</v>
      </c>
    </row>
    <row r="2336" spans="1:18" ht="15" hidden="1" customHeight="1" x14ac:dyDescent="0.3">
      <c r="A2336" s="101">
        <v>2023</v>
      </c>
      <c r="B2336" s="90">
        <v>11</v>
      </c>
      <c r="C2336" s="90" t="s">
        <v>732</v>
      </c>
      <c r="D2336" s="90" t="s">
        <v>719</v>
      </c>
      <c r="E2336" s="102" t="s">
        <v>11</v>
      </c>
      <c r="F2336" s="103" t="s">
        <v>35</v>
      </c>
      <c r="G2336" s="93">
        <v>58290.09</v>
      </c>
      <c r="H2336" s="93">
        <v>233226.14</v>
      </c>
      <c r="I2336" s="93">
        <v>2397.5457928860201</v>
      </c>
      <c r="J2336" s="93">
        <v>5300.96</v>
      </c>
      <c r="K2336" s="93">
        <v>1149.0899999999999</v>
      </c>
      <c r="L2336" s="93">
        <v>232596.73</v>
      </c>
      <c r="M2336" s="93">
        <v>605861.19999999995</v>
      </c>
      <c r="N2336" s="95">
        <v>0.16</v>
      </c>
      <c r="O2336" s="95">
        <v>0.62</v>
      </c>
      <c r="P2336" s="95">
        <v>0.2</v>
      </c>
      <c r="Q2336" s="95">
        <v>0.01</v>
      </c>
      <c r="R2336" s="104">
        <v>0</v>
      </c>
    </row>
    <row r="2337" spans="1:18" ht="15" hidden="1" customHeight="1" x14ac:dyDescent="0.3">
      <c r="A2337" s="101">
        <v>2023</v>
      </c>
      <c r="B2337" s="90">
        <v>11</v>
      </c>
      <c r="C2337" s="90" t="s">
        <v>732</v>
      </c>
      <c r="D2337" s="90" t="s">
        <v>719</v>
      </c>
      <c r="E2337" s="102" t="s">
        <v>11</v>
      </c>
      <c r="F2337" s="103" t="s">
        <v>36</v>
      </c>
      <c r="G2337" s="93">
        <v>5586</v>
      </c>
      <c r="H2337" s="93">
        <v>119869.92</v>
      </c>
      <c r="I2337" s="93">
        <v>2397.5457928860201</v>
      </c>
      <c r="J2337" s="93">
        <v>7881.62</v>
      </c>
      <c r="K2337" s="93">
        <v>33.06</v>
      </c>
      <c r="L2337" s="93">
        <v>32928.370000000003</v>
      </c>
      <c r="M2337" s="93">
        <v>258886.74</v>
      </c>
      <c r="N2337" s="95">
        <v>0.02</v>
      </c>
      <c r="O2337" s="95">
        <v>0.53</v>
      </c>
      <c r="P2337" s="95">
        <v>0.41</v>
      </c>
      <c r="Q2337" s="95">
        <v>0.03</v>
      </c>
      <c r="R2337" s="104">
        <v>0</v>
      </c>
    </row>
    <row r="2338" spans="1:18" ht="15" hidden="1" customHeight="1" x14ac:dyDescent="0.3">
      <c r="A2338" s="101">
        <v>2023</v>
      </c>
      <c r="B2338" s="90">
        <v>11</v>
      </c>
      <c r="C2338" s="90" t="s">
        <v>732</v>
      </c>
      <c r="D2338" s="90" t="s">
        <v>719</v>
      </c>
      <c r="E2338" s="107" t="s">
        <v>11</v>
      </c>
      <c r="F2338" s="103" t="s">
        <v>37</v>
      </c>
      <c r="G2338" s="93">
        <v>18859.93</v>
      </c>
      <c r="H2338" s="93">
        <v>180188.37</v>
      </c>
      <c r="I2338" s="93">
        <v>2397.5457928860201</v>
      </c>
      <c r="J2338" s="93">
        <v>20598.86</v>
      </c>
      <c r="K2338" s="93">
        <v>272.7</v>
      </c>
      <c r="L2338" s="93">
        <v>158851.92000000001</v>
      </c>
      <c r="M2338" s="93">
        <v>524074.32</v>
      </c>
      <c r="N2338" s="95">
        <v>0.05</v>
      </c>
      <c r="O2338" s="95">
        <v>0.49</v>
      </c>
      <c r="P2338" s="95">
        <v>0.4</v>
      </c>
      <c r="Q2338" s="95">
        <v>0.06</v>
      </c>
      <c r="R2338" s="104">
        <v>0</v>
      </c>
    </row>
    <row r="2339" spans="1:18" ht="15" hidden="1" customHeight="1" x14ac:dyDescent="0.3">
      <c r="A2339" s="101">
        <v>2023</v>
      </c>
      <c r="B2339" s="90">
        <v>11</v>
      </c>
      <c r="C2339" s="90" t="s">
        <v>732</v>
      </c>
      <c r="D2339" s="90" t="s">
        <v>719</v>
      </c>
      <c r="E2339" s="107" t="s">
        <v>11</v>
      </c>
      <c r="F2339" s="103" t="s">
        <v>720</v>
      </c>
      <c r="G2339" s="93">
        <v>109614.74</v>
      </c>
      <c r="H2339" s="93">
        <v>415116.4</v>
      </c>
      <c r="I2339" s="93">
        <v>2397.5457928860201</v>
      </c>
      <c r="J2339" s="93">
        <v>13079.1</v>
      </c>
      <c r="K2339" s="93">
        <v>330.25</v>
      </c>
      <c r="L2339" s="93">
        <v>178798.14</v>
      </c>
      <c r="M2339" s="93">
        <v>927959.02</v>
      </c>
      <c r="N2339" s="95">
        <v>0.15</v>
      </c>
      <c r="O2339" s="95">
        <v>0.55000000000000004</v>
      </c>
      <c r="P2339" s="95">
        <v>0.28000000000000003</v>
      </c>
      <c r="Q2339" s="95">
        <v>0.02</v>
      </c>
      <c r="R2339" s="104">
        <v>0</v>
      </c>
    </row>
    <row r="2340" spans="1:18" ht="15" hidden="1" customHeight="1" x14ac:dyDescent="0.3">
      <c r="A2340" s="101">
        <v>2023</v>
      </c>
      <c r="B2340" s="90">
        <v>11</v>
      </c>
      <c r="C2340" s="90" t="s">
        <v>732</v>
      </c>
      <c r="D2340" s="90" t="s">
        <v>719</v>
      </c>
      <c r="E2340" s="102" t="s">
        <v>11</v>
      </c>
      <c r="F2340" s="103" t="s">
        <v>39</v>
      </c>
      <c r="G2340" s="93">
        <v>36555.620000000003</v>
      </c>
      <c r="H2340" s="93">
        <v>168576.05</v>
      </c>
      <c r="I2340" s="93">
        <v>2397.5457928860201</v>
      </c>
      <c r="J2340" s="93">
        <v>3107.15</v>
      </c>
      <c r="K2340" s="93">
        <v>84.69</v>
      </c>
      <c r="L2340" s="93">
        <v>39947.449999999997</v>
      </c>
      <c r="M2340" s="93">
        <v>331195.63</v>
      </c>
      <c r="N2340" s="95">
        <v>0.13</v>
      </c>
      <c r="O2340" s="95">
        <v>0.57999999999999996</v>
      </c>
      <c r="P2340" s="95">
        <v>0.28000000000000003</v>
      </c>
      <c r="Q2340" s="95">
        <v>0.01</v>
      </c>
      <c r="R2340" s="104">
        <v>0</v>
      </c>
    </row>
    <row r="2341" spans="1:18" ht="15" hidden="1" customHeight="1" x14ac:dyDescent="0.3">
      <c r="A2341" s="101">
        <v>2023</v>
      </c>
      <c r="B2341" s="90">
        <v>11</v>
      </c>
      <c r="C2341" s="90" t="s">
        <v>732</v>
      </c>
      <c r="D2341" s="90" t="s">
        <v>719</v>
      </c>
      <c r="E2341" s="102" t="s">
        <v>11</v>
      </c>
      <c r="F2341" s="103" t="s">
        <v>40</v>
      </c>
      <c r="G2341" s="93">
        <v>46839.21</v>
      </c>
      <c r="H2341" s="93">
        <v>220699.88</v>
      </c>
      <c r="I2341" s="93">
        <v>2397.5457928860201</v>
      </c>
      <c r="J2341" s="93">
        <v>2857.79</v>
      </c>
      <c r="K2341" s="93">
        <v>18.59</v>
      </c>
      <c r="L2341" s="93">
        <v>5033.1499999999996</v>
      </c>
      <c r="M2341" s="93">
        <v>326305.03999999998</v>
      </c>
      <c r="N2341" s="95">
        <v>0.15</v>
      </c>
      <c r="O2341" s="95">
        <v>0.69</v>
      </c>
      <c r="P2341" s="95">
        <v>0.16</v>
      </c>
      <c r="Q2341" s="95">
        <v>0.01</v>
      </c>
      <c r="R2341" s="104">
        <v>0</v>
      </c>
    </row>
    <row r="2342" spans="1:18" ht="15" hidden="1" customHeight="1" x14ac:dyDescent="0.3">
      <c r="A2342" s="101">
        <v>2023</v>
      </c>
      <c r="B2342" s="90">
        <v>11</v>
      </c>
      <c r="C2342" s="90" t="s">
        <v>732</v>
      </c>
      <c r="D2342" s="90" t="s">
        <v>719</v>
      </c>
      <c r="E2342" s="102" t="s">
        <v>11</v>
      </c>
      <c r="F2342" s="103" t="s">
        <v>41</v>
      </c>
      <c r="G2342" s="93">
        <v>4862.75</v>
      </c>
      <c r="H2342" s="93">
        <v>6475.04</v>
      </c>
      <c r="I2342" s="93">
        <v>2397.5457928860201</v>
      </c>
      <c r="J2342" s="93">
        <v>2935.44</v>
      </c>
      <c r="K2342" s="93">
        <v>540.36</v>
      </c>
      <c r="L2342" s="93">
        <v>44.09</v>
      </c>
      <c r="M2342" s="93">
        <v>18714.330000000002</v>
      </c>
      <c r="N2342" s="95">
        <v>0.26</v>
      </c>
      <c r="O2342" s="95">
        <v>0.35</v>
      </c>
      <c r="P2342" s="95">
        <v>0.21</v>
      </c>
      <c r="Q2342" s="95">
        <v>0.16</v>
      </c>
      <c r="R2342" s="104">
        <v>0.03</v>
      </c>
    </row>
    <row r="2343" spans="1:18" ht="15" hidden="1" customHeight="1" x14ac:dyDescent="0.3">
      <c r="A2343" s="101">
        <v>2023</v>
      </c>
      <c r="B2343" s="90">
        <v>11</v>
      </c>
      <c r="C2343" s="90" t="s">
        <v>732</v>
      </c>
      <c r="D2343" s="90" t="s">
        <v>719</v>
      </c>
      <c r="E2343" s="102" t="s">
        <v>11</v>
      </c>
      <c r="F2343" s="103" t="s">
        <v>42</v>
      </c>
      <c r="G2343" s="93">
        <v>33814.93</v>
      </c>
      <c r="H2343" s="93">
        <v>327337.94</v>
      </c>
      <c r="I2343" s="93">
        <v>2397.5457928860201</v>
      </c>
      <c r="J2343" s="93">
        <v>4943.8100000000004</v>
      </c>
      <c r="K2343" s="93">
        <v>74.64</v>
      </c>
      <c r="L2343" s="93">
        <v>127654.1</v>
      </c>
      <c r="M2343" s="93">
        <v>620824.21</v>
      </c>
      <c r="N2343" s="95">
        <v>7.0000000000000007E-2</v>
      </c>
      <c r="O2343" s="95">
        <v>0.66</v>
      </c>
      <c r="P2343" s="95">
        <v>0.26</v>
      </c>
      <c r="Q2343" s="95">
        <v>0.01</v>
      </c>
      <c r="R2343" s="104">
        <v>0</v>
      </c>
    </row>
    <row r="2344" spans="1:18" ht="15" hidden="1" customHeight="1" x14ac:dyDescent="0.3">
      <c r="A2344" s="101">
        <v>2023</v>
      </c>
      <c r="B2344" s="90">
        <v>11</v>
      </c>
      <c r="C2344" s="90" t="s">
        <v>732</v>
      </c>
      <c r="D2344" s="90" t="s">
        <v>719</v>
      </c>
      <c r="E2344" s="102" t="s">
        <v>11</v>
      </c>
      <c r="F2344" s="103" t="s">
        <v>43</v>
      </c>
      <c r="G2344" s="93">
        <v>4054.02</v>
      </c>
      <c r="H2344" s="93">
        <v>32755.7</v>
      </c>
      <c r="I2344" s="93">
        <v>2397.5457928860201</v>
      </c>
      <c r="J2344" s="93">
        <v>10100.969999999999</v>
      </c>
      <c r="K2344" s="93">
        <v>2048.54</v>
      </c>
      <c r="L2344" s="93">
        <v>115592.63</v>
      </c>
      <c r="M2344" s="93">
        <v>185575.52</v>
      </c>
      <c r="N2344" s="95">
        <v>0.06</v>
      </c>
      <c r="O2344" s="95">
        <v>0.47</v>
      </c>
      <c r="P2344" s="95">
        <v>0.3</v>
      </c>
      <c r="Q2344" s="95">
        <v>0.14000000000000001</v>
      </c>
      <c r="R2344" s="104">
        <v>0.03</v>
      </c>
    </row>
    <row r="2345" spans="1:18" ht="15" hidden="1" customHeight="1" x14ac:dyDescent="0.3">
      <c r="A2345" s="101">
        <v>2023</v>
      </c>
      <c r="B2345" s="90">
        <v>11</v>
      </c>
      <c r="C2345" s="90" t="s">
        <v>732</v>
      </c>
      <c r="D2345" s="90" t="s">
        <v>719</v>
      </c>
      <c r="E2345" s="102" t="s">
        <v>11</v>
      </c>
      <c r="F2345" s="103" t="s">
        <v>58</v>
      </c>
      <c r="G2345" s="93">
        <v>17649.11</v>
      </c>
      <c r="H2345" s="93">
        <v>227482.82</v>
      </c>
      <c r="I2345" s="93">
        <v>2397.5457928860201</v>
      </c>
      <c r="J2345" s="93">
        <v>7659.2</v>
      </c>
      <c r="K2345" s="93">
        <v>74.510000000000005</v>
      </c>
      <c r="L2345" s="93">
        <v>4082.52</v>
      </c>
      <c r="M2345" s="93">
        <v>371477.13</v>
      </c>
      <c r="N2345" s="95">
        <v>0.05</v>
      </c>
      <c r="O2345" s="95">
        <v>0.62</v>
      </c>
      <c r="P2345" s="95">
        <v>0.31</v>
      </c>
      <c r="Q2345" s="95">
        <v>0.02</v>
      </c>
      <c r="R2345" s="104">
        <v>0</v>
      </c>
    </row>
    <row r="2346" spans="1:18" ht="15" hidden="1" customHeight="1" x14ac:dyDescent="0.3">
      <c r="A2346" s="101">
        <v>2023</v>
      </c>
      <c r="B2346" s="90">
        <v>11</v>
      </c>
      <c r="C2346" s="90" t="s">
        <v>732</v>
      </c>
      <c r="D2346" s="90" t="s">
        <v>719</v>
      </c>
      <c r="E2346" s="102" t="s">
        <v>11</v>
      </c>
      <c r="F2346" s="103" t="s">
        <v>44</v>
      </c>
      <c r="G2346" s="93">
        <v>5243.34</v>
      </c>
      <c r="H2346" s="93">
        <v>54434.52</v>
      </c>
      <c r="I2346" s="93">
        <v>2397.5457928860201</v>
      </c>
      <c r="J2346" s="93">
        <v>12060.73</v>
      </c>
      <c r="K2346" s="93">
        <v>308.83</v>
      </c>
      <c r="L2346" s="93">
        <v>41028.03</v>
      </c>
      <c r="M2346" s="93">
        <v>215729.36</v>
      </c>
      <c r="N2346" s="95">
        <v>0.03</v>
      </c>
      <c r="O2346" s="95">
        <v>0.31</v>
      </c>
      <c r="P2346" s="95">
        <v>0.59</v>
      </c>
      <c r="Q2346" s="95">
        <v>7.0000000000000007E-2</v>
      </c>
      <c r="R2346" s="104">
        <v>0</v>
      </c>
    </row>
    <row r="2347" spans="1:18" ht="15" hidden="1" customHeight="1" x14ac:dyDescent="0.3">
      <c r="A2347" s="101">
        <v>2023</v>
      </c>
      <c r="B2347" s="90">
        <v>11</v>
      </c>
      <c r="C2347" s="90" t="s">
        <v>732</v>
      </c>
      <c r="D2347" s="90" t="s">
        <v>719</v>
      </c>
      <c r="E2347" s="102" t="s">
        <v>11</v>
      </c>
      <c r="F2347" s="103" t="s">
        <v>51</v>
      </c>
      <c r="G2347" s="93">
        <v>13962.14</v>
      </c>
      <c r="H2347" s="93">
        <v>51839.49</v>
      </c>
      <c r="I2347" s="93">
        <v>2397.5457928860201</v>
      </c>
      <c r="J2347" s="93">
        <v>30862.57</v>
      </c>
      <c r="K2347" s="93">
        <v>4876.63</v>
      </c>
      <c r="L2347" s="93">
        <v>0</v>
      </c>
      <c r="M2347" s="93">
        <v>211202.48</v>
      </c>
      <c r="N2347" s="95">
        <v>7.0000000000000007E-2</v>
      </c>
      <c r="O2347" s="95">
        <v>0.25</v>
      </c>
      <c r="P2347" s="95">
        <v>0.52</v>
      </c>
      <c r="Q2347" s="95">
        <v>0.15</v>
      </c>
      <c r="R2347" s="104">
        <v>0.02</v>
      </c>
    </row>
    <row r="2348" spans="1:18" ht="15" hidden="1" customHeight="1" x14ac:dyDescent="0.3">
      <c r="A2348" s="101">
        <v>2023</v>
      </c>
      <c r="B2348" s="90">
        <v>11</v>
      </c>
      <c r="C2348" s="90" t="s">
        <v>732</v>
      </c>
      <c r="D2348" s="90" t="s">
        <v>719</v>
      </c>
      <c r="E2348" s="102" t="s">
        <v>11</v>
      </c>
      <c r="F2348" s="103" t="s">
        <v>45</v>
      </c>
      <c r="G2348" s="93">
        <v>14048.41</v>
      </c>
      <c r="H2348" s="93">
        <v>37877.1</v>
      </c>
      <c r="I2348" s="93">
        <v>2397.5457928860201</v>
      </c>
      <c r="J2348" s="93">
        <v>6180.97</v>
      </c>
      <c r="K2348" s="93">
        <v>393.6</v>
      </c>
      <c r="L2348" s="93">
        <v>48596.88</v>
      </c>
      <c r="M2348" s="93">
        <v>134096.20000000001</v>
      </c>
      <c r="N2348" s="95">
        <v>0.16</v>
      </c>
      <c r="O2348" s="95">
        <v>0.44</v>
      </c>
      <c r="P2348" s="95">
        <v>0.32</v>
      </c>
      <c r="Q2348" s="95">
        <v>7.0000000000000007E-2</v>
      </c>
      <c r="R2348" s="104">
        <v>0</v>
      </c>
    </row>
    <row r="2349" spans="1:18" ht="15" hidden="1" customHeight="1" x14ac:dyDescent="0.3">
      <c r="A2349" s="101">
        <v>2023</v>
      </c>
      <c r="B2349" s="90">
        <v>11</v>
      </c>
      <c r="C2349" s="90" t="s">
        <v>732</v>
      </c>
      <c r="D2349" s="90" t="s">
        <v>719</v>
      </c>
      <c r="E2349" s="102" t="s">
        <v>11</v>
      </c>
      <c r="F2349" s="103" t="s">
        <v>721</v>
      </c>
      <c r="G2349" s="93">
        <v>58776.84</v>
      </c>
      <c r="H2349" s="93">
        <v>206885.14</v>
      </c>
      <c r="I2349" s="93">
        <v>2397.5457928860201</v>
      </c>
      <c r="J2349" s="93">
        <v>3812.51</v>
      </c>
      <c r="K2349" s="93">
        <v>18.71</v>
      </c>
      <c r="L2349" s="93">
        <v>27.77</v>
      </c>
      <c r="M2349" s="93">
        <v>309330.63</v>
      </c>
      <c r="N2349" s="95">
        <v>0.19</v>
      </c>
      <c r="O2349" s="95">
        <v>0.67</v>
      </c>
      <c r="P2349" s="95">
        <v>0.13</v>
      </c>
      <c r="Q2349" s="95">
        <v>0.01</v>
      </c>
      <c r="R2349" s="104">
        <v>0</v>
      </c>
    </row>
    <row r="2350" spans="1:18" ht="15" hidden="1" customHeight="1" x14ac:dyDescent="0.3">
      <c r="A2350" s="101">
        <v>2023</v>
      </c>
      <c r="B2350" s="90">
        <v>11</v>
      </c>
      <c r="C2350" s="90" t="s">
        <v>732</v>
      </c>
      <c r="D2350" s="90" t="s">
        <v>719</v>
      </c>
      <c r="E2350" s="102" t="s">
        <v>11</v>
      </c>
      <c r="F2350" s="103" t="s">
        <v>46</v>
      </c>
      <c r="G2350" s="93">
        <v>26866.85</v>
      </c>
      <c r="H2350" s="93">
        <v>88514.31</v>
      </c>
      <c r="I2350" s="93">
        <v>2397.5457928860201</v>
      </c>
      <c r="J2350" s="93">
        <v>7263.6</v>
      </c>
      <c r="K2350" s="93">
        <v>1586.03</v>
      </c>
      <c r="L2350" s="93">
        <v>453.65</v>
      </c>
      <c r="M2350" s="93">
        <v>149074.81</v>
      </c>
      <c r="N2350" s="95">
        <v>0.18</v>
      </c>
      <c r="O2350" s="95">
        <v>0.6</v>
      </c>
      <c r="P2350" s="95">
        <v>0.16</v>
      </c>
      <c r="Q2350" s="95">
        <v>0.05</v>
      </c>
      <c r="R2350" s="104">
        <v>0.01</v>
      </c>
    </row>
    <row r="2351" spans="1:18" ht="15" hidden="1" customHeight="1" x14ac:dyDescent="0.3">
      <c r="A2351" s="101">
        <v>2023</v>
      </c>
      <c r="B2351" s="90">
        <v>11</v>
      </c>
      <c r="C2351" s="90" t="s">
        <v>732</v>
      </c>
      <c r="D2351" s="90" t="s">
        <v>719</v>
      </c>
      <c r="E2351" s="102" t="s">
        <v>11</v>
      </c>
      <c r="F2351" s="103" t="s">
        <v>47</v>
      </c>
      <c r="G2351" s="93">
        <v>46332.03</v>
      </c>
      <c r="H2351" s="93">
        <v>510102.07</v>
      </c>
      <c r="I2351" s="93">
        <v>2397.5457928860201</v>
      </c>
      <c r="J2351" s="93">
        <v>144862.89000000001</v>
      </c>
      <c r="K2351" s="93">
        <v>18828.57</v>
      </c>
      <c r="L2351" s="93">
        <v>125269.25</v>
      </c>
      <c r="M2351" s="93">
        <v>1457671.88</v>
      </c>
      <c r="N2351" s="95">
        <v>0.03</v>
      </c>
      <c r="O2351" s="95">
        <v>0.38</v>
      </c>
      <c r="P2351" s="95">
        <v>0.46</v>
      </c>
      <c r="Q2351" s="95">
        <v>0.11</v>
      </c>
      <c r="R2351" s="104">
        <v>0.01</v>
      </c>
    </row>
    <row r="2352" spans="1:18" ht="15" hidden="1" customHeight="1" x14ac:dyDescent="0.3">
      <c r="A2352" s="101">
        <v>2023</v>
      </c>
      <c r="B2352" s="90">
        <v>11</v>
      </c>
      <c r="C2352" s="90" t="s">
        <v>732</v>
      </c>
      <c r="D2352" s="90" t="s">
        <v>719</v>
      </c>
      <c r="E2352" s="102" t="s">
        <v>11</v>
      </c>
      <c r="F2352" s="103" t="s">
        <v>48</v>
      </c>
      <c r="G2352" s="93">
        <v>3046.39</v>
      </c>
      <c r="H2352" s="93">
        <v>34691.58</v>
      </c>
      <c r="I2352" s="93">
        <v>2397.5457928860201</v>
      </c>
      <c r="J2352" s="93">
        <v>13171.59</v>
      </c>
      <c r="K2352" s="93">
        <v>418.05</v>
      </c>
      <c r="L2352" s="93">
        <v>8690.08</v>
      </c>
      <c r="M2352" s="93">
        <v>110314.47</v>
      </c>
      <c r="N2352" s="95">
        <v>0.03</v>
      </c>
      <c r="O2352" s="95">
        <v>0.34</v>
      </c>
      <c r="P2352" s="95">
        <v>0.49</v>
      </c>
      <c r="Q2352" s="95">
        <v>0.13</v>
      </c>
      <c r="R2352" s="104">
        <v>0</v>
      </c>
    </row>
    <row r="2353" spans="1:18" ht="15" hidden="1" customHeight="1" x14ac:dyDescent="0.3">
      <c r="A2353" s="101">
        <v>2023</v>
      </c>
      <c r="B2353" s="90">
        <v>11</v>
      </c>
      <c r="C2353" s="90" t="s">
        <v>732</v>
      </c>
      <c r="D2353" s="90" t="s">
        <v>722</v>
      </c>
      <c r="E2353" s="102" t="s">
        <v>11</v>
      </c>
      <c r="F2353" s="103" t="s">
        <v>12</v>
      </c>
      <c r="G2353" s="93">
        <v>29893.08</v>
      </c>
      <c r="H2353" s="93">
        <v>141838.39999999999</v>
      </c>
      <c r="I2353" s="93">
        <v>2397.5457928860201</v>
      </c>
      <c r="J2353" s="93">
        <v>56889.71</v>
      </c>
      <c r="K2353" s="93">
        <v>5961.57</v>
      </c>
      <c r="L2353" s="93">
        <v>71039.149999999994</v>
      </c>
      <c r="M2353" s="93">
        <v>433311.44</v>
      </c>
      <c r="N2353" s="95">
        <v>0.08</v>
      </c>
      <c r="O2353" s="95">
        <v>0.39</v>
      </c>
      <c r="P2353" s="95">
        <v>0.35</v>
      </c>
      <c r="Q2353" s="95">
        <v>0.16</v>
      </c>
      <c r="R2353" s="104">
        <v>0.02</v>
      </c>
    </row>
    <row r="2354" spans="1:18" ht="15" hidden="1" customHeight="1" x14ac:dyDescent="0.3">
      <c r="A2354" s="101">
        <v>2023</v>
      </c>
      <c r="B2354" s="90">
        <v>11</v>
      </c>
      <c r="C2354" s="90" t="s">
        <v>732</v>
      </c>
      <c r="D2354" s="90" t="s">
        <v>722</v>
      </c>
      <c r="E2354" s="102" t="s">
        <v>11</v>
      </c>
      <c r="F2354" s="103" t="s">
        <v>26</v>
      </c>
      <c r="G2354" s="93">
        <v>125269.45</v>
      </c>
      <c r="H2354" s="93">
        <v>289742.65999999997</v>
      </c>
      <c r="I2354" s="93">
        <v>2397.5457928860201</v>
      </c>
      <c r="J2354" s="93">
        <v>243401.66</v>
      </c>
      <c r="K2354" s="93">
        <v>18133.009999999998</v>
      </c>
      <c r="L2354" s="93">
        <v>322307.53000000003</v>
      </c>
      <c r="M2354" s="93">
        <v>1302393.77</v>
      </c>
      <c r="N2354" s="95">
        <v>0.13</v>
      </c>
      <c r="O2354" s="95">
        <v>0.3</v>
      </c>
      <c r="P2354" s="95">
        <v>0.31</v>
      </c>
      <c r="Q2354" s="95">
        <v>0.25</v>
      </c>
      <c r="R2354" s="104">
        <v>0.02</v>
      </c>
    </row>
    <row r="2355" spans="1:18" ht="15" hidden="1" customHeight="1" x14ac:dyDescent="0.3">
      <c r="A2355" s="101">
        <v>2023</v>
      </c>
      <c r="B2355" s="90">
        <v>11</v>
      </c>
      <c r="C2355" s="90" t="s">
        <v>732</v>
      </c>
      <c r="D2355" s="90" t="s">
        <v>722</v>
      </c>
      <c r="E2355" s="102" t="s">
        <v>11</v>
      </c>
      <c r="F2355" s="103" t="s">
        <v>27</v>
      </c>
      <c r="G2355" s="93">
        <v>20282.21</v>
      </c>
      <c r="H2355" s="93">
        <v>116027.44</v>
      </c>
      <c r="I2355" s="93">
        <v>2397.5457928860201</v>
      </c>
      <c r="J2355" s="93">
        <v>9857.9699999999993</v>
      </c>
      <c r="K2355" s="93">
        <v>749.42</v>
      </c>
      <c r="L2355" s="93">
        <v>2491.5700000000002</v>
      </c>
      <c r="M2355" s="93">
        <v>226689.38</v>
      </c>
      <c r="N2355" s="95">
        <v>0.09</v>
      </c>
      <c r="O2355" s="95">
        <v>0.52</v>
      </c>
      <c r="P2355" s="95">
        <v>0.34</v>
      </c>
      <c r="Q2355" s="95">
        <v>0.04</v>
      </c>
      <c r="R2355" s="104">
        <v>0</v>
      </c>
    </row>
    <row r="2356" spans="1:18" ht="15" hidden="1" customHeight="1" x14ac:dyDescent="0.3">
      <c r="A2356" s="101">
        <v>2023</v>
      </c>
      <c r="B2356" s="90">
        <v>11</v>
      </c>
      <c r="C2356" s="90" t="s">
        <v>732</v>
      </c>
      <c r="D2356" s="90" t="s">
        <v>722</v>
      </c>
      <c r="E2356" s="102" t="s">
        <v>11</v>
      </c>
      <c r="F2356" s="103" t="s">
        <v>28</v>
      </c>
      <c r="G2356" s="93">
        <v>9841.06</v>
      </c>
      <c r="H2356" s="93">
        <v>105809.2</v>
      </c>
      <c r="I2356" s="93">
        <v>2397.5457928860201</v>
      </c>
      <c r="J2356" s="93">
        <v>62292.24</v>
      </c>
      <c r="K2356" s="93">
        <v>20710.03</v>
      </c>
      <c r="L2356" s="93">
        <v>44964.6</v>
      </c>
      <c r="M2356" s="93">
        <v>373104.4</v>
      </c>
      <c r="N2356" s="95">
        <v>0.03</v>
      </c>
      <c r="O2356" s="95">
        <v>0.32</v>
      </c>
      <c r="P2356" s="95">
        <v>0.39</v>
      </c>
      <c r="Q2356" s="95">
        <v>0.19</v>
      </c>
      <c r="R2356" s="104">
        <v>0.06</v>
      </c>
    </row>
    <row r="2357" spans="1:18" ht="15" customHeight="1" x14ac:dyDescent="0.3">
      <c r="A2357" s="101">
        <v>2023</v>
      </c>
      <c r="B2357" s="90">
        <v>11</v>
      </c>
      <c r="C2357" s="90" t="s">
        <v>732</v>
      </c>
      <c r="D2357" s="90" t="s">
        <v>722</v>
      </c>
      <c r="E2357" s="102" t="s">
        <v>11</v>
      </c>
      <c r="F2357" s="103" t="s">
        <v>29</v>
      </c>
      <c r="G2357" s="93">
        <v>24749.49</v>
      </c>
      <c r="H2357" s="93">
        <v>82221.990000000005</v>
      </c>
      <c r="I2357" s="93">
        <v>2397.5457928860201</v>
      </c>
      <c r="J2357" s="93">
        <v>61744.68</v>
      </c>
      <c r="K2357" s="93">
        <v>7826.63</v>
      </c>
      <c r="L2357" s="93">
        <v>89168.03</v>
      </c>
      <c r="M2357" s="93">
        <v>354391.76</v>
      </c>
      <c r="N2357" s="95">
        <v>0.09</v>
      </c>
      <c r="O2357" s="95">
        <v>0.31</v>
      </c>
      <c r="P2357" s="95">
        <v>0.33</v>
      </c>
      <c r="Q2357" s="95">
        <v>0.23</v>
      </c>
      <c r="R2357" s="104">
        <v>0.03</v>
      </c>
    </row>
    <row r="2358" spans="1:18" ht="15" hidden="1" customHeight="1" x14ac:dyDescent="0.3">
      <c r="A2358" s="101">
        <v>2023</v>
      </c>
      <c r="B2358" s="90">
        <v>11</v>
      </c>
      <c r="C2358" s="90" t="s">
        <v>732</v>
      </c>
      <c r="D2358" s="90" t="s">
        <v>722</v>
      </c>
      <c r="E2358" s="102" t="s">
        <v>11</v>
      </c>
      <c r="F2358" s="103" t="s">
        <v>30</v>
      </c>
      <c r="G2358" s="93">
        <v>835.01</v>
      </c>
      <c r="H2358" s="93">
        <v>3795.38</v>
      </c>
      <c r="I2358" s="93">
        <v>2397.5457928860201</v>
      </c>
      <c r="J2358" s="93">
        <v>3571.21</v>
      </c>
      <c r="K2358" s="93">
        <v>723.43</v>
      </c>
      <c r="L2358" s="93">
        <v>215379.33</v>
      </c>
      <c r="M2358" s="93">
        <v>230086.24</v>
      </c>
      <c r="N2358" s="95">
        <v>0.06</v>
      </c>
      <c r="O2358" s="95">
        <v>0.26</v>
      </c>
      <c r="P2358" s="95">
        <v>0.39</v>
      </c>
      <c r="Q2358" s="95">
        <v>0.24</v>
      </c>
      <c r="R2358" s="104">
        <v>0.05</v>
      </c>
    </row>
    <row r="2359" spans="1:18" ht="15" hidden="1" customHeight="1" x14ac:dyDescent="0.3">
      <c r="A2359" s="101">
        <v>2023</v>
      </c>
      <c r="B2359" s="90">
        <v>11</v>
      </c>
      <c r="C2359" s="90" t="s">
        <v>732</v>
      </c>
      <c r="D2359" s="90" t="s">
        <v>722</v>
      </c>
      <c r="E2359" s="102" t="s">
        <v>11</v>
      </c>
      <c r="F2359" s="103" t="s">
        <v>31</v>
      </c>
      <c r="G2359" s="93">
        <v>5048.0200000000004</v>
      </c>
      <c r="H2359" s="93">
        <v>75105.740000000005</v>
      </c>
      <c r="I2359" s="93">
        <v>2397.5457928860201</v>
      </c>
      <c r="J2359" s="93">
        <v>30592.82</v>
      </c>
      <c r="K2359" s="93">
        <v>4133.03</v>
      </c>
      <c r="L2359" s="93">
        <v>44267.85</v>
      </c>
      <c r="M2359" s="93">
        <v>251948.86</v>
      </c>
      <c r="N2359" s="95">
        <v>0.02</v>
      </c>
      <c r="O2359" s="95">
        <v>0.36</v>
      </c>
      <c r="P2359" s="95">
        <v>0.45</v>
      </c>
      <c r="Q2359" s="95">
        <v>0.15</v>
      </c>
      <c r="R2359" s="104">
        <v>0.02</v>
      </c>
    </row>
    <row r="2360" spans="1:18" ht="15" hidden="1" customHeight="1" x14ac:dyDescent="0.3">
      <c r="A2360" s="101">
        <v>2023</v>
      </c>
      <c r="B2360" s="90">
        <v>11</v>
      </c>
      <c r="C2360" s="90" t="s">
        <v>732</v>
      </c>
      <c r="D2360" s="90" t="s">
        <v>722</v>
      </c>
      <c r="E2360" s="102" t="s">
        <v>11</v>
      </c>
      <c r="F2360" s="103" t="s">
        <v>32</v>
      </c>
      <c r="G2360" s="93">
        <v>44473.31</v>
      </c>
      <c r="H2360" s="93">
        <v>233824.84</v>
      </c>
      <c r="I2360" s="93">
        <v>2397.5457928860201</v>
      </c>
      <c r="J2360" s="93">
        <v>35586.300000000003</v>
      </c>
      <c r="K2360" s="93">
        <v>868</v>
      </c>
      <c r="L2360" s="93">
        <v>120866.21</v>
      </c>
      <c r="M2360" s="93">
        <v>609521.87</v>
      </c>
      <c r="N2360" s="95">
        <v>0.09</v>
      </c>
      <c r="O2360" s="95">
        <v>0.48</v>
      </c>
      <c r="P2360" s="95">
        <v>0.36</v>
      </c>
      <c r="Q2360" s="95">
        <v>7.0000000000000007E-2</v>
      </c>
      <c r="R2360" s="104">
        <v>0</v>
      </c>
    </row>
    <row r="2361" spans="1:18" ht="15" hidden="1" customHeight="1" x14ac:dyDescent="0.3">
      <c r="A2361" s="101">
        <v>2023</v>
      </c>
      <c r="B2361" s="90">
        <v>11</v>
      </c>
      <c r="C2361" s="90" t="s">
        <v>732</v>
      </c>
      <c r="D2361" s="90" t="s">
        <v>722</v>
      </c>
      <c r="E2361" s="102" t="s">
        <v>11</v>
      </c>
      <c r="F2361" s="103" t="s">
        <v>33</v>
      </c>
      <c r="G2361" s="93">
        <v>66978.44</v>
      </c>
      <c r="H2361" s="93">
        <v>501889.29</v>
      </c>
      <c r="I2361" s="93">
        <v>2397.5457928860201</v>
      </c>
      <c r="J2361" s="93">
        <v>159847.51</v>
      </c>
      <c r="K2361" s="93">
        <v>7609.35</v>
      </c>
      <c r="L2361" s="93">
        <v>84478.14</v>
      </c>
      <c r="M2361" s="93">
        <v>1352055.51</v>
      </c>
      <c r="N2361" s="95">
        <v>0.05</v>
      </c>
      <c r="O2361" s="95">
        <v>0.4</v>
      </c>
      <c r="P2361" s="95">
        <v>0.42</v>
      </c>
      <c r="Q2361" s="95">
        <v>0.13</v>
      </c>
      <c r="R2361" s="104">
        <v>0.01</v>
      </c>
    </row>
    <row r="2362" spans="1:18" ht="15" hidden="1" customHeight="1" x14ac:dyDescent="0.3">
      <c r="A2362" s="101">
        <v>2023</v>
      </c>
      <c r="B2362" s="90">
        <v>11</v>
      </c>
      <c r="C2362" s="90" t="s">
        <v>732</v>
      </c>
      <c r="D2362" s="90" t="s">
        <v>722</v>
      </c>
      <c r="E2362" s="102" t="s">
        <v>11</v>
      </c>
      <c r="F2362" s="103" t="s">
        <v>34</v>
      </c>
      <c r="G2362" s="93">
        <v>64342.71</v>
      </c>
      <c r="H2362" s="93">
        <v>181001.45</v>
      </c>
      <c r="I2362" s="93">
        <v>2397.5457928860201</v>
      </c>
      <c r="J2362" s="93">
        <v>83615.38</v>
      </c>
      <c r="K2362" s="93">
        <v>4432.97</v>
      </c>
      <c r="L2362" s="93">
        <v>126780.34</v>
      </c>
      <c r="M2362" s="93">
        <v>713628.98</v>
      </c>
      <c r="N2362" s="95">
        <v>0.11</v>
      </c>
      <c r="O2362" s="95">
        <v>0.31</v>
      </c>
      <c r="P2362" s="95">
        <v>0.43</v>
      </c>
      <c r="Q2362" s="95">
        <v>0.14000000000000001</v>
      </c>
      <c r="R2362" s="104">
        <v>0.01</v>
      </c>
    </row>
    <row r="2363" spans="1:18" ht="15" hidden="1" customHeight="1" x14ac:dyDescent="0.3">
      <c r="A2363" s="101">
        <v>2023</v>
      </c>
      <c r="B2363" s="90">
        <v>11</v>
      </c>
      <c r="C2363" s="90" t="s">
        <v>732</v>
      </c>
      <c r="D2363" s="90" t="s">
        <v>722</v>
      </c>
      <c r="E2363" s="102" t="s">
        <v>11</v>
      </c>
      <c r="F2363" s="103" t="s">
        <v>35</v>
      </c>
      <c r="G2363" s="93">
        <v>27119.5</v>
      </c>
      <c r="H2363" s="93">
        <v>104438.08</v>
      </c>
      <c r="I2363" s="93">
        <v>2397.5457928860201</v>
      </c>
      <c r="J2363" s="93">
        <v>92377.12</v>
      </c>
      <c r="K2363" s="93">
        <v>10754.6</v>
      </c>
      <c r="L2363" s="93">
        <v>257721</v>
      </c>
      <c r="M2363" s="93">
        <v>605861.19999999995</v>
      </c>
      <c r="N2363" s="95">
        <v>0.08</v>
      </c>
      <c r="O2363" s="95">
        <v>0.3</v>
      </c>
      <c r="P2363" s="95">
        <v>0.33</v>
      </c>
      <c r="Q2363" s="95">
        <v>0.27</v>
      </c>
      <c r="R2363" s="104">
        <v>0.03</v>
      </c>
    </row>
    <row r="2364" spans="1:18" ht="15" hidden="1" customHeight="1" x14ac:dyDescent="0.3">
      <c r="A2364" s="101">
        <v>2023</v>
      </c>
      <c r="B2364" s="90">
        <v>11</v>
      </c>
      <c r="C2364" s="90" t="s">
        <v>732</v>
      </c>
      <c r="D2364" s="90" t="s">
        <v>722</v>
      </c>
      <c r="E2364" s="102" t="s">
        <v>11</v>
      </c>
      <c r="F2364" s="103" t="s">
        <v>36</v>
      </c>
      <c r="G2364" s="93">
        <v>2784.07</v>
      </c>
      <c r="H2364" s="93">
        <v>37871.75</v>
      </c>
      <c r="I2364" s="93">
        <v>2397.5457928860201</v>
      </c>
      <c r="J2364" s="93">
        <v>70392.87</v>
      </c>
      <c r="K2364" s="93">
        <v>1904.69</v>
      </c>
      <c r="L2364" s="93">
        <v>52356.800000000003</v>
      </c>
      <c r="M2364" s="93">
        <v>258886.74</v>
      </c>
      <c r="N2364" s="95">
        <v>0.01</v>
      </c>
      <c r="O2364" s="95">
        <v>0.18</v>
      </c>
      <c r="P2364" s="95">
        <v>0.45</v>
      </c>
      <c r="Q2364" s="95">
        <v>0.34</v>
      </c>
      <c r="R2364" s="104">
        <v>0.01</v>
      </c>
    </row>
    <row r="2365" spans="1:18" ht="15" hidden="1" customHeight="1" x14ac:dyDescent="0.3">
      <c r="A2365" s="101">
        <v>2023</v>
      </c>
      <c r="B2365" s="90">
        <v>11</v>
      </c>
      <c r="C2365" s="90" t="s">
        <v>732</v>
      </c>
      <c r="D2365" s="90" t="s">
        <v>722</v>
      </c>
      <c r="E2365" s="102" t="s">
        <v>11</v>
      </c>
      <c r="F2365" s="103" t="s">
        <v>37</v>
      </c>
      <c r="G2365" s="93">
        <v>3697.77</v>
      </c>
      <c r="H2365" s="93">
        <v>39600.21</v>
      </c>
      <c r="I2365" s="93">
        <v>2397.5457928860201</v>
      </c>
      <c r="J2365" s="93">
        <v>167901.53</v>
      </c>
      <c r="K2365" s="93">
        <v>42748.76</v>
      </c>
      <c r="L2365" s="93">
        <v>168836.11</v>
      </c>
      <c r="M2365" s="93">
        <v>524074.32</v>
      </c>
      <c r="N2365" s="95">
        <v>0.01</v>
      </c>
      <c r="O2365" s="95">
        <v>0.11</v>
      </c>
      <c r="P2365" s="95">
        <v>0.28999999999999998</v>
      </c>
      <c r="Q2365" s="95">
        <v>0.47</v>
      </c>
      <c r="R2365" s="104">
        <v>0.12</v>
      </c>
    </row>
    <row r="2366" spans="1:18" ht="15" hidden="1" customHeight="1" x14ac:dyDescent="0.3">
      <c r="A2366" s="101">
        <v>2023</v>
      </c>
      <c r="B2366" s="90">
        <v>11</v>
      </c>
      <c r="C2366" s="90" t="s">
        <v>732</v>
      </c>
      <c r="D2366" s="90" t="s">
        <v>722</v>
      </c>
      <c r="E2366" s="102" t="s">
        <v>11</v>
      </c>
      <c r="F2366" s="103" t="s">
        <v>38</v>
      </c>
      <c r="G2366" s="93">
        <v>77989.66</v>
      </c>
      <c r="H2366" s="93">
        <v>246549.02</v>
      </c>
      <c r="I2366" s="93">
        <v>2397.5457928860201</v>
      </c>
      <c r="J2366" s="93">
        <v>138336.35</v>
      </c>
      <c r="K2366" s="93">
        <v>9260.4699999999993</v>
      </c>
      <c r="L2366" s="93">
        <v>174581.37</v>
      </c>
      <c r="M2366" s="93">
        <v>927959.02</v>
      </c>
      <c r="N2366" s="95">
        <v>0.1</v>
      </c>
      <c r="O2366" s="95">
        <v>0.33</v>
      </c>
      <c r="P2366" s="95">
        <v>0.37</v>
      </c>
      <c r="Q2366" s="95">
        <v>0.18</v>
      </c>
      <c r="R2366" s="104">
        <v>0.01</v>
      </c>
    </row>
    <row r="2367" spans="1:18" ht="15" hidden="1" customHeight="1" x14ac:dyDescent="0.3">
      <c r="A2367" s="101">
        <v>2023</v>
      </c>
      <c r="B2367" s="90">
        <v>11</v>
      </c>
      <c r="C2367" s="90" t="s">
        <v>732</v>
      </c>
      <c r="D2367" s="90" t="s">
        <v>722</v>
      </c>
      <c r="E2367" s="102" t="s">
        <v>11</v>
      </c>
      <c r="F2367" s="103" t="s">
        <v>39</v>
      </c>
      <c r="G2367" s="93">
        <v>31641.45</v>
      </c>
      <c r="H2367" s="93">
        <v>191437.23</v>
      </c>
      <c r="I2367" s="93">
        <v>2397.5457928860201</v>
      </c>
      <c r="J2367" s="93">
        <v>7799.74</v>
      </c>
      <c r="K2367" s="93">
        <v>159.30000000000001</v>
      </c>
      <c r="L2367" s="93">
        <v>14043.44</v>
      </c>
      <c r="M2367" s="93">
        <v>331195.63</v>
      </c>
      <c r="N2367" s="95">
        <v>0.1</v>
      </c>
      <c r="O2367" s="95">
        <v>0.6</v>
      </c>
      <c r="P2367" s="95">
        <v>0.27</v>
      </c>
      <c r="Q2367" s="95">
        <v>0.02</v>
      </c>
      <c r="R2367" s="104">
        <v>0</v>
      </c>
    </row>
    <row r="2368" spans="1:18" ht="15" hidden="1" customHeight="1" x14ac:dyDescent="0.3">
      <c r="A2368" s="101">
        <v>2023</v>
      </c>
      <c r="B2368" s="90">
        <v>11</v>
      </c>
      <c r="C2368" s="90" t="s">
        <v>732</v>
      </c>
      <c r="D2368" s="90" t="s">
        <v>722</v>
      </c>
      <c r="E2368" s="102" t="s">
        <v>11</v>
      </c>
      <c r="F2368" s="103" t="s">
        <v>40</v>
      </c>
      <c r="G2368" s="93">
        <v>17035.59</v>
      </c>
      <c r="H2368" s="93">
        <v>136760.13</v>
      </c>
      <c r="I2368" s="93">
        <v>2397.5457928860201</v>
      </c>
      <c r="J2368" s="93">
        <v>22159.78</v>
      </c>
      <c r="K2368" s="93">
        <v>738.23</v>
      </c>
      <c r="L2368" s="93">
        <v>19149.560000000001</v>
      </c>
      <c r="M2368" s="93">
        <v>326305.03999999998</v>
      </c>
      <c r="N2368" s="95">
        <v>0.06</v>
      </c>
      <c r="O2368" s="95">
        <v>0.45</v>
      </c>
      <c r="P2368" s="95">
        <v>0.42</v>
      </c>
      <c r="Q2368" s="95">
        <v>7.0000000000000007E-2</v>
      </c>
      <c r="R2368" s="104">
        <v>0</v>
      </c>
    </row>
    <row r="2369" spans="1:18" ht="15" hidden="1" customHeight="1" x14ac:dyDescent="0.3">
      <c r="A2369" s="101">
        <v>2023</v>
      </c>
      <c r="B2369" s="90">
        <v>11</v>
      </c>
      <c r="C2369" s="90" t="s">
        <v>732</v>
      </c>
      <c r="D2369" s="90" t="s">
        <v>722</v>
      </c>
      <c r="E2369" s="102" t="s">
        <v>11</v>
      </c>
      <c r="F2369" s="103" t="s">
        <v>41</v>
      </c>
      <c r="G2369" s="93">
        <v>2152.63</v>
      </c>
      <c r="H2369" s="93">
        <v>7686.76</v>
      </c>
      <c r="I2369" s="93">
        <v>2397.5457928860201</v>
      </c>
      <c r="J2369" s="93">
        <v>2805.41</v>
      </c>
      <c r="K2369" s="93">
        <v>183.54</v>
      </c>
      <c r="L2369" s="93">
        <v>22.3</v>
      </c>
      <c r="M2369" s="93">
        <v>18714.330000000002</v>
      </c>
      <c r="N2369" s="95">
        <v>0.12</v>
      </c>
      <c r="O2369" s="95">
        <v>0.41</v>
      </c>
      <c r="P2369" s="95">
        <v>0.31</v>
      </c>
      <c r="Q2369" s="95">
        <v>0.15</v>
      </c>
      <c r="R2369" s="104">
        <v>0.01</v>
      </c>
    </row>
    <row r="2370" spans="1:18" ht="15" hidden="1" customHeight="1" x14ac:dyDescent="0.3">
      <c r="A2370" s="101">
        <v>2023</v>
      </c>
      <c r="B2370" s="90">
        <v>11</v>
      </c>
      <c r="C2370" s="90" t="s">
        <v>732</v>
      </c>
      <c r="D2370" s="90" t="s">
        <v>722</v>
      </c>
      <c r="E2370" s="102" t="s">
        <v>11</v>
      </c>
      <c r="F2370" s="103" t="s">
        <v>42</v>
      </c>
      <c r="G2370" s="93">
        <v>44814.35</v>
      </c>
      <c r="H2370" s="93">
        <v>284213.95</v>
      </c>
      <c r="I2370" s="93">
        <v>2397.5457928860201</v>
      </c>
      <c r="J2370" s="93">
        <v>30384.03</v>
      </c>
      <c r="K2370" s="93">
        <v>593.49</v>
      </c>
      <c r="L2370" s="93">
        <v>86141.87</v>
      </c>
      <c r="M2370" s="93">
        <v>620824.21</v>
      </c>
      <c r="N2370" s="95">
        <v>0.08</v>
      </c>
      <c r="O2370" s="95">
        <v>0.53</v>
      </c>
      <c r="P2370" s="95">
        <v>0.33</v>
      </c>
      <c r="Q2370" s="95">
        <v>0.06</v>
      </c>
      <c r="R2370" s="104">
        <v>0</v>
      </c>
    </row>
    <row r="2371" spans="1:18" ht="15" hidden="1" customHeight="1" x14ac:dyDescent="0.3">
      <c r="A2371" s="101">
        <v>2023</v>
      </c>
      <c r="B2371" s="90">
        <v>11</v>
      </c>
      <c r="C2371" s="90" t="s">
        <v>732</v>
      </c>
      <c r="D2371" s="90" t="s">
        <v>722</v>
      </c>
      <c r="E2371" s="102" t="s">
        <v>11</v>
      </c>
      <c r="F2371" s="103" t="s">
        <v>43</v>
      </c>
      <c r="G2371" s="93">
        <v>10468.719999999999</v>
      </c>
      <c r="H2371" s="93">
        <v>36193.79</v>
      </c>
      <c r="I2371" s="93">
        <v>2397.5457928860201</v>
      </c>
      <c r="J2371" s="93">
        <v>5268.92</v>
      </c>
      <c r="K2371" s="93">
        <v>394.25</v>
      </c>
      <c r="L2371" s="93">
        <v>115349.85</v>
      </c>
      <c r="M2371" s="93">
        <v>185575.52</v>
      </c>
      <c r="N2371" s="95">
        <v>0.15</v>
      </c>
      <c r="O2371" s="95">
        <v>0.52</v>
      </c>
      <c r="P2371" s="95">
        <v>0.25</v>
      </c>
      <c r="Q2371" s="95">
        <v>0.08</v>
      </c>
      <c r="R2371" s="104">
        <v>0.01</v>
      </c>
    </row>
    <row r="2372" spans="1:18" ht="15" hidden="1" customHeight="1" x14ac:dyDescent="0.3">
      <c r="A2372" s="101">
        <v>2023</v>
      </c>
      <c r="B2372" s="90">
        <v>11</v>
      </c>
      <c r="C2372" s="90" t="s">
        <v>732</v>
      </c>
      <c r="D2372" s="90" t="s">
        <v>722</v>
      </c>
      <c r="E2372" s="102" t="s">
        <v>11</v>
      </c>
      <c r="F2372" s="103" t="s">
        <v>58</v>
      </c>
      <c r="G2372" s="93">
        <v>26015.11</v>
      </c>
      <c r="H2372" s="93">
        <v>142856.79999999999</v>
      </c>
      <c r="I2372" s="93">
        <v>2397.5457928860201</v>
      </c>
      <c r="J2372" s="93">
        <v>20158.939999999999</v>
      </c>
      <c r="K2372" s="93">
        <v>313.13</v>
      </c>
      <c r="L2372" s="93">
        <v>72715.48</v>
      </c>
      <c r="M2372" s="93">
        <v>371477.13</v>
      </c>
      <c r="N2372" s="95">
        <v>0.09</v>
      </c>
      <c r="O2372" s="95">
        <v>0.48</v>
      </c>
      <c r="P2372" s="95">
        <v>0.37</v>
      </c>
      <c r="Q2372" s="95">
        <v>7.0000000000000007E-2</v>
      </c>
      <c r="R2372" s="104">
        <v>0</v>
      </c>
    </row>
    <row r="2373" spans="1:18" ht="15" hidden="1" customHeight="1" x14ac:dyDescent="0.3">
      <c r="A2373" s="101">
        <v>2023</v>
      </c>
      <c r="B2373" s="90">
        <v>11</v>
      </c>
      <c r="C2373" s="90" t="s">
        <v>732</v>
      </c>
      <c r="D2373" s="90" t="s">
        <v>722</v>
      </c>
      <c r="E2373" s="102" t="s">
        <v>11</v>
      </c>
      <c r="F2373" s="103" t="s">
        <v>44</v>
      </c>
      <c r="G2373" s="93">
        <v>3638.07</v>
      </c>
      <c r="H2373" s="93">
        <v>17570.88</v>
      </c>
      <c r="I2373" s="93">
        <v>2397.5457928860201</v>
      </c>
      <c r="J2373" s="93">
        <v>78300.820000000007</v>
      </c>
      <c r="K2373" s="93">
        <v>3223.44</v>
      </c>
      <c r="L2373" s="93">
        <v>46082.080000000002</v>
      </c>
      <c r="M2373" s="93">
        <v>215729.36</v>
      </c>
      <c r="N2373" s="95">
        <v>0.02</v>
      </c>
      <c r="O2373" s="95">
        <v>0.1</v>
      </c>
      <c r="P2373" s="95">
        <v>0.39</v>
      </c>
      <c r="Q2373" s="95">
        <v>0.46</v>
      </c>
      <c r="R2373" s="104">
        <v>0.02</v>
      </c>
    </row>
    <row r="2374" spans="1:18" ht="15" hidden="1" customHeight="1" x14ac:dyDescent="0.3">
      <c r="A2374" s="101">
        <v>2023</v>
      </c>
      <c r="B2374" s="90">
        <v>11</v>
      </c>
      <c r="C2374" s="90" t="s">
        <v>732</v>
      </c>
      <c r="D2374" s="90" t="s">
        <v>722</v>
      </c>
      <c r="E2374" s="102" t="s">
        <v>11</v>
      </c>
      <c r="F2374" s="103" t="s">
        <v>51</v>
      </c>
      <c r="G2374" s="93">
        <v>14308.8</v>
      </c>
      <c r="H2374" s="93">
        <v>31551.61</v>
      </c>
      <c r="I2374" s="93">
        <v>2397.5457928860201</v>
      </c>
      <c r="J2374" s="93">
        <v>49022.11</v>
      </c>
      <c r="K2374" s="93">
        <v>4783.1899999999996</v>
      </c>
      <c r="L2374" s="93">
        <v>84.66</v>
      </c>
      <c r="M2374" s="93">
        <v>211202.48</v>
      </c>
      <c r="N2374" s="95">
        <v>7.0000000000000007E-2</v>
      </c>
      <c r="O2374" s="95">
        <v>0.15</v>
      </c>
      <c r="P2374" s="95">
        <v>0.53</v>
      </c>
      <c r="Q2374" s="95">
        <v>0.23</v>
      </c>
      <c r="R2374" s="104">
        <v>0.02</v>
      </c>
    </row>
    <row r="2375" spans="1:18" ht="15" hidden="1" customHeight="1" x14ac:dyDescent="0.3">
      <c r="A2375" s="101">
        <v>2023</v>
      </c>
      <c r="B2375" s="90">
        <v>11</v>
      </c>
      <c r="C2375" s="90" t="s">
        <v>732</v>
      </c>
      <c r="D2375" s="90" t="s">
        <v>722</v>
      </c>
      <c r="E2375" s="102" t="s">
        <v>11</v>
      </c>
      <c r="F2375" s="103" t="s">
        <v>45</v>
      </c>
      <c r="G2375" s="93">
        <v>12848.86</v>
      </c>
      <c r="H2375" s="93">
        <v>31203.360000000001</v>
      </c>
      <c r="I2375" s="93">
        <v>2397.5457928860201</v>
      </c>
      <c r="J2375" s="93">
        <v>7164.67</v>
      </c>
      <c r="K2375" s="93">
        <v>348.48</v>
      </c>
      <c r="L2375" s="93">
        <v>53449.31</v>
      </c>
      <c r="M2375" s="93">
        <v>134096.20000000001</v>
      </c>
      <c r="N2375" s="95">
        <v>0.16</v>
      </c>
      <c r="O2375" s="95">
        <v>0.39</v>
      </c>
      <c r="P2375" s="95">
        <v>0.36</v>
      </c>
      <c r="Q2375" s="95">
        <v>0.09</v>
      </c>
      <c r="R2375" s="104">
        <v>0</v>
      </c>
    </row>
    <row r="2376" spans="1:18" ht="15" hidden="1" customHeight="1" x14ac:dyDescent="0.3">
      <c r="A2376" s="101">
        <v>2023</v>
      </c>
      <c r="B2376" s="90">
        <v>11</v>
      </c>
      <c r="C2376" s="90" t="s">
        <v>732</v>
      </c>
      <c r="D2376" s="90" t="s">
        <v>722</v>
      </c>
      <c r="E2376" s="102" t="s">
        <v>11</v>
      </c>
      <c r="F2376" s="103" t="s">
        <v>721</v>
      </c>
      <c r="G2376" s="93">
        <v>17099.78</v>
      </c>
      <c r="H2376" s="93">
        <v>126849.14</v>
      </c>
      <c r="I2376" s="93">
        <v>2397.5457928860201</v>
      </c>
      <c r="J2376" s="93">
        <v>11169.42</v>
      </c>
      <c r="K2376" s="93">
        <v>797.98</v>
      </c>
      <c r="L2376" s="93">
        <v>84824.63</v>
      </c>
      <c r="M2376" s="93">
        <v>309330.63</v>
      </c>
      <c r="N2376" s="95">
        <v>0.08</v>
      </c>
      <c r="O2376" s="95">
        <v>0.56999999999999995</v>
      </c>
      <c r="P2376" s="95">
        <v>0.31</v>
      </c>
      <c r="Q2376" s="95">
        <v>0.05</v>
      </c>
      <c r="R2376" s="104">
        <v>0</v>
      </c>
    </row>
    <row r="2377" spans="1:18" ht="15" hidden="1" customHeight="1" x14ac:dyDescent="0.3">
      <c r="A2377" s="101">
        <v>2023</v>
      </c>
      <c r="B2377" s="90">
        <v>11</v>
      </c>
      <c r="C2377" s="90" t="s">
        <v>732</v>
      </c>
      <c r="D2377" s="90" t="s">
        <v>722</v>
      </c>
      <c r="E2377" s="102" t="s">
        <v>11</v>
      </c>
      <c r="F2377" s="103" t="s">
        <v>46</v>
      </c>
      <c r="G2377" s="93">
        <v>23020.94</v>
      </c>
      <c r="H2377" s="93">
        <v>66731.14</v>
      </c>
      <c r="I2377" s="93">
        <v>2397.5457928860201</v>
      </c>
      <c r="J2377" s="93">
        <v>16167.23</v>
      </c>
      <c r="K2377" s="93">
        <v>3248.9</v>
      </c>
      <c r="L2377" s="93">
        <v>343.56</v>
      </c>
      <c r="M2377" s="93">
        <v>149074.81</v>
      </c>
      <c r="N2377" s="95">
        <v>0.15</v>
      </c>
      <c r="O2377" s="95">
        <v>0.45</v>
      </c>
      <c r="P2377" s="95">
        <v>0.27</v>
      </c>
      <c r="Q2377" s="95">
        <v>0.11</v>
      </c>
      <c r="R2377" s="104">
        <v>0.02</v>
      </c>
    </row>
    <row r="2378" spans="1:18" ht="15" hidden="1" customHeight="1" x14ac:dyDescent="0.3">
      <c r="A2378" s="101">
        <v>2023</v>
      </c>
      <c r="B2378" s="90">
        <v>11</v>
      </c>
      <c r="C2378" s="90" t="s">
        <v>732</v>
      </c>
      <c r="D2378" s="90" t="s">
        <v>722</v>
      </c>
      <c r="E2378" s="102" t="s">
        <v>11</v>
      </c>
      <c r="F2378" s="103" t="s">
        <v>47</v>
      </c>
      <c r="G2378" s="93">
        <v>28532.12</v>
      </c>
      <c r="H2378" s="93">
        <v>559239.77</v>
      </c>
      <c r="I2378" s="93">
        <v>2397.5457928860201</v>
      </c>
      <c r="J2378" s="93">
        <v>126374.7</v>
      </c>
      <c r="K2378" s="93">
        <v>21241.14</v>
      </c>
      <c r="L2378" s="93">
        <v>118588.26</v>
      </c>
      <c r="M2378" s="93">
        <v>1459091.42</v>
      </c>
      <c r="N2378" s="95">
        <v>0.02</v>
      </c>
      <c r="O2378" s="95">
        <v>0.42</v>
      </c>
      <c r="P2378" s="95">
        <v>0.45</v>
      </c>
      <c r="Q2378" s="95">
        <v>0.09</v>
      </c>
      <c r="R2378" s="104">
        <v>0.02</v>
      </c>
    </row>
    <row r="2379" spans="1:18" ht="15" hidden="1" customHeight="1" x14ac:dyDescent="0.3">
      <c r="A2379" s="101">
        <v>2023</v>
      </c>
      <c r="B2379" s="90">
        <v>11</v>
      </c>
      <c r="C2379" s="90" t="s">
        <v>732</v>
      </c>
      <c r="D2379" s="90" t="s">
        <v>722</v>
      </c>
      <c r="E2379" s="102" t="s">
        <v>11</v>
      </c>
      <c r="F2379" s="103" t="s">
        <v>48</v>
      </c>
      <c r="G2379" s="93">
        <v>3049.81</v>
      </c>
      <c r="H2379" s="93">
        <v>24885.18</v>
      </c>
      <c r="I2379" s="93">
        <v>2397.5457928860201</v>
      </c>
      <c r="J2379" s="93">
        <v>19508.990000000002</v>
      </c>
      <c r="K2379" s="93">
        <v>492.78</v>
      </c>
      <c r="L2379" s="93">
        <v>15603</v>
      </c>
      <c r="M2379" s="93">
        <v>110314.47</v>
      </c>
      <c r="N2379" s="95">
        <v>0.03</v>
      </c>
      <c r="O2379" s="95">
        <v>0.26</v>
      </c>
      <c r="P2379" s="95">
        <v>0.49</v>
      </c>
      <c r="Q2379" s="95">
        <v>0.21</v>
      </c>
      <c r="R2379" s="104">
        <v>0.01</v>
      </c>
    </row>
    <row r="2380" spans="1:18" ht="15" hidden="1" customHeight="1" x14ac:dyDescent="0.3">
      <c r="A2380" s="101">
        <v>2023</v>
      </c>
      <c r="B2380" s="90">
        <v>12</v>
      </c>
      <c r="C2380" s="90" t="s">
        <v>733</v>
      </c>
      <c r="D2380" s="90" t="s">
        <v>719</v>
      </c>
      <c r="E2380" s="102" t="s">
        <v>11</v>
      </c>
      <c r="F2380" s="103" t="s">
        <v>12</v>
      </c>
      <c r="G2380" s="93">
        <v>24285.99</v>
      </c>
      <c r="H2380" s="93">
        <v>74706.820000000007</v>
      </c>
      <c r="I2380" s="93">
        <v>2397.5457928860201</v>
      </c>
      <c r="J2380" s="93">
        <v>122660.99</v>
      </c>
      <c r="K2380" s="93">
        <v>26492.21</v>
      </c>
      <c r="L2380" s="93">
        <v>51277.13</v>
      </c>
      <c r="M2380" s="93">
        <v>433311.44</v>
      </c>
      <c r="N2380" s="95">
        <v>0.06</v>
      </c>
      <c r="O2380" s="95">
        <v>0.2</v>
      </c>
      <c r="P2380" s="95">
        <v>0.35</v>
      </c>
      <c r="Q2380" s="95">
        <v>0.32</v>
      </c>
      <c r="R2380" s="104">
        <v>7.0000000000000007E-2</v>
      </c>
    </row>
    <row r="2381" spans="1:18" ht="15" hidden="1" customHeight="1" x14ac:dyDescent="0.3">
      <c r="A2381" s="101">
        <v>2023</v>
      </c>
      <c r="B2381" s="90">
        <v>12</v>
      </c>
      <c r="C2381" s="90" t="s">
        <v>733</v>
      </c>
      <c r="D2381" s="90" t="s">
        <v>719</v>
      </c>
      <c r="E2381" s="102" t="s">
        <v>11</v>
      </c>
      <c r="F2381" s="103" t="s">
        <v>26</v>
      </c>
      <c r="G2381" s="93">
        <v>163977.37</v>
      </c>
      <c r="H2381" s="93">
        <v>211740.15</v>
      </c>
      <c r="I2381" s="93">
        <v>2397.5457928860201</v>
      </c>
      <c r="J2381" s="93">
        <v>322887.5</v>
      </c>
      <c r="K2381" s="93">
        <v>43478.23</v>
      </c>
      <c r="L2381" s="93">
        <v>263934.24</v>
      </c>
      <c r="M2381" s="93">
        <v>1302393.77</v>
      </c>
      <c r="N2381" s="95">
        <v>0.16</v>
      </c>
      <c r="O2381" s="95">
        <v>0.2</v>
      </c>
      <c r="P2381" s="95">
        <v>0.28999999999999998</v>
      </c>
      <c r="Q2381" s="95">
        <v>0.31</v>
      </c>
      <c r="R2381" s="104">
        <v>0.04</v>
      </c>
    </row>
    <row r="2382" spans="1:18" ht="15" hidden="1" customHeight="1" x14ac:dyDescent="0.3">
      <c r="A2382" s="101">
        <v>2023</v>
      </c>
      <c r="B2382" s="90">
        <v>12</v>
      </c>
      <c r="C2382" s="90" t="s">
        <v>733</v>
      </c>
      <c r="D2382" s="90" t="s">
        <v>719</v>
      </c>
      <c r="E2382" s="102" t="s">
        <v>11</v>
      </c>
      <c r="F2382" s="103" t="s">
        <v>27</v>
      </c>
      <c r="G2382" s="93">
        <v>13413.95</v>
      </c>
      <c r="H2382" s="93">
        <v>109280</v>
      </c>
      <c r="I2382" s="93">
        <v>2397.5457928860201</v>
      </c>
      <c r="J2382" s="93">
        <v>18942.13</v>
      </c>
      <c r="K2382" s="93">
        <v>2510.31</v>
      </c>
      <c r="L2382" s="93">
        <v>1505.66</v>
      </c>
      <c r="M2382" s="93">
        <v>226689.38</v>
      </c>
      <c r="N2382" s="95">
        <v>0.06</v>
      </c>
      <c r="O2382" s="95">
        <v>0.49</v>
      </c>
      <c r="P2382" s="95">
        <v>0.36</v>
      </c>
      <c r="Q2382" s="95">
        <v>0.08</v>
      </c>
      <c r="R2382" s="104">
        <v>0.01</v>
      </c>
    </row>
    <row r="2383" spans="1:18" ht="15" hidden="1" customHeight="1" x14ac:dyDescent="0.3">
      <c r="A2383" s="101">
        <v>2023</v>
      </c>
      <c r="B2383" s="90">
        <v>12</v>
      </c>
      <c r="C2383" s="90" t="s">
        <v>733</v>
      </c>
      <c r="D2383" s="90" t="s">
        <v>719</v>
      </c>
      <c r="E2383" s="102" t="s">
        <v>11</v>
      </c>
      <c r="F2383" s="103" t="s">
        <v>28</v>
      </c>
      <c r="G2383" s="93">
        <v>5054.47</v>
      </c>
      <c r="H2383" s="93">
        <v>70555.990000000005</v>
      </c>
      <c r="I2383" s="93">
        <v>2397.5457928860201</v>
      </c>
      <c r="J2383" s="93">
        <v>143786.93</v>
      </c>
      <c r="K2383" s="93">
        <v>14936.56</v>
      </c>
      <c r="L2383" s="93">
        <v>3261.43</v>
      </c>
      <c r="M2383" s="93">
        <v>373104.4</v>
      </c>
      <c r="N2383" s="95">
        <v>0.01</v>
      </c>
      <c r="O2383" s="95">
        <v>0.19</v>
      </c>
      <c r="P2383" s="95">
        <v>0.37</v>
      </c>
      <c r="Q2383" s="95">
        <v>0.39</v>
      </c>
      <c r="R2383" s="104">
        <v>0.04</v>
      </c>
    </row>
    <row r="2384" spans="1:18" ht="15" customHeight="1" x14ac:dyDescent="0.3">
      <c r="A2384" s="101">
        <v>2023</v>
      </c>
      <c r="B2384" s="90">
        <v>12</v>
      </c>
      <c r="C2384" s="90" t="s">
        <v>733</v>
      </c>
      <c r="D2384" s="90" t="s">
        <v>719</v>
      </c>
      <c r="E2384" s="102" t="s">
        <v>11</v>
      </c>
      <c r="F2384" s="103" t="s">
        <v>29</v>
      </c>
      <c r="G2384" s="93">
        <v>12433.89</v>
      </c>
      <c r="H2384" s="93">
        <v>45391.87</v>
      </c>
      <c r="I2384" s="93">
        <v>2397.5457928860201</v>
      </c>
      <c r="J2384" s="93">
        <v>108880.09</v>
      </c>
      <c r="K2384" s="93">
        <v>13560.93</v>
      </c>
      <c r="L2384" s="93">
        <v>51833.29</v>
      </c>
      <c r="M2384" s="93">
        <v>354391.76</v>
      </c>
      <c r="N2384" s="95">
        <v>0.04</v>
      </c>
      <c r="O2384" s="95">
        <v>0.15</v>
      </c>
      <c r="P2384" s="95">
        <v>0.4</v>
      </c>
      <c r="Q2384" s="95">
        <v>0.36</v>
      </c>
      <c r="R2384" s="104">
        <v>0.04</v>
      </c>
    </row>
    <row r="2385" spans="1:18" ht="15" hidden="1" customHeight="1" x14ac:dyDescent="0.3">
      <c r="A2385" s="101">
        <v>2023</v>
      </c>
      <c r="B2385" s="90">
        <v>12</v>
      </c>
      <c r="C2385" s="90" t="s">
        <v>733</v>
      </c>
      <c r="D2385" s="90" t="s">
        <v>719</v>
      </c>
      <c r="E2385" s="102" t="s">
        <v>11</v>
      </c>
      <c r="F2385" s="103" t="s">
        <v>30</v>
      </c>
      <c r="G2385" s="93">
        <v>992.82</v>
      </c>
      <c r="H2385" s="93">
        <v>2666.65</v>
      </c>
      <c r="I2385" s="93">
        <v>2397.5457928860201</v>
      </c>
      <c r="J2385" s="93">
        <v>4933.38</v>
      </c>
      <c r="K2385" s="93">
        <v>1230.54</v>
      </c>
      <c r="L2385" s="93">
        <v>215406.96</v>
      </c>
      <c r="M2385" s="93">
        <v>230086.24</v>
      </c>
      <c r="N2385" s="95">
        <v>7.0000000000000007E-2</v>
      </c>
      <c r="O2385" s="95">
        <v>0.18</v>
      </c>
      <c r="P2385" s="95">
        <v>0.33</v>
      </c>
      <c r="Q2385" s="95">
        <v>0.34</v>
      </c>
      <c r="R2385" s="104">
        <v>0.08</v>
      </c>
    </row>
    <row r="2386" spans="1:18" ht="15" hidden="1" customHeight="1" x14ac:dyDescent="0.3">
      <c r="A2386" s="101">
        <v>2023</v>
      </c>
      <c r="B2386" s="90">
        <v>12</v>
      </c>
      <c r="C2386" s="90" t="s">
        <v>733</v>
      </c>
      <c r="D2386" s="90" t="s">
        <v>719</v>
      </c>
      <c r="E2386" s="102" t="s">
        <v>11</v>
      </c>
      <c r="F2386" s="103" t="s">
        <v>31</v>
      </c>
      <c r="G2386" s="93">
        <v>1442.55</v>
      </c>
      <c r="H2386" s="93">
        <v>37637.39</v>
      </c>
      <c r="I2386" s="93">
        <v>2397.5457928860201</v>
      </c>
      <c r="J2386" s="93">
        <v>61677.52</v>
      </c>
      <c r="K2386" s="93">
        <v>22800.39</v>
      </c>
      <c r="L2386" s="93">
        <v>44432.959999999999</v>
      </c>
      <c r="M2386" s="93">
        <v>251948.86</v>
      </c>
      <c r="N2386" s="95">
        <v>0.01</v>
      </c>
      <c r="O2386" s="95">
        <v>0.18</v>
      </c>
      <c r="P2386" s="95">
        <v>0.4</v>
      </c>
      <c r="Q2386" s="95">
        <v>0.3</v>
      </c>
      <c r="R2386" s="104">
        <v>0.11</v>
      </c>
    </row>
    <row r="2387" spans="1:18" ht="15" hidden="1" customHeight="1" x14ac:dyDescent="0.3">
      <c r="A2387" s="101">
        <v>2023</v>
      </c>
      <c r="B2387" s="90">
        <v>12</v>
      </c>
      <c r="C2387" s="90" t="s">
        <v>733</v>
      </c>
      <c r="D2387" s="90" t="s">
        <v>719</v>
      </c>
      <c r="E2387" s="102" t="s">
        <v>11</v>
      </c>
      <c r="F2387" s="103" t="s">
        <v>32</v>
      </c>
      <c r="G2387" s="93">
        <v>11546.81</v>
      </c>
      <c r="H2387" s="93">
        <v>120991.54</v>
      </c>
      <c r="I2387" s="93">
        <v>2397.5457928860201</v>
      </c>
      <c r="J2387" s="93">
        <v>159081.29999999999</v>
      </c>
      <c r="K2387" s="93">
        <v>14188.07</v>
      </c>
      <c r="L2387" s="93">
        <v>35470.25</v>
      </c>
      <c r="M2387" s="93">
        <v>609521.87</v>
      </c>
      <c r="N2387" s="95">
        <v>0.02</v>
      </c>
      <c r="O2387" s="95">
        <v>0.21</v>
      </c>
      <c r="P2387" s="95">
        <v>0.47</v>
      </c>
      <c r="Q2387" s="95">
        <v>0.28000000000000003</v>
      </c>
      <c r="R2387" s="104">
        <v>0.02</v>
      </c>
    </row>
    <row r="2388" spans="1:18" ht="15" hidden="1" customHeight="1" x14ac:dyDescent="0.3">
      <c r="A2388" s="101">
        <v>2023</v>
      </c>
      <c r="B2388" s="90">
        <v>12</v>
      </c>
      <c r="C2388" s="90" t="s">
        <v>733</v>
      </c>
      <c r="D2388" s="90" t="s">
        <v>719</v>
      </c>
      <c r="E2388" s="102" t="s">
        <v>11</v>
      </c>
      <c r="F2388" s="103" t="s">
        <v>33</v>
      </c>
      <c r="G2388" s="93">
        <v>38165.54</v>
      </c>
      <c r="H2388" s="93">
        <v>206094.98</v>
      </c>
      <c r="I2388" s="93">
        <v>2397.5457928860201</v>
      </c>
      <c r="J2388" s="93">
        <v>443243.11</v>
      </c>
      <c r="K2388" s="93">
        <v>20175.25</v>
      </c>
      <c r="L2388" s="93">
        <v>37653.129999999997</v>
      </c>
      <c r="M2388" s="93">
        <v>1352055.51</v>
      </c>
      <c r="N2388" s="95">
        <v>0.03</v>
      </c>
      <c r="O2388" s="95">
        <v>0.16</v>
      </c>
      <c r="P2388" s="95">
        <v>0.46</v>
      </c>
      <c r="Q2388" s="95">
        <v>0.34</v>
      </c>
      <c r="R2388" s="104">
        <v>0.02</v>
      </c>
    </row>
    <row r="2389" spans="1:18" ht="15" hidden="1" customHeight="1" x14ac:dyDescent="0.3">
      <c r="A2389" s="101">
        <v>2023</v>
      </c>
      <c r="B2389" s="90">
        <v>12</v>
      </c>
      <c r="C2389" s="90" t="s">
        <v>733</v>
      </c>
      <c r="D2389" s="90" t="s">
        <v>719</v>
      </c>
      <c r="E2389" s="102" t="s">
        <v>11</v>
      </c>
      <c r="F2389" s="103" t="s">
        <v>34</v>
      </c>
      <c r="G2389" s="93">
        <v>26026.07</v>
      </c>
      <c r="H2389" s="93">
        <v>141668.79</v>
      </c>
      <c r="I2389" s="93">
        <v>2397.5457928860201</v>
      </c>
      <c r="J2389" s="93">
        <v>203978.72</v>
      </c>
      <c r="K2389" s="93">
        <v>40140.42</v>
      </c>
      <c r="L2389" s="93">
        <v>29004.5</v>
      </c>
      <c r="M2389" s="93">
        <v>713628.98</v>
      </c>
      <c r="N2389" s="95">
        <v>0.04</v>
      </c>
      <c r="O2389" s="95">
        <v>0.21</v>
      </c>
      <c r="P2389" s="95">
        <v>0.4</v>
      </c>
      <c r="Q2389" s="95">
        <v>0.3</v>
      </c>
      <c r="R2389" s="104">
        <v>0.06</v>
      </c>
    </row>
    <row r="2390" spans="1:18" ht="15" hidden="1" customHeight="1" x14ac:dyDescent="0.3">
      <c r="A2390" s="101">
        <v>2023</v>
      </c>
      <c r="B2390" s="90">
        <v>12</v>
      </c>
      <c r="C2390" s="90" t="s">
        <v>733</v>
      </c>
      <c r="D2390" s="90" t="s">
        <v>719</v>
      </c>
      <c r="E2390" s="102" t="s">
        <v>11</v>
      </c>
      <c r="F2390" s="103" t="s">
        <v>35</v>
      </c>
      <c r="G2390" s="93">
        <v>23910.26</v>
      </c>
      <c r="H2390" s="93">
        <v>104975.75</v>
      </c>
      <c r="I2390" s="93">
        <v>2397.5457928860201</v>
      </c>
      <c r="J2390" s="93">
        <v>114318.92</v>
      </c>
      <c r="K2390" s="93">
        <v>10922.45</v>
      </c>
      <c r="L2390" s="93">
        <v>232976.98</v>
      </c>
      <c r="M2390" s="93">
        <v>605861.19999999995</v>
      </c>
      <c r="N2390" s="95">
        <v>0.06</v>
      </c>
      <c r="O2390" s="95">
        <v>0.28000000000000003</v>
      </c>
      <c r="P2390" s="95">
        <v>0.32</v>
      </c>
      <c r="Q2390" s="95">
        <v>0.31</v>
      </c>
      <c r="R2390" s="104">
        <v>0.03</v>
      </c>
    </row>
    <row r="2391" spans="1:18" ht="15" hidden="1" customHeight="1" x14ac:dyDescent="0.3">
      <c r="A2391" s="101">
        <v>2023</v>
      </c>
      <c r="B2391" s="90">
        <v>12</v>
      </c>
      <c r="C2391" s="90" t="s">
        <v>733</v>
      </c>
      <c r="D2391" s="90" t="s">
        <v>719</v>
      </c>
      <c r="E2391" s="102" t="s">
        <v>11</v>
      </c>
      <c r="F2391" s="103" t="s">
        <v>36</v>
      </c>
      <c r="G2391" s="93">
        <v>4082.31</v>
      </c>
      <c r="H2391" s="93">
        <v>34492.870000000003</v>
      </c>
      <c r="I2391" s="93">
        <v>2397.5457928860201</v>
      </c>
      <c r="J2391" s="93">
        <v>44603.98</v>
      </c>
      <c r="K2391" s="93">
        <v>155.91999999999999</v>
      </c>
      <c r="L2391" s="93">
        <v>36774.57</v>
      </c>
      <c r="M2391" s="93">
        <v>258886.74</v>
      </c>
      <c r="N2391" s="95">
        <v>0.02</v>
      </c>
      <c r="O2391" s="95">
        <v>0.16</v>
      </c>
      <c r="P2391" s="95">
        <v>0.62</v>
      </c>
      <c r="Q2391" s="95">
        <v>0.2</v>
      </c>
      <c r="R2391" s="104">
        <v>0</v>
      </c>
    </row>
    <row r="2392" spans="1:18" ht="15" hidden="1" customHeight="1" x14ac:dyDescent="0.3">
      <c r="A2392" s="101">
        <v>2023</v>
      </c>
      <c r="B2392" s="90">
        <v>12</v>
      </c>
      <c r="C2392" s="90" t="s">
        <v>733</v>
      </c>
      <c r="D2392" s="90" t="s">
        <v>719</v>
      </c>
      <c r="E2392" s="102" t="s">
        <v>11</v>
      </c>
      <c r="F2392" s="103" t="s">
        <v>37</v>
      </c>
      <c r="G2392" s="93">
        <v>4634.7700000000004</v>
      </c>
      <c r="H2392" s="93">
        <v>21104.1</v>
      </c>
      <c r="I2392" s="93">
        <v>2397.5457928860201</v>
      </c>
      <c r="J2392" s="93">
        <v>198701.98</v>
      </c>
      <c r="K2392" s="93">
        <v>68362.27</v>
      </c>
      <c r="L2392" s="93">
        <v>142664.49</v>
      </c>
      <c r="M2392" s="93">
        <v>524074.32</v>
      </c>
      <c r="N2392" s="95">
        <v>0.01</v>
      </c>
      <c r="O2392" s="95">
        <v>0.06</v>
      </c>
      <c r="P2392" s="95">
        <v>0.23</v>
      </c>
      <c r="Q2392" s="95">
        <v>0.52</v>
      </c>
      <c r="R2392" s="104">
        <v>0.18</v>
      </c>
    </row>
    <row r="2393" spans="1:18" ht="15" hidden="1" customHeight="1" x14ac:dyDescent="0.3">
      <c r="A2393" s="101">
        <v>2023</v>
      </c>
      <c r="B2393" s="90">
        <v>12</v>
      </c>
      <c r="C2393" s="90" t="s">
        <v>733</v>
      </c>
      <c r="D2393" s="90" t="s">
        <v>719</v>
      </c>
      <c r="E2393" s="102" t="s">
        <v>11</v>
      </c>
      <c r="F2393" s="103" t="s">
        <v>38</v>
      </c>
      <c r="G2393" s="93">
        <v>70820.59</v>
      </c>
      <c r="H2393" s="93">
        <v>131743.38</v>
      </c>
      <c r="I2393" s="93">
        <v>2397.5457928860201</v>
      </c>
      <c r="J2393" s="93">
        <v>215333.5</v>
      </c>
      <c r="K2393" s="93">
        <v>5589.95</v>
      </c>
      <c r="L2393" s="93">
        <v>166583.35999999999</v>
      </c>
      <c r="M2393" s="93">
        <v>927959.02</v>
      </c>
      <c r="N2393" s="95">
        <v>0.09</v>
      </c>
      <c r="O2393" s="95">
        <v>0.17</v>
      </c>
      <c r="P2393" s="95">
        <v>0.44</v>
      </c>
      <c r="Q2393" s="95">
        <v>0.28000000000000003</v>
      </c>
      <c r="R2393" s="104">
        <v>0.01</v>
      </c>
    </row>
    <row r="2394" spans="1:18" ht="15" hidden="1" customHeight="1" x14ac:dyDescent="0.3">
      <c r="A2394" s="101">
        <v>2023</v>
      </c>
      <c r="B2394" s="90">
        <v>12</v>
      </c>
      <c r="C2394" s="90" t="s">
        <v>733</v>
      </c>
      <c r="D2394" s="90" t="s">
        <v>719</v>
      </c>
      <c r="E2394" s="102" t="s">
        <v>11</v>
      </c>
      <c r="F2394" s="103" t="s">
        <v>39</v>
      </c>
      <c r="G2394" s="93">
        <v>29131.89</v>
      </c>
      <c r="H2394" s="93">
        <v>159412.13</v>
      </c>
      <c r="I2394" s="93">
        <v>2397.5457928860201</v>
      </c>
      <c r="J2394" s="93">
        <v>12080.69</v>
      </c>
      <c r="K2394" s="93">
        <v>486.07</v>
      </c>
      <c r="L2394" s="93">
        <v>19740.310000000001</v>
      </c>
      <c r="M2394" s="93">
        <v>331195.63</v>
      </c>
      <c r="N2394" s="95">
        <v>0.09</v>
      </c>
      <c r="O2394" s="95">
        <v>0.51</v>
      </c>
      <c r="P2394" s="95">
        <v>0.35</v>
      </c>
      <c r="Q2394" s="95">
        <v>0.04</v>
      </c>
      <c r="R2394" s="104">
        <v>0</v>
      </c>
    </row>
    <row r="2395" spans="1:18" ht="15" hidden="1" customHeight="1" x14ac:dyDescent="0.3">
      <c r="A2395" s="101">
        <v>2023</v>
      </c>
      <c r="B2395" s="90">
        <v>12</v>
      </c>
      <c r="C2395" s="90" t="s">
        <v>733</v>
      </c>
      <c r="D2395" s="90" t="s">
        <v>719</v>
      </c>
      <c r="E2395" s="102" t="s">
        <v>11</v>
      </c>
      <c r="F2395" s="103" t="s">
        <v>40</v>
      </c>
      <c r="G2395" s="93">
        <v>6005.6</v>
      </c>
      <c r="H2395" s="93">
        <v>33615.75</v>
      </c>
      <c r="I2395" s="93">
        <v>2397.5457928860201</v>
      </c>
      <c r="J2395" s="93">
        <v>134335.47</v>
      </c>
      <c r="K2395" s="93">
        <v>24085.8</v>
      </c>
      <c r="L2395" s="93">
        <v>8718.0300000000007</v>
      </c>
      <c r="M2395" s="93">
        <v>326305.03999999998</v>
      </c>
      <c r="N2395" s="95">
        <v>0.02</v>
      </c>
      <c r="O2395" s="95">
        <v>0.11</v>
      </c>
      <c r="P2395" s="95">
        <v>0.38</v>
      </c>
      <c r="Q2395" s="95">
        <v>0.42</v>
      </c>
      <c r="R2395" s="104">
        <v>0.08</v>
      </c>
    </row>
    <row r="2396" spans="1:18" ht="15" hidden="1" customHeight="1" x14ac:dyDescent="0.3">
      <c r="A2396" s="101">
        <v>2023</v>
      </c>
      <c r="B2396" s="90">
        <v>12</v>
      </c>
      <c r="C2396" s="90" t="s">
        <v>733</v>
      </c>
      <c r="D2396" s="90" t="s">
        <v>719</v>
      </c>
      <c r="E2396" s="102" t="s">
        <v>11</v>
      </c>
      <c r="F2396" s="103" t="s">
        <v>41</v>
      </c>
      <c r="G2396" s="93">
        <v>1992.95</v>
      </c>
      <c r="H2396" s="93">
        <v>6332.42</v>
      </c>
      <c r="I2396" s="93">
        <v>2397.5457928860201</v>
      </c>
      <c r="J2396" s="93">
        <v>3403.23</v>
      </c>
      <c r="K2396" s="93">
        <v>465.22</v>
      </c>
      <c r="L2396" s="93">
        <v>503.47</v>
      </c>
      <c r="M2396" s="93">
        <v>18714.330000000002</v>
      </c>
      <c r="N2396" s="95">
        <v>0.11</v>
      </c>
      <c r="O2396" s="95">
        <v>0.35</v>
      </c>
      <c r="P2396" s="95">
        <v>0.33</v>
      </c>
      <c r="Q2396" s="95">
        <v>0.19</v>
      </c>
      <c r="R2396" s="104">
        <v>0.03</v>
      </c>
    </row>
    <row r="2397" spans="1:18" ht="15" hidden="1" customHeight="1" x14ac:dyDescent="0.3">
      <c r="A2397" s="101">
        <v>2023</v>
      </c>
      <c r="B2397" s="90">
        <v>12</v>
      </c>
      <c r="C2397" s="90" t="s">
        <v>733</v>
      </c>
      <c r="D2397" s="90" t="s">
        <v>719</v>
      </c>
      <c r="E2397" s="102" t="s">
        <v>11</v>
      </c>
      <c r="F2397" s="103" t="s">
        <v>42</v>
      </c>
      <c r="G2397" s="93">
        <v>26263.360000000001</v>
      </c>
      <c r="H2397" s="93">
        <v>82929.289999999994</v>
      </c>
      <c r="I2397" s="93">
        <v>2397.5457928860201</v>
      </c>
      <c r="J2397" s="93">
        <v>225467.6</v>
      </c>
      <c r="K2397" s="93">
        <v>20097.46</v>
      </c>
      <c r="L2397" s="93">
        <v>56695.26</v>
      </c>
      <c r="M2397" s="93">
        <v>620824.21</v>
      </c>
      <c r="N2397" s="95">
        <v>0.05</v>
      </c>
      <c r="O2397" s="95">
        <v>0.15</v>
      </c>
      <c r="P2397" s="95">
        <v>0.37</v>
      </c>
      <c r="Q2397" s="95">
        <v>0.4</v>
      </c>
      <c r="R2397" s="104">
        <v>0.04</v>
      </c>
    </row>
    <row r="2398" spans="1:18" ht="15" hidden="1" customHeight="1" x14ac:dyDescent="0.3">
      <c r="A2398" s="101">
        <v>2023</v>
      </c>
      <c r="B2398" s="90">
        <v>12</v>
      </c>
      <c r="C2398" s="90" t="s">
        <v>733</v>
      </c>
      <c r="D2398" s="90" t="s">
        <v>719</v>
      </c>
      <c r="E2398" s="102" t="s">
        <v>11</v>
      </c>
      <c r="F2398" s="103" t="s">
        <v>43</v>
      </c>
      <c r="G2398" s="93">
        <v>6013.05</v>
      </c>
      <c r="H2398" s="93">
        <v>26139.87</v>
      </c>
      <c r="I2398" s="93">
        <v>2397.5457928860201</v>
      </c>
      <c r="J2398" s="93">
        <v>12995.9</v>
      </c>
      <c r="K2398" s="93">
        <v>2826.63</v>
      </c>
      <c r="L2398" s="93">
        <v>115862.19</v>
      </c>
      <c r="M2398" s="93">
        <v>185575.52</v>
      </c>
      <c r="N2398" s="95">
        <v>0.09</v>
      </c>
      <c r="O2398" s="95">
        <v>0.37</v>
      </c>
      <c r="P2398" s="95">
        <v>0.31</v>
      </c>
      <c r="Q2398" s="95">
        <v>0.19</v>
      </c>
      <c r="R2398" s="104">
        <v>0.04</v>
      </c>
    </row>
    <row r="2399" spans="1:18" ht="15" hidden="1" customHeight="1" x14ac:dyDescent="0.3">
      <c r="A2399" s="101">
        <v>2023</v>
      </c>
      <c r="B2399" s="90">
        <v>12</v>
      </c>
      <c r="C2399" s="90" t="s">
        <v>733</v>
      </c>
      <c r="D2399" s="90" t="s">
        <v>719</v>
      </c>
      <c r="E2399" s="102" t="s">
        <v>11</v>
      </c>
      <c r="F2399" s="103" t="s">
        <v>58</v>
      </c>
      <c r="G2399" s="93">
        <v>1216.96</v>
      </c>
      <c r="H2399" s="93">
        <v>14784.41</v>
      </c>
      <c r="I2399" s="93">
        <v>2397.5457928860201</v>
      </c>
      <c r="J2399" s="93">
        <v>188572.38</v>
      </c>
      <c r="K2399" s="93">
        <v>15641.37</v>
      </c>
      <c r="L2399" s="93">
        <v>4084.3</v>
      </c>
      <c r="M2399" s="93">
        <v>371477.13</v>
      </c>
      <c r="N2399" s="95">
        <v>0</v>
      </c>
      <c r="O2399" s="95">
        <v>0.04</v>
      </c>
      <c r="P2399" s="95">
        <v>0.4</v>
      </c>
      <c r="Q2399" s="95">
        <v>0.51</v>
      </c>
      <c r="R2399" s="104">
        <v>0.04</v>
      </c>
    </row>
    <row r="2400" spans="1:18" ht="15" hidden="1" customHeight="1" x14ac:dyDescent="0.3">
      <c r="A2400" s="101">
        <v>2023</v>
      </c>
      <c r="B2400" s="90">
        <v>12</v>
      </c>
      <c r="C2400" s="90" t="s">
        <v>733</v>
      </c>
      <c r="D2400" s="90" t="s">
        <v>719</v>
      </c>
      <c r="E2400" s="102" t="s">
        <v>11</v>
      </c>
      <c r="F2400" s="103" t="s">
        <v>44</v>
      </c>
      <c r="G2400" s="93">
        <v>3701.66</v>
      </c>
      <c r="H2400" s="93">
        <v>16562.57</v>
      </c>
      <c r="I2400" s="93">
        <v>2397.5457928860201</v>
      </c>
      <c r="J2400" s="93">
        <v>53800.14</v>
      </c>
      <c r="K2400" s="93">
        <v>1381.12</v>
      </c>
      <c r="L2400" s="93">
        <v>38015.33</v>
      </c>
      <c r="M2400" s="93">
        <v>215729.36</v>
      </c>
      <c r="N2400" s="95">
        <v>0.02</v>
      </c>
      <c r="O2400" s="95">
        <v>0.09</v>
      </c>
      <c r="P2400" s="95">
        <v>0.57999999999999996</v>
      </c>
      <c r="Q2400" s="95">
        <v>0.3</v>
      </c>
      <c r="R2400" s="104">
        <v>0.01</v>
      </c>
    </row>
    <row r="2401" spans="1:18" ht="15" hidden="1" customHeight="1" x14ac:dyDescent="0.3">
      <c r="A2401" s="101">
        <v>2023</v>
      </c>
      <c r="B2401" s="90">
        <v>12</v>
      </c>
      <c r="C2401" s="90" t="s">
        <v>733</v>
      </c>
      <c r="D2401" s="90" t="s">
        <v>719</v>
      </c>
      <c r="E2401" s="102" t="s">
        <v>11</v>
      </c>
      <c r="F2401" s="103" t="s">
        <v>51</v>
      </c>
      <c r="G2401" s="93">
        <v>13426.48</v>
      </c>
      <c r="H2401" s="93">
        <v>31885.24</v>
      </c>
      <c r="I2401" s="93">
        <v>2397.5457928860201</v>
      </c>
      <c r="J2401" s="93">
        <v>44170.61</v>
      </c>
      <c r="K2401" s="93">
        <v>4377.1499999999996</v>
      </c>
      <c r="L2401" s="93">
        <v>1125.21</v>
      </c>
      <c r="M2401" s="93">
        <v>211202.48</v>
      </c>
      <c r="N2401" s="95">
        <v>0.06</v>
      </c>
      <c r="O2401" s="95">
        <v>0.15</v>
      </c>
      <c r="P2401" s="95">
        <v>0.55000000000000004</v>
      </c>
      <c r="Q2401" s="95">
        <v>0.21</v>
      </c>
      <c r="R2401" s="104">
        <v>0.02</v>
      </c>
    </row>
    <row r="2402" spans="1:18" ht="15" hidden="1" customHeight="1" x14ac:dyDescent="0.3">
      <c r="A2402" s="101">
        <v>2023</v>
      </c>
      <c r="B2402" s="90">
        <v>12</v>
      </c>
      <c r="C2402" s="90" t="s">
        <v>733</v>
      </c>
      <c r="D2402" s="90" t="s">
        <v>719</v>
      </c>
      <c r="E2402" s="102" t="s">
        <v>11</v>
      </c>
      <c r="F2402" s="103" t="s">
        <v>45</v>
      </c>
      <c r="G2402" s="93">
        <v>7571.66</v>
      </c>
      <c r="H2402" s="93">
        <v>25369.42</v>
      </c>
      <c r="I2402" s="93">
        <v>2397.5457928860201</v>
      </c>
      <c r="J2402" s="93">
        <v>14895.93</v>
      </c>
      <c r="K2402" s="93">
        <v>818.59</v>
      </c>
      <c r="L2402" s="93">
        <v>48331.1</v>
      </c>
      <c r="M2402" s="93">
        <v>134096.20000000001</v>
      </c>
      <c r="N2402" s="95">
        <v>0.09</v>
      </c>
      <c r="O2402" s="95">
        <v>0.3</v>
      </c>
      <c r="P2402" s="95">
        <v>0.43</v>
      </c>
      <c r="Q2402" s="95">
        <v>0.17</v>
      </c>
      <c r="R2402" s="104">
        <v>0.01</v>
      </c>
    </row>
    <row r="2403" spans="1:18" ht="15" hidden="1" customHeight="1" x14ac:dyDescent="0.3">
      <c r="A2403" s="101">
        <v>2023</v>
      </c>
      <c r="B2403" s="90">
        <v>12</v>
      </c>
      <c r="C2403" s="90" t="s">
        <v>733</v>
      </c>
      <c r="D2403" s="90" t="s">
        <v>719</v>
      </c>
      <c r="E2403" s="102" t="s">
        <v>11</v>
      </c>
      <c r="F2403" s="103" t="s">
        <v>721</v>
      </c>
      <c r="G2403" s="93">
        <v>10225.6</v>
      </c>
      <c r="H2403" s="93">
        <v>66177.91</v>
      </c>
      <c r="I2403" s="93">
        <v>2397.5457928860201</v>
      </c>
      <c r="J2403" s="93">
        <v>79396.95</v>
      </c>
      <c r="K2403" s="93">
        <v>5838.23</v>
      </c>
      <c r="L2403" s="93">
        <v>4.34</v>
      </c>
      <c r="M2403" s="93">
        <v>309330.63</v>
      </c>
      <c r="N2403" s="95">
        <v>0.03</v>
      </c>
      <c r="O2403" s="95">
        <v>0.21</v>
      </c>
      <c r="P2403" s="95">
        <v>0.48</v>
      </c>
      <c r="Q2403" s="95">
        <v>0.26</v>
      </c>
      <c r="R2403" s="104">
        <v>0.02</v>
      </c>
    </row>
    <row r="2404" spans="1:18" ht="15" hidden="1" customHeight="1" x14ac:dyDescent="0.3">
      <c r="A2404" s="101">
        <v>2023</v>
      </c>
      <c r="B2404" s="90">
        <v>12</v>
      </c>
      <c r="C2404" s="90" t="s">
        <v>733</v>
      </c>
      <c r="D2404" s="90" t="s">
        <v>719</v>
      </c>
      <c r="E2404" s="102" t="s">
        <v>11</v>
      </c>
      <c r="F2404" s="103" t="s">
        <v>46</v>
      </c>
      <c r="G2404" s="93">
        <v>18999.009999999998</v>
      </c>
      <c r="H2404" s="93">
        <v>71782.600000000006</v>
      </c>
      <c r="I2404" s="93">
        <v>2397.5457928860201</v>
      </c>
      <c r="J2404" s="93">
        <v>11758.08</v>
      </c>
      <c r="K2404" s="93">
        <v>3133.82</v>
      </c>
      <c r="L2404" s="93">
        <v>1146.82</v>
      </c>
      <c r="M2404" s="93">
        <v>149074.81</v>
      </c>
      <c r="N2404" s="95">
        <v>0.13</v>
      </c>
      <c r="O2404" s="95">
        <v>0.49</v>
      </c>
      <c r="P2404" s="95">
        <v>0.28999999999999998</v>
      </c>
      <c r="Q2404" s="95">
        <v>0.08</v>
      </c>
      <c r="R2404" s="104">
        <v>0.02</v>
      </c>
    </row>
    <row r="2405" spans="1:18" ht="15" hidden="1" customHeight="1" x14ac:dyDescent="0.3">
      <c r="A2405" s="101">
        <v>2023</v>
      </c>
      <c r="B2405" s="90">
        <v>12</v>
      </c>
      <c r="C2405" s="90" t="s">
        <v>733</v>
      </c>
      <c r="D2405" s="90" t="s">
        <v>719</v>
      </c>
      <c r="E2405" s="102" t="s">
        <v>11</v>
      </c>
      <c r="F2405" s="103" t="s">
        <v>47</v>
      </c>
      <c r="G2405" s="93">
        <v>19396.14</v>
      </c>
      <c r="H2405" s="93">
        <v>264059.46000000002</v>
      </c>
      <c r="I2405" s="93">
        <v>2397.5457928860201</v>
      </c>
      <c r="J2405" s="93">
        <v>352517.1</v>
      </c>
      <c r="K2405" s="93">
        <v>87107.23</v>
      </c>
      <c r="L2405" s="93">
        <v>76872.28</v>
      </c>
      <c r="M2405" s="93">
        <v>1454564.4</v>
      </c>
      <c r="N2405" s="95">
        <v>0.01</v>
      </c>
      <c r="O2405" s="95">
        <v>0.19</v>
      </c>
      <c r="P2405" s="95">
        <v>0.48</v>
      </c>
      <c r="Q2405" s="95">
        <v>0.26</v>
      </c>
      <c r="R2405" s="104">
        <v>0.06</v>
      </c>
    </row>
    <row r="2406" spans="1:18" ht="15" hidden="1" customHeight="1" x14ac:dyDescent="0.3">
      <c r="A2406" s="101">
        <v>2023</v>
      </c>
      <c r="B2406" s="90">
        <v>12</v>
      </c>
      <c r="C2406" s="90" t="s">
        <v>733</v>
      </c>
      <c r="D2406" s="90" t="s">
        <v>719</v>
      </c>
      <c r="E2406" s="102" t="s">
        <v>11</v>
      </c>
      <c r="F2406" s="103" t="s">
        <v>48</v>
      </c>
      <c r="G2406" s="93">
        <v>1308.24</v>
      </c>
      <c r="H2406" s="93">
        <v>13166.13</v>
      </c>
      <c r="I2406" s="93">
        <v>2397.5457928860201</v>
      </c>
      <c r="J2406" s="93">
        <v>19772.13</v>
      </c>
      <c r="K2406" s="93">
        <v>238.61</v>
      </c>
      <c r="L2406" s="93">
        <v>8540.75</v>
      </c>
      <c r="M2406" s="93">
        <v>110314.47</v>
      </c>
      <c r="N2406" s="95">
        <v>0.01</v>
      </c>
      <c r="O2406" s="95">
        <v>0.13</v>
      </c>
      <c r="P2406" s="95">
        <v>0.66</v>
      </c>
      <c r="Q2406" s="95">
        <v>0.19</v>
      </c>
      <c r="R2406" s="104">
        <v>0</v>
      </c>
    </row>
    <row r="2407" spans="1:18" ht="15" hidden="1" customHeight="1" x14ac:dyDescent="0.3">
      <c r="A2407" s="101">
        <v>2023</v>
      </c>
      <c r="B2407" s="90">
        <v>12</v>
      </c>
      <c r="C2407" s="90" t="s">
        <v>733</v>
      </c>
      <c r="D2407" s="90" t="s">
        <v>722</v>
      </c>
      <c r="E2407" s="102" t="s">
        <v>11</v>
      </c>
      <c r="F2407" s="103" t="s">
        <v>12</v>
      </c>
      <c r="G2407" s="93">
        <v>21784.02</v>
      </c>
      <c r="H2407" s="93">
        <v>63033.88</v>
      </c>
      <c r="I2407" s="93">
        <v>2397.5457928860201</v>
      </c>
      <c r="J2407" s="93">
        <v>135258.6</v>
      </c>
      <c r="K2407" s="93">
        <v>16877.41</v>
      </c>
      <c r="L2407" s="93">
        <v>50923.68</v>
      </c>
      <c r="M2407" s="93">
        <v>433311.44</v>
      </c>
      <c r="N2407" s="95">
        <v>0.06</v>
      </c>
      <c r="O2407" s="95">
        <v>0.16</v>
      </c>
      <c r="P2407" s="95">
        <v>0.38</v>
      </c>
      <c r="Q2407" s="95">
        <v>0.35</v>
      </c>
      <c r="R2407" s="104">
        <v>0.04</v>
      </c>
    </row>
    <row r="2408" spans="1:18" ht="15" hidden="1" customHeight="1" x14ac:dyDescent="0.3">
      <c r="A2408" s="101">
        <v>2023</v>
      </c>
      <c r="B2408" s="90">
        <v>12</v>
      </c>
      <c r="C2408" s="90" t="s">
        <v>733</v>
      </c>
      <c r="D2408" s="90" t="s">
        <v>722</v>
      </c>
      <c r="E2408" s="102" t="s">
        <v>11</v>
      </c>
      <c r="F2408" s="103" t="s">
        <v>26</v>
      </c>
      <c r="G2408" s="93">
        <v>113603.36</v>
      </c>
      <c r="H2408" s="93">
        <v>186626.76</v>
      </c>
      <c r="I2408" s="93">
        <v>2397.5457928860201</v>
      </c>
      <c r="J2408" s="93">
        <v>277050.8</v>
      </c>
      <c r="K2408" s="93">
        <v>73931.509999999995</v>
      </c>
      <c r="L2408" s="93">
        <v>331568.25</v>
      </c>
      <c r="M2408" s="93">
        <v>1302393.77</v>
      </c>
      <c r="N2408" s="95">
        <v>0.12</v>
      </c>
      <c r="O2408" s="95">
        <v>0.19</v>
      </c>
      <c r="P2408" s="95">
        <v>0.33</v>
      </c>
      <c r="Q2408" s="95">
        <v>0.28999999999999998</v>
      </c>
      <c r="R2408" s="104">
        <v>0.08</v>
      </c>
    </row>
    <row r="2409" spans="1:18" ht="15" hidden="1" customHeight="1" x14ac:dyDescent="0.3">
      <c r="A2409" s="101">
        <v>2023</v>
      </c>
      <c r="B2409" s="90">
        <v>12</v>
      </c>
      <c r="C2409" s="90" t="s">
        <v>733</v>
      </c>
      <c r="D2409" s="90" t="s">
        <v>722</v>
      </c>
      <c r="E2409" s="102" t="s">
        <v>11</v>
      </c>
      <c r="F2409" s="103" t="s">
        <v>27</v>
      </c>
      <c r="G2409" s="93">
        <v>4346.57</v>
      </c>
      <c r="H2409" s="93">
        <v>31906.92</v>
      </c>
      <c r="I2409" s="93">
        <v>2397.5457928860201</v>
      </c>
      <c r="J2409" s="93">
        <v>90132.37</v>
      </c>
      <c r="K2409" s="93">
        <v>28669.42</v>
      </c>
      <c r="L2409" s="93">
        <v>12485.56</v>
      </c>
      <c r="M2409" s="93">
        <v>226689.38</v>
      </c>
      <c r="N2409" s="95">
        <v>0.02</v>
      </c>
      <c r="O2409" s="95">
        <v>0.15</v>
      </c>
      <c r="P2409" s="95">
        <v>0.28000000000000003</v>
      </c>
      <c r="Q2409" s="95">
        <v>0.42</v>
      </c>
      <c r="R2409" s="104">
        <v>0.13</v>
      </c>
    </row>
    <row r="2410" spans="1:18" ht="15" hidden="1" customHeight="1" x14ac:dyDescent="0.3">
      <c r="A2410" s="101">
        <v>2023</v>
      </c>
      <c r="B2410" s="90">
        <v>12</v>
      </c>
      <c r="C2410" s="90" t="s">
        <v>733</v>
      </c>
      <c r="D2410" s="90" t="s">
        <v>722</v>
      </c>
      <c r="E2410" s="102" t="s">
        <v>11</v>
      </c>
      <c r="F2410" s="103" t="s">
        <v>28</v>
      </c>
      <c r="G2410" s="93">
        <v>5513.26</v>
      </c>
      <c r="H2410" s="93">
        <v>21983.54</v>
      </c>
      <c r="I2410" s="93">
        <v>2397.5457928860201</v>
      </c>
      <c r="J2410" s="93">
        <v>128182.82</v>
      </c>
      <c r="K2410" s="93">
        <v>3501.98</v>
      </c>
      <c r="L2410" s="93">
        <v>7908.76</v>
      </c>
      <c r="M2410" s="93">
        <v>373104.4</v>
      </c>
      <c r="N2410" s="95">
        <v>0.02</v>
      </c>
      <c r="O2410" s="95">
        <v>0.06</v>
      </c>
      <c r="P2410" s="95">
        <v>0.56000000000000005</v>
      </c>
      <c r="Q2410" s="95">
        <v>0.35</v>
      </c>
      <c r="R2410" s="104">
        <v>0.01</v>
      </c>
    </row>
    <row r="2411" spans="1:18" ht="15" customHeight="1" x14ac:dyDescent="0.3">
      <c r="A2411" s="101">
        <v>2023</v>
      </c>
      <c r="B2411" s="90">
        <v>12</v>
      </c>
      <c r="C2411" s="90" t="s">
        <v>733</v>
      </c>
      <c r="D2411" s="90" t="s">
        <v>722</v>
      </c>
      <c r="E2411" s="102" t="s">
        <v>11</v>
      </c>
      <c r="F2411" s="103" t="s">
        <v>29</v>
      </c>
      <c r="G2411" s="93">
        <v>4765.99</v>
      </c>
      <c r="H2411" s="93">
        <v>10754.34</v>
      </c>
      <c r="I2411" s="93">
        <v>2397.5457928860201</v>
      </c>
      <c r="J2411" s="93">
        <v>111927.39</v>
      </c>
      <c r="K2411" s="93">
        <v>69674.5</v>
      </c>
      <c r="L2411" s="93">
        <v>123731.96</v>
      </c>
      <c r="M2411" s="93">
        <v>354391.76</v>
      </c>
      <c r="N2411" s="95">
        <v>0.02</v>
      </c>
      <c r="O2411" s="95">
        <v>0.05</v>
      </c>
      <c r="P2411" s="95">
        <v>0.15</v>
      </c>
      <c r="Q2411" s="95">
        <v>0.49</v>
      </c>
      <c r="R2411" s="104">
        <v>0.3</v>
      </c>
    </row>
    <row r="2412" spans="1:18" ht="15" hidden="1" customHeight="1" x14ac:dyDescent="0.3">
      <c r="A2412" s="101">
        <v>2023</v>
      </c>
      <c r="B2412" s="90">
        <v>12</v>
      </c>
      <c r="C2412" s="90" t="s">
        <v>733</v>
      </c>
      <c r="D2412" s="90" t="s">
        <v>722</v>
      </c>
      <c r="E2412" s="102" t="s">
        <v>11</v>
      </c>
      <c r="F2412" s="103" t="s">
        <v>30</v>
      </c>
      <c r="G2412" s="93">
        <v>234.08</v>
      </c>
      <c r="H2412" s="93">
        <v>1507.9</v>
      </c>
      <c r="I2412" s="93">
        <v>2397.5457928860201</v>
      </c>
      <c r="J2412" s="93">
        <v>6309.01</v>
      </c>
      <c r="K2412" s="93">
        <v>2918.68</v>
      </c>
      <c r="L2412" s="93">
        <v>215572.06</v>
      </c>
      <c r="M2412" s="93">
        <v>230086.24</v>
      </c>
      <c r="N2412" s="95">
        <v>0.02</v>
      </c>
      <c r="O2412" s="95">
        <v>0.1</v>
      </c>
      <c r="P2412" s="95">
        <v>0.24</v>
      </c>
      <c r="Q2412" s="95">
        <v>0.43</v>
      </c>
      <c r="R2412" s="104">
        <v>0.2</v>
      </c>
    </row>
    <row r="2413" spans="1:18" ht="15" hidden="1" customHeight="1" x14ac:dyDescent="0.3">
      <c r="A2413" s="101">
        <v>2023</v>
      </c>
      <c r="B2413" s="90">
        <v>12</v>
      </c>
      <c r="C2413" s="90" t="s">
        <v>733</v>
      </c>
      <c r="D2413" s="90" t="s">
        <v>722</v>
      </c>
      <c r="E2413" s="102" t="s">
        <v>11</v>
      </c>
      <c r="F2413" s="103" t="s">
        <v>31</v>
      </c>
      <c r="G2413" s="93">
        <v>701.9</v>
      </c>
      <c r="H2413" s="93">
        <v>19913.29</v>
      </c>
      <c r="I2413" s="93">
        <v>2397.5457928860201</v>
      </c>
      <c r="J2413" s="93">
        <v>77440.789999999994</v>
      </c>
      <c r="K2413" s="93">
        <v>53955.82</v>
      </c>
      <c r="L2413" s="93">
        <v>45156.94</v>
      </c>
      <c r="M2413" s="93">
        <v>251948.86</v>
      </c>
      <c r="N2413" s="95">
        <v>0</v>
      </c>
      <c r="O2413" s="95">
        <v>0.1</v>
      </c>
      <c r="P2413" s="95">
        <v>0.26</v>
      </c>
      <c r="Q2413" s="95">
        <v>0.37</v>
      </c>
      <c r="R2413" s="104">
        <v>0.26</v>
      </c>
    </row>
    <row r="2414" spans="1:18" ht="15" hidden="1" customHeight="1" x14ac:dyDescent="0.3">
      <c r="A2414" s="101">
        <v>2023</v>
      </c>
      <c r="B2414" s="90">
        <v>12</v>
      </c>
      <c r="C2414" s="90" t="s">
        <v>733</v>
      </c>
      <c r="D2414" s="90" t="s">
        <v>722</v>
      </c>
      <c r="E2414" s="102" t="s">
        <v>11</v>
      </c>
      <c r="F2414" s="103" t="s">
        <v>32</v>
      </c>
      <c r="G2414" s="93">
        <v>4328.72</v>
      </c>
      <c r="H2414" s="93">
        <v>19691.73</v>
      </c>
      <c r="I2414" s="93">
        <v>2397.5457928860201</v>
      </c>
      <c r="J2414" s="93">
        <v>223313.26</v>
      </c>
      <c r="K2414" s="93">
        <v>56025.11</v>
      </c>
      <c r="L2414" s="93">
        <v>186586.63</v>
      </c>
      <c r="M2414" s="93">
        <v>609521.87</v>
      </c>
      <c r="N2414" s="95">
        <v>0.01</v>
      </c>
      <c r="O2414" s="95">
        <v>0.05</v>
      </c>
      <c r="P2414" s="95">
        <v>0.28000000000000003</v>
      </c>
      <c r="Q2414" s="95">
        <v>0.53</v>
      </c>
      <c r="R2414" s="104">
        <v>0.13</v>
      </c>
    </row>
    <row r="2415" spans="1:18" ht="15" hidden="1" customHeight="1" x14ac:dyDescent="0.3">
      <c r="A2415" s="101">
        <v>2023</v>
      </c>
      <c r="B2415" s="90">
        <v>12</v>
      </c>
      <c r="C2415" s="90" t="s">
        <v>733</v>
      </c>
      <c r="D2415" s="90" t="s">
        <v>722</v>
      </c>
      <c r="E2415" s="102" t="s">
        <v>11</v>
      </c>
      <c r="F2415" s="103" t="s">
        <v>33</v>
      </c>
      <c r="G2415" s="93">
        <v>68918.36</v>
      </c>
      <c r="H2415" s="93">
        <v>304466.61</v>
      </c>
      <c r="I2415" s="93">
        <v>2397.5457928860201</v>
      </c>
      <c r="J2415" s="93">
        <v>286155.74</v>
      </c>
      <c r="K2415" s="93">
        <v>23003.96</v>
      </c>
      <c r="L2415" s="93">
        <v>127173.22</v>
      </c>
      <c r="M2415" s="93">
        <v>1352055.51</v>
      </c>
      <c r="N2415" s="95">
        <v>0.06</v>
      </c>
      <c r="O2415" s="95">
        <v>0.25</v>
      </c>
      <c r="P2415" s="95">
        <v>0.44</v>
      </c>
      <c r="Q2415" s="95">
        <v>0.23</v>
      </c>
      <c r="R2415" s="104">
        <v>0.02</v>
      </c>
    </row>
    <row r="2416" spans="1:18" ht="15" hidden="1" customHeight="1" x14ac:dyDescent="0.3">
      <c r="A2416" s="101">
        <v>2023</v>
      </c>
      <c r="B2416" s="90">
        <v>12</v>
      </c>
      <c r="C2416" s="90" t="s">
        <v>733</v>
      </c>
      <c r="D2416" s="90" t="s">
        <v>722</v>
      </c>
      <c r="E2416" s="102" t="s">
        <v>11</v>
      </c>
      <c r="F2416" s="103" t="s">
        <v>34</v>
      </c>
      <c r="G2416" s="93">
        <v>22428.11</v>
      </c>
      <c r="H2416" s="93">
        <v>145558.29</v>
      </c>
      <c r="I2416" s="93">
        <v>2397.5457928860201</v>
      </c>
      <c r="J2416" s="93">
        <v>132390.34</v>
      </c>
      <c r="K2416" s="93">
        <v>67889.490000000005</v>
      </c>
      <c r="L2416" s="93">
        <v>180596.9</v>
      </c>
      <c r="M2416" s="93">
        <v>713628.98</v>
      </c>
      <c r="N2416" s="95">
        <v>0.04</v>
      </c>
      <c r="O2416" s="95">
        <v>0.27</v>
      </c>
      <c r="P2416" s="95">
        <v>0.31</v>
      </c>
      <c r="Q2416" s="95">
        <v>0.25</v>
      </c>
      <c r="R2416" s="104">
        <v>0.13</v>
      </c>
    </row>
    <row r="2417" spans="1:18" ht="15" hidden="1" customHeight="1" x14ac:dyDescent="0.3">
      <c r="A2417" s="101">
        <v>2023</v>
      </c>
      <c r="B2417" s="90">
        <v>12</v>
      </c>
      <c r="C2417" s="90" t="s">
        <v>733</v>
      </c>
      <c r="D2417" s="90" t="s">
        <v>722</v>
      </c>
      <c r="E2417" s="102" t="s">
        <v>11</v>
      </c>
      <c r="F2417" s="103" t="s">
        <v>35</v>
      </c>
      <c r="G2417" s="93">
        <v>27862.01</v>
      </c>
      <c r="H2417" s="93">
        <v>116984.84</v>
      </c>
      <c r="I2417" s="93">
        <v>2397.5457928860201</v>
      </c>
      <c r="J2417" s="93">
        <v>122197.22</v>
      </c>
      <c r="K2417" s="93">
        <v>13759.84</v>
      </c>
      <c r="L2417" s="93">
        <v>235574.54</v>
      </c>
      <c r="M2417" s="93">
        <v>605861.19999999995</v>
      </c>
      <c r="N2417" s="95">
        <v>0.08</v>
      </c>
      <c r="O2417" s="95">
        <v>0.32</v>
      </c>
      <c r="P2417" s="95">
        <v>0.24</v>
      </c>
      <c r="Q2417" s="95">
        <v>0.33</v>
      </c>
      <c r="R2417" s="104">
        <v>0.04</v>
      </c>
    </row>
    <row r="2418" spans="1:18" ht="15" hidden="1" customHeight="1" x14ac:dyDescent="0.3">
      <c r="A2418" s="101">
        <v>2023</v>
      </c>
      <c r="B2418" s="90">
        <v>12</v>
      </c>
      <c r="C2418" s="90" t="s">
        <v>733</v>
      </c>
      <c r="D2418" s="90" t="s">
        <v>722</v>
      </c>
      <c r="E2418" s="102" t="s">
        <v>11</v>
      </c>
      <c r="F2418" s="103" t="s">
        <v>36</v>
      </c>
      <c r="G2418" s="93">
        <v>2076.5300000000002</v>
      </c>
      <c r="H2418" s="93">
        <v>8039.4</v>
      </c>
      <c r="I2418" s="93">
        <v>2397.5457928860201</v>
      </c>
      <c r="J2418" s="93">
        <v>53130.63</v>
      </c>
      <c r="K2418" s="93">
        <v>27244.89</v>
      </c>
      <c r="L2418" s="93">
        <v>135750.37</v>
      </c>
      <c r="M2418" s="93">
        <v>258886.74</v>
      </c>
      <c r="N2418" s="95">
        <v>0.02</v>
      </c>
      <c r="O2418" s="95">
        <v>7.0000000000000007E-2</v>
      </c>
      <c r="P2418" s="95">
        <v>0.27</v>
      </c>
      <c r="Q2418" s="95">
        <v>0.43</v>
      </c>
      <c r="R2418" s="104">
        <v>0.22</v>
      </c>
    </row>
    <row r="2419" spans="1:18" ht="15" hidden="1" customHeight="1" x14ac:dyDescent="0.3">
      <c r="A2419" s="101">
        <v>2023</v>
      </c>
      <c r="B2419" s="90">
        <v>12</v>
      </c>
      <c r="C2419" s="90" t="s">
        <v>733</v>
      </c>
      <c r="D2419" s="90" t="s">
        <v>722</v>
      </c>
      <c r="E2419" s="102" t="s">
        <v>11</v>
      </c>
      <c r="F2419" s="103" t="s">
        <v>37</v>
      </c>
      <c r="G2419" s="93">
        <v>3768.79</v>
      </c>
      <c r="H2419" s="93">
        <v>9113.74</v>
      </c>
      <c r="I2419" s="93">
        <v>2397.5457928860201</v>
      </c>
      <c r="J2419" s="93">
        <v>118905.39</v>
      </c>
      <c r="K2419" s="93">
        <v>112767</v>
      </c>
      <c r="L2419" s="93">
        <v>242182.05</v>
      </c>
      <c r="M2419" s="93">
        <v>524074.32</v>
      </c>
      <c r="N2419" s="95">
        <v>0.01</v>
      </c>
      <c r="O2419" s="95">
        <v>0.03</v>
      </c>
      <c r="P2419" s="95">
        <v>0.13</v>
      </c>
      <c r="Q2419" s="95">
        <v>0.42</v>
      </c>
      <c r="R2419" s="104">
        <v>0.4</v>
      </c>
    </row>
    <row r="2420" spans="1:18" ht="15" hidden="1" customHeight="1" x14ac:dyDescent="0.3">
      <c r="A2420" s="101">
        <v>2023</v>
      </c>
      <c r="B2420" s="90">
        <v>12</v>
      </c>
      <c r="C2420" s="90" t="s">
        <v>733</v>
      </c>
      <c r="D2420" s="90" t="s">
        <v>722</v>
      </c>
      <c r="E2420" s="102" t="s">
        <v>11</v>
      </c>
      <c r="F2420" s="103" t="s">
        <v>38</v>
      </c>
      <c r="G2420" s="93">
        <v>61901.41</v>
      </c>
      <c r="H2420" s="93">
        <v>101096.07</v>
      </c>
      <c r="I2420" s="93">
        <v>2397.5457928860201</v>
      </c>
      <c r="J2420" s="93">
        <v>263018.96999999997</v>
      </c>
      <c r="K2420" s="93">
        <v>20760.39</v>
      </c>
      <c r="L2420" s="93">
        <v>204990.87</v>
      </c>
      <c r="M2420" s="93">
        <v>927959.02</v>
      </c>
      <c r="N2420" s="95">
        <v>0.09</v>
      </c>
      <c r="O2420" s="95">
        <v>0.14000000000000001</v>
      </c>
      <c r="P2420" s="95">
        <v>0.38</v>
      </c>
      <c r="Q2420" s="95">
        <v>0.36</v>
      </c>
      <c r="R2420" s="104">
        <v>0.03</v>
      </c>
    </row>
    <row r="2421" spans="1:18" ht="15" hidden="1" customHeight="1" x14ac:dyDescent="0.3">
      <c r="A2421" s="101">
        <v>2023</v>
      </c>
      <c r="B2421" s="90">
        <v>12</v>
      </c>
      <c r="C2421" s="90" t="s">
        <v>733</v>
      </c>
      <c r="D2421" s="90" t="s">
        <v>722</v>
      </c>
      <c r="E2421" s="102" t="s">
        <v>11</v>
      </c>
      <c r="F2421" s="103" t="s">
        <v>39</v>
      </c>
      <c r="G2421" s="93">
        <v>9025.18</v>
      </c>
      <c r="H2421" s="93">
        <v>59181.53</v>
      </c>
      <c r="I2421" s="93">
        <v>2397.5457928860201</v>
      </c>
      <c r="J2421" s="93">
        <v>54679.63</v>
      </c>
      <c r="K2421" s="93">
        <v>3338.43</v>
      </c>
      <c r="L2421" s="93">
        <v>89652.37</v>
      </c>
      <c r="M2421" s="93">
        <v>331195.63</v>
      </c>
      <c r="N2421" s="95">
        <v>0.04</v>
      </c>
      <c r="O2421" s="95">
        <v>0.25</v>
      </c>
      <c r="P2421" s="95">
        <v>0.48</v>
      </c>
      <c r="Q2421" s="95">
        <v>0.23</v>
      </c>
      <c r="R2421" s="104">
        <v>0.01</v>
      </c>
    </row>
    <row r="2422" spans="1:18" ht="15" hidden="1" customHeight="1" x14ac:dyDescent="0.3">
      <c r="A2422" s="101">
        <v>2023</v>
      </c>
      <c r="B2422" s="90">
        <v>12</v>
      </c>
      <c r="C2422" s="90" t="s">
        <v>733</v>
      </c>
      <c r="D2422" s="90" t="s">
        <v>722</v>
      </c>
      <c r="E2422" s="102" t="s">
        <v>11</v>
      </c>
      <c r="F2422" s="103" t="s">
        <v>40</v>
      </c>
      <c r="G2422" s="93">
        <v>4515</v>
      </c>
      <c r="H2422" s="93">
        <v>18315.02</v>
      </c>
      <c r="I2422" s="93">
        <v>2397.5457928860201</v>
      </c>
      <c r="J2422" s="93">
        <v>161926.44</v>
      </c>
      <c r="K2422" s="93">
        <v>45299.18</v>
      </c>
      <c r="L2422" s="93">
        <v>8730.91</v>
      </c>
      <c r="M2422" s="93">
        <v>326305.03999999998</v>
      </c>
      <c r="N2422" s="95">
        <v>0.01</v>
      </c>
      <c r="O2422" s="95">
        <v>0.06</v>
      </c>
      <c r="P2422" s="95">
        <v>0.28000000000000003</v>
      </c>
      <c r="Q2422" s="95">
        <v>0.51</v>
      </c>
      <c r="R2422" s="104">
        <v>0.14000000000000001</v>
      </c>
    </row>
    <row r="2423" spans="1:18" ht="15" hidden="1" customHeight="1" x14ac:dyDescent="0.3">
      <c r="A2423" s="101">
        <v>2023</v>
      </c>
      <c r="B2423" s="90">
        <v>12</v>
      </c>
      <c r="C2423" s="90" t="s">
        <v>733</v>
      </c>
      <c r="D2423" s="90" t="s">
        <v>722</v>
      </c>
      <c r="E2423" s="102" t="s">
        <v>11</v>
      </c>
      <c r="F2423" s="103" t="s">
        <v>41</v>
      </c>
      <c r="G2423" s="93">
        <v>343.57</v>
      </c>
      <c r="H2423" s="93">
        <v>4232.21</v>
      </c>
      <c r="I2423" s="93">
        <v>2397.5457928860201</v>
      </c>
      <c r="J2423" s="93">
        <v>4599.51</v>
      </c>
      <c r="K2423" s="93">
        <v>460.23</v>
      </c>
      <c r="L2423" s="93">
        <v>634.52</v>
      </c>
      <c r="M2423" s="93">
        <v>18714.330000000002</v>
      </c>
      <c r="N2423" s="95">
        <v>0.02</v>
      </c>
      <c r="O2423" s="95">
        <v>0.23</v>
      </c>
      <c r="P2423" s="95">
        <v>0.47</v>
      </c>
      <c r="Q2423" s="95">
        <v>0.25</v>
      </c>
      <c r="R2423" s="104">
        <v>0.03</v>
      </c>
    </row>
    <row r="2424" spans="1:18" ht="15" hidden="1" customHeight="1" x14ac:dyDescent="0.3">
      <c r="A2424" s="101">
        <v>2023</v>
      </c>
      <c r="B2424" s="90">
        <v>12</v>
      </c>
      <c r="C2424" s="90" t="s">
        <v>733</v>
      </c>
      <c r="D2424" s="90" t="s">
        <v>722</v>
      </c>
      <c r="E2424" s="102" t="s">
        <v>11</v>
      </c>
      <c r="F2424" s="103" t="s">
        <v>42</v>
      </c>
      <c r="G2424" s="93">
        <v>20709.89</v>
      </c>
      <c r="H2424" s="93">
        <v>61464.21</v>
      </c>
      <c r="I2424" s="93">
        <v>2397.5457928860201</v>
      </c>
      <c r="J2424" s="93">
        <v>146905.35</v>
      </c>
      <c r="K2424" s="93">
        <v>172282.79</v>
      </c>
      <c r="L2424" s="93">
        <v>134695.37</v>
      </c>
      <c r="M2424" s="93">
        <v>620824.21</v>
      </c>
      <c r="N2424" s="95">
        <v>0.04</v>
      </c>
      <c r="O2424" s="95">
        <v>0.13</v>
      </c>
      <c r="P2424" s="95">
        <v>0.17</v>
      </c>
      <c r="Q2424" s="95">
        <v>0.3</v>
      </c>
      <c r="R2424" s="104">
        <v>0.35</v>
      </c>
    </row>
    <row r="2425" spans="1:18" ht="15" hidden="1" customHeight="1" x14ac:dyDescent="0.3">
      <c r="A2425" s="101">
        <v>2023</v>
      </c>
      <c r="B2425" s="90">
        <v>12</v>
      </c>
      <c r="C2425" s="90" t="s">
        <v>733</v>
      </c>
      <c r="D2425" s="90" t="s">
        <v>722</v>
      </c>
      <c r="E2425" s="102" t="s">
        <v>11</v>
      </c>
      <c r="F2425" s="103" t="s">
        <v>43</v>
      </c>
      <c r="G2425" s="93">
        <v>4591.37</v>
      </c>
      <c r="H2425" s="93">
        <v>19419.150000000001</v>
      </c>
      <c r="I2425" s="93">
        <v>2397.5457928860201</v>
      </c>
      <c r="J2425" s="93">
        <v>18771.52</v>
      </c>
      <c r="K2425" s="93">
        <v>5594.12</v>
      </c>
      <c r="L2425" s="93">
        <v>116252.71</v>
      </c>
      <c r="M2425" s="93">
        <v>185575.52</v>
      </c>
      <c r="N2425" s="95">
        <v>7.0000000000000007E-2</v>
      </c>
      <c r="O2425" s="95">
        <v>0.28000000000000003</v>
      </c>
      <c r="P2425" s="95">
        <v>0.3</v>
      </c>
      <c r="Q2425" s="95">
        <v>0.27</v>
      </c>
      <c r="R2425" s="104">
        <v>0.08</v>
      </c>
    </row>
    <row r="2426" spans="1:18" ht="15" hidden="1" customHeight="1" x14ac:dyDescent="0.3">
      <c r="A2426" s="101">
        <v>2023</v>
      </c>
      <c r="B2426" s="90">
        <v>12</v>
      </c>
      <c r="C2426" s="90" t="s">
        <v>733</v>
      </c>
      <c r="D2426" s="90" t="s">
        <v>722</v>
      </c>
      <c r="E2426" s="102" t="s">
        <v>11</v>
      </c>
      <c r="F2426" s="103" t="s">
        <v>58</v>
      </c>
      <c r="G2426" s="93">
        <v>1205.46</v>
      </c>
      <c r="H2426" s="93">
        <v>5856.71</v>
      </c>
      <c r="I2426" s="93">
        <v>2397.5457928860201</v>
      </c>
      <c r="J2426" s="93">
        <v>218025.95</v>
      </c>
      <c r="K2426" s="93">
        <v>44636.35</v>
      </c>
      <c r="L2426" s="93">
        <v>14234.6</v>
      </c>
      <c r="M2426" s="93">
        <v>371477.13</v>
      </c>
      <c r="N2426" s="95">
        <v>0</v>
      </c>
      <c r="O2426" s="95">
        <v>0.02</v>
      </c>
      <c r="P2426" s="95">
        <v>0.24</v>
      </c>
      <c r="Q2426" s="95">
        <v>0.61</v>
      </c>
      <c r="R2426" s="104">
        <v>0.12</v>
      </c>
    </row>
    <row r="2427" spans="1:18" ht="15" hidden="1" customHeight="1" x14ac:dyDescent="0.3">
      <c r="A2427" s="101">
        <v>2023</v>
      </c>
      <c r="B2427" s="90">
        <v>12</v>
      </c>
      <c r="C2427" s="90" t="s">
        <v>733</v>
      </c>
      <c r="D2427" s="90" t="s">
        <v>722</v>
      </c>
      <c r="E2427" s="102" t="s">
        <v>11</v>
      </c>
      <c r="F2427" s="103" t="s">
        <v>44</v>
      </c>
      <c r="G2427" s="93">
        <v>2380.3200000000002</v>
      </c>
      <c r="H2427" s="93">
        <v>4928.8999999999996</v>
      </c>
      <c r="I2427" s="93">
        <v>2397.5457928860201</v>
      </c>
      <c r="J2427" s="93">
        <v>38692.620000000003</v>
      </c>
      <c r="K2427" s="93">
        <v>39406.71</v>
      </c>
      <c r="L2427" s="93">
        <v>117861.26</v>
      </c>
      <c r="M2427" s="93">
        <v>215729.36</v>
      </c>
      <c r="N2427" s="95">
        <v>0.02</v>
      </c>
      <c r="O2427" s="95">
        <v>0.05</v>
      </c>
      <c r="P2427" s="95">
        <v>0.13</v>
      </c>
      <c r="Q2427" s="95">
        <v>0.4</v>
      </c>
      <c r="R2427" s="104">
        <v>0.4</v>
      </c>
    </row>
    <row r="2428" spans="1:18" ht="15" hidden="1" customHeight="1" x14ac:dyDescent="0.3">
      <c r="A2428" s="101">
        <v>2023</v>
      </c>
      <c r="B2428" s="90">
        <v>12</v>
      </c>
      <c r="C2428" s="90" t="s">
        <v>733</v>
      </c>
      <c r="D2428" s="90" t="s">
        <v>722</v>
      </c>
      <c r="E2428" s="102" t="s">
        <v>11</v>
      </c>
      <c r="F2428" s="103" t="s">
        <v>51</v>
      </c>
      <c r="G2428" s="93">
        <v>10958.9</v>
      </c>
      <c r="H2428" s="93">
        <v>35683.839999999997</v>
      </c>
      <c r="I2428" s="93">
        <v>2397.5457928860201</v>
      </c>
      <c r="J2428" s="93">
        <v>55065.64</v>
      </c>
      <c r="K2428" s="93">
        <v>6993.57</v>
      </c>
      <c r="L2428" s="93">
        <v>615.49</v>
      </c>
      <c r="M2428" s="93">
        <v>211202.48</v>
      </c>
      <c r="N2428" s="95">
        <v>0.05</v>
      </c>
      <c r="O2428" s="95">
        <v>0.17</v>
      </c>
      <c r="P2428" s="95">
        <v>0.48</v>
      </c>
      <c r="Q2428" s="95">
        <v>0.26</v>
      </c>
      <c r="R2428" s="104">
        <v>0.03</v>
      </c>
    </row>
    <row r="2429" spans="1:18" ht="15" hidden="1" customHeight="1" x14ac:dyDescent="0.3">
      <c r="A2429" s="101">
        <v>2023</v>
      </c>
      <c r="B2429" s="90">
        <v>12</v>
      </c>
      <c r="C2429" s="90" t="s">
        <v>733</v>
      </c>
      <c r="D2429" s="90" t="s">
        <v>722</v>
      </c>
      <c r="E2429" s="102" t="s">
        <v>11</v>
      </c>
      <c r="F2429" s="103" t="s">
        <v>45</v>
      </c>
      <c r="G2429" s="93">
        <v>4685.07</v>
      </c>
      <c r="H2429" s="93">
        <v>9636.43</v>
      </c>
      <c r="I2429" s="93">
        <v>2397.5457928860201</v>
      </c>
      <c r="J2429" s="93">
        <v>16030.09</v>
      </c>
      <c r="K2429" s="93">
        <v>3754.18</v>
      </c>
      <c r="L2429" s="93">
        <v>84015.3</v>
      </c>
      <c r="M2429" s="93">
        <v>134096.20000000001</v>
      </c>
      <c r="N2429" s="95">
        <v>0.09</v>
      </c>
      <c r="O2429" s="95">
        <v>0.19</v>
      </c>
      <c r="P2429" s="95">
        <v>0.32</v>
      </c>
      <c r="Q2429" s="95">
        <v>0.32</v>
      </c>
      <c r="R2429" s="104">
        <v>7.0000000000000007E-2</v>
      </c>
    </row>
    <row r="2430" spans="1:18" ht="15" hidden="1" customHeight="1" x14ac:dyDescent="0.3">
      <c r="A2430" s="101">
        <v>2023</v>
      </c>
      <c r="B2430" s="90">
        <v>12</v>
      </c>
      <c r="C2430" s="90" t="s">
        <v>733</v>
      </c>
      <c r="D2430" s="90" t="s">
        <v>722</v>
      </c>
      <c r="E2430" s="102" t="s">
        <v>11</v>
      </c>
      <c r="F2430" s="103" t="s">
        <v>721</v>
      </c>
      <c r="G2430" s="93">
        <v>12775.14</v>
      </c>
      <c r="H2430" s="93">
        <v>61917.06</v>
      </c>
      <c r="I2430" s="93">
        <v>2397.5457928860201</v>
      </c>
      <c r="J2430" s="93">
        <v>107629.11</v>
      </c>
      <c r="K2430" s="93">
        <v>8776.18</v>
      </c>
      <c r="L2430" s="93">
        <v>20.239999999999998</v>
      </c>
      <c r="M2430" s="93">
        <v>309330.63</v>
      </c>
      <c r="N2430" s="95">
        <v>0.04</v>
      </c>
      <c r="O2430" s="95">
        <v>0.2</v>
      </c>
      <c r="P2430" s="95">
        <v>0.38</v>
      </c>
      <c r="Q2430" s="95">
        <v>0.35</v>
      </c>
      <c r="R2430" s="104">
        <v>0.03</v>
      </c>
    </row>
    <row r="2431" spans="1:18" ht="15" hidden="1" customHeight="1" x14ac:dyDescent="0.3">
      <c r="A2431" s="101">
        <v>2023</v>
      </c>
      <c r="B2431" s="90">
        <v>12</v>
      </c>
      <c r="C2431" s="90" t="s">
        <v>733</v>
      </c>
      <c r="D2431" s="90" t="s">
        <v>722</v>
      </c>
      <c r="E2431" s="102" t="s">
        <v>11</v>
      </c>
      <c r="F2431" s="103" t="s">
        <v>46</v>
      </c>
      <c r="G2431" s="93">
        <v>17903.919999999998</v>
      </c>
      <c r="H2431" s="93">
        <v>60021.52</v>
      </c>
      <c r="I2431" s="93">
        <v>2397.5457928860201</v>
      </c>
      <c r="J2431" s="93">
        <v>13568.79</v>
      </c>
      <c r="K2431" s="93">
        <v>2966.63</v>
      </c>
      <c r="L2431" s="93">
        <v>575.91999999999996</v>
      </c>
      <c r="M2431" s="93">
        <v>149074.81</v>
      </c>
      <c r="N2431" s="95">
        <v>0.12</v>
      </c>
      <c r="O2431" s="95">
        <v>0.4</v>
      </c>
      <c r="P2431" s="95">
        <v>0.36</v>
      </c>
      <c r="Q2431" s="95">
        <v>0.09</v>
      </c>
      <c r="R2431" s="104">
        <v>0.02</v>
      </c>
    </row>
    <row r="2432" spans="1:18" ht="15" hidden="1" customHeight="1" x14ac:dyDescent="0.3">
      <c r="A2432" s="101">
        <v>2023</v>
      </c>
      <c r="B2432" s="90">
        <v>12</v>
      </c>
      <c r="C2432" s="90" t="s">
        <v>733</v>
      </c>
      <c r="D2432" s="90" t="s">
        <v>722</v>
      </c>
      <c r="E2432" s="102" t="s">
        <v>11</v>
      </c>
      <c r="F2432" s="103" t="s">
        <v>47</v>
      </c>
      <c r="G2432" s="93">
        <v>12435.41</v>
      </c>
      <c r="H2432" s="93">
        <v>264941.37</v>
      </c>
      <c r="I2432" s="93">
        <v>2397.5457928860201</v>
      </c>
      <c r="J2432" s="93">
        <v>251513.43</v>
      </c>
      <c r="K2432" s="93">
        <v>33413.07</v>
      </c>
      <c r="L2432" s="93">
        <v>122079.73</v>
      </c>
      <c r="M2432" s="93">
        <v>1458175.31</v>
      </c>
      <c r="N2432" s="95">
        <v>0.01</v>
      </c>
      <c r="O2432" s="95">
        <v>0.2</v>
      </c>
      <c r="P2432" s="95">
        <v>0.57999999999999996</v>
      </c>
      <c r="Q2432" s="95">
        <v>0.19</v>
      </c>
      <c r="R2432" s="104">
        <v>0.03</v>
      </c>
    </row>
    <row r="2433" spans="1:18" ht="15" hidden="1" customHeight="1" x14ac:dyDescent="0.3">
      <c r="A2433" s="101">
        <v>2023</v>
      </c>
      <c r="B2433" s="90">
        <v>12</v>
      </c>
      <c r="C2433" s="90" t="s">
        <v>733</v>
      </c>
      <c r="D2433" s="90" t="s">
        <v>722</v>
      </c>
      <c r="E2433" s="102" t="s">
        <v>11</v>
      </c>
      <c r="F2433" s="103" t="s">
        <v>48</v>
      </c>
      <c r="G2433" s="93">
        <v>917.77</v>
      </c>
      <c r="H2433" s="93">
        <v>3273.91</v>
      </c>
      <c r="I2433" s="93">
        <v>2397.5457928860201</v>
      </c>
      <c r="J2433" s="93">
        <v>19403.810000000001</v>
      </c>
      <c r="K2433" s="93">
        <v>493.29</v>
      </c>
      <c r="L2433" s="93">
        <v>67952.789999999994</v>
      </c>
      <c r="M2433" s="93">
        <v>110314.47</v>
      </c>
      <c r="N2433" s="95">
        <v>0.02</v>
      </c>
      <c r="O2433" s="95">
        <v>0.08</v>
      </c>
      <c r="P2433" s="95">
        <v>0.43</v>
      </c>
      <c r="Q2433" s="95">
        <v>0.46</v>
      </c>
      <c r="R2433" s="104">
        <v>0.01</v>
      </c>
    </row>
    <row r="2434" spans="1:18" ht="15" hidden="1" customHeight="1" x14ac:dyDescent="0.3">
      <c r="A2434" s="101">
        <v>2024</v>
      </c>
      <c r="B2434" s="90">
        <v>1</v>
      </c>
      <c r="C2434" s="90" t="s">
        <v>718</v>
      </c>
      <c r="D2434" s="90" t="s">
        <v>719</v>
      </c>
      <c r="E2434" s="102" t="s">
        <v>11</v>
      </c>
      <c r="F2434" s="103" t="s">
        <v>12</v>
      </c>
      <c r="G2434" s="93">
        <v>16621.68</v>
      </c>
      <c r="H2434" s="93">
        <v>41647.08</v>
      </c>
      <c r="I2434" s="93">
        <v>2397.5457928860201</v>
      </c>
      <c r="J2434" s="93">
        <v>171457.42</v>
      </c>
      <c r="K2434" s="93">
        <v>55992.77</v>
      </c>
      <c r="L2434" s="93">
        <v>48237.440000000002</v>
      </c>
      <c r="M2434" s="93">
        <v>433311.44</v>
      </c>
      <c r="N2434" s="95">
        <v>0.04</v>
      </c>
      <c r="O2434" s="95">
        <v>0.11</v>
      </c>
      <c r="P2434" s="95">
        <v>0.26</v>
      </c>
      <c r="Q2434" s="95">
        <v>0.45</v>
      </c>
      <c r="R2434" s="104">
        <v>0.15</v>
      </c>
    </row>
    <row r="2435" spans="1:18" ht="15" hidden="1" customHeight="1" x14ac:dyDescent="0.3">
      <c r="A2435" s="101">
        <v>2024</v>
      </c>
      <c r="B2435" s="90">
        <v>1</v>
      </c>
      <c r="C2435" s="90" t="s">
        <v>718</v>
      </c>
      <c r="D2435" s="90" t="s">
        <v>719</v>
      </c>
      <c r="E2435" s="102" t="s">
        <v>11</v>
      </c>
      <c r="F2435" s="103" t="s">
        <v>26</v>
      </c>
      <c r="G2435" s="93">
        <v>132284.31</v>
      </c>
      <c r="H2435" s="93">
        <v>180541.99</v>
      </c>
      <c r="I2435" s="93">
        <v>2397.5457928860201</v>
      </c>
      <c r="J2435" s="93">
        <v>301974.92</v>
      </c>
      <c r="K2435" s="93">
        <v>57311.19</v>
      </c>
      <c r="L2435" s="93">
        <v>256612.5</v>
      </c>
      <c r="M2435" s="93">
        <v>1302393.77</v>
      </c>
      <c r="N2435" s="95">
        <v>0.13</v>
      </c>
      <c r="O2435" s="95">
        <v>0.17</v>
      </c>
      <c r="P2435" s="95">
        <v>0.36</v>
      </c>
      <c r="Q2435" s="95">
        <v>0.28999999999999998</v>
      </c>
      <c r="R2435" s="104">
        <v>0.05</v>
      </c>
    </row>
    <row r="2436" spans="1:18" ht="15" hidden="1" customHeight="1" x14ac:dyDescent="0.3">
      <c r="A2436" s="101">
        <v>2024</v>
      </c>
      <c r="B2436" s="90">
        <v>1</v>
      </c>
      <c r="C2436" s="90" t="s">
        <v>718</v>
      </c>
      <c r="D2436" s="90" t="s">
        <v>719</v>
      </c>
      <c r="E2436" s="102" t="s">
        <v>11</v>
      </c>
      <c r="F2436" s="103" t="s">
        <v>27</v>
      </c>
      <c r="G2436" s="93">
        <v>2626.96</v>
      </c>
      <c r="H2436" s="93">
        <v>28806.080000000002</v>
      </c>
      <c r="I2436" s="93">
        <v>2397.5457928860201</v>
      </c>
      <c r="J2436" s="93">
        <v>85800.14</v>
      </c>
      <c r="K2436" s="93">
        <v>32368.67</v>
      </c>
      <c r="L2436" s="93">
        <v>5506.64</v>
      </c>
      <c r="M2436" s="93">
        <v>226689.38</v>
      </c>
      <c r="N2436" s="95">
        <v>0.01</v>
      </c>
      <c r="O2436" s="95">
        <v>0.13</v>
      </c>
      <c r="P2436" s="95">
        <v>0.32</v>
      </c>
      <c r="Q2436" s="95">
        <v>0.39</v>
      </c>
      <c r="R2436" s="104">
        <v>0.15</v>
      </c>
    </row>
    <row r="2437" spans="1:18" ht="15" hidden="1" customHeight="1" x14ac:dyDescent="0.3">
      <c r="A2437" s="101">
        <v>2024</v>
      </c>
      <c r="B2437" s="90">
        <v>1</v>
      </c>
      <c r="C2437" s="90" t="s">
        <v>718</v>
      </c>
      <c r="D2437" s="90" t="s">
        <v>719</v>
      </c>
      <c r="E2437" s="102" t="s">
        <v>11</v>
      </c>
      <c r="F2437" s="103" t="s">
        <v>28</v>
      </c>
      <c r="G2437" s="93">
        <v>5213.8599999999997</v>
      </c>
      <c r="H2437" s="93">
        <v>19253.7</v>
      </c>
      <c r="I2437" s="93">
        <v>2397.5457928860201</v>
      </c>
      <c r="J2437" s="93">
        <v>200257.65</v>
      </c>
      <c r="K2437" s="93">
        <v>11196.22</v>
      </c>
      <c r="L2437" s="93">
        <v>3280.16</v>
      </c>
      <c r="M2437" s="93">
        <v>373104.4</v>
      </c>
      <c r="N2437" s="95">
        <v>0.01</v>
      </c>
      <c r="O2437" s="95">
        <v>0.05</v>
      </c>
      <c r="P2437" s="95">
        <v>0.36</v>
      </c>
      <c r="Q2437" s="95">
        <v>0.54</v>
      </c>
      <c r="R2437" s="104">
        <v>0.03</v>
      </c>
    </row>
    <row r="2438" spans="1:18" ht="15" customHeight="1" x14ac:dyDescent="0.3">
      <c r="A2438" s="101">
        <v>2024</v>
      </c>
      <c r="B2438" s="90">
        <v>1</v>
      </c>
      <c r="C2438" s="90" t="s">
        <v>718</v>
      </c>
      <c r="D2438" s="90" t="s">
        <v>719</v>
      </c>
      <c r="E2438" s="102" t="s">
        <v>11</v>
      </c>
      <c r="F2438" s="103" t="s">
        <v>29</v>
      </c>
      <c r="G2438" s="93">
        <v>8518.19</v>
      </c>
      <c r="H2438" s="93">
        <v>20172.89</v>
      </c>
      <c r="I2438" s="93">
        <v>2397.5457928860201</v>
      </c>
      <c r="J2438" s="93">
        <v>135881.53</v>
      </c>
      <c r="K2438" s="93">
        <v>67051.3</v>
      </c>
      <c r="L2438" s="93">
        <v>68074.25</v>
      </c>
      <c r="M2438" s="93">
        <v>354391.76</v>
      </c>
      <c r="N2438" s="95">
        <v>0.03</v>
      </c>
      <c r="O2438" s="95">
        <v>7.0000000000000007E-2</v>
      </c>
      <c r="P2438" s="95">
        <v>0.19</v>
      </c>
      <c r="Q2438" s="95">
        <v>0.47</v>
      </c>
      <c r="R2438" s="104">
        <v>0.23</v>
      </c>
    </row>
    <row r="2439" spans="1:18" ht="15" hidden="1" customHeight="1" x14ac:dyDescent="0.3">
      <c r="A2439" s="101">
        <v>2024</v>
      </c>
      <c r="B2439" s="90">
        <v>1</v>
      </c>
      <c r="C2439" s="90" t="s">
        <v>718</v>
      </c>
      <c r="D2439" s="90" t="s">
        <v>719</v>
      </c>
      <c r="E2439" s="102" t="s">
        <v>11</v>
      </c>
      <c r="F2439" s="103" t="s">
        <v>30</v>
      </c>
      <c r="G2439" s="93">
        <v>241.14</v>
      </c>
      <c r="H2439" s="93">
        <v>1053.44</v>
      </c>
      <c r="I2439" s="93">
        <v>2397.5457928860201</v>
      </c>
      <c r="J2439" s="93">
        <v>8139.77</v>
      </c>
      <c r="K2439" s="93">
        <v>1713.23</v>
      </c>
      <c r="L2439" s="93">
        <v>215675.27</v>
      </c>
      <c r="M2439" s="93">
        <v>230086.24</v>
      </c>
      <c r="N2439" s="95">
        <v>0.02</v>
      </c>
      <c r="O2439" s="95">
        <v>7.0000000000000007E-2</v>
      </c>
      <c r="P2439" s="95">
        <v>0.23</v>
      </c>
      <c r="Q2439" s="95">
        <v>0.56000000000000005</v>
      </c>
      <c r="R2439" s="104">
        <v>0.12</v>
      </c>
    </row>
    <row r="2440" spans="1:18" ht="15" hidden="1" customHeight="1" x14ac:dyDescent="0.3">
      <c r="A2440" s="101">
        <v>2024</v>
      </c>
      <c r="B2440" s="90">
        <v>1</v>
      </c>
      <c r="C2440" s="90" t="s">
        <v>718</v>
      </c>
      <c r="D2440" s="90" t="s">
        <v>719</v>
      </c>
      <c r="E2440" s="102" t="s">
        <v>11</v>
      </c>
      <c r="F2440" s="103" t="s">
        <v>31</v>
      </c>
      <c r="G2440" s="93">
        <v>713.01</v>
      </c>
      <c r="H2440" s="93">
        <v>14212.33</v>
      </c>
      <c r="I2440" s="93">
        <v>2397.5457928860201</v>
      </c>
      <c r="J2440" s="93">
        <v>84550.49</v>
      </c>
      <c r="K2440" s="93">
        <v>51715.41</v>
      </c>
      <c r="L2440" s="93">
        <v>43707.37</v>
      </c>
      <c r="M2440" s="93">
        <v>251948.86</v>
      </c>
      <c r="N2440" s="95">
        <v>0</v>
      </c>
      <c r="O2440" s="95">
        <v>7.0000000000000007E-2</v>
      </c>
      <c r="P2440" s="95">
        <v>0.27</v>
      </c>
      <c r="Q2440" s="95">
        <v>0.41</v>
      </c>
      <c r="R2440" s="104">
        <v>0.25</v>
      </c>
    </row>
    <row r="2441" spans="1:18" ht="15" hidden="1" customHeight="1" x14ac:dyDescent="0.3">
      <c r="A2441" s="101">
        <v>2024</v>
      </c>
      <c r="B2441" s="90">
        <v>1</v>
      </c>
      <c r="C2441" s="90" t="s">
        <v>718</v>
      </c>
      <c r="D2441" s="90" t="s">
        <v>719</v>
      </c>
      <c r="E2441" s="102" t="s">
        <v>11</v>
      </c>
      <c r="F2441" s="103" t="s">
        <v>32</v>
      </c>
      <c r="G2441" s="93">
        <v>11763.58</v>
      </c>
      <c r="H2441" s="93">
        <v>67545.47</v>
      </c>
      <c r="I2441" s="93">
        <v>2397.5457928860201</v>
      </c>
      <c r="J2441" s="93">
        <v>263784.05</v>
      </c>
      <c r="K2441" s="93">
        <v>28564.45</v>
      </c>
      <c r="L2441" s="93">
        <v>54839.83</v>
      </c>
      <c r="M2441" s="93">
        <v>609521.87</v>
      </c>
      <c r="N2441" s="95">
        <v>0.02</v>
      </c>
      <c r="O2441" s="95">
        <v>0.12</v>
      </c>
      <c r="P2441" s="95">
        <v>0.33</v>
      </c>
      <c r="Q2441" s="95">
        <v>0.48</v>
      </c>
      <c r="R2441" s="104">
        <v>0.05</v>
      </c>
    </row>
    <row r="2442" spans="1:18" ht="15" hidden="1" customHeight="1" x14ac:dyDescent="0.3">
      <c r="A2442" s="101">
        <v>2024</v>
      </c>
      <c r="B2442" s="90">
        <v>1</v>
      </c>
      <c r="C2442" s="90" t="s">
        <v>718</v>
      </c>
      <c r="D2442" s="90" t="s">
        <v>719</v>
      </c>
      <c r="E2442" s="102" t="s">
        <v>11</v>
      </c>
      <c r="F2442" s="103" t="s">
        <v>33</v>
      </c>
      <c r="G2442" s="93">
        <v>58211.83</v>
      </c>
      <c r="H2442" s="93">
        <v>226482.59</v>
      </c>
      <c r="I2442" s="93">
        <v>2397.5457928860201</v>
      </c>
      <c r="J2442" s="93">
        <v>401591.59</v>
      </c>
      <c r="K2442" s="93">
        <v>50283.83</v>
      </c>
      <c r="L2442" s="93">
        <v>34570.089999999997</v>
      </c>
      <c r="M2442" s="93">
        <v>1352055.51</v>
      </c>
      <c r="N2442" s="95">
        <v>0.04</v>
      </c>
      <c r="O2442" s="95">
        <v>0.17</v>
      </c>
      <c r="P2442" s="95">
        <v>0.44</v>
      </c>
      <c r="Q2442" s="95">
        <v>0.3</v>
      </c>
      <c r="R2442" s="104">
        <v>0.04</v>
      </c>
    </row>
    <row r="2443" spans="1:18" ht="15" hidden="1" customHeight="1" x14ac:dyDescent="0.3">
      <c r="A2443" s="101">
        <v>2024</v>
      </c>
      <c r="B2443" s="90">
        <v>1</v>
      </c>
      <c r="C2443" s="90" t="s">
        <v>718</v>
      </c>
      <c r="D2443" s="90" t="s">
        <v>719</v>
      </c>
      <c r="E2443" s="102" t="s">
        <v>11</v>
      </c>
      <c r="F2443" s="103" t="s">
        <v>34</v>
      </c>
      <c r="G2443" s="93">
        <v>30479.86</v>
      </c>
      <c r="H2443" s="93">
        <v>129342.88</v>
      </c>
      <c r="I2443" s="93">
        <v>2397.5457928860201</v>
      </c>
      <c r="J2443" s="93">
        <v>174114.14</v>
      </c>
      <c r="K2443" s="93">
        <v>45665.9</v>
      </c>
      <c r="L2443" s="93">
        <v>54334.31</v>
      </c>
      <c r="M2443" s="93">
        <v>713628.98</v>
      </c>
      <c r="N2443" s="95">
        <v>0.05</v>
      </c>
      <c r="O2443" s="95">
        <v>0.2</v>
      </c>
      <c r="P2443" s="95">
        <v>0.42</v>
      </c>
      <c r="Q2443" s="95">
        <v>0.26</v>
      </c>
      <c r="R2443" s="104">
        <v>7.0000000000000007E-2</v>
      </c>
    </row>
    <row r="2444" spans="1:18" ht="15" hidden="1" customHeight="1" x14ac:dyDescent="0.3">
      <c r="A2444" s="101">
        <v>2024</v>
      </c>
      <c r="B2444" s="90">
        <v>1</v>
      </c>
      <c r="C2444" s="90" t="s">
        <v>718</v>
      </c>
      <c r="D2444" s="90" t="s">
        <v>719</v>
      </c>
      <c r="E2444" s="102" t="s">
        <v>11</v>
      </c>
      <c r="F2444" s="103" t="s">
        <v>35</v>
      </c>
      <c r="G2444" s="93">
        <v>28336.79</v>
      </c>
      <c r="H2444" s="93">
        <v>100976.63</v>
      </c>
      <c r="I2444" s="93">
        <v>2397.5457928860201</v>
      </c>
      <c r="J2444" s="93">
        <v>130923.99</v>
      </c>
      <c r="K2444" s="93">
        <v>22186.97</v>
      </c>
      <c r="L2444" s="93">
        <v>233141.23</v>
      </c>
      <c r="M2444" s="93">
        <v>605861.19999999995</v>
      </c>
      <c r="N2444" s="95">
        <v>0.08</v>
      </c>
      <c r="O2444" s="95">
        <v>0.27</v>
      </c>
      <c r="P2444" s="95">
        <v>0.24</v>
      </c>
      <c r="Q2444" s="95">
        <v>0.35</v>
      </c>
      <c r="R2444" s="104">
        <v>0.06</v>
      </c>
    </row>
    <row r="2445" spans="1:18" ht="15" hidden="1" customHeight="1" x14ac:dyDescent="0.3">
      <c r="A2445" s="101">
        <v>2024</v>
      </c>
      <c r="B2445" s="90">
        <v>1</v>
      </c>
      <c r="C2445" s="90" t="s">
        <v>718</v>
      </c>
      <c r="D2445" s="90" t="s">
        <v>719</v>
      </c>
      <c r="E2445" s="102" t="s">
        <v>11</v>
      </c>
      <c r="F2445" s="103" t="s">
        <v>36</v>
      </c>
      <c r="G2445" s="93">
        <v>4063.41</v>
      </c>
      <c r="H2445" s="93">
        <v>18274.080000000002</v>
      </c>
      <c r="I2445" s="93">
        <v>2397.5457928860201</v>
      </c>
      <c r="J2445" s="93">
        <v>106982.39999999999</v>
      </c>
      <c r="K2445" s="93">
        <v>15973.27</v>
      </c>
      <c r="L2445" s="93">
        <v>33007.99</v>
      </c>
      <c r="M2445" s="93">
        <v>258886.74</v>
      </c>
      <c r="N2445" s="95">
        <v>0.02</v>
      </c>
      <c r="O2445" s="95">
        <v>0.08</v>
      </c>
      <c r="P2445" s="95">
        <v>0.36</v>
      </c>
      <c r="Q2445" s="95">
        <v>0.47</v>
      </c>
      <c r="R2445" s="104">
        <v>7.0000000000000007E-2</v>
      </c>
    </row>
    <row r="2446" spans="1:18" ht="15" hidden="1" customHeight="1" x14ac:dyDescent="0.3">
      <c r="A2446" s="101">
        <v>2024</v>
      </c>
      <c r="B2446" s="90">
        <v>1</v>
      </c>
      <c r="C2446" s="90" t="s">
        <v>718</v>
      </c>
      <c r="D2446" s="90" t="s">
        <v>719</v>
      </c>
      <c r="E2446" s="102" t="s">
        <v>11</v>
      </c>
      <c r="F2446" s="103" t="s">
        <v>37</v>
      </c>
      <c r="G2446" s="93">
        <v>4473.87</v>
      </c>
      <c r="H2446" s="93">
        <v>14275.63</v>
      </c>
      <c r="I2446" s="93">
        <v>2397.5457928860201</v>
      </c>
      <c r="J2446" s="93">
        <v>182259.71</v>
      </c>
      <c r="K2446" s="93">
        <v>125307.95</v>
      </c>
      <c r="L2446" s="93">
        <v>142418.15</v>
      </c>
      <c r="M2446" s="93">
        <v>524074.32</v>
      </c>
      <c r="N2446" s="95">
        <v>0.01</v>
      </c>
      <c r="O2446" s="95">
        <v>0.04</v>
      </c>
      <c r="P2446" s="95">
        <v>0.14000000000000001</v>
      </c>
      <c r="Q2446" s="95">
        <v>0.48</v>
      </c>
      <c r="R2446" s="104">
        <v>0.33</v>
      </c>
    </row>
    <row r="2447" spans="1:18" ht="15" hidden="1" customHeight="1" x14ac:dyDescent="0.3">
      <c r="A2447" s="101">
        <v>2024</v>
      </c>
      <c r="B2447" s="90">
        <v>1</v>
      </c>
      <c r="C2447" s="90" t="s">
        <v>718</v>
      </c>
      <c r="D2447" s="90" t="s">
        <v>719</v>
      </c>
      <c r="E2447" s="102" t="s">
        <v>11</v>
      </c>
      <c r="F2447" s="103" t="s">
        <v>720</v>
      </c>
      <c r="G2447" s="93">
        <v>69963.259999999995</v>
      </c>
      <c r="H2447" s="93">
        <v>81435.09</v>
      </c>
      <c r="I2447" s="93">
        <v>2397.5457928860201</v>
      </c>
      <c r="J2447" s="93">
        <v>380407.5</v>
      </c>
      <c r="K2447" s="93">
        <v>32755.02</v>
      </c>
      <c r="L2447" s="93">
        <v>161574.92000000001</v>
      </c>
      <c r="M2447" s="93">
        <v>927959.02</v>
      </c>
      <c r="N2447" s="95">
        <v>0.09</v>
      </c>
      <c r="O2447" s="95">
        <v>0.11</v>
      </c>
      <c r="P2447" s="95">
        <v>0.26</v>
      </c>
      <c r="Q2447" s="95">
        <v>0.5</v>
      </c>
      <c r="R2447" s="104">
        <v>0.04</v>
      </c>
    </row>
    <row r="2448" spans="1:18" ht="15" hidden="1" customHeight="1" x14ac:dyDescent="0.3">
      <c r="A2448" s="101">
        <v>2024</v>
      </c>
      <c r="B2448" s="90">
        <v>1</v>
      </c>
      <c r="C2448" s="90" t="s">
        <v>718</v>
      </c>
      <c r="D2448" s="90" t="s">
        <v>719</v>
      </c>
      <c r="E2448" s="102" t="s">
        <v>11</v>
      </c>
      <c r="F2448" s="103" t="s">
        <v>39</v>
      </c>
      <c r="G2448" s="93">
        <v>10903.2</v>
      </c>
      <c r="H2448" s="93">
        <v>84717.61</v>
      </c>
      <c r="I2448" s="93">
        <v>2397.5457928860201</v>
      </c>
      <c r="J2448" s="93">
        <v>65114.25</v>
      </c>
      <c r="K2448" s="93">
        <v>4757.33</v>
      </c>
      <c r="L2448" s="93">
        <v>10968.91</v>
      </c>
      <c r="M2448" s="93">
        <v>331195.63</v>
      </c>
      <c r="N2448" s="95">
        <v>0.03</v>
      </c>
      <c r="O2448" s="95">
        <v>0.26</v>
      </c>
      <c r="P2448" s="95">
        <v>0.48</v>
      </c>
      <c r="Q2448" s="95">
        <v>0.2</v>
      </c>
      <c r="R2448" s="104">
        <v>0.01</v>
      </c>
    </row>
    <row r="2449" spans="1:18" ht="15" hidden="1" customHeight="1" x14ac:dyDescent="0.3">
      <c r="A2449" s="101">
        <v>2024</v>
      </c>
      <c r="B2449" s="90">
        <v>1</v>
      </c>
      <c r="C2449" s="90" t="s">
        <v>718</v>
      </c>
      <c r="D2449" s="90" t="s">
        <v>719</v>
      </c>
      <c r="E2449" s="102" t="s">
        <v>11</v>
      </c>
      <c r="F2449" s="103" t="s">
        <v>40</v>
      </c>
      <c r="G2449" s="93">
        <v>3549.5</v>
      </c>
      <c r="H2449" s="93">
        <v>12943.03</v>
      </c>
      <c r="I2449" s="93">
        <v>2397.5457928860201</v>
      </c>
      <c r="J2449" s="93">
        <v>140748.60999999999</v>
      </c>
      <c r="K2449" s="93">
        <v>75301.97</v>
      </c>
      <c r="L2449" s="93">
        <v>31846.63</v>
      </c>
      <c r="M2449" s="93">
        <v>326305.03999999998</v>
      </c>
      <c r="N2449" s="95">
        <v>0.01</v>
      </c>
      <c r="O2449" s="95">
        <v>0.04</v>
      </c>
      <c r="P2449" s="95">
        <v>0.21</v>
      </c>
      <c r="Q2449" s="95">
        <v>0.48</v>
      </c>
      <c r="R2449" s="104">
        <v>0.26</v>
      </c>
    </row>
    <row r="2450" spans="1:18" ht="15" hidden="1" customHeight="1" x14ac:dyDescent="0.3">
      <c r="A2450" s="101">
        <v>2024</v>
      </c>
      <c r="B2450" s="90">
        <v>1</v>
      </c>
      <c r="C2450" s="90" t="s">
        <v>718</v>
      </c>
      <c r="D2450" s="90" t="s">
        <v>719</v>
      </c>
      <c r="E2450" s="102" t="s">
        <v>11</v>
      </c>
      <c r="F2450" s="103" t="s">
        <v>41</v>
      </c>
      <c r="G2450" s="93">
        <v>651.44000000000005</v>
      </c>
      <c r="H2450" s="93">
        <v>4902.6000000000004</v>
      </c>
      <c r="I2450" s="93">
        <v>2397.5457928860201</v>
      </c>
      <c r="J2450" s="93">
        <v>3631.43</v>
      </c>
      <c r="K2450" s="93">
        <v>498.24</v>
      </c>
      <c r="L2450" s="93">
        <v>2031.46</v>
      </c>
      <c r="M2450" s="93">
        <v>18714.330000000002</v>
      </c>
      <c r="N2450" s="95">
        <v>0.04</v>
      </c>
      <c r="O2450" s="95">
        <v>0.28999999999999998</v>
      </c>
      <c r="P2450" s="95">
        <v>0.42</v>
      </c>
      <c r="Q2450" s="95">
        <v>0.22</v>
      </c>
      <c r="R2450" s="104">
        <v>0.03</v>
      </c>
    </row>
    <row r="2451" spans="1:18" ht="15" hidden="1" customHeight="1" x14ac:dyDescent="0.3">
      <c r="A2451" s="101">
        <v>2024</v>
      </c>
      <c r="B2451" s="90">
        <v>1</v>
      </c>
      <c r="C2451" s="90" t="s">
        <v>718</v>
      </c>
      <c r="D2451" s="90" t="s">
        <v>719</v>
      </c>
      <c r="E2451" s="102" t="s">
        <v>11</v>
      </c>
      <c r="F2451" s="103" t="s">
        <v>42</v>
      </c>
      <c r="G2451" s="93">
        <v>28976.1</v>
      </c>
      <c r="H2451" s="93">
        <v>99744.09</v>
      </c>
      <c r="I2451" s="93">
        <v>2397.5457928860201</v>
      </c>
      <c r="J2451" s="93">
        <v>116619.73</v>
      </c>
      <c r="K2451" s="93">
        <v>190365.95</v>
      </c>
      <c r="L2451" s="93">
        <v>97730.77</v>
      </c>
      <c r="M2451" s="93">
        <v>620824.21</v>
      </c>
      <c r="N2451" s="95">
        <v>0.06</v>
      </c>
      <c r="O2451" s="95">
        <v>0.19</v>
      </c>
      <c r="P2451" s="95">
        <v>0.17</v>
      </c>
      <c r="Q2451" s="95">
        <v>0.22</v>
      </c>
      <c r="R2451" s="104">
        <v>0.36</v>
      </c>
    </row>
    <row r="2452" spans="1:18" ht="15" hidden="1" customHeight="1" x14ac:dyDescent="0.3">
      <c r="A2452" s="101">
        <v>2024</v>
      </c>
      <c r="B2452" s="90">
        <v>1</v>
      </c>
      <c r="C2452" s="90" t="s">
        <v>718</v>
      </c>
      <c r="D2452" s="90" t="s">
        <v>719</v>
      </c>
      <c r="E2452" s="102" t="s">
        <v>11</v>
      </c>
      <c r="F2452" s="103" t="s">
        <v>43</v>
      </c>
      <c r="G2452" s="93">
        <v>1920.02</v>
      </c>
      <c r="H2452" s="93">
        <v>9192.64</v>
      </c>
      <c r="I2452" s="93">
        <v>2397.5457928860201</v>
      </c>
      <c r="J2452" s="93">
        <v>26924.33</v>
      </c>
      <c r="K2452" s="93">
        <v>8318.1200000000008</v>
      </c>
      <c r="L2452" s="93">
        <v>117038.33</v>
      </c>
      <c r="M2452" s="93">
        <v>185575.52</v>
      </c>
      <c r="N2452" s="95">
        <v>0.03</v>
      </c>
      <c r="O2452" s="95">
        <v>0.13</v>
      </c>
      <c r="P2452" s="95">
        <v>0.32</v>
      </c>
      <c r="Q2452" s="95">
        <v>0.39</v>
      </c>
      <c r="R2452" s="104">
        <v>0.12</v>
      </c>
    </row>
    <row r="2453" spans="1:18" ht="15" hidden="1" customHeight="1" x14ac:dyDescent="0.3">
      <c r="A2453" s="101">
        <v>2024</v>
      </c>
      <c r="B2453" s="90">
        <v>1</v>
      </c>
      <c r="C2453" s="90" t="s">
        <v>718</v>
      </c>
      <c r="D2453" s="90" t="s">
        <v>719</v>
      </c>
      <c r="E2453" s="102" t="s">
        <v>11</v>
      </c>
      <c r="F2453" s="103" t="s">
        <v>58</v>
      </c>
      <c r="G2453" s="93">
        <v>1170.72</v>
      </c>
      <c r="H2453" s="93">
        <v>5009.6099999999997</v>
      </c>
      <c r="I2453" s="93">
        <v>2397.5457928860201</v>
      </c>
      <c r="J2453" s="93">
        <v>178844.36</v>
      </c>
      <c r="K2453" s="93">
        <v>82645.58</v>
      </c>
      <c r="L2453" s="93">
        <v>36244.19</v>
      </c>
      <c r="M2453" s="93">
        <v>371477.13</v>
      </c>
      <c r="N2453" s="95">
        <v>0</v>
      </c>
      <c r="O2453" s="95">
        <v>0.01</v>
      </c>
      <c r="P2453" s="95">
        <v>0.2</v>
      </c>
      <c r="Q2453" s="95">
        <v>0.53</v>
      </c>
      <c r="R2453" s="104">
        <v>0.25</v>
      </c>
    </row>
    <row r="2454" spans="1:18" ht="15" hidden="1" customHeight="1" x14ac:dyDescent="0.3">
      <c r="A2454" s="101">
        <v>2024</v>
      </c>
      <c r="B2454" s="90">
        <v>1</v>
      </c>
      <c r="C2454" s="90" t="s">
        <v>718</v>
      </c>
      <c r="D2454" s="90" t="s">
        <v>719</v>
      </c>
      <c r="E2454" s="102" t="s">
        <v>11</v>
      </c>
      <c r="F2454" s="103" t="s">
        <v>44</v>
      </c>
      <c r="G2454" s="93">
        <v>3971.08</v>
      </c>
      <c r="H2454" s="93">
        <v>6629.88</v>
      </c>
      <c r="I2454" s="93">
        <v>2397.5457928860201</v>
      </c>
      <c r="J2454" s="93">
        <v>118039.26</v>
      </c>
      <c r="K2454" s="93">
        <v>21458.07</v>
      </c>
      <c r="L2454" s="93">
        <v>39832.81</v>
      </c>
      <c r="M2454" s="93">
        <v>215729.36</v>
      </c>
      <c r="N2454" s="95">
        <v>0.02</v>
      </c>
      <c r="O2454" s="95">
        <v>0.04</v>
      </c>
      <c r="P2454" s="95">
        <v>0.15</v>
      </c>
      <c r="Q2454" s="95">
        <v>0.67</v>
      </c>
      <c r="R2454" s="104">
        <v>0.12</v>
      </c>
    </row>
    <row r="2455" spans="1:18" ht="15" hidden="1" customHeight="1" x14ac:dyDescent="0.3">
      <c r="A2455" s="101">
        <v>2024</v>
      </c>
      <c r="B2455" s="90">
        <v>1</v>
      </c>
      <c r="C2455" s="90" t="s">
        <v>718</v>
      </c>
      <c r="D2455" s="90" t="s">
        <v>719</v>
      </c>
      <c r="E2455" s="102" t="s">
        <v>11</v>
      </c>
      <c r="F2455" s="103" t="s">
        <v>51</v>
      </c>
      <c r="G2455" s="93">
        <v>12379.35</v>
      </c>
      <c r="H2455" s="93">
        <v>38375.589999999997</v>
      </c>
      <c r="I2455" s="93">
        <v>2397.5457928860201</v>
      </c>
      <c r="J2455" s="93">
        <v>57790.74</v>
      </c>
      <c r="K2455" s="93">
        <v>8781.44</v>
      </c>
      <c r="L2455" s="93">
        <v>748.48</v>
      </c>
      <c r="M2455" s="93">
        <v>211202.48</v>
      </c>
      <c r="N2455" s="95">
        <v>0.06</v>
      </c>
      <c r="O2455" s="95">
        <v>0.18</v>
      </c>
      <c r="P2455" s="95">
        <v>0.44</v>
      </c>
      <c r="Q2455" s="95">
        <v>0.27</v>
      </c>
      <c r="R2455" s="104">
        <v>0.04</v>
      </c>
    </row>
    <row r="2456" spans="1:18" ht="15" hidden="1" customHeight="1" x14ac:dyDescent="0.3">
      <c r="A2456" s="101">
        <v>2024</v>
      </c>
      <c r="B2456" s="90">
        <v>1</v>
      </c>
      <c r="C2456" s="90" t="s">
        <v>718</v>
      </c>
      <c r="D2456" s="90" t="s">
        <v>719</v>
      </c>
      <c r="E2456" s="102" t="s">
        <v>11</v>
      </c>
      <c r="F2456" s="103" t="s">
        <v>45</v>
      </c>
      <c r="G2456" s="93">
        <v>10090.709999999999</v>
      </c>
      <c r="H2456" s="93">
        <v>20393.18</v>
      </c>
      <c r="I2456" s="93">
        <v>2397.5457928860201</v>
      </c>
      <c r="J2456" s="93">
        <v>19814.37</v>
      </c>
      <c r="K2456" s="93">
        <v>866.75</v>
      </c>
      <c r="L2456" s="93">
        <v>47932.71</v>
      </c>
      <c r="M2456" s="93">
        <v>134096.20000000001</v>
      </c>
      <c r="N2456" s="95">
        <v>0.12</v>
      </c>
      <c r="O2456" s="95">
        <v>0.24</v>
      </c>
      <c r="P2456" s="95">
        <v>0.41</v>
      </c>
      <c r="Q2456" s="95">
        <v>0.23</v>
      </c>
      <c r="R2456" s="104">
        <v>0.01</v>
      </c>
    </row>
    <row r="2457" spans="1:18" ht="15" hidden="1" customHeight="1" x14ac:dyDescent="0.3">
      <c r="A2457" s="101">
        <v>2024</v>
      </c>
      <c r="B2457" s="90">
        <v>1</v>
      </c>
      <c r="C2457" s="90" t="s">
        <v>718</v>
      </c>
      <c r="D2457" s="90" t="s">
        <v>719</v>
      </c>
      <c r="E2457" s="102" t="s">
        <v>11</v>
      </c>
      <c r="F2457" s="103" t="s">
        <v>721</v>
      </c>
      <c r="G2457" s="93">
        <v>8519.4</v>
      </c>
      <c r="H2457" s="93">
        <v>41664.949999999997</v>
      </c>
      <c r="I2457" s="93">
        <v>2397.5457928860201</v>
      </c>
      <c r="J2457" s="93">
        <v>129329.55</v>
      </c>
      <c r="K2457" s="93">
        <v>24149.67</v>
      </c>
      <c r="L2457" s="93">
        <v>23.06</v>
      </c>
      <c r="M2457" s="93">
        <v>309330.63</v>
      </c>
      <c r="N2457" s="95">
        <v>0.03</v>
      </c>
      <c r="O2457" s="95">
        <v>0.13</v>
      </c>
      <c r="P2457" s="95">
        <v>0.34</v>
      </c>
      <c r="Q2457" s="95">
        <v>0.42</v>
      </c>
      <c r="R2457" s="104">
        <v>0.08</v>
      </c>
    </row>
    <row r="2458" spans="1:18" ht="15" hidden="1" customHeight="1" x14ac:dyDescent="0.3">
      <c r="A2458" s="101">
        <v>2024</v>
      </c>
      <c r="B2458" s="90">
        <v>1</v>
      </c>
      <c r="C2458" s="90" t="s">
        <v>718</v>
      </c>
      <c r="D2458" s="90" t="s">
        <v>719</v>
      </c>
      <c r="E2458" s="102" t="s">
        <v>11</v>
      </c>
      <c r="F2458" s="103" t="s">
        <v>46</v>
      </c>
      <c r="G2458" s="93">
        <v>26699.25</v>
      </c>
      <c r="H2458" s="93">
        <v>73977.570000000007</v>
      </c>
      <c r="I2458" s="93">
        <v>2397.5457928860201</v>
      </c>
      <c r="J2458" s="93">
        <v>10508.49</v>
      </c>
      <c r="K2458" s="93">
        <v>2299.73</v>
      </c>
      <c r="L2458" s="93">
        <v>2706.84</v>
      </c>
      <c r="M2458" s="93">
        <v>149074.81</v>
      </c>
      <c r="N2458" s="95">
        <v>0.18</v>
      </c>
      <c r="O2458" s="95">
        <v>0.51</v>
      </c>
      <c r="P2458" s="95">
        <v>0.22</v>
      </c>
      <c r="Q2458" s="95">
        <v>7.0000000000000007E-2</v>
      </c>
      <c r="R2458" s="104">
        <v>0.02</v>
      </c>
    </row>
    <row r="2459" spans="1:18" ht="15" hidden="1" customHeight="1" x14ac:dyDescent="0.3">
      <c r="A2459" s="101">
        <v>2024</v>
      </c>
      <c r="B2459" s="90">
        <v>1</v>
      </c>
      <c r="C2459" s="90" t="s">
        <v>718</v>
      </c>
      <c r="D2459" s="90" t="s">
        <v>719</v>
      </c>
      <c r="E2459" s="102" t="s">
        <v>11</v>
      </c>
      <c r="F2459" s="103" t="s">
        <v>47</v>
      </c>
      <c r="G2459" s="93">
        <v>28654.400000000001</v>
      </c>
      <c r="H2459" s="93">
        <v>309753.18</v>
      </c>
      <c r="I2459" s="93">
        <v>2397.5457928860201</v>
      </c>
      <c r="J2459" s="93">
        <v>227082.88</v>
      </c>
      <c r="K2459" s="93">
        <v>39313.99</v>
      </c>
      <c r="L2459" s="93">
        <v>96922.76</v>
      </c>
      <c r="M2459" s="93">
        <v>1442919.87</v>
      </c>
      <c r="N2459" s="95">
        <v>0.02</v>
      </c>
      <c r="O2459" s="95">
        <v>0.23</v>
      </c>
      <c r="P2459" s="95">
        <v>0.55000000000000004</v>
      </c>
      <c r="Q2459" s="95">
        <v>0.17</v>
      </c>
      <c r="R2459" s="104">
        <v>0.03</v>
      </c>
    </row>
    <row r="2460" spans="1:18" ht="15" hidden="1" customHeight="1" x14ac:dyDescent="0.3">
      <c r="A2460" s="101">
        <v>2024</v>
      </c>
      <c r="B2460" s="90">
        <v>1</v>
      </c>
      <c r="C2460" s="90" t="s">
        <v>718</v>
      </c>
      <c r="D2460" s="90" t="s">
        <v>719</v>
      </c>
      <c r="E2460" s="102" t="s">
        <v>11</v>
      </c>
      <c r="F2460" s="103" t="s">
        <v>48</v>
      </c>
      <c r="G2460" s="93">
        <v>2550.89</v>
      </c>
      <c r="H2460" s="93">
        <v>14388.61</v>
      </c>
      <c r="I2460" s="93">
        <v>2397.5457928860201</v>
      </c>
      <c r="J2460" s="93">
        <v>31251.52</v>
      </c>
      <c r="K2460" s="93">
        <v>607.37</v>
      </c>
      <c r="L2460" s="93">
        <v>8326.4</v>
      </c>
      <c r="M2460" s="93">
        <v>110314.47</v>
      </c>
      <c r="N2460" s="95">
        <v>0.03</v>
      </c>
      <c r="O2460" s="95">
        <v>0.14000000000000001</v>
      </c>
      <c r="P2460" s="95">
        <v>0.52</v>
      </c>
      <c r="Q2460" s="95">
        <v>0.31</v>
      </c>
      <c r="R2460" s="104">
        <v>0.01</v>
      </c>
    </row>
    <row r="2461" spans="1:18" ht="15" hidden="1" customHeight="1" x14ac:dyDescent="0.3">
      <c r="A2461" s="101">
        <v>2024</v>
      </c>
      <c r="B2461" s="90">
        <v>1</v>
      </c>
      <c r="C2461" s="90" t="s">
        <v>718</v>
      </c>
      <c r="D2461" s="90" t="s">
        <v>722</v>
      </c>
      <c r="E2461" s="102" t="s">
        <v>11</v>
      </c>
      <c r="F2461" s="103" t="s">
        <v>12</v>
      </c>
      <c r="G2461" s="93">
        <v>22317.05</v>
      </c>
      <c r="H2461" s="93">
        <v>65890.240000000005</v>
      </c>
      <c r="I2461" s="93">
        <v>2397.5457928860201</v>
      </c>
      <c r="J2461" s="93">
        <v>129508.89</v>
      </c>
      <c r="K2461" s="93">
        <v>11412.77</v>
      </c>
      <c r="L2461" s="93">
        <v>47557.58</v>
      </c>
      <c r="M2461" s="93">
        <v>433311.44</v>
      </c>
      <c r="N2461" s="95">
        <v>0.06</v>
      </c>
      <c r="O2461" s="95">
        <v>0.17</v>
      </c>
      <c r="P2461" s="95">
        <v>0.41</v>
      </c>
      <c r="Q2461" s="95">
        <v>0.34</v>
      </c>
      <c r="R2461" s="104">
        <v>0.03</v>
      </c>
    </row>
    <row r="2462" spans="1:18" ht="15" hidden="1" customHeight="1" x14ac:dyDescent="0.3">
      <c r="A2462" s="101">
        <v>2024</v>
      </c>
      <c r="B2462" s="90">
        <v>1</v>
      </c>
      <c r="C2462" s="90" t="s">
        <v>718</v>
      </c>
      <c r="D2462" s="90" t="s">
        <v>722</v>
      </c>
      <c r="E2462" s="102" t="s">
        <v>11</v>
      </c>
      <c r="F2462" s="103" t="s">
        <v>26</v>
      </c>
      <c r="G2462" s="93">
        <v>228500.2</v>
      </c>
      <c r="H2462" s="93">
        <v>400965.6</v>
      </c>
      <c r="I2462" s="93">
        <v>2397.5457928860201</v>
      </c>
      <c r="J2462" s="93">
        <v>72863.17</v>
      </c>
      <c r="K2462" s="93">
        <v>1816.9</v>
      </c>
      <c r="L2462" s="93">
        <v>256602.96</v>
      </c>
      <c r="M2462" s="93">
        <v>1302393.77</v>
      </c>
      <c r="N2462" s="95">
        <v>0.22</v>
      </c>
      <c r="O2462" s="95">
        <v>0.38</v>
      </c>
      <c r="P2462" s="95">
        <v>0.33</v>
      </c>
      <c r="Q2462" s="95">
        <v>7.0000000000000007E-2</v>
      </c>
      <c r="R2462" s="104">
        <v>0</v>
      </c>
    </row>
    <row r="2463" spans="1:18" ht="15" hidden="1" customHeight="1" x14ac:dyDescent="0.3">
      <c r="A2463" s="101">
        <v>2024</v>
      </c>
      <c r="B2463" s="90">
        <v>1</v>
      </c>
      <c r="C2463" s="90" t="s">
        <v>718</v>
      </c>
      <c r="D2463" s="90" t="s">
        <v>722</v>
      </c>
      <c r="E2463" s="102" t="s">
        <v>11</v>
      </c>
      <c r="F2463" s="103" t="s">
        <v>27</v>
      </c>
      <c r="G2463" s="93">
        <v>3061.01</v>
      </c>
      <c r="H2463" s="93">
        <v>46735.199999999997</v>
      </c>
      <c r="I2463" s="93">
        <v>2397.5457928860201</v>
      </c>
      <c r="J2463" s="93">
        <v>71019.039999999994</v>
      </c>
      <c r="K2463" s="93">
        <v>5298.96</v>
      </c>
      <c r="L2463" s="93">
        <v>7560.54</v>
      </c>
      <c r="M2463" s="93">
        <v>226689.38</v>
      </c>
      <c r="N2463" s="95">
        <v>0.01</v>
      </c>
      <c r="O2463" s="95">
        <v>0.21</v>
      </c>
      <c r="P2463" s="95">
        <v>0.42</v>
      </c>
      <c r="Q2463" s="95">
        <v>0.32</v>
      </c>
      <c r="R2463" s="104">
        <v>0.02</v>
      </c>
    </row>
    <row r="2464" spans="1:18" ht="15" hidden="1" customHeight="1" x14ac:dyDescent="0.3">
      <c r="A2464" s="101">
        <v>2024</v>
      </c>
      <c r="B2464" s="90">
        <v>1</v>
      </c>
      <c r="C2464" s="90" t="s">
        <v>718</v>
      </c>
      <c r="D2464" s="90" t="s">
        <v>722</v>
      </c>
      <c r="E2464" s="102" t="s">
        <v>11</v>
      </c>
      <c r="F2464" s="103" t="s">
        <v>28</v>
      </c>
      <c r="G2464" s="93">
        <v>8476.17</v>
      </c>
      <c r="H2464" s="93">
        <v>56526.89</v>
      </c>
      <c r="I2464" s="93">
        <v>2397.5457928860201</v>
      </c>
      <c r="J2464" s="93">
        <v>75549.509999999995</v>
      </c>
      <c r="K2464" s="93">
        <v>376.64</v>
      </c>
      <c r="L2464" s="93">
        <v>3241.66</v>
      </c>
      <c r="M2464" s="93">
        <v>373104.4</v>
      </c>
      <c r="N2464" s="95">
        <v>0.02</v>
      </c>
      <c r="O2464" s="95">
        <v>0.15</v>
      </c>
      <c r="P2464" s="95">
        <v>0.62</v>
      </c>
      <c r="Q2464" s="95">
        <v>0.2</v>
      </c>
      <c r="R2464" s="104">
        <v>0</v>
      </c>
    </row>
    <row r="2465" spans="1:18" ht="15" customHeight="1" x14ac:dyDescent="0.3">
      <c r="A2465" s="101">
        <v>2024</v>
      </c>
      <c r="B2465" s="90">
        <v>1</v>
      </c>
      <c r="C2465" s="90" t="s">
        <v>718</v>
      </c>
      <c r="D2465" s="90" t="s">
        <v>722</v>
      </c>
      <c r="E2465" s="102" t="s">
        <v>11</v>
      </c>
      <c r="F2465" s="103" t="s">
        <v>29</v>
      </c>
      <c r="G2465" s="93">
        <v>19626.830000000002</v>
      </c>
      <c r="H2465" s="93">
        <v>52144.38</v>
      </c>
      <c r="I2465" s="93">
        <v>2397.5457928860201</v>
      </c>
      <c r="J2465" s="93">
        <v>94742.43</v>
      </c>
      <c r="K2465" s="93">
        <v>5085.3900000000003</v>
      </c>
      <c r="L2465" s="93">
        <v>57671.3</v>
      </c>
      <c r="M2465" s="93">
        <v>354391.76</v>
      </c>
      <c r="N2465" s="95">
        <v>7.0000000000000007E-2</v>
      </c>
      <c r="O2465" s="95">
        <v>0.18</v>
      </c>
      <c r="P2465" s="95">
        <v>0.42</v>
      </c>
      <c r="Q2465" s="95">
        <v>0.32</v>
      </c>
      <c r="R2465" s="104">
        <v>0.02</v>
      </c>
    </row>
    <row r="2466" spans="1:18" ht="15" hidden="1" customHeight="1" x14ac:dyDescent="0.3">
      <c r="A2466" s="101">
        <v>2024</v>
      </c>
      <c r="B2466" s="90">
        <v>1</v>
      </c>
      <c r="C2466" s="90" t="s">
        <v>718</v>
      </c>
      <c r="D2466" s="90" t="s">
        <v>722</v>
      </c>
      <c r="E2466" s="102" t="s">
        <v>11</v>
      </c>
      <c r="F2466" s="103" t="s">
        <v>30</v>
      </c>
      <c r="G2466" s="93">
        <v>244.47</v>
      </c>
      <c r="H2466" s="93">
        <v>1587.38</v>
      </c>
      <c r="I2466" s="93">
        <v>2397.5457928860201</v>
      </c>
      <c r="J2466" s="93">
        <v>7274.18</v>
      </c>
      <c r="K2466" s="93">
        <v>1925.16</v>
      </c>
      <c r="L2466" s="93">
        <v>215611.12</v>
      </c>
      <c r="M2466" s="93">
        <v>230086.24</v>
      </c>
      <c r="N2466" s="95">
        <v>0.02</v>
      </c>
      <c r="O2466" s="95">
        <v>0.11</v>
      </c>
      <c r="P2466" s="95">
        <v>0.24</v>
      </c>
      <c r="Q2466" s="95">
        <v>0.5</v>
      </c>
      <c r="R2466" s="104">
        <v>0.13</v>
      </c>
    </row>
    <row r="2467" spans="1:18" ht="15" hidden="1" customHeight="1" x14ac:dyDescent="0.3">
      <c r="A2467" s="101">
        <v>2024</v>
      </c>
      <c r="B2467" s="90">
        <v>1</v>
      </c>
      <c r="C2467" s="90" t="s">
        <v>718</v>
      </c>
      <c r="D2467" s="90" t="s">
        <v>722</v>
      </c>
      <c r="E2467" s="102" t="s">
        <v>11</v>
      </c>
      <c r="F2467" s="103" t="s">
        <v>31</v>
      </c>
      <c r="G2467" s="93">
        <v>3707.91</v>
      </c>
      <c r="H2467" s="93">
        <v>51171.92</v>
      </c>
      <c r="I2467" s="93">
        <v>2397.5457928860201</v>
      </c>
      <c r="J2467" s="93">
        <v>48702.31</v>
      </c>
      <c r="K2467" s="93">
        <v>15448.37</v>
      </c>
      <c r="L2467" s="93">
        <v>44441.55</v>
      </c>
      <c r="M2467" s="93">
        <v>251948.86</v>
      </c>
      <c r="N2467" s="95">
        <v>0.02</v>
      </c>
      <c r="O2467" s="95">
        <v>0.25</v>
      </c>
      <c r="P2467" s="95">
        <v>0.43</v>
      </c>
      <c r="Q2467" s="95">
        <v>0.23</v>
      </c>
      <c r="R2467" s="104">
        <v>7.0000000000000007E-2</v>
      </c>
    </row>
    <row r="2468" spans="1:18" ht="15" hidden="1" customHeight="1" x14ac:dyDescent="0.3">
      <c r="A2468" s="101">
        <v>2024</v>
      </c>
      <c r="B2468" s="90">
        <v>1</v>
      </c>
      <c r="C2468" s="90" t="s">
        <v>718</v>
      </c>
      <c r="D2468" s="90" t="s">
        <v>722</v>
      </c>
      <c r="E2468" s="102" t="s">
        <v>11</v>
      </c>
      <c r="F2468" s="103" t="s">
        <v>32</v>
      </c>
      <c r="G2468" s="93">
        <v>24956.639999999999</v>
      </c>
      <c r="H2468" s="93">
        <v>120934.48</v>
      </c>
      <c r="I2468" s="93">
        <v>2397.5457928860201</v>
      </c>
      <c r="J2468" s="93">
        <v>207366.34</v>
      </c>
      <c r="K2468" s="93">
        <v>6389.8</v>
      </c>
      <c r="L2468" s="93">
        <v>47611.74</v>
      </c>
      <c r="M2468" s="93">
        <v>609521.87</v>
      </c>
      <c r="N2468" s="95">
        <v>0.04</v>
      </c>
      <c r="O2468" s="95">
        <v>0.22</v>
      </c>
      <c r="P2468" s="95">
        <v>0.36</v>
      </c>
      <c r="Q2468" s="95">
        <v>0.37</v>
      </c>
      <c r="R2468" s="104">
        <v>0.01</v>
      </c>
    </row>
    <row r="2469" spans="1:18" ht="15" hidden="1" customHeight="1" x14ac:dyDescent="0.3">
      <c r="A2469" s="101">
        <v>2024</v>
      </c>
      <c r="B2469" s="90">
        <v>1</v>
      </c>
      <c r="C2469" s="90" t="s">
        <v>718</v>
      </c>
      <c r="D2469" s="90" t="s">
        <v>722</v>
      </c>
      <c r="E2469" s="102" t="s">
        <v>11</v>
      </c>
      <c r="F2469" s="103" t="s">
        <v>33</v>
      </c>
      <c r="G2469" s="93">
        <v>122175.08</v>
      </c>
      <c r="H2469" s="93">
        <v>455057.18</v>
      </c>
      <c r="I2469" s="93">
        <v>2397.5457928860201</v>
      </c>
      <c r="J2469" s="93">
        <v>122098.78</v>
      </c>
      <c r="K2469" s="93">
        <v>2430.94</v>
      </c>
      <c r="L2469" s="93">
        <v>34440.720000000001</v>
      </c>
      <c r="M2469" s="93">
        <v>1352055.51</v>
      </c>
      <c r="N2469" s="95">
        <v>0.09</v>
      </c>
      <c r="O2469" s="95">
        <v>0.35</v>
      </c>
      <c r="P2469" s="95">
        <v>0.47</v>
      </c>
      <c r="Q2469" s="95">
        <v>0.09</v>
      </c>
      <c r="R2469" s="104">
        <v>0</v>
      </c>
    </row>
    <row r="2470" spans="1:18" ht="15" hidden="1" customHeight="1" x14ac:dyDescent="0.3">
      <c r="A2470" s="101">
        <v>2024</v>
      </c>
      <c r="B2470" s="90">
        <v>1</v>
      </c>
      <c r="C2470" s="90" t="s">
        <v>718</v>
      </c>
      <c r="D2470" s="90" t="s">
        <v>722</v>
      </c>
      <c r="E2470" s="102" t="s">
        <v>11</v>
      </c>
      <c r="F2470" s="103" t="s">
        <v>34</v>
      </c>
      <c r="G2470" s="93">
        <v>148037.54</v>
      </c>
      <c r="H2470" s="93">
        <v>291814.67</v>
      </c>
      <c r="I2470" s="93">
        <v>2397.5457928860201</v>
      </c>
      <c r="J2470" s="93">
        <v>47129.58</v>
      </c>
      <c r="K2470" s="93">
        <v>2959.19</v>
      </c>
      <c r="L2470" s="93">
        <v>39731.050000000003</v>
      </c>
      <c r="M2470" s="93">
        <v>713628.98</v>
      </c>
      <c r="N2470" s="95">
        <v>0.22</v>
      </c>
      <c r="O2470" s="95">
        <v>0.43</v>
      </c>
      <c r="P2470" s="95">
        <v>0.27</v>
      </c>
      <c r="Q2470" s="95">
        <v>7.0000000000000007E-2</v>
      </c>
      <c r="R2470" s="104">
        <v>0</v>
      </c>
    </row>
    <row r="2471" spans="1:18" ht="15" hidden="1" customHeight="1" x14ac:dyDescent="0.3">
      <c r="A2471" s="101">
        <v>2024</v>
      </c>
      <c r="B2471" s="90">
        <v>1</v>
      </c>
      <c r="C2471" s="90" t="s">
        <v>718</v>
      </c>
      <c r="D2471" s="90" t="s">
        <v>722</v>
      </c>
      <c r="E2471" s="102" t="s">
        <v>11</v>
      </c>
      <c r="F2471" s="103" t="s">
        <v>35</v>
      </c>
      <c r="G2471" s="93">
        <v>44222.62</v>
      </c>
      <c r="H2471" s="93">
        <v>104982.33</v>
      </c>
      <c r="I2471" s="93">
        <v>2397.5457928860201</v>
      </c>
      <c r="J2471" s="93">
        <v>83683.210000000006</v>
      </c>
      <c r="K2471" s="93">
        <v>3123.87</v>
      </c>
      <c r="L2471" s="93">
        <v>232991.31</v>
      </c>
      <c r="M2471" s="93">
        <v>605861.19999999995</v>
      </c>
      <c r="N2471" s="95">
        <v>0.12</v>
      </c>
      <c r="O2471" s="95">
        <v>0.28000000000000003</v>
      </c>
      <c r="P2471" s="95">
        <v>0.37</v>
      </c>
      <c r="Q2471" s="95">
        <v>0.22</v>
      </c>
      <c r="R2471" s="104">
        <v>0.01</v>
      </c>
    </row>
    <row r="2472" spans="1:18" ht="15" hidden="1" customHeight="1" x14ac:dyDescent="0.3">
      <c r="A2472" s="101">
        <v>2024</v>
      </c>
      <c r="B2472" s="90">
        <v>1</v>
      </c>
      <c r="C2472" s="90" t="s">
        <v>718</v>
      </c>
      <c r="D2472" s="90" t="s">
        <v>722</v>
      </c>
      <c r="E2472" s="102" t="s">
        <v>11</v>
      </c>
      <c r="F2472" s="103" t="s">
        <v>36</v>
      </c>
      <c r="G2472" s="93">
        <v>16123.02</v>
      </c>
      <c r="H2472" s="93">
        <v>75928.039999999994</v>
      </c>
      <c r="I2472" s="93">
        <v>2397.5457928860201</v>
      </c>
      <c r="J2472" s="93">
        <v>41262.97</v>
      </c>
      <c r="K2472" s="93">
        <v>825</v>
      </c>
      <c r="L2472" s="93">
        <v>32623.42</v>
      </c>
      <c r="M2472" s="93">
        <v>258886.74</v>
      </c>
      <c r="N2472" s="95">
        <v>7.0000000000000007E-2</v>
      </c>
      <c r="O2472" s="95">
        <v>0.34</v>
      </c>
      <c r="P2472" s="95">
        <v>0.41</v>
      </c>
      <c r="Q2472" s="95">
        <v>0.18</v>
      </c>
      <c r="R2472" s="104">
        <v>0</v>
      </c>
    </row>
    <row r="2473" spans="1:18" ht="15" hidden="1" customHeight="1" x14ac:dyDescent="0.3">
      <c r="A2473" s="101">
        <v>2024</v>
      </c>
      <c r="B2473" s="90">
        <v>1</v>
      </c>
      <c r="C2473" s="90" t="s">
        <v>718</v>
      </c>
      <c r="D2473" s="90" t="s">
        <v>722</v>
      </c>
      <c r="E2473" s="102" t="s">
        <v>11</v>
      </c>
      <c r="F2473" s="103" t="s">
        <v>37</v>
      </c>
      <c r="G2473" s="93">
        <v>10419.59</v>
      </c>
      <c r="H2473" s="93">
        <v>46472.53</v>
      </c>
      <c r="I2473" s="93">
        <v>2397.5457928860201</v>
      </c>
      <c r="J2473" s="93">
        <v>154956.9</v>
      </c>
      <c r="K2473" s="93">
        <v>22510.79</v>
      </c>
      <c r="L2473" s="93">
        <v>142437.07</v>
      </c>
      <c r="M2473" s="93">
        <v>524074.32</v>
      </c>
      <c r="N2473" s="95">
        <v>0.03</v>
      </c>
      <c r="O2473" s="95">
        <v>0.12</v>
      </c>
      <c r="P2473" s="95">
        <v>0.39</v>
      </c>
      <c r="Q2473" s="95">
        <v>0.41</v>
      </c>
      <c r="R2473" s="104">
        <v>0.06</v>
      </c>
    </row>
    <row r="2474" spans="1:18" ht="15" hidden="1" customHeight="1" x14ac:dyDescent="0.3">
      <c r="A2474" s="101">
        <v>2024</v>
      </c>
      <c r="B2474" s="90">
        <v>1</v>
      </c>
      <c r="C2474" s="90" t="s">
        <v>718</v>
      </c>
      <c r="D2474" s="90" t="s">
        <v>722</v>
      </c>
      <c r="E2474" s="102" t="s">
        <v>11</v>
      </c>
      <c r="F2474" s="103" t="s">
        <v>720</v>
      </c>
      <c r="G2474" s="93">
        <v>85421.29</v>
      </c>
      <c r="H2474" s="93">
        <v>136452.56</v>
      </c>
      <c r="I2474" s="93">
        <v>2397.5457928860201</v>
      </c>
      <c r="J2474" s="93">
        <v>247759.38</v>
      </c>
      <c r="K2474" s="93">
        <v>5257.21</v>
      </c>
      <c r="L2474" s="93">
        <v>172091.46</v>
      </c>
      <c r="M2474" s="93">
        <v>927959.02</v>
      </c>
      <c r="N2474" s="95">
        <v>0.11</v>
      </c>
      <c r="O2474" s="95">
        <v>0.18</v>
      </c>
      <c r="P2474" s="95">
        <v>0.37</v>
      </c>
      <c r="Q2474" s="95">
        <v>0.33</v>
      </c>
      <c r="R2474" s="104">
        <v>0.01</v>
      </c>
    </row>
    <row r="2475" spans="1:18" ht="15" hidden="1" customHeight="1" x14ac:dyDescent="0.3">
      <c r="A2475" s="101">
        <v>2024</v>
      </c>
      <c r="B2475" s="90">
        <v>1</v>
      </c>
      <c r="C2475" s="90" t="s">
        <v>718</v>
      </c>
      <c r="D2475" s="90" t="s">
        <v>722</v>
      </c>
      <c r="E2475" s="102" t="s">
        <v>11</v>
      </c>
      <c r="F2475" s="103" t="s">
        <v>39</v>
      </c>
      <c r="G2475" s="93">
        <v>9229.09</v>
      </c>
      <c r="H2475" s="93">
        <v>104895.44</v>
      </c>
      <c r="I2475" s="93">
        <v>2397.5457928860201</v>
      </c>
      <c r="J2475" s="93">
        <v>35426.839999999997</v>
      </c>
      <c r="K2475" s="93">
        <v>440.48</v>
      </c>
      <c r="L2475" s="93">
        <v>28360.21</v>
      </c>
      <c r="M2475" s="93">
        <v>331195.63</v>
      </c>
      <c r="N2475" s="95">
        <v>0.03</v>
      </c>
      <c r="O2475" s="95">
        <v>0.35</v>
      </c>
      <c r="P2475" s="95">
        <v>0.5</v>
      </c>
      <c r="Q2475" s="95">
        <v>0.12</v>
      </c>
      <c r="R2475" s="104">
        <v>0</v>
      </c>
    </row>
    <row r="2476" spans="1:18" ht="15" hidden="1" customHeight="1" x14ac:dyDescent="0.3">
      <c r="A2476" s="101">
        <v>2024</v>
      </c>
      <c r="B2476" s="90">
        <v>1</v>
      </c>
      <c r="C2476" s="90" t="s">
        <v>718</v>
      </c>
      <c r="D2476" s="90" t="s">
        <v>722</v>
      </c>
      <c r="E2476" s="102" t="s">
        <v>11</v>
      </c>
      <c r="F2476" s="103" t="s">
        <v>40</v>
      </c>
      <c r="G2476" s="93">
        <v>6647.53</v>
      </c>
      <c r="H2476" s="93">
        <v>22503.53</v>
      </c>
      <c r="I2476" s="93">
        <v>2397.5457928860201</v>
      </c>
      <c r="J2476" s="93">
        <v>164338.82</v>
      </c>
      <c r="K2476" s="93">
        <v>44380.28</v>
      </c>
      <c r="L2476" s="93">
        <v>5035.4799999999996</v>
      </c>
      <c r="M2476" s="93">
        <v>326305.03999999998</v>
      </c>
      <c r="N2476" s="95">
        <v>0.02</v>
      </c>
      <c r="O2476" s="95">
        <v>7.0000000000000007E-2</v>
      </c>
      <c r="P2476" s="95">
        <v>0.26</v>
      </c>
      <c r="Q2476" s="95">
        <v>0.51</v>
      </c>
      <c r="R2476" s="104">
        <v>0.14000000000000001</v>
      </c>
    </row>
    <row r="2477" spans="1:18" ht="15" hidden="1" customHeight="1" x14ac:dyDescent="0.3">
      <c r="A2477" s="101">
        <v>2024</v>
      </c>
      <c r="B2477" s="90">
        <v>1</v>
      </c>
      <c r="C2477" s="90" t="s">
        <v>718</v>
      </c>
      <c r="D2477" s="90" t="s">
        <v>722</v>
      </c>
      <c r="E2477" s="102" t="s">
        <v>11</v>
      </c>
      <c r="F2477" s="103" t="s">
        <v>41</v>
      </c>
      <c r="G2477" s="93">
        <v>1625.52</v>
      </c>
      <c r="H2477" s="93">
        <v>8265.19</v>
      </c>
      <c r="I2477" s="93">
        <v>2397.5457928860201</v>
      </c>
      <c r="J2477" s="93">
        <v>2207.6999999999998</v>
      </c>
      <c r="K2477" s="93">
        <v>285.89</v>
      </c>
      <c r="L2477" s="93">
        <v>48.13</v>
      </c>
      <c r="M2477" s="93">
        <v>18714.330000000002</v>
      </c>
      <c r="N2477" s="95">
        <v>0.09</v>
      </c>
      <c r="O2477" s="95">
        <v>0.44</v>
      </c>
      <c r="P2477" s="95">
        <v>0.34</v>
      </c>
      <c r="Q2477" s="95">
        <v>0.12</v>
      </c>
      <c r="R2477" s="104">
        <v>0.02</v>
      </c>
    </row>
    <row r="2478" spans="1:18" ht="15" hidden="1" customHeight="1" x14ac:dyDescent="0.3">
      <c r="A2478" s="101">
        <v>2024</v>
      </c>
      <c r="B2478" s="90">
        <v>1</v>
      </c>
      <c r="C2478" s="90" t="s">
        <v>718</v>
      </c>
      <c r="D2478" s="90" t="s">
        <v>722</v>
      </c>
      <c r="E2478" s="102" t="s">
        <v>11</v>
      </c>
      <c r="F2478" s="103" t="s">
        <v>42</v>
      </c>
      <c r="G2478" s="93">
        <v>39180.65</v>
      </c>
      <c r="H2478" s="93">
        <v>167901.32</v>
      </c>
      <c r="I2478" s="93">
        <v>2397.5457928860201</v>
      </c>
      <c r="J2478" s="93">
        <v>122270.37</v>
      </c>
      <c r="K2478" s="93">
        <v>49600.69</v>
      </c>
      <c r="L2478" s="93">
        <v>96463.38</v>
      </c>
      <c r="M2478" s="93">
        <v>620824.21</v>
      </c>
      <c r="N2478" s="95">
        <v>7.0000000000000007E-2</v>
      </c>
      <c r="O2478" s="95">
        <v>0.32</v>
      </c>
      <c r="P2478" s="95">
        <v>0.28000000000000003</v>
      </c>
      <c r="Q2478" s="95">
        <v>0.23</v>
      </c>
      <c r="R2478" s="104">
        <v>0.09</v>
      </c>
    </row>
    <row r="2479" spans="1:18" ht="15" hidden="1" customHeight="1" x14ac:dyDescent="0.3">
      <c r="A2479" s="101">
        <v>2024</v>
      </c>
      <c r="B2479" s="90">
        <v>1</v>
      </c>
      <c r="C2479" s="90" t="s">
        <v>718</v>
      </c>
      <c r="D2479" s="90" t="s">
        <v>722</v>
      </c>
      <c r="E2479" s="102" t="s">
        <v>11</v>
      </c>
      <c r="F2479" s="103" t="s">
        <v>43</v>
      </c>
      <c r="G2479" s="93">
        <v>4352.13</v>
      </c>
      <c r="H2479" s="93">
        <v>13086.7</v>
      </c>
      <c r="I2479" s="93">
        <v>2397.5457928860201</v>
      </c>
      <c r="J2479" s="93">
        <v>23035.82</v>
      </c>
      <c r="K2479" s="93">
        <v>3145</v>
      </c>
      <c r="L2479" s="93">
        <v>116459.61</v>
      </c>
      <c r="M2479" s="93">
        <v>185575.52</v>
      </c>
      <c r="N2479" s="95">
        <v>0.06</v>
      </c>
      <c r="O2479" s="95">
        <v>0.19</v>
      </c>
      <c r="P2479" s="95">
        <v>0.37</v>
      </c>
      <c r="Q2479" s="95">
        <v>0.33</v>
      </c>
      <c r="R2479" s="104">
        <v>0.05</v>
      </c>
    </row>
    <row r="2480" spans="1:18" ht="15" hidden="1" customHeight="1" x14ac:dyDescent="0.3">
      <c r="A2480" s="101">
        <v>2024</v>
      </c>
      <c r="B2480" s="90">
        <v>1</v>
      </c>
      <c r="C2480" s="90" t="s">
        <v>718</v>
      </c>
      <c r="D2480" s="90" t="s">
        <v>722</v>
      </c>
      <c r="E2480" s="102" t="s">
        <v>11</v>
      </c>
      <c r="F2480" s="103" t="s">
        <v>58</v>
      </c>
      <c r="G2480" s="93">
        <v>2195.66</v>
      </c>
      <c r="H2480" s="93">
        <v>20042.990000000002</v>
      </c>
      <c r="I2480" s="93">
        <v>2397.5457928860201</v>
      </c>
      <c r="J2480" s="93">
        <v>174808</v>
      </c>
      <c r="K2480" s="93">
        <v>15560.88</v>
      </c>
      <c r="L2480" s="93">
        <v>4068.49</v>
      </c>
      <c r="M2480" s="93">
        <v>371477.13</v>
      </c>
      <c r="N2480" s="95">
        <v>0.01</v>
      </c>
      <c r="O2480" s="95">
        <v>0.05</v>
      </c>
      <c r="P2480" s="95">
        <v>0.42</v>
      </c>
      <c r="Q2480" s="95">
        <v>0.48</v>
      </c>
      <c r="R2480" s="104">
        <v>0.04</v>
      </c>
    </row>
    <row r="2481" spans="1:18" ht="15" hidden="1" customHeight="1" x14ac:dyDescent="0.3">
      <c r="A2481" s="101">
        <v>2024</v>
      </c>
      <c r="B2481" s="90">
        <v>1</v>
      </c>
      <c r="C2481" s="90" t="s">
        <v>718</v>
      </c>
      <c r="D2481" s="90" t="s">
        <v>722</v>
      </c>
      <c r="E2481" s="102" t="s">
        <v>11</v>
      </c>
      <c r="F2481" s="103" t="s">
        <v>44</v>
      </c>
      <c r="G2481" s="93">
        <v>6679.42</v>
      </c>
      <c r="H2481" s="93">
        <v>23854.21</v>
      </c>
      <c r="I2481" s="93">
        <v>2397.5457928860201</v>
      </c>
      <c r="J2481" s="93">
        <v>66073.89</v>
      </c>
      <c r="K2481" s="93">
        <v>2585.0300000000002</v>
      </c>
      <c r="L2481" s="93">
        <v>37136.800000000003</v>
      </c>
      <c r="M2481" s="93">
        <v>215729.36</v>
      </c>
      <c r="N2481" s="95">
        <v>0.04</v>
      </c>
      <c r="O2481" s="95">
        <v>0.13</v>
      </c>
      <c r="P2481" s="95">
        <v>0.44</v>
      </c>
      <c r="Q2481" s="95">
        <v>0.37</v>
      </c>
      <c r="R2481" s="104">
        <v>0.01</v>
      </c>
    </row>
    <row r="2482" spans="1:18" ht="15" hidden="1" customHeight="1" x14ac:dyDescent="0.3">
      <c r="A2482" s="101">
        <v>2024</v>
      </c>
      <c r="B2482" s="90">
        <v>1</v>
      </c>
      <c r="C2482" s="90" t="s">
        <v>718</v>
      </c>
      <c r="D2482" s="90" t="s">
        <v>722</v>
      </c>
      <c r="E2482" s="102" t="s">
        <v>11</v>
      </c>
      <c r="F2482" s="103" t="s">
        <v>51</v>
      </c>
      <c r="G2482" s="93">
        <v>13576.52</v>
      </c>
      <c r="H2482" s="93">
        <v>55438.48</v>
      </c>
      <c r="I2482" s="93">
        <v>2397.5457928860201</v>
      </c>
      <c r="J2482" s="93">
        <v>32487.24</v>
      </c>
      <c r="K2482" s="93">
        <v>3301.47</v>
      </c>
      <c r="L2482" s="93">
        <v>214.98</v>
      </c>
      <c r="M2482" s="93">
        <v>211202.48</v>
      </c>
      <c r="N2482" s="95">
        <v>0.06</v>
      </c>
      <c r="O2482" s="95">
        <v>0.26</v>
      </c>
      <c r="P2482" s="95">
        <v>0.5</v>
      </c>
      <c r="Q2482" s="95">
        <v>0.15</v>
      </c>
      <c r="R2482" s="104">
        <v>0.02</v>
      </c>
    </row>
    <row r="2483" spans="1:18" ht="15" hidden="1" customHeight="1" x14ac:dyDescent="0.3">
      <c r="A2483" s="101">
        <v>2024</v>
      </c>
      <c r="B2483" s="90">
        <v>1</v>
      </c>
      <c r="C2483" s="90" t="s">
        <v>718</v>
      </c>
      <c r="D2483" s="90" t="s">
        <v>722</v>
      </c>
      <c r="E2483" s="102" t="s">
        <v>11</v>
      </c>
      <c r="F2483" s="103" t="s">
        <v>45</v>
      </c>
      <c r="G2483" s="93">
        <v>14782.67</v>
      </c>
      <c r="H2483" s="93">
        <v>32774.870000000003</v>
      </c>
      <c r="I2483" s="93">
        <v>2397.5457928860201</v>
      </c>
      <c r="J2483" s="93">
        <v>7501.96</v>
      </c>
      <c r="K2483" s="93">
        <v>216.08</v>
      </c>
      <c r="L2483" s="93">
        <v>47524.01</v>
      </c>
      <c r="M2483" s="93">
        <v>134096.20000000001</v>
      </c>
      <c r="N2483" s="95">
        <v>0.17</v>
      </c>
      <c r="O2483" s="95">
        <v>0.38</v>
      </c>
      <c r="P2483" s="95">
        <v>0.36</v>
      </c>
      <c r="Q2483" s="95">
        <v>0.09</v>
      </c>
      <c r="R2483" s="104">
        <v>0</v>
      </c>
    </row>
    <row r="2484" spans="1:18" ht="15" hidden="1" customHeight="1" x14ac:dyDescent="0.3">
      <c r="A2484" s="101">
        <v>2024</v>
      </c>
      <c r="B2484" s="90">
        <v>1</v>
      </c>
      <c r="C2484" s="90" t="s">
        <v>718</v>
      </c>
      <c r="D2484" s="90" t="s">
        <v>722</v>
      </c>
      <c r="E2484" s="102" t="s">
        <v>11</v>
      </c>
      <c r="F2484" s="103" t="s">
        <v>721</v>
      </c>
      <c r="G2484" s="93">
        <v>16237.21</v>
      </c>
      <c r="H2484" s="93">
        <v>79543.56</v>
      </c>
      <c r="I2484" s="93">
        <v>2397.5457928860201</v>
      </c>
      <c r="J2484" s="93">
        <v>59674.01</v>
      </c>
      <c r="K2484" s="93">
        <v>2660.38</v>
      </c>
      <c r="L2484" s="93">
        <v>4.34</v>
      </c>
      <c r="M2484" s="93">
        <v>309330.63</v>
      </c>
      <c r="N2484" s="95">
        <v>0.05</v>
      </c>
      <c r="O2484" s="95">
        <v>0.26</v>
      </c>
      <c r="P2484" s="95">
        <v>0.49</v>
      </c>
      <c r="Q2484" s="95">
        <v>0.19</v>
      </c>
      <c r="R2484" s="104">
        <v>0.01</v>
      </c>
    </row>
    <row r="2485" spans="1:18" ht="15" hidden="1" customHeight="1" x14ac:dyDescent="0.3">
      <c r="A2485" s="101">
        <v>2024</v>
      </c>
      <c r="B2485" s="90">
        <v>1</v>
      </c>
      <c r="C2485" s="90" t="s">
        <v>718</v>
      </c>
      <c r="D2485" s="90" t="s">
        <v>722</v>
      </c>
      <c r="E2485" s="102" t="s">
        <v>11</v>
      </c>
      <c r="F2485" s="103" t="s">
        <v>46</v>
      </c>
      <c r="G2485" s="93">
        <v>38668.269999999997</v>
      </c>
      <c r="H2485" s="93">
        <v>72663.070000000007</v>
      </c>
      <c r="I2485" s="93">
        <v>2397.5457928860201</v>
      </c>
      <c r="J2485" s="93">
        <v>9283.44</v>
      </c>
      <c r="K2485" s="93">
        <v>2328.84</v>
      </c>
      <c r="L2485" s="93">
        <v>616.94000000000005</v>
      </c>
      <c r="M2485" s="93">
        <v>149074.81</v>
      </c>
      <c r="N2485" s="95">
        <v>0.26</v>
      </c>
      <c r="O2485" s="95">
        <v>0.49</v>
      </c>
      <c r="P2485" s="95">
        <v>0.17</v>
      </c>
      <c r="Q2485" s="95">
        <v>0.06</v>
      </c>
      <c r="R2485" s="104">
        <v>0.02</v>
      </c>
    </row>
    <row r="2486" spans="1:18" ht="15" hidden="1" customHeight="1" x14ac:dyDescent="0.3">
      <c r="A2486" s="101">
        <v>2024</v>
      </c>
      <c r="B2486" s="90">
        <v>1</v>
      </c>
      <c r="C2486" s="90" t="s">
        <v>718</v>
      </c>
      <c r="D2486" s="90" t="s">
        <v>722</v>
      </c>
      <c r="E2486" s="102" t="s">
        <v>11</v>
      </c>
      <c r="F2486" s="103" t="s">
        <v>47</v>
      </c>
      <c r="G2486" s="93">
        <v>49814.81</v>
      </c>
      <c r="H2486" s="93">
        <v>538144.98</v>
      </c>
      <c r="I2486" s="93">
        <v>2397.5457928860201</v>
      </c>
      <c r="J2486" s="93">
        <v>116773.78</v>
      </c>
      <c r="K2486" s="93">
        <v>20440.78</v>
      </c>
      <c r="L2486" s="93">
        <v>108562.85</v>
      </c>
      <c r="M2486" s="93">
        <v>1455682.22</v>
      </c>
      <c r="N2486" s="95">
        <v>0.04</v>
      </c>
      <c r="O2486" s="95">
        <v>0.4</v>
      </c>
      <c r="P2486" s="95">
        <v>0.46</v>
      </c>
      <c r="Q2486" s="95">
        <v>0.09</v>
      </c>
      <c r="R2486" s="104">
        <v>0.02</v>
      </c>
    </row>
    <row r="2487" spans="1:18" ht="15" hidden="1" customHeight="1" x14ac:dyDescent="0.3">
      <c r="A2487" s="101">
        <v>2024</v>
      </c>
      <c r="B2487" s="90">
        <v>1</v>
      </c>
      <c r="C2487" s="90" t="s">
        <v>718</v>
      </c>
      <c r="D2487" s="90" t="s">
        <v>722</v>
      </c>
      <c r="E2487" s="102" t="s">
        <v>11</v>
      </c>
      <c r="F2487" s="103" t="s">
        <v>48</v>
      </c>
      <c r="G2487" s="93">
        <v>3602.08</v>
      </c>
      <c r="H2487" s="93">
        <v>39985.56</v>
      </c>
      <c r="I2487" s="93">
        <v>2397.5457928860201</v>
      </c>
      <c r="J2487" s="93">
        <v>8626.02</v>
      </c>
      <c r="K2487" s="93">
        <v>84.75</v>
      </c>
      <c r="L2487" s="93">
        <v>8273.14</v>
      </c>
      <c r="M2487" s="93">
        <v>110314.47</v>
      </c>
      <c r="N2487" s="95">
        <v>0.04</v>
      </c>
      <c r="O2487" s="95">
        <v>0.39</v>
      </c>
      <c r="P2487" s="95">
        <v>0.49</v>
      </c>
      <c r="Q2487" s="95">
        <v>0.08</v>
      </c>
      <c r="R2487" s="104">
        <v>0</v>
      </c>
    </row>
    <row r="2488" spans="1:18" ht="15" hidden="1" customHeight="1" x14ac:dyDescent="0.3">
      <c r="A2488" s="101">
        <v>2024</v>
      </c>
      <c r="B2488" s="90">
        <v>2</v>
      </c>
      <c r="C2488" s="90" t="s">
        <v>723</v>
      </c>
      <c r="D2488" s="90" t="s">
        <v>719</v>
      </c>
      <c r="E2488" s="102" t="s">
        <v>11</v>
      </c>
      <c r="F2488" s="103" t="s">
        <v>12</v>
      </c>
      <c r="G2488" s="93">
        <v>46778.400000000001</v>
      </c>
      <c r="H2488" s="93">
        <v>134170.73000000001</v>
      </c>
      <c r="I2488" s="93">
        <v>2397.5457928860201</v>
      </c>
      <c r="J2488" s="93">
        <v>31087.56</v>
      </c>
      <c r="K2488" s="93">
        <v>581.57000000000005</v>
      </c>
      <c r="L2488" s="93">
        <v>54822.34</v>
      </c>
      <c r="M2488" s="93">
        <v>433311.44</v>
      </c>
      <c r="N2488" s="95">
        <v>0.12</v>
      </c>
      <c r="O2488" s="95">
        <v>0.35</v>
      </c>
      <c r="P2488" s="95">
        <v>0.44</v>
      </c>
      <c r="Q2488" s="95">
        <v>0.08</v>
      </c>
      <c r="R2488" s="104">
        <v>0</v>
      </c>
    </row>
    <row r="2489" spans="1:18" ht="15" hidden="1" customHeight="1" x14ac:dyDescent="0.3">
      <c r="A2489" s="101">
        <v>2024</v>
      </c>
      <c r="B2489" s="90">
        <v>2</v>
      </c>
      <c r="C2489" s="90" t="s">
        <v>723</v>
      </c>
      <c r="D2489" s="90" t="s">
        <v>719</v>
      </c>
      <c r="E2489" s="102" t="s">
        <v>11</v>
      </c>
      <c r="F2489" s="103" t="s">
        <v>26</v>
      </c>
      <c r="G2489" s="93">
        <v>275158.32</v>
      </c>
      <c r="H2489" s="93">
        <v>383470.29</v>
      </c>
      <c r="I2489" s="93">
        <v>2397.5457928860201</v>
      </c>
      <c r="J2489" s="93">
        <v>48553.83</v>
      </c>
      <c r="K2489" s="93">
        <v>1167.01</v>
      </c>
      <c r="L2489" s="93">
        <v>258863.26</v>
      </c>
      <c r="M2489" s="93">
        <v>1302393.77</v>
      </c>
      <c r="N2489" s="95">
        <v>0.26</v>
      </c>
      <c r="O2489" s="95">
        <v>0.37</v>
      </c>
      <c r="P2489" s="95">
        <v>0.32</v>
      </c>
      <c r="Q2489" s="95">
        <v>0.05</v>
      </c>
      <c r="R2489" s="104">
        <v>0</v>
      </c>
    </row>
    <row r="2490" spans="1:18" ht="15" hidden="1" customHeight="1" x14ac:dyDescent="0.3">
      <c r="A2490" s="101">
        <v>2024</v>
      </c>
      <c r="B2490" s="90">
        <v>2</v>
      </c>
      <c r="C2490" s="90" t="s">
        <v>723</v>
      </c>
      <c r="D2490" s="90" t="s">
        <v>719</v>
      </c>
      <c r="E2490" s="102" t="s">
        <v>11</v>
      </c>
      <c r="F2490" s="103" t="s">
        <v>27</v>
      </c>
      <c r="G2490" s="93">
        <v>2476.63</v>
      </c>
      <c r="H2490" s="93">
        <v>36588</v>
      </c>
      <c r="I2490" s="93">
        <v>2397.5457928860201</v>
      </c>
      <c r="J2490" s="93">
        <v>82170.98</v>
      </c>
      <c r="K2490" s="93">
        <v>11250.44</v>
      </c>
      <c r="L2490" s="93">
        <v>4754.79</v>
      </c>
      <c r="M2490" s="93">
        <v>226689.38</v>
      </c>
      <c r="N2490" s="95">
        <v>0.01</v>
      </c>
      <c r="O2490" s="95">
        <v>0.16</v>
      </c>
      <c r="P2490" s="95">
        <v>0.4</v>
      </c>
      <c r="Q2490" s="95">
        <v>0.37</v>
      </c>
      <c r="R2490" s="104">
        <v>0.05</v>
      </c>
    </row>
    <row r="2491" spans="1:18" ht="15" hidden="1" customHeight="1" x14ac:dyDescent="0.3">
      <c r="A2491" s="101">
        <v>2024</v>
      </c>
      <c r="B2491" s="90">
        <v>2</v>
      </c>
      <c r="C2491" s="90" t="s">
        <v>723</v>
      </c>
      <c r="D2491" s="90" t="s">
        <v>719</v>
      </c>
      <c r="E2491" s="102" t="s">
        <v>11</v>
      </c>
      <c r="F2491" s="103" t="s">
        <v>28</v>
      </c>
      <c r="G2491" s="93">
        <v>14331.1</v>
      </c>
      <c r="H2491" s="93">
        <v>59416.77</v>
      </c>
      <c r="I2491" s="93">
        <v>2397.5457928860201</v>
      </c>
      <c r="J2491" s="93">
        <v>74708.27</v>
      </c>
      <c r="K2491" s="93">
        <v>267.42</v>
      </c>
      <c r="L2491" s="93">
        <v>3288.52</v>
      </c>
      <c r="M2491" s="93">
        <v>373104.4</v>
      </c>
      <c r="N2491" s="95">
        <v>0.04</v>
      </c>
      <c r="O2491" s="95">
        <v>0.16</v>
      </c>
      <c r="P2491" s="95">
        <v>0.6</v>
      </c>
      <c r="Q2491" s="95">
        <v>0.2</v>
      </c>
      <c r="R2491" s="104">
        <v>0</v>
      </c>
    </row>
    <row r="2492" spans="1:18" ht="15" customHeight="1" x14ac:dyDescent="0.3">
      <c r="A2492" s="101">
        <v>2024</v>
      </c>
      <c r="B2492" s="90">
        <v>2</v>
      </c>
      <c r="C2492" s="90" t="s">
        <v>723</v>
      </c>
      <c r="D2492" s="90" t="s">
        <v>719</v>
      </c>
      <c r="E2492" s="102" t="s">
        <v>11</v>
      </c>
      <c r="F2492" s="103" t="s">
        <v>29</v>
      </c>
      <c r="G2492" s="93">
        <v>25562.61</v>
      </c>
      <c r="H2492" s="93">
        <v>95086.59</v>
      </c>
      <c r="I2492" s="93">
        <v>2397.5457928860201</v>
      </c>
      <c r="J2492" s="93">
        <v>27954.83</v>
      </c>
      <c r="K2492" s="93">
        <v>849.26</v>
      </c>
      <c r="L2492" s="93">
        <v>75263.23</v>
      </c>
      <c r="M2492" s="93">
        <v>354391.76</v>
      </c>
      <c r="N2492" s="95">
        <v>0.09</v>
      </c>
      <c r="O2492" s="95">
        <v>0.34</v>
      </c>
      <c r="P2492" s="95">
        <v>0.46</v>
      </c>
      <c r="Q2492" s="95">
        <v>0.1</v>
      </c>
      <c r="R2492" s="104">
        <v>0</v>
      </c>
    </row>
    <row r="2493" spans="1:18" ht="15" hidden="1" customHeight="1" x14ac:dyDescent="0.3">
      <c r="A2493" s="101">
        <v>2024</v>
      </c>
      <c r="B2493" s="90">
        <v>2</v>
      </c>
      <c r="C2493" s="90" t="s">
        <v>723</v>
      </c>
      <c r="D2493" s="90" t="s">
        <v>719</v>
      </c>
      <c r="E2493" s="102" t="s">
        <v>11</v>
      </c>
      <c r="F2493" s="103" t="s">
        <v>30</v>
      </c>
      <c r="G2493" s="93">
        <v>1374.04</v>
      </c>
      <c r="H2493" s="93">
        <v>4162.6499999999996</v>
      </c>
      <c r="I2493" s="93">
        <v>2397.5457928860201</v>
      </c>
      <c r="J2493" s="93">
        <v>3436.85</v>
      </c>
      <c r="K2493" s="93">
        <v>487.17</v>
      </c>
      <c r="L2493" s="93">
        <v>215271.18</v>
      </c>
      <c r="M2493" s="93">
        <v>230086.24</v>
      </c>
      <c r="N2493" s="95">
        <v>0.09</v>
      </c>
      <c r="O2493" s="95">
        <v>0.28000000000000003</v>
      </c>
      <c r="P2493" s="95">
        <v>0.36</v>
      </c>
      <c r="Q2493" s="95">
        <v>0.23</v>
      </c>
      <c r="R2493" s="104">
        <v>0.03</v>
      </c>
    </row>
    <row r="2494" spans="1:18" ht="15" hidden="1" customHeight="1" x14ac:dyDescent="0.3">
      <c r="A2494" s="101">
        <v>2024</v>
      </c>
      <c r="B2494" s="90">
        <v>2</v>
      </c>
      <c r="C2494" s="90" t="s">
        <v>723</v>
      </c>
      <c r="D2494" s="90" t="s">
        <v>719</v>
      </c>
      <c r="E2494" s="102" t="s">
        <v>11</v>
      </c>
      <c r="F2494" s="103" t="s">
        <v>31</v>
      </c>
      <c r="G2494" s="93">
        <v>3798.75</v>
      </c>
      <c r="H2494" s="93">
        <v>59890.11</v>
      </c>
      <c r="I2494" s="93">
        <v>2397.5457928860201</v>
      </c>
      <c r="J2494" s="93">
        <v>44474.86</v>
      </c>
      <c r="K2494" s="93">
        <v>9679.0400000000009</v>
      </c>
      <c r="L2494" s="93">
        <v>42942.16</v>
      </c>
      <c r="M2494" s="93">
        <v>251948.86</v>
      </c>
      <c r="N2494" s="95">
        <v>0.02</v>
      </c>
      <c r="O2494" s="95">
        <v>0.28999999999999998</v>
      </c>
      <c r="P2494" s="95">
        <v>0.44</v>
      </c>
      <c r="Q2494" s="95">
        <v>0.21</v>
      </c>
      <c r="R2494" s="104">
        <v>0.05</v>
      </c>
    </row>
    <row r="2495" spans="1:18" ht="15" hidden="1" customHeight="1" x14ac:dyDescent="0.3">
      <c r="A2495" s="101">
        <v>2024</v>
      </c>
      <c r="B2495" s="90">
        <v>2</v>
      </c>
      <c r="C2495" s="90" t="s">
        <v>723</v>
      </c>
      <c r="D2495" s="90" t="s">
        <v>719</v>
      </c>
      <c r="E2495" s="102" t="s">
        <v>11</v>
      </c>
      <c r="F2495" s="103" t="s">
        <v>32</v>
      </c>
      <c r="G2495" s="93">
        <v>9943.8700000000008</v>
      </c>
      <c r="H2495" s="93">
        <v>159079.75</v>
      </c>
      <c r="I2495" s="93">
        <v>2397.5457928860201</v>
      </c>
      <c r="J2495" s="93">
        <v>98308.88</v>
      </c>
      <c r="K2495" s="93">
        <v>343.92</v>
      </c>
      <c r="L2495" s="93">
        <v>21227.47</v>
      </c>
      <c r="M2495" s="93">
        <v>609521.87</v>
      </c>
      <c r="N2495" s="95">
        <v>0.02</v>
      </c>
      <c r="O2495" s="95">
        <v>0.27</v>
      </c>
      <c r="P2495" s="95">
        <v>0.54</v>
      </c>
      <c r="Q2495" s="95">
        <v>0.17</v>
      </c>
      <c r="R2495" s="104">
        <v>0</v>
      </c>
    </row>
    <row r="2496" spans="1:18" ht="15" hidden="1" customHeight="1" x14ac:dyDescent="0.3">
      <c r="A2496" s="101">
        <v>2024</v>
      </c>
      <c r="B2496" s="90">
        <v>2</v>
      </c>
      <c r="C2496" s="90" t="s">
        <v>723</v>
      </c>
      <c r="D2496" s="90" t="s">
        <v>719</v>
      </c>
      <c r="E2496" s="102" t="s">
        <v>11</v>
      </c>
      <c r="F2496" s="103" t="s">
        <v>33</v>
      </c>
      <c r="G2496" s="93">
        <v>170382.33</v>
      </c>
      <c r="H2496" s="93">
        <v>467635.46</v>
      </c>
      <c r="I2496" s="93">
        <v>2397.5457928860201</v>
      </c>
      <c r="J2496" s="93">
        <v>108440</v>
      </c>
      <c r="K2496" s="93">
        <v>10242.200000000001</v>
      </c>
      <c r="L2496" s="93">
        <v>35393.32</v>
      </c>
      <c r="M2496" s="93">
        <v>1352055.51</v>
      </c>
      <c r="N2496" s="95">
        <v>0.13</v>
      </c>
      <c r="O2496" s="95">
        <v>0.36</v>
      </c>
      <c r="P2496" s="95">
        <v>0.43</v>
      </c>
      <c r="Q2496" s="95">
        <v>0.08</v>
      </c>
      <c r="R2496" s="104">
        <v>0.01</v>
      </c>
    </row>
    <row r="2497" spans="1:18" ht="15" hidden="1" customHeight="1" x14ac:dyDescent="0.3">
      <c r="A2497" s="101">
        <v>2024</v>
      </c>
      <c r="B2497" s="90">
        <v>2</v>
      </c>
      <c r="C2497" s="90" t="s">
        <v>723</v>
      </c>
      <c r="D2497" s="90" t="s">
        <v>719</v>
      </c>
      <c r="E2497" s="102" t="s">
        <v>11</v>
      </c>
      <c r="F2497" s="103" t="s">
        <v>34</v>
      </c>
      <c r="G2497" s="93">
        <v>96798.52</v>
      </c>
      <c r="H2497" s="93">
        <v>246360.83</v>
      </c>
      <c r="I2497" s="93">
        <v>2397.5457928860201</v>
      </c>
      <c r="J2497" s="93">
        <v>53264.71</v>
      </c>
      <c r="K2497" s="93">
        <v>510.93</v>
      </c>
      <c r="L2497" s="93">
        <v>43784.62</v>
      </c>
      <c r="M2497" s="93">
        <v>713628.98</v>
      </c>
      <c r="N2497" s="95">
        <v>0.14000000000000001</v>
      </c>
      <c r="O2497" s="95">
        <v>0.37</v>
      </c>
      <c r="P2497" s="95">
        <v>0.41</v>
      </c>
      <c r="Q2497" s="95">
        <v>0.08</v>
      </c>
      <c r="R2497" s="104">
        <v>0</v>
      </c>
    </row>
    <row r="2498" spans="1:18" ht="15" hidden="1" customHeight="1" x14ac:dyDescent="0.3">
      <c r="A2498" s="101">
        <v>2024</v>
      </c>
      <c r="B2498" s="90">
        <v>2</v>
      </c>
      <c r="C2498" s="90" t="s">
        <v>723</v>
      </c>
      <c r="D2498" s="90" t="s">
        <v>719</v>
      </c>
      <c r="E2498" s="102" t="s">
        <v>11</v>
      </c>
      <c r="F2498" s="103" t="s">
        <v>35</v>
      </c>
      <c r="G2498" s="93">
        <v>37806.9</v>
      </c>
      <c r="H2498" s="93">
        <v>77336.509999999995</v>
      </c>
      <c r="I2498" s="93">
        <v>2397.5457928860201</v>
      </c>
      <c r="J2498" s="93">
        <v>96466.83</v>
      </c>
      <c r="K2498" s="93">
        <v>3956.61</v>
      </c>
      <c r="L2498" s="93">
        <v>235108.75</v>
      </c>
      <c r="M2498" s="93">
        <v>605861.19999999995</v>
      </c>
      <c r="N2498" s="95">
        <v>0.1</v>
      </c>
      <c r="O2498" s="95">
        <v>0.21</v>
      </c>
      <c r="P2498" s="95">
        <v>0.42</v>
      </c>
      <c r="Q2498" s="95">
        <v>0.26</v>
      </c>
      <c r="R2498" s="104">
        <v>0.01</v>
      </c>
    </row>
    <row r="2499" spans="1:18" ht="15" hidden="1" customHeight="1" x14ac:dyDescent="0.3">
      <c r="A2499" s="101">
        <v>2024</v>
      </c>
      <c r="B2499" s="90">
        <v>2</v>
      </c>
      <c r="C2499" s="90" t="s">
        <v>723</v>
      </c>
      <c r="D2499" s="90" t="s">
        <v>719</v>
      </c>
      <c r="E2499" s="102" t="s">
        <v>11</v>
      </c>
      <c r="F2499" s="103" t="s">
        <v>36</v>
      </c>
      <c r="G2499" s="93">
        <v>14170.22</v>
      </c>
      <c r="H2499" s="93">
        <v>94633.74</v>
      </c>
      <c r="I2499" s="93">
        <v>2397.5457928860201</v>
      </c>
      <c r="J2499" s="93">
        <v>12158.61</v>
      </c>
      <c r="K2499" s="93">
        <v>45.87</v>
      </c>
      <c r="L2499" s="93">
        <v>33440.54</v>
      </c>
      <c r="M2499" s="93">
        <v>258886.74</v>
      </c>
      <c r="N2499" s="95">
        <v>0.06</v>
      </c>
      <c r="O2499" s="95">
        <v>0.42</v>
      </c>
      <c r="P2499" s="95">
        <v>0.46</v>
      </c>
      <c r="Q2499" s="95">
        <v>0.05</v>
      </c>
      <c r="R2499" s="104">
        <v>0</v>
      </c>
    </row>
    <row r="2500" spans="1:18" ht="15" hidden="1" customHeight="1" x14ac:dyDescent="0.3">
      <c r="A2500" s="101">
        <v>2024</v>
      </c>
      <c r="B2500" s="90">
        <v>2</v>
      </c>
      <c r="C2500" s="90" t="s">
        <v>723</v>
      </c>
      <c r="D2500" s="90" t="s">
        <v>719</v>
      </c>
      <c r="E2500" s="102" t="s">
        <v>11</v>
      </c>
      <c r="F2500" s="103" t="s">
        <v>37</v>
      </c>
      <c r="G2500" s="93">
        <v>26268.53</v>
      </c>
      <c r="H2500" s="93">
        <v>90997.35</v>
      </c>
      <c r="I2500" s="93">
        <v>2397.5457928860201</v>
      </c>
      <c r="J2500" s="93">
        <v>85868.93</v>
      </c>
      <c r="K2500" s="93">
        <v>2184.14</v>
      </c>
      <c r="L2500" s="93">
        <v>146039.62</v>
      </c>
      <c r="M2500" s="93">
        <v>524074.32</v>
      </c>
      <c r="N2500" s="95">
        <v>7.0000000000000007E-2</v>
      </c>
      <c r="O2500" s="95">
        <v>0.24</v>
      </c>
      <c r="P2500" s="95">
        <v>0.46</v>
      </c>
      <c r="Q2500" s="95">
        <v>0.23</v>
      </c>
      <c r="R2500" s="104">
        <v>0.01</v>
      </c>
    </row>
    <row r="2501" spans="1:18" ht="15" hidden="1" customHeight="1" x14ac:dyDescent="0.3">
      <c r="A2501" s="101">
        <v>2024</v>
      </c>
      <c r="B2501" s="90">
        <v>2</v>
      </c>
      <c r="C2501" s="90" t="s">
        <v>723</v>
      </c>
      <c r="D2501" s="90" t="s">
        <v>719</v>
      </c>
      <c r="E2501" s="102" t="s">
        <v>11</v>
      </c>
      <c r="F2501" s="103" t="s">
        <v>38</v>
      </c>
      <c r="G2501" s="93">
        <v>94684.83</v>
      </c>
      <c r="H2501" s="93">
        <v>151007.54</v>
      </c>
      <c r="I2501" s="93">
        <v>2397.5457928860201</v>
      </c>
      <c r="J2501" s="93">
        <v>217003.35</v>
      </c>
      <c r="K2501" s="93">
        <v>4019.07</v>
      </c>
      <c r="L2501" s="93">
        <v>166057.85</v>
      </c>
      <c r="M2501" s="93">
        <v>927959.02</v>
      </c>
      <c r="N2501" s="95">
        <v>0.12</v>
      </c>
      <c r="O2501" s="95">
        <v>0.2</v>
      </c>
      <c r="P2501" s="95">
        <v>0.39</v>
      </c>
      <c r="Q2501" s="95">
        <v>0.28000000000000003</v>
      </c>
      <c r="R2501" s="104">
        <v>0.01</v>
      </c>
    </row>
    <row r="2502" spans="1:18" ht="15" hidden="1" customHeight="1" x14ac:dyDescent="0.3">
      <c r="A2502" s="101">
        <v>2024</v>
      </c>
      <c r="B2502" s="90">
        <v>2</v>
      </c>
      <c r="C2502" s="90" t="s">
        <v>723</v>
      </c>
      <c r="D2502" s="90" t="s">
        <v>719</v>
      </c>
      <c r="E2502" s="102" t="s">
        <v>11</v>
      </c>
      <c r="F2502" s="103" t="s">
        <v>39</v>
      </c>
      <c r="G2502" s="93">
        <v>3698.57</v>
      </c>
      <c r="H2502" s="93">
        <v>105806.6</v>
      </c>
      <c r="I2502" s="93">
        <v>2397.5457928860201</v>
      </c>
      <c r="J2502" s="93">
        <v>22338.91</v>
      </c>
      <c r="K2502" s="93">
        <v>2427.56</v>
      </c>
      <c r="L2502" s="93">
        <v>11138.04</v>
      </c>
      <c r="M2502" s="93">
        <v>331195.63</v>
      </c>
      <c r="N2502" s="95">
        <v>0.01</v>
      </c>
      <c r="O2502" s="95">
        <v>0.33</v>
      </c>
      <c r="P2502" s="95">
        <v>0.57999999999999996</v>
      </c>
      <c r="Q2502" s="95">
        <v>7.0000000000000007E-2</v>
      </c>
      <c r="R2502" s="104">
        <v>0.01</v>
      </c>
    </row>
    <row r="2503" spans="1:18" ht="15" hidden="1" customHeight="1" x14ac:dyDescent="0.3">
      <c r="A2503" s="101">
        <v>2024</v>
      </c>
      <c r="B2503" s="90">
        <v>2</v>
      </c>
      <c r="C2503" s="90" t="s">
        <v>723</v>
      </c>
      <c r="D2503" s="90" t="s">
        <v>719</v>
      </c>
      <c r="E2503" s="102" t="s">
        <v>11</v>
      </c>
      <c r="F2503" s="103" t="s">
        <v>40</v>
      </c>
      <c r="G2503" s="93">
        <v>35921.51</v>
      </c>
      <c r="H2503" s="93">
        <v>94941.34</v>
      </c>
      <c r="I2503" s="93">
        <v>2397.5457928860201</v>
      </c>
      <c r="J2503" s="93">
        <v>61276.2</v>
      </c>
      <c r="K2503" s="93">
        <v>10043.549999999999</v>
      </c>
      <c r="L2503" s="93">
        <v>6979.22</v>
      </c>
      <c r="M2503" s="93">
        <v>326305.03999999998</v>
      </c>
      <c r="N2503" s="95">
        <v>0.11</v>
      </c>
      <c r="O2503" s="95">
        <v>0.3</v>
      </c>
      <c r="P2503" s="95">
        <v>0.37</v>
      </c>
      <c r="Q2503" s="95">
        <v>0.19</v>
      </c>
      <c r="R2503" s="104">
        <v>0.03</v>
      </c>
    </row>
    <row r="2504" spans="1:18" ht="15" hidden="1" customHeight="1" x14ac:dyDescent="0.3">
      <c r="A2504" s="101">
        <v>2024</v>
      </c>
      <c r="B2504" s="90">
        <v>2</v>
      </c>
      <c r="C2504" s="90" t="s">
        <v>723</v>
      </c>
      <c r="D2504" s="90" t="s">
        <v>719</v>
      </c>
      <c r="E2504" s="102" t="s">
        <v>11</v>
      </c>
      <c r="F2504" s="103" t="s">
        <v>41</v>
      </c>
      <c r="G2504" s="93">
        <v>5765.08</v>
      </c>
      <c r="H2504" s="93">
        <v>6847.24</v>
      </c>
      <c r="I2504" s="93">
        <v>2397.5457928860201</v>
      </c>
      <c r="J2504" s="93">
        <v>780.52</v>
      </c>
      <c r="K2504" s="93">
        <v>124.76</v>
      </c>
      <c r="L2504" s="93">
        <v>2811.89</v>
      </c>
      <c r="M2504" s="93">
        <v>18714.330000000002</v>
      </c>
      <c r="N2504" s="95">
        <v>0.36</v>
      </c>
      <c r="O2504" s="95">
        <v>0.43</v>
      </c>
      <c r="P2504" s="95">
        <v>0.15</v>
      </c>
      <c r="Q2504" s="95">
        <v>0.05</v>
      </c>
      <c r="R2504" s="104">
        <v>0.01</v>
      </c>
    </row>
    <row r="2505" spans="1:18" ht="15" hidden="1" customHeight="1" x14ac:dyDescent="0.3">
      <c r="A2505" s="101">
        <v>2024</v>
      </c>
      <c r="B2505" s="90">
        <v>2</v>
      </c>
      <c r="C2505" s="90" t="s">
        <v>723</v>
      </c>
      <c r="D2505" s="90" t="s">
        <v>719</v>
      </c>
      <c r="E2505" s="102" t="s">
        <v>11</v>
      </c>
      <c r="F2505" s="103" t="s">
        <v>42</v>
      </c>
      <c r="G2505" s="93">
        <v>7425.54</v>
      </c>
      <c r="H2505" s="93">
        <v>100379.17</v>
      </c>
      <c r="I2505" s="93">
        <v>2397.5457928860201</v>
      </c>
      <c r="J2505" s="93">
        <v>184992.36</v>
      </c>
      <c r="K2505" s="93">
        <v>13352.04</v>
      </c>
      <c r="L2505" s="93">
        <v>49450.54</v>
      </c>
      <c r="M2505" s="93">
        <v>620824.21</v>
      </c>
      <c r="N2505" s="95">
        <v>0.01</v>
      </c>
      <c r="O2505" s="95">
        <v>0.18</v>
      </c>
      <c r="P2505" s="95">
        <v>0.46</v>
      </c>
      <c r="Q2505" s="95">
        <v>0.32</v>
      </c>
      <c r="R2505" s="104">
        <v>0.02</v>
      </c>
    </row>
    <row r="2506" spans="1:18" ht="15" hidden="1" customHeight="1" x14ac:dyDescent="0.3">
      <c r="A2506" s="101">
        <v>2024</v>
      </c>
      <c r="B2506" s="90">
        <v>2</v>
      </c>
      <c r="C2506" s="90" t="s">
        <v>723</v>
      </c>
      <c r="D2506" s="90" t="s">
        <v>719</v>
      </c>
      <c r="E2506" s="102" t="s">
        <v>11</v>
      </c>
      <c r="F2506" s="103" t="s">
        <v>43</v>
      </c>
      <c r="G2506" s="93">
        <v>4463.17</v>
      </c>
      <c r="H2506" s="93">
        <v>17375.099999999999</v>
      </c>
      <c r="I2506" s="93">
        <v>2397.5457928860201</v>
      </c>
      <c r="J2506" s="93">
        <v>19267.53</v>
      </c>
      <c r="K2506" s="93">
        <v>1269.98</v>
      </c>
      <c r="L2506" s="93">
        <v>116307.55</v>
      </c>
      <c r="M2506" s="93">
        <v>185575.52</v>
      </c>
      <c r="N2506" s="95">
        <v>0.06</v>
      </c>
      <c r="O2506" s="95">
        <v>0.25</v>
      </c>
      <c r="P2506" s="95">
        <v>0.39</v>
      </c>
      <c r="Q2506" s="95">
        <v>0.28000000000000003</v>
      </c>
      <c r="R2506" s="104">
        <v>0.02</v>
      </c>
    </row>
    <row r="2507" spans="1:18" ht="15" hidden="1" customHeight="1" x14ac:dyDescent="0.3">
      <c r="A2507" s="101">
        <v>2024</v>
      </c>
      <c r="B2507" s="90">
        <v>2</v>
      </c>
      <c r="C2507" s="90" t="s">
        <v>723</v>
      </c>
      <c r="D2507" s="90" t="s">
        <v>719</v>
      </c>
      <c r="E2507" s="102" t="s">
        <v>11</v>
      </c>
      <c r="F2507" s="103" t="s">
        <v>58</v>
      </c>
      <c r="G2507" s="93">
        <v>4399.05</v>
      </c>
      <c r="H2507" s="93">
        <v>41794.18</v>
      </c>
      <c r="I2507" s="93">
        <v>2397.5457928860201</v>
      </c>
      <c r="J2507" s="93">
        <v>105180.38</v>
      </c>
      <c r="K2507" s="93">
        <v>1445.62</v>
      </c>
      <c r="L2507" s="93">
        <v>4087.1</v>
      </c>
      <c r="M2507" s="93">
        <v>371477.13</v>
      </c>
      <c r="N2507" s="95">
        <v>0.01</v>
      </c>
      <c r="O2507" s="95">
        <v>0.11</v>
      </c>
      <c r="P2507" s="95">
        <v>0.57999999999999996</v>
      </c>
      <c r="Q2507" s="95">
        <v>0.28999999999999998</v>
      </c>
      <c r="R2507" s="104">
        <v>0</v>
      </c>
    </row>
    <row r="2508" spans="1:18" ht="15" hidden="1" customHeight="1" x14ac:dyDescent="0.3">
      <c r="A2508" s="101">
        <v>2024</v>
      </c>
      <c r="B2508" s="90">
        <v>2</v>
      </c>
      <c r="C2508" s="90" t="s">
        <v>723</v>
      </c>
      <c r="D2508" s="90" t="s">
        <v>719</v>
      </c>
      <c r="E2508" s="102" t="s">
        <v>11</v>
      </c>
      <c r="F2508" s="103" t="s">
        <v>44</v>
      </c>
      <c r="G2508" s="93">
        <v>15662.46</v>
      </c>
      <c r="H2508" s="93">
        <v>76615.5</v>
      </c>
      <c r="I2508" s="93">
        <v>2397.5457928860201</v>
      </c>
      <c r="J2508" s="93">
        <v>6889.03</v>
      </c>
      <c r="K2508" s="93">
        <v>597.33000000000004</v>
      </c>
      <c r="L2508" s="93">
        <v>41091.33</v>
      </c>
      <c r="M2508" s="93">
        <v>215729.36</v>
      </c>
      <c r="N2508" s="95">
        <v>0.09</v>
      </c>
      <c r="O2508" s="95">
        <v>0.44</v>
      </c>
      <c r="P2508" s="95">
        <v>0.43</v>
      </c>
      <c r="Q2508" s="95">
        <v>0.04</v>
      </c>
      <c r="R2508" s="104">
        <v>0</v>
      </c>
    </row>
    <row r="2509" spans="1:18" ht="15" hidden="1" customHeight="1" x14ac:dyDescent="0.3">
      <c r="A2509" s="101">
        <v>2024</v>
      </c>
      <c r="B2509" s="90">
        <v>2</v>
      </c>
      <c r="C2509" s="90" t="s">
        <v>723</v>
      </c>
      <c r="D2509" s="90" t="s">
        <v>719</v>
      </c>
      <c r="E2509" s="102" t="s">
        <v>11</v>
      </c>
      <c r="F2509" s="103" t="s">
        <v>51</v>
      </c>
      <c r="G2509" s="93">
        <v>13390.69</v>
      </c>
      <c r="H2509" s="93">
        <v>57092.93</v>
      </c>
      <c r="I2509" s="93">
        <v>2397.5457928860201</v>
      </c>
      <c r="J2509" s="93">
        <v>31907.89</v>
      </c>
      <c r="K2509" s="93">
        <v>10279.790000000001</v>
      </c>
      <c r="L2509" s="93">
        <v>574.14</v>
      </c>
      <c r="M2509" s="93">
        <v>211202.48</v>
      </c>
      <c r="N2509" s="95">
        <v>0.06</v>
      </c>
      <c r="O2509" s="95">
        <v>0.27</v>
      </c>
      <c r="P2509" s="95">
        <v>0.47</v>
      </c>
      <c r="Q2509" s="95">
        <v>0.15</v>
      </c>
      <c r="R2509" s="104">
        <v>0.05</v>
      </c>
    </row>
    <row r="2510" spans="1:18" ht="15" hidden="1" customHeight="1" x14ac:dyDescent="0.3">
      <c r="A2510" s="101">
        <v>2024</v>
      </c>
      <c r="B2510" s="90">
        <v>2</v>
      </c>
      <c r="C2510" s="90" t="s">
        <v>723</v>
      </c>
      <c r="D2510" s="90" t="s">
        <v>719</v>
      </c>
      <c r="E2510" s="102" t="s">
        <v>11</v>
      </c>
      <c r="F2510" s="103" t="s">
        <v>45</v>
      </c>
      <c r="G2510" s="93">
        <v>10452.23</v>
      </c>
      <c r="H2510" s="93">
        <v>24617.78</v>
      </c>
      <c r="I2510" s="93">
        <v>2397.5457928860201</v>
      </c>
      <c r="J2510" s="93">
        <v>13064.07</v>
      </c>
      <c r="K2510" s="93">
        <v>519.22</v>
      </c>
      <c r="L2510" s="93">
        <v>48800.57</v>
      </c>
      <c r="M2510" s="93">
        <v>134096.20000000001</v>
      </c>
      <c r="N2510" s="95">
        <v>0.12</v>
      </c>
      <c r="O2510" s="95">
        <v>0.28999999999999998</v>
      </c>
      <c r="P2510" s="95">
        <v>0.43</v>
      </c>
      <c r="Q2510" s="95">
        <v>0.15</v>
      </c>
      <c r="R2510" s="104">
        <v>0.01</v>
      </c>
    </row>
    <row r="2511" spans="1:18" ht="15" hidden="1" customHeight="1" x14ac:dyDescent="0.3">
      <c r="A2511" s="101">
        <v>2024</v>
      </c>
      <c r="B2511" s="90">
        <v>2</v>
      </c>
      <c r="C2511" s="90" t="s">
        <v>723</v>
      </c>
      <c r="D2511" s="90" t="s">
        <v>719</v>
      </c>
      <c r="E2511" s="102" t="s">
        <v>11</v>
      </c>
      <c r="F2511" s="103" t="s">
        <v>721</v>
      </c>
      <c r="G2511" s="93">
        <v>26348.13</v>
      </c>
      <c r="H2511" s="93">
        <v>95957.71</v>
      </c>
      <c r="I2511" s="93">
        <v>2397.5457928860201</v>
      </c>
      <c r="J2511" s="93">
        <v>36330.589999999997</v>
      </c>
      <c r="K2511" s="93">
        <v>401.94</v>
      </c>
      <c r="L2511" s="93">
        <v>659.8</v>
      </c>
      <c r="M2511" s="93">
        <v>309330.63</v>
      </c>
      <c r="N2511" s="95">
        <v>0.09</v>
      </c>
      <c r="O2511" s="95">
        <v>0.31</v>
      </c>
      <c r="P2511" s="95">
        <v>0.48</v>
      </c>
      <c r="Q2511" s="95">
        <v>0.12</v>
      </c>
      <c r="R2511" s="104">
        <v>0</v>
      </c>
    </row>
    <row r="2512" spans="1:18" ht="15" hidden="1" customHeight="1" x14ac:dyDescent="0.3">
      <c r="A2512" s="101">
        <v>2024</v>
      </c>
      <c r="B2512" s="90">
        <v>2</v>
      </c>
      <c r="C2512" s="90" t="s">
        <v>723</v>
      </c>
      <c r="D2512" s="90" t="s">
        <v>719</v>
      </c>
      <c r="E2512" s="102" t="s">
        <v>11</v>
      </c>
      <c r="F2512" s="103" t="s">
        <v>46</v>
      </c>
      <c r="G2512" s="93">
        <v>34783.040000000001</v>
      </c>
      <c r="H2512" s="93">
        <v>76208.56</v>
      </c>
      <c r="I2512" s="93">
        <v>2397.5457928860201</v>
      </c>
      <c r="J2512" s="93">
        <v>10701.2</v>
      </c>
      <c r="K2512" s="93">
        <v>2370.38</v>
      </c>
      <c r="L2512" s="93">
        <v>1048.95</v>
      </c>
      <c r="M2512" s="93">
        <v>149074.81</v>
      </c>
      <c r="N2512" s="95">
        <v>0.23</v>
      </c>
      <c r="O2512" s="95">
        <v>0.51</v>
      </c>
      <c r="P2512" s="95">
        <v>0.16</v>
      </c>
      <c r="Q2512" s="95">
        <v>7.0000000000000007E-2</v>
      </c>
      <c r="R2512" s="104">
        <v>0.02</v>
      </c>
    </row>
    <row r="2513" spans="1:18" ht="15" hidden="1" customHeight="1" x14ac:dyDescent="0.3">
      <c r="A2513" s="101">
        <v>2024</v>
      </c>
      <c r="B2513" s="90">
        <v>2</v>
      </c>
      <c r="C2513" s="90" t="s">
        <v>723</v>
      </c>
      <c r="D2513" s="90" t="s">
        <v>719</v>
      </c>
      <c r="E2513" s="102" t="s">
        <v>11</v>
      </c>
      <c r="F2513" s="103" t="s">
        <v>47</v>
      </c>
      <c r="G2513" s="93">
        <v>67296.789999999994</v>
      </c>
      <c r="H2513" s="93">
        <v>646152.64</v>
      </c>
      <c r="I2513" s="93">
        <v>2397.5457928860201</v>
      </c>
      <c r="J2513" s="93">
        <v>106516.91</v>
      </c>
      <c r="K2513" s="93">
        <v>23134.05</v>
      </c>
      <c r="L2513" s="93">
        <v>95133.57</v>
      </c>
      <c r="M2513" s="93">
        <v>1444180.75</v>
      </c>
      <c r="N2513" s="95">
        <v>0.05</v>
      </c>
      <c r="O2513" s="95">
        <v>0.48</v>
      </c>
      <c r="P2513" s="95">
        <v>0.38</v>
      </c>
      <c r="Q2513" s="95">
        <v>0.08</v>
      </c>
      <c r="R2513" s="104">
        <v>0.02</v>
      </c>
    </row>
    <row r="2514" spans="1:18" ht="15" hidden="1" customHeight="1" x14ac:dyDescent="0.3">
      <c r="A2514" s="101">
        <v>2024</v>
      </c>
      <c r="B2514" s="90">
        <v>2</v>
      </c>
      <c r="C2514" s="90" t="s">
        <v>723</v>
      </c>
      <c r="D2514" s="90" t="s">
        <v>719</v>
      </c>
      <c r="E2514" s="102" t="s">
        <v>11</v>
      </c>
      <c r="F2514" s="103" t="s">
        <v>48</v>
      </c>
      <c r="G2514" s="93">
        <v>1617.18</v>
      </c>
      <c r="H2514" s="93">
        <v>22170.720000000001</v>
      </c>
      <c r="I2514" s="93">
        <v>2397.5457928860201</v>
      </c>
      <c r="J2514" s="93">
        <v>7531.58</v>
      </c>
      <c r="K2514" s="93">
        <v>23.56</v>
      </c>
      <c r="L2514" s="93">
        <v>8346.82</v>
      </c>
      <c r="M2514" s="93">
        <v>110314.47</v>
      </c>
      <c r="N2514" s="95">
        <v>0.02</v>
      </c>
      <c r="O2514" s="95">
        <v>0.22</v>
      </c>
      <c r="P2514" s="95">
        <v>0.69</v>
      </c>
      <c r="Q2514" s="95">
        <v>7.0000000000000007E-2</v>
      </c>
      <c r="R2514" s="104">
        <v>0</v>
      </c>
    </row>
    <row r="2515" spans="1:18" ht="15" hidden="1" customHeight="1" x14ac:dyDescent="0.3">
      <c r="A2515" s="101">
        <v>2024</v>
      </c>
      <c r="B2515" s="90">
        <v>2</v>
      </c>
      <c r="C2515" s="90" t="s">
        <v>723</v>
      </c>
      <c r="D2515" s="90" t="s">
        <v>722</v>
      </c>
      <c r="E2515" s="102" t="s">
        <v>11</v>
      </c>
      <c r="F2515" s="103" t="s">
        <v>12</v>
      </c>
      <c r="G2515" s="93">
        <v>52428.62</v>
      </c>
      <c r="H2515" s="93">
        <v>85287.09</v>
      </c>
      <c r="I2515" s="93">
        <v>2397.5457928860201</v>
      </c>
      <c r="J2515" s="93">
        <v>129110.94</v>
      </c>
      <c r="K2515" s="93">
        <v>40043.78</v>
      </c>
      <c r="L2515" s="93">
        <v>1601.24</v>
      </c>
      <c r="M2515" s="93">
        <v>373829.68</v>
      </c>
      <c r="N2515" s="95">
        <v>0.14000000000000001</v>
      </c>
      <c r="O2515" s="95">
        <v>0.23</v>
      </c>
      <c r="P2515" s="95">
        <v>0.18</v>
      </c>
      <c r="Q2515" s="95">
        <v>0.35</v>
      </c>
      <c r="R2515" s="104">
        <v>0.11</v>
      </c>
    </row>
    <row r="2516" spans="1:18" ht="15" hidden="1" customHeight="1" x14ac:dyDescent="0.3">
      <c r="A2516" s="101">
        <v>2024</v>
      </c>
      <c r="B2516" s="90">
        <v>2</v>
      </c>
      <c r="C2516" s="90" t="s">
        <v>723</v>
      </c>
      <c r="D2516" s="90" t="s">
        <v>722</v>
      </c>
      <c r="E2516" s="102" t="s">
        <v>11</v>
      </c>
      <c r="F2516" s="103" t="s">
        <v>26</v>
      </c>
      <c r="G2516" s="93">
        <v>143465.07999999999</v>
      </c>
      <c r="H2516" s="93">
        <v>140640.41</v>
      </c>
      <c r="I2516" s="93">
        <v>2397.5457928860201</v>
      </c>
      <c r="J2516" s="93">
        <v>424429.99</v>
      </c>
      <c r="K2516" s="93">
        <v>52111.37</v>
      </c>
      <c r="L2516" s="93">
        <v>85570.79</v>
      </c>
      <c r="M2516" s="93">
        <v>1130041.04</v>
      </c>
      <c r="N2516" s="95">
        <v>0.14000000000000001</v>
      </c>
      <c r="O2516" s="95">
        <v>0.13</v>
      </c>
      <c r="P2516" s="95">
        <v>0.27</v>
      </c>
      <c r="Q2516" s="95">
        <v>0.41</v>
      </c>
      <c r="R2516" s="104">
        <v>0.05</v>
      </c>
    </row>
    <row r="2517" spans="1:18" ht="15" hidden="1" customHeight="1" x14ac:dyDescent="0.3">
      <c r="A2517" s="101">
        <v>2024</v>
      </c>
      <c r="B2517" s="90">
        <v>2</v>
      </c>
      <c r="C2517" s="90" t="s">
        <v>723</v>
      </c>
      <c r="D2517" s="90" t="s">
        <v>722</v>
      </c>
      <c r="E2517" s="102" t="s">
        <v>11</v>
      </c>
      <c r="F2517" s="103" t="s">
        <v>27</v>
      </c>
      <c r="G2517" s="93">
        <v>396.38</v>
      </c>
      <c r="H2517" s="93">
        <v>6140.39</v>
      </c>
      <c r="I2517" s="93">
        <v>2397.5457928860201</v>
      </c>
      <c r="J2517" s="93">
        <v>83559.429999999993</v>
      </c>
      <c r="K2517" s="93">
        <v>83292.12</v>
      </c>
      <c r="L2517" s="93">
        <v>53147.28</v>
      </c>
      <c r="M2517" s="93">
        <v>265634.98</v>
      </c>
      <c r="N2517" s="95">
        <v>0</v>
      </c>
      <c r="O2517" s="95">
        <v>0.03</v>
      </c>
      <c r="P2517" s="95">
        <v>0.18</v>
      </c>
      <c r="Q2517" s="95">
        <v>0.39</v>
      </c>
      <c r="R2517" s="104">
        <v>0.39</v>
      </c>
    </row>
    <row r="2518" spans="1:18" ht="15" hidden="1" customHeight="1" x14ac:dyDescent="0.3">
      <c r="A2518" s="101">
        <v>2024</v>
      </c>
      <c r="B2518" s="90">
        <v>2</v>
      </c>
      <c r="C2518" s="90" t="s">
        <v>723</v>
      </c>
      <c r="D2518" s="90" t="s">
        <v>722</v>
      </c>
      <c r="E2518" s="102" t="s">
        <v>11</v>
      </c>
      <c r="F2518" s="103" t="s">
        <v>28</v>
      </c>
      <c r="G2518" s="93">
        <v>9052.7199999999993</v>
      </c>
      <c r="H2518" s="93">
        <v>24980.43</v>
      </c>
      <c r="I2518" s="93">
        <v>2397.5457928860201</v>
      </c>
      <c r="J2518" s="93">
        <v>120840.11</v>
      </c>
      <c r="K2518" s="93">
        <v>170148.33</v>
      </c>
      <c r="L2518" s="93">
        <v>97927</v>
      </c>
      <c r="M2518" s="93">
        <v>467737.16</v>
      </c>
      <c r="N2518" s="95">
        <v>0.02</v>
      </c>
      <c r="O2518" s="95">
        <v>7.0000000000000007E-2</v>
      </c>
      <c r="P2518" s="95">
        <v>0.12</v>
      </c>
      <c r="Q2518" s="95">
        <v>0.33</v>
      </c>
      <c r="R2518" s="104">
        <v>0.46</v>
      </c>
    </row>
    <row r="2519" spans="1:18" ht="15" customHeight="1" x14ac:dyDescent="0.3">
      <c r="A2519" s="101">
        <v>2024</v>
      </c>
      <c r="B2519" s="90">
        <v>2</v>
      </c>
      <c r="C2519" s="90" t="s">
        <v>723</v>
      </c>
      <c r="D2519" s="90" t="s">
        <v>722</v>
      </c>
      <c r="E2519" s="102" t="s">
        <v>11</v>
      </c>
      <c r="F2519" s="103" t="s">
        <v>29</v>
      </c>
      <c r="G2519" s="93">
        <v>9985.43</v>
      </c>
      <c r="H2519" s="93">
        <v>23828.54</v>
      </c>
      <c r="I2519" s="93">
        <v>2397.5457928860201</v>
      </c>
      <c r="J2519" s="93">
        <v>147271.71</v>
      </c>
      <c r="K2519" s="93">
        <v>20939.849999999999</v>
      </c>
      <c r="L2519" s="93">
        <v>86716.78</v>
      </c>
      <c r="M2519" s="93">
        <v>361599.37</v>
      </c>
      <c r="N2519" s="95">
        <v>0.04</v>
      </c>
      <c r="O2519" s="95">
        <v>0.09</v>
      </c>
      <c r="P2519" s="95">
        <v>0.27</v>
      </c>
      <c r="Q2519" s="95">
        <v>0.54</v>
      </c>
      <c r="R2519" s="104">
        <v>0.08</v>
      </c>
    </row>
    <row r="2520" spans="1:18" ht="15" hidden="1" customHeight="1" x14ac:dyDescent="0.3">
      <c r="A2520" s="101">
        <v>2024</v>
      </c>
      <c r="B2520" s="90">
        <v>2</v>
      </c>
      <c r="C2520" s="90" t="s">
        <v>723</v>
      </c>
      <c r="D2520" s="90" t="s">
        <v>722</v>
      </c>
      <c r="E2520" s="102" t="s">
        <v>11</v>
      </c>
      <c r="F2520" s="103" t="s">
        <v>30</v>
      </c>
      <c r="G2520" s="93">
        <v>411.58</v>
      </c>
      <c r="H2520" s="93">
        <v>1096.8900000000001</v>
      </c>
      <c r="I2520" s="93">
        <v>2397.5457928860201</v>
      </c>
      <c r="J2520" s="93">
        <v>6552.32</v>
      </c>
      <c r="K2520" s="93">
        <v>2317.81</v>
      </c>
      <c r="L2520" s="93">
        <v>78206</v>
      </c>
      <c r="M2520" s="93">
        <v>92340.54</v>
      </c>
      <c r="N2520" s="95">
        <v>0.03</v>
      </c>
      <c r="O2520" s="95">
        <v>0.08</v>
      </c>
      <c r="P2520" s="95">
        <v>0.27</v>
      </c>
      <c r="Q2520" s="95">
        <v>0.46</v>
      </c>
      <c r="R2520" s="104">
        <v>0.16</v>
      </c>
    </row>
    <row r="2521" spans="1:18" ht="15" hidden="1" customHeight="1" x14ac:dyDescent="0.3">
      <c r="A2521" s="101">
        <v>2024</v>
      </c>
      <c r="B2521" s="90">
        <v>2</v>
      </c>
      <c r="C2521" s="90" t="s">
        <v>723</v>
      </c>
      <c r="D2521" s="90" t="s">
        <v>722</v>
      </c>
      <c r="E2521" s="102" t="s">
        <v>11</v>
      </c>
      <c r="F2521" s="103" t="s">
        <v>31</v>
      </c>
      <c r="G2521" s="93">
        <v>4499.28</v>
      </c>
      <c r="H2521" s="93">
        <v>47150.2</v>
      </c>
      <c r="I2521" s="93">
        <v>2397.5457928860201</v>
      </c>
      <c r="J2521" s="93">
        <v>56928.31</v>
      </c>
      <c r="K2521" s="93">
        <v>12948.81</v>
      </c>
      <c r="L2521" s="93">
        <v>29408.720000000001</v>
      </c>
      <c r="M2521" s="93">
        <v>237151.51</v>
      </c>
      <c r="N2521" s="95">
        <v>0.02</v>
      </c>
      <c r="O2521" s="95">
        <v>0.23</v>
      </c>
      <c r="P2521" s="95">
        <v>0.42</v>
      </c>
      <c r="Q2521" s="95">
        <v>0.27</v>
      </c>
      <c r="R2521" s="104">
        <v>0.06</v>
      </c>
    </row>
    <row r="2522" spans="1:18" ht="15" hidden="1" customHeight="1" x14ac:dyDescent="0.3">
      <c r="A2522" s="101">
        <v>2024</v>
      </c>
      <c r="B2522" s="90">
        <v>2</v>
      </c>
      <c r="C2522" s="90" t="s">
        <v>723</v>
      </c>
      <c r="D2522" s="90" t="s">
        <v>722</v>
      </c>
      <c r="E2522" s="102" t="s">
        <v>11</v>
      </c>
      <c r="F2522" s="103" t="s">
        <v>32</v>
      </c>
      <c r="G2522" s="93">
        <v>8473.49</v>
      </c>
      <c r="H2522" s="93">
        <v>53470.37</v>
      </c>
      <c r="I2522" s="93">
        <v>2397.5457928860201</v>
      </c>
      <c r="J2522" s="93">
        <v>285392.71999999997</v>
      </c>
      <c r="K2522" s="93">
        <v>78534.679999999993</v>
      </c>
      <c r="L2522" s="93">
        <v>45704.62</v>
      </c>
      <c r="M2522" s="93">
        <v>618507.31000000006</v>
      </c>
      <c r="N2522" s="95">
        <v>0.01</v>
      </c>
      <c r="O2522" s="95">
        <v>0.09</v>
      </c>
      <c r="P2522" s="95">
        <v>0.26</v>
      </c>
      <c r="Q2522" s="95">
        <v>0.5</v>
      </c>
      <c r="R2522" s="104">
        <v>0.14000000000000001</v>
      </c>
    </row>
    <row r="2523" spans="1:18" ht="15" hidden="1" customHeight="1" x14ac:dyDescent="0.3">
      <c r="A2523" s="101">
        <v>2024</v>
      </c>
      <c r="B2523" s="90">
        <v>2</v>
      </c>
      <c r="C2523" s="90" t="s">
        <v>723</v>
      </c>
      <c r="D2523" s="90" t="s">
        <v>722</v>
      </c>
      <c r="E2523" s="102" t="s">
        <v>11</v>
      </c>
      <c r="F2523" s="103" t="s">
        <v>33</v>
      </c>
      <c r="G2523" s="93">
        <v>55588.6</v>
      </c>
      <c r="H2523" s="93">
        <v>145054.42000000001</v>
      </c>
      <c r="I2523" s="93">
        <v>2397.5457928860201</v>
      </c>
      <c r="J2523" s="93">
        <v>580923.74</v>
      </c>
      <c r="K2523" s="93">
        <v>111921.94</v>
      </c>
      <c r="L2523" s="93">
        <v>18140.349999999999</v>
      </c>
      <c r="M2523" s="93">
        <v>1335075.02</v>
      </c>
      <c r="N2523" s="95">
        <v>0.04</v>
      </c>
      <c r="O2523" s="95">
        <v>0.11</v>
      </c>
      <c r="P2523" s="95">
        <v>0.32</v>
      </c>
      <c r="Q2523" s="95">
        <v>0.44</v>
      </c>
      <c r="R2523" s="104">
        <v>0.08</v>
      </c>
    </row>
    <row r="2524" spans="1:18" ht="15" hidden="1" customHeight="1" x14ac:dyDescent="0.3">
      <c r="A2524" s="101">
        <v>2024</v>
      </c>
      <c r="B2524" s="90">
        <v>2</v>
      </c>
      <c r="C2524" s="90" t="s">
        <v>723</v>
      </c>
      <c r="D2524" s="90" t="s">
        <v>722</v>
      </c>
      <c r="E2524" s="102" t="s">
        <v>11</v>
      </c>
      <c r="F2524" s="103" t="s">
        <v>34</v>
      </c>
      <c r="G2524" s="93">
        <v>21380.57</v>
      </c>
      <c r="H2524" s="93">
        <v>48386.19</v>
      </c>
      <c r="I2524" s="93">
        <v>2397.5457928860201</v>
      </c>
      <c r="J2524" s="93">
        <v>372109.44</v>
      </c>
      <c r="K2524" s="93">
        <v>19257.18</v>
      </c>
      <c r="L2524" s="93">
        <v>1334.16</v>
      </c>
      <c r="M2524" s="93">
        <v>665434.1</v>
      </c>
      <c r="N2524" s="95">
        <v>0.03</v>
      </c>
      <c r="O2524" s="95">
        <v>7.0000000000000007E-2</v>
      </c>
      <c r="P2524" s="95">
        <v>0.31</v>
      </c>
      <c r="Q2524" s="95">
        <v>0.56000000000000005</v>
      </c>
      <c r="R2524" s="104">
        <v>0.03</v>
      </c>
    </row>
    <row r="2525" spans="1:18" ht="15" hidden="1" customHeight="1" x14ac:dyDescent="0.3">
      <c r="A2525" s="101">
        <v>2024</v>
      </c>
      <c r="B2525" s="90">
        <v>2</v>
      </c>
      <c r="C2525" s="90" t="s">
        <v>723</v>
      </c>
      <c r="D2525" s="90" t="s">
        <v>722</v>
      </c>
      <c r="E2525" s="102" t="s">
        <v>11</v>
      </c>
      <c r="F2525" s="103" t="s">
        <v>35</v>
      </c>
      <c r="G2525" s="93">
        <v>36504.32</v>
      </c>
      <c r="H2525" s="93">
        <v>80383.34</v>
      </c>
      <c r="I2525" s="93">
        <v>2397.5457928860201</v>
      </c>
      <c r="J2525" s="93">
        <v>82468.289999999994</v>
      </c>
      <c r="K2525" s="93">
        <v>12325.53</v>
      </c>
      <c r="L2525" s="93">
        <v>113757.37</v>
      </c>
      <c r="M2525" s="93">
        <v>484724.27</v>
      </c>
      <c r="N2525" s="95">
        <v>0.1</v>
      </c>
      <c r="O2525" s="95">
        <v>0.22</v>
      </c>
      <c r="P2525" s="95">
        <v>0.43</v>
      </c>
      <c r="Q2525" s="95">
        <v>0.22</v>
      </c>
      <c r="R2525" s="104">
        <v>0.03</v>
      </c>
    </row>
    <row r="2526" spans="1:18" ht="15" hidden="1" customHeight="1" x14ac:dyDescent="0.3">
      <c r="A2526" s="101">
        <v>2024</v>
      </c>
      <c r="B2526" s="90">
        <v>2</v>
      </c>
      <c r="C2526" s="90" t="s">
        <v>723</v>
      </c>
      <c r="D2526" s="90" t="s">
        <v>722</v>
      </c>
      <c r="E2526" s="102" t="s">
        <v>11</v>
      </c>
      <c r="F2526" s="103" t="s">
        <v>36</v>
      </c>
      <c r="G2526" s="93">
        <v>10073.39</v>
      </c>
      <c r="H2526" s="93">
        <v>44492.57</v>
      </c>
      <c r="I2526" s="93">
        <v>2397.5457928860201</v>
      </c>
      <c r="J2526" s="93">
        <v>54745.68</v>
      </c>
      <c r="K2526" s="93">
        <v>1919.77</v>
      </c>
      <c r="L2526" s="93">
        <v>5016.28</v>
      </c>
      <c r="M2526" s="93">
        <v>229619.6</v>
      </c>
      <c r="N2526" s="95">
        <v>0.04</v>
      </c>
      <c r="O2526" s="95">
        <v>0.2</v>
      </c>
      <c r="P2526" s="95">
        <v>0.5</v>
      </c>
      <c r="Q2526" s="95">
        <v>0.24</v>
      </c>
      <c r="R2526" s="104">
        <v>0.01</v>
      </c>
    </row>
    <row r="2527" spans="1:18" ht="15" hidden="1" customHeight="1" x14ac:dyDescent="0.3">
      <c r="A2527" s="101">
        <v>2024</v>
      </c>
      <c r="B2527" s="90">
        <v>2</v>
      </c>
      <c r="C2527" s="90" t="s">
        <v>723</v>
      </c>
      <c r="D2527" s="90" t="s">
        <v>722</v>
      </c>
      <c r="E2527" s="102" t="s">
        <v>11</v>
      </c>
      <c r="F2527" s="103" t="s">
        <v>37</v>
      </c>
      <c r="G2527" s="93">
        <v>6962.08</v>
      </c>
      <c r="H2527" s="93">
        <v>21796.26</v>
      </c>
      <c r="I2527" s="93">
        <v>2397.5457928860201</v>
      </c>
      <c r="J2527" s="93">
        <v>232164.94</v>
      </c>
      <c r="K2527" s="93">
        <v>28622.09</v>
      </c>
      <c r="L2527" s="93">
        <v>393.57</v>
      </c>
      <c r="M2527" s="93">
        <v>381128.61</v>
      </c>
      <c r="N2527" s="95">
        <v>0.02</v>
      </c>
      <c r="O2527" s="95">
        <v>0.06</v>
      </c>
      <c r="P2527" s="95">
        <v>0.24</v>
      </c>
      <c r="Q2527" s="95">
        <v>0.61</v>
      </c>
      <c r="R2527" s="104">
        <v>0.08</v>
      </c>
    </row>
    <row r="2528" spans="1:18" ht="15" hidden="1" customHeight="1" x14ac:dyDescent="0.3">
      <c r="A2528" s="101">
        <v>2024</v>
      </c>
      <c r="B2528" s="90">
        <v>2</v>
      </c>
      <c r="C2528" s="90" t="s">
        <v>723</v>
      </c>
      <c r="D2528" s="90" t="s">
        <v>722</v>
      </c>
      <c r="E2528" s="102" t="s">
        <v>11</v>
      </c>
      <c r="F2528" s="103" t="s">
        <v>38</v>
      </c>
      <c r="G2528" s="93">
        <v>66295.679999999993</v>
      </c>
      <c r="H2528" s="93">
        <v>116756.71</v>
      </c>
      <c r="I2528" s="93">
        <v>2397.5457928860201</v>
      </c>
      <c r="J2528" s="93">
        <v>215856.18</v>
      </c>
      <c r="K2528" s="93">
        <v>180197.03</v>
      </c>
      <c r="L2528" s="93">
        <v>649057.17000000004</v>
      </c>
      <c r="M2528" s="93">
        <v>1411213.51</v>
      </c>
      <c r="N2528" s="95">
        <v>0.09</v>
      </c>
      <c r="O2528" s="95">
        <v>0.15</v>
      </c>
      <c r="P2528" s="95">
        <v>0.24</v>
      </c>
      <c r="Q2528" s="95">
        <v>0.28000000000000003</v>
      </c>
      <c r="R2528" s="104">
        <v>0.24</v>
      </c>
    </row>
    <row r="2529" spans="1:18" ht="15" hidden="1" customHeight="1" x14ac:dyDescent="0.3">
      <c r="A2529" s="101">
        <v>2024</v>
      </c>
      <c r="B2529" s="90">
        <v>2</v>
      </c>
      <c r="C2529" s="90" t="s">
        <v>723</v>
      </c>
      <c r="D2529" s="90" t="s">
        <v>722</v>
      </c>
      <c r="E2529" s="102" t="s">
        <v>11</v>
      </c>
      <c r="F2529" s="103" t="s">
        <v>39</v>
      </c>
      <c r="G2529" s="93">
        <v>1017.99</v>
      </c>
      <c r="H2529" s="93">
        <v>36641.879999999997</v>
      </c>
      <c r="I2529" s="93">
        <v>2397.5457928860201</v>
      </c>
      <c r="J2529" s="93">
        <v>139561.88</v>
      </c>
      <c r="K2529" s="93">
        <v>19264.240000000002</v>
      </c>
      <c r="L2529" s="93">
        <v>234996.1</v>
      </c>
      <c r="M2529" s="93">
        <v>541522.1</v>
      </c>
      <c r="N2529" s="95">
        <v>0</v>
      </c>
      <c r="O2529" s="95">
        <v>0.12</v>
      </c>
      <c r="P2529" s="95">
        <v>0.36</v>
      </c>
      <c r="Q2529" s="95">
        <v>0.46</v>
      </c>
      <c r="R2529" s="104">
        <v>0.06</v>
      </c>
    </row>
    <row r="2530" spans="1:18" ht="15" hidden="1" customHeight="1" x14ac:dyDescent="0.3">
      <c r="A2530" s="101">
        <v>2024</v>
      </c>
      <c r="B2530" s="90">
        <v>2</v>
      </c>
      <c r="C2530" s="90" t="s">
        <v>723</v>
      </c>
      <c r="D2530" s="90" t="s">
        <v>722</v>
      </c>
      <c r="E2530" s="102" t="s">
        <v>11</v>
      </c>
      <c r="F2530" s="103" t="s">
        <v>40</v>
      </c>
      <c r="G2530" s="93">
        <v>31044.85</v>
      </c>
      <c r="H2530" s="93">
        <v>52227.06</v>
      </c>
      <c r="I2530" s="93">
        <v>2397.5457928860201</v>
      </c>
      <c r="J2530" s="93">
        <v>90787.69</v>
      </c>
      <c r="K2530" s="93">
        <v>82193.95</v>
      </c>
      <c r="L2530" s="93">
        <v>4486.7</v>
      </c>
      <c r="M2530" s="93">
        <v>313004.03999999998</v>
      </c>
      <c r="N2530" s="95">
        <v>0.1</v>
      </c>
      <c r="O2530" s="95">
        <v>0.17</v>
      </c>
      <c r="P2530" s="95">
        <v>0.17</v>
      </c>
      <c r="Q2530" s="95">
        <v>0.28999999999999998</v>
      </c>
      <c r="R2530" s="104">
        <v>0.27</v>
      </c>
    </row>
    <row r="2531" spans="1:18" ht="15" hidden="1" customHeight="1" x14ac:dyDescent="0.3">
      <c r="A2531" s="101">
        <v>2024</v>
      </c>
      <c r="B2531" s="90">
        <v>2</v>
      </c>
      <c r="C2531" s="90" t="s">
        <v>723</v>
      </c>
      <c r="D2531" s="90" t="s">
        <v>722</v>
      </c>
      <c r="E2531" s="102" t="s">
        <v>11</v>
      </c>
      <c r="F2531" s="103" t="s">
        <v>41</v>
      </c>
      <c r="G2531" s="93">
        <v>2336.58</v>
      </c>
      <c r="H2531" s="93">
        <v>7598.08</v>
      </c>
      <c r="I2531" s="93">
        <v>2397.5457928860201</v>
      </c>
      <c r="J2531" s="93">
        <v>1964.1</v>
      </c>
      <c r="K2531" s="93">
        <v>160.57</v>
      </c>
      <c r="L2531" s="93">
        <v>609106.55000000005</v>
      </c>
      <c r="M2531" s="93">
        <v>626865.44999999995</v>
      </c>
      <c r="N2531" s="95">
        <v>0.13</v>
      </c>
      <c r="O2531" s="95">
        <v>0.43</v>
      </c>
      <c r="P2531" s="95">
        <v>0.32</v>
      </c>
      <c r="Q2531" s="95">
        <v>0.11</v>
      </c>
      <c r="R2531" s="104">
        <v>0.01</v>
      </c>
    </row>
    <row r="2532" spans="1:18" ht="15" hidden="1" customHeight="1" x14ac:dyDescent="0.3">
      <c r="A2532" s="101">
        <v>2024</v>
      </c>
      <c r="B2532" s="90">
        <v>2</v>
      </c>
      <c r="C2532" s="90" t="s">
        <v>723</v>
      </c>
      <c r="D2532" s="90" t="s">
        <v>722</v>
      </c>
      <c r="E2532" s="102" t="s">
        <v>11</v>
      </c>
      <c r="F2532" s="103" t="s">
        <v>42</v>
      </c>
      <c r="G2532" s="93">
        <v>1910.31</v>
      </c>
      <c r="H2532" s="93">
        <v>58749.56</v>
      </c>
      <c r="I2532" s="93">
        <v>2397.5457928860201</v>
      </c>
      <c r="J2532" s="93">
        <v>160282.48000000001</v>
      </c>
      <c r="K2532" s="93">
        <v>192158.82</v>
      </c>
      <c r="L2532" s="93">
        <v>141253.32</v>
      </c>
      <c r="M2532" s="93">
        <v>633458.43999999994</v>
      </c>
      <c r="N2532" s="95">
        <v>0</v>
      </c>
      <c r="O2532" s="95">
        <v>0.12</v>
      </c>
      <c r="P2532" s="95">
        <v>0.16</v>
      </c>
      <c r="Q2532" s="95">
        <v>0.33</v>
      </c>
      <c r="R2532" s="104">
        <v>0.39</v>
      </c>
    </row>
    <row r="2533" spans="1:18" ht="15" hidden="1" customHeight="1" x14ac:dyDescent="0.3">
      <c r="A2533" s="101">
        <v>2024</v>
      </c>
      <c r="B2533" s="90">
        <v>2</v>
      </c>
      <c r="C2533" s="90" t="s">
        <v>723</v>
      </c>
      <c r="D2533" s="90" t="s">
        <v>722</v>
      </c>
      <c r="E2533" s="102" t="s">
        <v>11</v>
      </c>
      <c r="F2533" s="103" t="s">
        <v>43</v>
      </c>
      <c r="G2533" s="93">
        <v>2830.32</v>
      </c>
      <c r="H2533" s="93">
        <v>12837.83</v>
      </c>
      <c r="I2533" s="93">
        <v>2397.5457928860201</v>
      </c>
      <c r="J2533" s="93">
        <v>27394.85</v>
      </c>
      <c r="K2533" s="93">
        <v>2699.29</v>
      </c>
      <c r="L2533" s="93">
        <v>168022.05</v>
      </c>
      <c r="M2533" s="93">
        <v>236856.58</v>
      </c>
      <c r="N2533" s="95">
        <v>0.04</v>
      </c>
      <c r="O2533" s="95">
        <v>0.19</v>
      </c>
      <c r="P2533" s="95">
        <v>0.34</v>
      </c>
      <c r="Q2533" s="95">
        <v>0.4</v>
      </c>
      <c r="R2533" s="104">
        <v>0.04</v>
      </c>
    </row>
    <row r="2534" spans="1:18" ht="15" hidden="1" customHeight="1" x14ac:dyDescent="0.3">
      <c r="A2534" s="101">
        <v>2024</v>
      </c>
      <c r="B2534" s="90">
        <v>2</v>
      </c>
      <c r="C2534" s="90" t="s">
        <v>723</v>
      </c>
      <c r="D2534" s="90" t="s">
        <v>722</v>
      </c>
      <c r="E2534" s="102" t="s">
        <v>11</v>
      </c>
      <c r="F2534" s="103" t="s">
        <v>58</v>
      </c>
      <c r="G2534" s="93">
        <v>1086.6400000000001</v>
      </c>
      <c r="H2534" s="93">
        <v>11438.85</v>
      </c>
      <c r="I2534" s="93">
        <v>2397.5457928860201</v>
      </c>
      <c r="J2534" s="93">
        <v>115672.7</v>
      </c>
      <c r="K2534" s="93">
        <v>195042.12</v>
      </c>
      <c r="L2534" s="93">
        <v>97008.68</v>
      </c>
      <c r="M2534" s="93">
        <v>461328.72</v>
      </c>
      <c r="N2534" s="95">
        <v>0</v>
      </c>
      <c r="O2534" s="95">
        <v>0.03</v>
      </c>
      <c r="P2534" s="95">
        <v>0.11</v>
      </c>
      <c r="Q2534" s="95">
        <v>0.32</v>
      </c>
      <c r="R2534" s="104">
        <v>0.54</v>
      </c>
    </row>
    <row r="2535" spans="1:18" ht="15" hidden="1" customHeight="1" x14ac:dyDescent="0.3">
      <c r="A2535" s="101">
        <v>2024</v>
      </c>
      <c r="B2535" s="90">
        <v>2</v>
      </c>
      <c r="C2535" s="90" t="s">
        <v>723</v>
      </c>
      <c r="D2535" s="90" t="s">
        <v>722</v>
      </c>
      <c r="E2535" s="102" t="s">
        <v>11</v>
      </c>
      <c r="F2535" s="103" t="s">
        <v>44</v>
      </c>
      <c r="G2535" s="93">
        <v>5915.66</v>
      </c>
      <c r="H2535" s="93">
        <v>22551.200000000001</v>
      </c>
      <c r="I2535" s="93">
        <v>2397.5457928860201</v>
      </c>
      <c r="J2535" s="93">
        <v>59208.62</v>
      </c>
      <c r="K2535" s="93">
        <v>2644.31</v>
      </c>
      <c r="L2535" s="93">
        <v>590389.38</v>
      </c>
      <c r="M2535" s="93">
        <v>763799.52</v>
      </c>
      <c r="N2535" s="95">
        <v>0.03</v>
      </c>
      <c r="O2535" s="95">
        <v>0.13</v>
      </c>
      <c r="P2535" s="95">
        <v>0.48</v>
      </c>
      <c r="Q2535" s="95">
        <v>0.34</v>
      </c>
      <c r="R2535" s="104">
        <v>0.02</v>
      </c>
    </row>
    <row r="2536" spans="1:18" ht="15" hidden="1" customHeight="1" x14ac:dyDescent="0.3">
      <c r="A2536" s="101">
        <v>2024</v>
      </c>
      <c r="B2536" s="90">
        <v>2</v>
      </c>
      <c r="C2536" s="90" t="s">
        <v>723</v>
      </c>
      <c r="D2536" s="90" t="s">
        <v>722</v>
      </c>
      <c r="E2536" s="102" t="s">
        <v>11</v>
      </c>
      <c r="F2536" s="103" t="s">
        <v>51</v>
      </c>
      <c r="G2536" s="93">
        <v>11472.66</v>
      </c>
      <c r="H2536" s="93">
        <v>56421.53</v>
      </c>
      <c r="I2536" s="93">
        <v>2397.5457928860201</v>
      </c>
      <c r="J2536" s="93">
        <v>37934.03</v>
      </c>
      <c r="K2536" s="93">
        <v>9713.24</v>
      </c>
      <c r="L2536" s="93">
        <v>1552.32</v>
      </c>
      <c r="M2536" s="93">
        <v>211235.62</v>
      </c>
      <c r="N2536" s="95">
        <v>0.05</v>
      </c>
      <c r="O2536" s="95">
        <v>0.27</v>
      </c>
      <c r="P2536" s="95">
        <v>0.45</v>
      </c>
      <c r="Q2536" s="95">
        <v>0.18</v>
      </c>
      <c r="R2536" s="104">
        <v>0.05</v>
      </c>
    </row>
    <row r="2537" spans="1:18" ht="15" hidden="1" customHeight="1" x14ac:dyDescent="0.3">
      <c r="A2537" s="101">
        <v>2024</v>
      </c>
      <c r="B2537" s="90">
        <v>2</v>
      </c>
      <c r="C2537" s="90" t="s">
        <v>723</v>
      </c>
      <c r="D2537" s="90" t="s">
        <v>722</v>
      </c>
      <c r="E2537" s="102" t="s">
        <v>11</v>
      </c>
      <c r="F2537" s="103" t="s">
        <v>45</v>
      </c>
      <c r="G2537" s="93">
        <v>2946.19</v>
      </c>
      <c r="H2537" s="93">
        <v>7058.97</v>
      </c>
      <c r="I2537" s="93">
        <v>2397.5457928860201</v>
      </c>
      <c r="J2537" s="93">
        <v>42346.33</v>
      </c>
      <c r="K2537" s="93">
        <v>13538.87</v>
      </c>
      <c r="L2537" s="93">
        <v>176927.6</v>
      </c>
      <c r="M2537" s="93">
        <v>261513.76</v>
      </c>
      <c r="N2537" s="95">
        <v>0.03</v>
      </c>
      <c r="O2537" s="95">
        <v>0.08</v>
      </c>
      <c r="P2537" s="95">
        <v>0.22</v>
      </c>
      <c r="Q2537" s="95">
        <v>0.5</v>
      </c>
      <c r="R2537" s="104">
        <v>0.16</v>
      </c>
    </row>
    <row r="2538" spans="1:18" ht="15" hidden="1" customHeight="1" x14ac:dyDescent="0.3">
      <c r="A2538" s="101">
        <v>2024</v>
      </c>
      <c r="B2538" s="90">
        <v>2</v>
      </c>
      <c r="C2538" s="90" t="s">
        <v>723</v>
      </c>
      <c r="D2538" s="90" t="s">
        <v>722</v>
      </c>
      <c r="E2538" s="102" t="s">
        <v>11</v>
      </c>
      <c r="F2538" s="103" t="s">
        <v>721</v>
      </c>
      <c r="G2538" s="93">
        <v>7458.52</v>
      </c>
      <c r="H2538" s="93">
        <v>17459.72</v>
      </c>
      <c r="I2538" s="93">
        <v>2397.5457928860201</v>
      </c>
      <c r="J2538" s="93">
        <v>119342.67</v>
      </c>
      <c r="K2538" s="93">
        <v>103561.24</v>
      </c>
      <c r="L2538" s="93">
        <v>44595.67</v>
      </c>
      <c r="M2538" s="93">
        <v>353921.96</v>
      </c>
      <c r="N2538" s="95">
        <v>0.02</v>
      </c>
      <c r="O2538" s="95">
        <v>0.06</v>
      </c>
      <c r="P2538" s="95">
        <v>0.2</v>
      </c>
      <c r="Q2538" s="95">
        <v>0.39</v>
      </c>
      <c r="R2538" s="104">
        <v>0.33</v>
      </c>
    </row>
    <row r="2539" spans="1:18" ht="15" hidden="1" customHeight="1" x14ac:dyDescent="0.3">
      <c r="A2539" s="101">
        <v>2024</v>
      </c>
      <c r="B2539" s="90">
        <v>2</v>
      </c>
      <c r="C2539" s="90" t="s">
        <v>723</v>
      </c>
      <c r="D2539" s="90" t="s">
        <v>722</v>
      </c>
      <c r="E2539" s="102" t="s">
        <v>11</v>
      </c>
      <c r="F2539" s="103" t="s">
        <v>46</v>
      </c>
      <c r="G2539" s="93">
        <v>18326.599999999999</v>
      </c>
      <c r="H2539" s="93">
        <v>60112.81</v>
      </c>
      <c r="I2539" s="93">
        <v>2397.5457928860201</v>
      </c>
      <c r="J2539" s="93">
        <v>17814.28</v>
      </c>
      <c r="K2539" s="93">
        <v>5517.43</v>
      </c>
      <c r="L2539" s="93">
        <v>988.77</v>
      </c>
      <c r="M2539" s="93">
        <v>148985.85999999999</v>
      </c>
      <c r="N2539" s="95">
        <v>0.12</v>
      </c>
      <c r="O2539" s="95">
        <v>0.41</v>
      </c>
      <c r="P2539" s="95">
        <v>0.31</v>
      </c>
      <c r="Q2539" s="95">
        <v>0.12</v>
      </c>
      <c r="R2539" s="104">
        <v>0.04</v>
      </c>
    </row>
    <row r="2540" spans="1:18" ht="15" hidden="1" customHeight="1" x14ac:dyDescent="0.3">
      <c r="A2540" s="101">
        <v>2024</v>
      </c>
      <c r="B2540" s="90">
        <v>2</v>
      </c>
      <c r="C2540" s="90" t="s">
        <v>723</v>
      </c>
      <c r="D2540" s="90" t="s">
        <v>722</v>
      </c>
      <c r="E2540" s="102" t="s">
        <v>11</v>
      </c>
      <c r="F2540" s="103" t="s">
        <v>47</v>
      </c>
      <c r="G2540" s="93">
        <v>34970.050000000003</v>
      </c>
      <c r="H2540" s="93">
        <v>378438.04</v>
      </c>
      <c r="I2540" s="93">
        <v>2397.5457928860201</v>
      </c>
      <c r="J2540" s="93">
        <v>233865.71</v>
      </c>
      <c r="K2540" s="93">
        <v>52544.84</v>
      </c>
      <c r="L2540" s="93">
        <v>4536.82</v>
      </c>
      <c r="M2540" s="93">
        <v>1351925.75</v>
      </c>
      <c r="N2540" s="95">
        <v>0.03</v>
      </c>
      <c r="O2540" s="95">
        <v>0.28000000000000003</v>
      </c>
      <c r="P2540" s="95">
        <v>0.48</v>
      </c>
      <c r="Q2540" s="95">
        <v>0.17</v>
      </c>
      <c r="R2540" s="104">
        <v>0.04</v>
      </c>
    </row>
    <row r="2541" spans="1:18" ht="15" hidden="1" customHeight="1" x14ac:dyDescent="0.3">
      <c r="A2541" s="101">
        <v>2024</v>
      </c>
      <c r="B2541" s="90">
        <v>2</v>
      </c>
      <c r="C2541" s="90" t="s">
        <v>723</v>
      </c>
      <c r="D2541" s="90" t="s">
        <v>722</v>
      </c>
      <c r="E2541" s="102" t="s">
        <v>11</v>
      </c>
      <c r="F2541" s="103" t="s">
        <v>48</v>
      </c>
      <c r="G2541" s="93">
        <v>707.1</v>
      </c>
      <c r="H2541" s="93">
        <v>1736.04</v>
      </c>
      <c r="I2541" s="93">
        <v>2397.5457928860201</v>
      </c>
      <c r="J2541" s="93">
        <v>69667.12</v>
      </c>
      <c r="K2541" s="93">
        <v>10574.8</v>
      </c>
      <c r="L2541" s="93">
        <v>75655.41</v>
      </c>
      <c r="M2541" s="93">
        <v>177170.05</v>
      </c>
      <c r="N2541" s="95">
        <v>0.01</v>
      </c>
      <c r="O2541" s="95">
        <v>0.02</v>
      </c>
      <c r="P2541" s="95">
        <v>0.19</v>
      </c>
      <c r="Q2541" s="95">
        <v>0.69</v>
      </c>
      <c r="R2541" s="104">
        <v>0.1</v>
      </c>
    </row>
    <row r="2542" spans="1:18" ht="15" hidden="1" customHeight="1" x14ac:dyDescent="0.3">
      <c r="A2542" s="101">
        <v>2024</v>
      </c>
      <c r="B2542" s="90">
        <v>3</v>
      </c>
      <c r="C2542" s="90" t="s">
        <v>724</v>
      </c>
      <c r="D2542" s="90" t="s">
        <v>719</v>
      </c>
      <c r="E2542" s="102" t="s">
        <v>11</v>
      </c>
      <c r="F2542" s="103" t="s">
        <v>12</v>
      </c>
      <c r="G2542" s="93">
        <v>8737.0300000000007</v>
      </c>
      <c r="H2542" s="93">
        <v>28882.16</v>
      </c>
      <c r="I2542" s="93">
        <v>2397.5457928860201</v>
      </c>
      <c r="J2542" s="93">
        <v>194816.35</v>
      </c>
      <c r="K2542" s="93">
        <v>20287.52</v>
      </c>
      <c r="L2542" s="93">
        <v>319.93</v>
      </c>
      <c r="M2542" s="93">
        <v>384939.33</v>
      </c>
      <c r="N2542" s="95">
        <v>0.02</v>
      </c>
      <c r="O2542" s="95">
        <v>0.08</v>
      </c>
      <c r="P2542" s="95">
        <v>0.34</v>
      </c>
      <c r="Q2542" s="95">
        <v>0.51</v>
      </c>
      <c r="R2542" s="104">
        <v>0.05</v>
      </c>
    </row>
    <row r="2543" spans="1:18" ht="15" hidden="1" customHeight="1" x14ac:dyDescent="0.3">
      <c r="A2543" s="101">
        <v>2024</v>
      </c>
      <c r="B2543" s="90">
        <v>3</v>
      </c>
      <c r="C2543" s="90" t="s">
        <v>724</v>
      </c>
      <c r="D2543" s="90" t="s">
        <v>719</v>
      </c>
      <c r="E2543" s="102" t="s">
        <v>11</v>
      </c>
      <c r="F2543" s="103" t="s">
        <v>26</v>
      </c>
      <c r="G2543" s="93">
        <v>202666.78</v>
      </c>
      <c r="H2543" s="93">
        <v>248819.37</v>
      </c>
      <c r="I2543" s="93">
        <v>2397.5457928860201</v>
      </c>
      <c r="J2543" s="93">
        <v>257017.83</v>
      </c>
      <c r="K2543" s="93">
        <v>14398.13</v>
      </c>
      <c r="L2543" s="93">
        <v>85614.95</v>
      </c>
      <c r="M2543" s="93">
        <v>1131240.01</v>
      </c>
      <c r="N2543" s="95">
        <v>0.19</v>
      </c>
      <c r="O2543" s="95">
        <v>0.24</v>
      </c>
      <c r="P2543" s="95">
        <v>0.31</v>
      </c>
      <c r="Q2543" s="95">
        <v>0.25</v>
      </c>
      <c r="R2543" s="104">
        <v>0.01</v>
      </c>
    </row>
    <row r="2544" spans="1:18" ht="15" hidden="1" customHeight="1" x14ac:dyDescent="0.3">
      <c r="A2544" s="101">
        <v>2024</v>
      </c>
      <c r="B2544" s="90">
        <v>3</v>
      </c>
      <c r="C2544" s="90" t="s">
        <v>724</v>
      </c>
      <c r="D2544" s="90" t="s">
        <v>719</v>
      </c>
      <c r="E2544" s="102" t="s">
        <v>11</v>
      </c>
      <c r="F2544" s="103" t="s">
        <v>27</v>
      </c>
      <c r="G2544" s="93">
        <v>182.8</v>
      </c>
      <c r="H2544" s="93">
        <v>5457.6</v>
      </c>
      <c r="I2544" s="93">
        <v>2397.5457928860201</v>
      </c>
      <c r="J2544" s="93">
        <v>134519.71</v>
      </c>
      <c r="K2544" s="93">
        <v>38899.949999999997</v>
      </c>
      <c r="L2544" s="93">
        <v>3372.82</v>
      </c>
      <c r="M2544" s="93">
        <v>226689.38</v>
      </c>
      <c r="N2544" s="95">
        <v>0</v>
      </c>
      <c r="O2544" s="95">
        <v>0.02</v>
      </c>
      <c r="P2544" s="95">
        <v>0.2</v>
      </c>
      <c r="Q2544" s="95">
        <v>0.6</v>
      </c>
      <c r="R2544" s="104">
        <v>0.17</v>
      </c>
    </row>
    <row r="2545" spans="1:18" ht="15" hidden="1" customHeight="1" x14ac:dyDescent="0.3">
      <c r="A2545" s="101">
        <v>2024</v>
      </c>
      <c r="B2545" s="90">
        <v>3</v>
      </c>
      <c r="C2545" s="90" t="s">
        <v>724</v>
      </c>
      <c r="D2545" s="90" t="s">
        <v>719</v>
      </c>
      <c r="E2545" s="102" t="s">
        <v>11</v>
      </c>
      <c r="F2545" s="103" t="s">
        <v>28</v>
      </c>
      <c r="G2545" s="93">
        <v>993.72</v>
      </c>
      <c r="H2545" s="93">
        <v>3972.62</v>
      </c>
      <c r="I2545" s="93">
        <v>2397.5457928860201</v>
      </c>
      <c r="J2545" s="93">
        <v>228929.81</v>
      </c>
      <c r="K2545" s="93">
        <v>111240.38</v>
      </c>
      <c r="L2545" s="93">
        <v>3355.11</v>
      </c>
      <c r="M2545" s="93">
        <v>373104.4</v>
      </c>
      <c r="N2545" s="95">
        <v>0</v>
      </c>
      <c r="O2545" s="95">
        <v>0.01</v>
      </c>
      <c r="P2545" s="95">
        <v>7.0000000000000007E-2</v>
      </c>
      <c r="Q2545" s="95">
        <v>0.62</v>
      </c>
      <c r="R2545" s="104">
        <v>0.3</v>
      </c>
    </row>
    <row r="2546" spans="1:18" ht="15" customHeight="1" x14ac:dyDescent="0.3">
      <c r="A2546" s="101">
        <v>2024</v>
      </c>
      <c r="B2546" s="90">
        <v>3</v>
      </c>
      <c r="C2546" s="90" t="s">
        <v>724</v>
      </c>
      <c r="D2546" s="90" t="s">
        <v>719</v>
      </c>
      <c r="E2546" s="102" t="s">
        <v>11</v>
      </c>
      <c r="F2546" s="103" t="s">
        <v>29</v>
      </c>
      <c r="G2546" s="93">
        <v>10212.94</v>
      </c>
      <c r="H2546" s="93">
        <v>27727.13</v>
      </c>
      <c r="I2546" s="93">
        <v>2397.5457928860201</v>
      </c>
      <c r="J2546" s="93">
        <v>144929.31</v>
      </c>
      <c r="K2546" s="93">
        <v>36376.25</v>
      </c>
      <c r="L2546" s="93">
        <v>53957.16</v>
      </c>
      <c r="M2546" s="93">
        <v>354391.76</v>
      </c>
      <c r="N2546" s="95">
        <v>0.03</v>
      </c>
      <c r="O2546" s="95">
        <v>0.09</v>
      </c>
      <c r="P2546" s="95">
        <v>0.27</v>
      </c>
      <c r="Q2546" s="95">
        <v>0.48</v>
      </c>
      <c r="R2546" s="104">
        <v>0.12</v>
      </c>
    </row>
    <row r="2547" spans="1:18" ht="15" hidden="1" customHeight="1" x14ac:dyDescent="0.3">
      <c r="A2547" s="101">
        <v>2024</v>
      </c>
      <c r="B2547" s="90">
        <v>3</v>
      </c>
      <c r="C2547" s="90" t="s">
        <v>724</v>
      </c>
      <c r="D2547" s="90" t="s">
        <v>719</v>
      </c>
      <c r="E2547" s="102" t="s">
        <v>11</v>
      </c>
      <c r="F2547" s="103" t="s">
        <v>30</v>
      </c>
      <c r="G2547" s="93">
        <v>522.07000000000005</v>
      </c>
      <c r="H2547" s="93">
        <v>1180.23</v>
      </c>
      <c r="I2547" s="93">
        <v>2397.5457928860201</v>
      </c>
      <c r="J2547" s="93">
        <v>6632.74</v>
      </c>
      <c r="K2547" s="93">
        <v>1321.79</v>
      </c>
      <c r="L2547" s="93">
        <v>216007.62</v>
      </c>
      <c r="M2547" s="93">
        <v>230086.24</v>
      </c>
      <c r="N2547" s="95">
        <v>0.04</v>
      </c>
      <c r="O2547" s="95">
        <v>0.08</v>
      </c>
      <c r="P2547" s="95">
        <v>0.31</v>
      </c>
      <c r="Q2547" s="95">
        <v>0.47</v>
      </c>
      <c r="R2547" s="104">
        <v>0.09</v>
      </c>
    </row>
    <row r="2548" spans="1:18" ht="15" hidden="1" customHeight="1" x14ac:dyDescent="0.3">
      <c r="A2548" s="101">
        <v>2024</v>
      </c>
      <c r="B2548" s="90">
        <v>3</v>
      </c>
      <c r="C2548" s="90" t="s">
        <v>724</v>
      </c>
      <c r="D2548" s="90" t="s">
        <v>719</v>
      </c>
      <c r="E2548" s="102" t="s">
        <v>11</v>
      </c>
      <c r="F2548" s="103" t="s">
        <v>31</v>
      </c>
      <c r="G2548" s="93">
        <v>9344.7800000000007</v>
      </c>
      <c r="H2548" s="93">
        <v>60352.27</v>
      </c>
      <c r="I2548" s="93">
        <v>2397.5457928860201</v>
      </c>
      <c r="J2548" s="93">
        <v>48443.3</v>
      </c>
      <c r="K2548" s="93">
        <v>10202.81</v>
      </c>
      <c r="L2548" s="93">
        <v>44402.58</v>
      </c>
      <c r="M2548" s="93">
        <v>251948.86</v>
      </c>
      <c r="N2548" s="95">
        <v>0.05</v>
      </c>
      <c r="O2548" s="95">
        <v>0.28999999999999998</v>
      </c>
      <c r="P2548" s="95">
        <v>0.38</v>
      </c>
      <c r="Q2548" s="95">
        <v>0.23</v>
      </c>
      <c r="R2548" s="104">
        <v>0.05</v>
      </c>
    </row>
    <row r="2549" spans="1:18" ht="15" hidden="1" customHeight="1" x14ac:dyDescent="0.3">
      <c r="A2549" s="101">
        <v>2024</v>
      </c>
      <c r="B2549" s="90">
        <v>3</v>
      </c>
      <c r="C2549" s="90" t="s">
        <v>724</v>
      </c>
      <c r="D2549" s="90" t="s">
        <v>719</v>
      </c>
      <c r="E2549" s="102" t="s">
        <v>11</v>
      </c>
      <c r="F2549" s="103" t="s">
        <v>32</v>
      </c>
      <c r="G2549" s="93">
        <v>3512.21</v>
      </c>
      <c r="H2549" s="93">
        <v>29908.95</v>
      </c>
      <c r="I2549" s="93">
        <v>2397.5457928860201</v>
      </c>
      <c r="J2549" s="93">
        <v>328516.76</v>
      </c>
      <c r="K2549" s="93">
        <v>83604.13</v>
      </c>
      <c r="L2549" s="93">
        <v>41800.26</v>
      </c>
      <c r="M2549" s="93">
        <v>609521.87</v>
      </c>
      <c r="N2549" s="95">
        <v>0.01</v>
      </c>
      <c r="O2549" s="95">
        <v>0.05</v>
      </c>
      <c r="P2549" s="95">
        <v>0.22</v>
      </c>
      <c r="Q2549" s="95">
        <v>0.57999999999999996</v>
      </c>
      <c r="R2549" s="104">
        <v>0.15</v>
      </c>
    </row>
    <row r="2550" spans="1:18" ht="15" hidden="1" customHeight="1" x14ac:dyDescent="0.3">
      <c r="A2550" s="101">
        <v>2024</v>
      </c>
      <c r="B2550" s="90">
        <v>3</v>
      </c>
      <c r="C2550" s="90" t="s">
        <v>724</v>
      </c>
      <c r="D2550" s="90" t="s">
        <v>719</v>
      </c>
      <c r="E2550" s="102" t="s">
        <v>11</v>
      </c>
      <c r="F2550" s="103" t="s">
        <v>33</v>
      </c>
      <c r="G2550" s="93">
        <v>226199.47</v>
      </c>
      <c r="H2550" s="93">
        <v>457131.75</v>
      </c>
      <c r="I2550" s="93">
        <v>2397.5457928860201</v>
      </c>
      <c r="J2550" s="93">
        <v>180739.99</v>
      </c>
      <c r="K2550" s="93">
        <v>15239.63</v>
      </c>
      <c r="L2550" s="93">
        <v>34997.64</v>
      </c>
      <c r="M2550" s="93">
        <v>1352055.51</v>
      </c>
      <c r="N2550" s="95">
        <v>0.17</v>
      </c>
      <c r="O2550" s="95">
        <v>0.35</v>
      </c>
      <c r="P2550" s="95">
        <v>0.33</v>
      </c>
      <c r="Q2550" s="95">
        <v>0.14000000000000001</v>
      </c>
      <c r="R2550" s="104">
        <v>0.01</v>
      </c>
    </row>
    <row r="2551" spans="1:18" ht="15" hidden="1" customHeight="1" x14ac:dyDescent="0.3">
      <c r="A2551" s="101">
        <v>2024</v>
      </c>
      <c r="B2551" s="90">
        <v>3</v>
      </c>
      <c r="C2551" s="90" t="s">
        <v>724</v>
      </c>
      <c r="D2551" s="90" t="s">
        <v>719</v>
      </c>
      <c r="E2551" s="102" t="s">
        <v>11</v>
      </c>
      <c r="F2551" s="103" t="s">
        <v>34</v>
      </c>
      <c r="G2551" s="93">
        <v>28724.01</v>
      </c>
      <c r="H2551" s="93">
        <v>85871.47</v>
      </c>
      <c r="I2551" s="93">
        <v>2397.5457928860201</v>
      </c>
      <c r="J2551" s="93">
        <v>271423.09000000003</v>
      </c>
      <c r="K2551" s="93">
        <v>25140.34</v>
      </c>
      <c r="L2551" s="93">
        <v>40081.18</v>
      </c>
      <c r="M2551" s="93">
        <v>713628.98</v>
      </c>
      <c r="N2551" s="95">
        <v>0.04</v>
      </c>
      <c r="O2551" s="95">
        <v>0.13</v>
      </c>
      <c r="P2551" s="95">
        <v>0.39</v>
      </c>
      <c r="Q2551" s="95">
        <v>0.4</v>
      </c>
      <c r="R2551" s="104">
        <v>0.04</v>
      </c>
    </row>
    <row r="2552" spans="1:18" ht="15" hidden="1" customHeight="1" x14ac:dyDescent="0.3">
      <c r="A2552" s="101">
        <v>2024</v>
      </c>
      <c r="B2552" s="90">
        <v>3</v>
      </c>
      <c r="C2552" s="90" t="s">
        <v>724</v>
      </c>
      <c r="D2552" s="90" t="s">
        <v>719</v>
      </c>
      <c r="E2552" s="102" t="s">
        <v>11</v>
      </c>
      <c r="F2552" s="103" t="s">
        <v>35</v>
      </c>
      <c r="G2552" s="93">
        <v>2978.58</v>
      </c>
      <c r="H2552" s="93">
        <v>7274.13</v>
      </c>
      <c r="I2552" s="93">
        <v>2397.5457928860201</v>
      </c>
      <c r="J2552" s="93">
        <v>240213.75</v>
      </c>
      <c r="K2552" s="93">
        <v>70836.13</v>
      </c>
      <c r="L2552" s="93">
        <v>237931.2</v>
      </c>
      <c r="M2552" s="93">
        <v>605861.19999999995</v>
      </c>
      <c r="N2552" s="95">
        <v>0.01</v>
      </c>
      <c r="O2552" s="95">
        <v>0.02</v>
      </c>
      <c r="P2552" s="95">
        <v>0.13</v>
      </c>
      <c r="Q2552" s="95">
        <v>0.65</v>
      </c>
      <c r="R2552" s="104">
        <v>0.19</v>
      </c>
    </row>
    <row r="2553" spans="1:18" ht="15" hidden="1" customHeight="1" x14ac:dyDescent="0.3">
      <c r="A2553" s="101">
        <v>2024</v>
      </c>
      <c r="B2553" s="90">
        <v>3</v>
      </c>
      <c r="C2553" s="90" t="s">
        <v>724</v>
      </c>
      <c r="D2553" s="90" t="s">
        <v>719</v>
      </c>
      <c r="E2553" s="102" t="s">
        <v>11</v>
      </c>
      <c r="F2553" s="103" t="s">
        <v>36</v>
      </c>
      <c r="G2553" s="93">
        <v>3585.2</v>
      </c>
      <c r="H2553" s="93">
        <v>14079.06</v>
      </c>
      <c r="I2553" s="93">
        <v>2397.5457928860201</v>
      </c>
      <c r="J2553" s="93">
        <v>121358.99</v>
      </c>
      <c r="K2553" s="93">
        <v>9998.19</v>
      </c>
      <c r="L2553" s="93">
        <v>33017.54</v>
      </c>
      <c r="M2553" s="93">
        <v>258886.74</v>
      </c>
      <c r="N2553" s="95">
        <v>0.02</v>
      </c>
      <c r="O2553" s="95">
        <v>0.06</v>
      </c>
      <c r="P2553" s="95">
        <v>0.34</v>
      </c>
      <c r="Q2553" s="95">
        <v>0.54</v>
      </c>
      <c r="R2553" s="104">
        <v>0.04</v>
      </c>
    </row>
    <row r="2554" spans="1:18" ht="15" hidden="1" customHeight="1" x14ac:dyDescent="0.3">
      <c r="A2554" s="101">
        <v>2024</v>
      </c>
      <c r="B2554" s="90">
        <v>3</v>
      </c>
      <c r="C2554" s="90" t="s">
        <v>724</v>
      </c>
      <c r="D2554" s="90" t="s">
        <v>719</v>
      </c>
      <c r="E2554" s="102" t="s">
        <v>11</v>
      </c>
      <c r="F2554" s="103" t="s">
        <v>37</v>
      </c>
      <c r="G2554" s="93">
        <v>5138.88</v>
      </c>
      <c r="H2554" s="93">
        <v>17077.099999999999</v>
      </c>
      <c r="I2554" s="93">
        <v>2397.5457928860201</v>
      </c>
      <c r="J2554" s="93">
        <v>228087.61</v>
      </c>
      <c r="K2554" s="93">
        <v>40688.46</v>
      </c>
      <c r="L2554" s="93">
        <v>0</v>
      </c>
      <c r="M2554" s="93">
        <v>381552.66</v>
      </c>
      <c r="N2554" s="95">
        <v>0.01</v>
      </c>
      <c r="O2554" s="95">
        <v>0.04</v>
      </c>
      <c r="P2554" s="95">
        <v>0.24</v>
      </c>
      <c r="Q2554" s="95">
        <v>0.6</v>
      </c>
      <c r="R2554" s="104">
        <v>0.11</v>
      </c>
    </row>
    <row r="2555" spans="1:18" ht="15" hidden="1" customHeight="1" x14ac:dyDescent="0.3">
      <c r="A2555" s="101">
        <v>2024</v>
      </c>
      <c r="B2555" s="90">
        <v>3</v>
      </c>
      <c r="C2555" s="90" t="s">
        <v>724</v>
      </c>
      <c r="D2555" s="90" t="s">
        <v>719</v>
      </c>
      <c r="E2555" s="102" t="s">
        <v>11</v>
      </c>
      <c r="F2555" s="103" t="s">
        <v>38</v>
      </c>
      <c r="G2555" s="93">
        <v>18620.490000000002</v>
      </c>
      <c r="H2555" s="93">
        <v>17087.2</v>
      </c>
      <c r="I2555" s="93">
        <v>2397.5457928860201</v>
      </c>
      <c r="J2555" s="93">
        <v>392080.97</v>
      </c>
      <c r="K2555" s="93">
        <v>263152.52</v>
      </c>
      <c r="L2555" s="93">
        <v>0</v>
      </c>
      <c r="M2555" s="93">
        <v>766332.17</v>
      </c>
      <c r="N2555" s="95">
        <v>0.02</v>
      </c>
      <c r="O2555" s="95">
        <v>0.02</v>
      </c>
      <c r="P2555" s="95">
        <v>0.1</v>
      </c>
      <c r="Q2555" s="95">
        <v>0.51</v>
      </c>
      <c r="R2555" s="104">
        <v>0.34</v>
      </c>
    </row>
    <row r="2556" spans="1:18" ht="15" hidden="1" customHeight="1" x14ac:dyDescent="0.3">
      <c r="A2556" s="101">
        <v>2024</v>
      </c>
      <c r="B2556" s="90">
        <v>3</v>
      </c>
      <c r="C2556" s="90" t="s">
        <v>724</v>
      </c>
      <c r="D2556" s="90" t="s">
        <v>719</v>
      </c>
      <c r="E2556" s="102" t="s">
        <v>11</v>
      </c>
      <c r="F2556" s="103" t="s">
        <v>39</v>
      </c>
      <c r="G2556" s="93">
        <v>1366.59</v>
      </c>
      <c r="H2556" s="93">
        <v>39769.24</v>
      </c>
      <c r="I2556" s="93">
        <v>2397.5457928860201</v>
      </c>
      <c r="J2556" s="93">
        <v>146610.62</v>
      </c>
      <c r="K2556" s="93">
        <v>15409.32</v>
      </c>
      <c r="L2556" s="93">
        <v>71847.95</v>
      </c>
      <c r="M2556" s="93">
        <v>391151.09</v>
      </c>
      <c r="N2556" s="95">
        <v>0</v>
      </c>
      <c r="O2556" s="95">
        <v>0.12</v>
      </c>
      <c r="P2556" s="95">
        <v>0.36</v>
      </c>
      <c r="Q2556" s="95">
        <v>0.46</v>
      </c>
      <c r="R2556" s="104">
        <v>0.05</v>
      </c>
    </row>
    <row r="2557" spans="1:18" ht="15" hidden="1" customHeight="1" x14ac:dyDescent="0.3">
      <c r="A2557" s="101">
        <v>2024</v>
      </c>
      <c r="B2557" s="90">
        <v>3</v>
      </c>
      <c r="C2557" s="90" t="s">
        <v>724</v>
      </c>
      <c r="D2557" s="90" t="s">
        <v>719</v>
      </c>
      <c r="E2557" s="102" t="s">
        <v>11</v>
      </c>
      <c r="F2557" s="103" t="s">
        <v>40</v>
      </c>
      <c r="G2557" s="93">
        <v>7304.51</v>
      </c>
      <c r="H2557" s="93">
        <v>23473.33</v>
      </c>
      <c r="I2557" s="93">
        <v>2397.5457928860201</v>
      </c>
      <c r="J2557" s="93">
        <v>165731.63</v>
      </c>
      <c r="K2557" s="93">
        <v>46592.58</v>
      </c>
      <c r="L2557" s="93">
        <v>856969.35</v>
      </c>
      <c r="M2557" s="93">
        <v>1177119.95</v>
      </c>
      <c r="N2557" s="95">
        <v>0.02</v>
      </c>
      <c r="O2557" s="95">
        <v>7.0000000000000007E-2</v>
      </c>
      <c r="P2557" s="95">
        <v>0.24</v>
      </c>
      <c r="Q2557" s="95">
        <v>0.52</v>
      </c>
      <c r="R2557" s="104">
        <v>0.15</v>
      </c>
    </row>
    <row r="2558" spans="1:18" ht="15" hidden="1" customHeight="1" x14ac:dyDescent="0.3">
      <c r="A2558" s="101">
        <v>2024</v>
      </c>
      <c r="B2558" s="90">
        <v>3</v>
      </c>
      <c r="C2558" s="90" t="s">
        <v>724</v>
      </c>
      <c r="D2558" s="90" t="s">
        <v>719</v>
      </c>
      <c r="E2558" s="102" t="s">
        <v>11</v>
      </c>
      <c r="F2558" s="103" t="s">
        <v>41</v>
      </c>
      <c r="G2558" s="93">
        <v>2800.65</v>
      </c>
      <c r="H2558" s="93">
        <v>8167.39</v>
      </c>
      <c r="I2558" s="93">
        <v>2397.5457928860201</v>
      </c>
      <c r="J2558" s="93">
        <v>1979.69</v>
      </c>
      <c r="K2558" s="93">
        <v>148.72999999999999</v>
      </c>
      <c r="L2558" s="93">
        <v>33402.85</v>
      </c>
      <c r="M2558" s="93">
        <v>51462.16</v>
      </c>
      <c r="N2558" s="95">
        <v>0.16</v>
      </c>
      <c r="O2558" s="95">
        <v>0.45</v>
      </c>
      <c r="P2558" s="95">
        <v>0.27</v>
      </c>
      <c r="Q2558" s="95">
        <v>0.11</v>
      </c>
      <c r="R2558" s="104">
        <v>0.01</v>
      </c>
    </row>
    <row r="2559" spans="1:18" ht="15" hidden="1" customHeight="1" x14ac:dyDescent="0.3">
      <c r="A2559" s="101">
        <v>2024</v>
      </c>
      <c r="B2559" s="90">
        <v>3</v>
      </c>
      <c r="C2559" s="90" t="s">
        <v>724</v>
      </c>
      <c r="D2559" s="90" t="s">
        <v>719</v>
      </c>
      <c r="E2559" s="102" t="s">
        <v>11</v>
      </c>
      <c r="F2559" s="103" t="s">
        <v>42</v>
      </c>
      <c r="G2559" s="93">
        <v>10962.26</v>
      </c>
      <c r="H2559" s="93">
        <v>77137.86</v>
      </c>
      <c r="I2559" s="93">
        <v>2397.5457928860201</v>
      </c>
      <c r="J2559" s="93">
        <v>237915.3</v>
      </c>
      <c r="K2559" s="93">
        <v>115573.42</v>
      </c>
      <c r="L2559" s="93">
        <v>4.78</v>
      </c>
      <c r="M2559" s="93">
        <v>541536.39</v>
      </c>
      <c r="N2559" s="95">
        <v>0.02</v>
      </c>
      <c r="O2559" s="95">
        <v>0.14000000000000001</v>
      </c>
      <c r="P2559" s="95">
        <v>0.18</v>
      </c>
      <c r="Q2559" s="95">
        <v>0.44</v>
      </c>
      <c r="R2559" s="104">
        <v>0.21</v>
      </c>
    </row>
    <row r="2560" spans="1:18" ht="15" hidden="1" customHeight="1" x14ac:dyDescent="0.3">
      <c r="A2560" s="101">
        <v>2024</v>
      </c>
      <c r="B2560" s="90">
        <v>3</v>
      </c>
      <c r="C2560" s="90" t="s">
        <v>724</v>
      </c>
      <c r="D2560" s="90" t="s">
        <v>719</v>
      </c>
      <c r="E2560" s="102" t="s">
        <v>11</v>
      </c>
      <c r="F2560" s="103" t="s">
        <v>43</v>
      </c>
      <c r="G2560" s="93">
        <v>3199.49</v>
      </c>
      <c r="H2560" s="93">
        <v>12464.11</v>
      </c>
      <c r="I2560" s="93">
        <v>2397.5457928860201</v>
      </c>
      <c r="J2560" s="93">
        <v>27205.7</v>
      </c>
      <c r="K2560" s="93">
        <v>4046.11</v>
      </c>
      <c r="L2560" s="93">
        <v>79292.600000000006</v>
      </c>
      <c r="M2560" s="93">
        <v>148008.59</v>
      </c>
      <c r="N2560" s="95">
        <v>0.05</v>
      </c>
      <c r="O2560" s="95">
        <v>0.18</v>
      </c>
      <c r="P2560" s="95">
        <v>0.32</v>
      </c>
      <c r="Q2560" s="95">
        <v>0.4</v>
      </c>
      <c r="R2560" s="104">
        <v>0.06</v>
      </c>
    </row>
    <row r="2561" spans="1:18" ht="15" hidden="1" customHeight="1" x14ac:dyDescent="0.3">
      <c r="A2561" s="101">
        <v>2024</v>
      </c>
      <c r="B2561" s="90">
        <v>3</v>
      </c>
      <c r="C2561" s="90" t="s">
        <v>724</v>
      </c>
      <c r="D2561" s="90" t="s">
        <v>719</v>
      </c>
      <c r="E2561" s="102" t="s">
        <v>11</v>
      </c>
      <c r="F2561" s="103" t="s">
        <v>58</v>
      </c>
      <c r="G2561" s="93">
        <v>913.16</v>
      </c>
      <c r="H2561" s="93">
        <v>3930.15</v>
      </c>
      <c r="I2561" s="93">
        <v>2397.5457928860201</v>
      </c>
      <c r="J2561" s="93">
        <v>218640.11</v>
      </c>
      <c r="K2561" s="93">
        <v>105360.75</v>
      </c>
      <c r="L2561" s="93">
        <v>82.45</v>
      </c>
      <c r="M2561" s="93">
        <v>367449.21</v>
      </c>
      <c r="N2561" s="95">
        <v>0</v>
      </c>
      <c r="O2561" s="95">
        <v>0.01</v>
      </c>
      <c r="P2561" s="95">
        <v>0.1</v>
      </c>
      <c r="Q2561" s="95">
        <v>0.6</v>
      </c>
      <c r="R2561" s="104">
        <v>0.28999999999999998</v>
      </c>
    </row>
    <row r="2562" spans="1:18" ht="15" hidden="1" customHeight="1" x14ac:dyDescent="0.3">
      <c r="A2562" s="101">
        <v>2024</v>
      </c>
      <c r="B2562" s="90">
        <v>3</v>
      </c>
      <c r="C2562" s="90" t="s">
        <v>724</v>
      </c>
      <c r="D2562" s="90" t="s">
        <v>719</v>
      </c>
      <c r="E2562" s="102" t="s">
        <v>11</v>
      </c>
      <c r="F2562" s="103" t="s">
        <v>44</v>
      </c>
      <c r="G2562" s="93">
        <v>3657.26</v>
      </c>
      <c r="H2562" s="93">
        <v>7500.64</v>
      </c>
      <c r="I2562" s="93">
        <v>2397.5457928860201</v>
      </c>
      <c r="J2562" s="93">
        <v>103517.06</v>
      </c>
      <c r="K2562" s="93">
        <v>13852.11</v>
      </c>
      <c r="L2562" s="93">
        <v>83124.59</v>
      </c>
      <c r="M2562" s="93">
        <v>256431.25</v>
      </c>
      <c r="N2562" s="95">
        <v>0.02</v>
      </c>
      <c r="O2562" s="95">
        <v>0.04</v>
      </c>
      <c r="P2562" s="95">
        <v>0.26</v>
      </c>
      <c r="Q2562" s="95">
        <v>0.6</v>
      </c>
      <c r="R2562" s="104">
        <v>0.08</v>
      </c>
    </row>
    <row r="2563" spans="1:18" ht="15" hidden="1" customHeight="1" x14ac:dyDescent="0.3">
      <c r="A2563" s="101">
        <v>2024</v>
      </c>
      <c r="B2563" s="90">
        <v>3</v>
      </c>
      <c r="C2563" s="90" t="s">
        <v>724</v>
      </c>
      <c r="D2563" s="90" t="s">
        <v>719</v>
      </c>
      <c r="E2563" s="102" t="s">
        <v>11</v>
      </c>
      <c r="F2563" s="103" t="s">
        <v>51</v>
      </c>
      <c r="G2563" s="93">
        <v>9243.0300000000007</v>
      </c>
      <c r="H2563" s="93">
        <v>51862.65</v>
      </c>
      <c r="I2563" s="93">
        <v>2397.5457928860201</v>
      </c>
      <c r="J2563" s="93">
        <v>44211.21</v>
      </c>
      <c r="K2563" s="93">
        <v>9988.0300000000007</v>
      </c>
      <c r="L2563" s="93">
        <v>71779.05</v>
      </c>
      <c r="M2563" s="93">
        <v>282602.87</v>
      </c>
      <c r="N2563" s="95">
        <v>0.04</v>
      </c>
      <c r="O2563" s="95">
        <v>0.25</v>
      </c>
      <c r="P2563" s="95">
        <v>0.45</v>
      </c>
      <c r="Q2563" s="95">
        <v>0.21</v>
      </c>
      <c r="R2563" s="104">
        <v>0.05</v>
      </c>
    </row>
    <row r="2564" spans="1:18" ht="15" hidden="1" customHeight="1" x14ac:dyDescent="0.3">
      <c r="A2564" s="101">
        <v>2024</v>
      </c>
      <c r="B2564" s="90">
        <v>3</v>
      </c>
      <c r="C2564" s="90" t="s">
        <v>724</v>
      </c>
      <c r="D2564" s="90" t="s">
        <v>719</v>
      </c>
      <c r="E2564" s="102" t="s">
        <v>11</v>
      </c>
      <c r="F2564" s="103" t="s">
        <v>45</v>
      </c>
      <c r="G2564" s="93">
        <v>3179.17</v>
      </c>
      <c r="H2564" s="93">
        <v>6530.34</v>
      </c>
      <c r="I2564" s="93">
        <v>2397.5457928860201</v>
      </c>
      <c r="J2564" s="93">
        <v>41742.629999999997</v>
      </c>
      <c r="K2564" s="93">
        <v>16431.63</v>
      </c>
      <c r="L2564" s="93">
        <v>1558281.91</v>
      </c>
      <c r="M2564" s="93">
        <v>1642883.31</v>
      </c>
      <c r="N2564" s="95">
        <v>0.04</v>
      </c>
      <c r="O2564" s="95">
        <v>0.08</v>
      </c>
      <c r="P2564" s="95">
        <v>0.2</v>
      </c>
      <c r="Q2564" s="95">
        <v>0.49</v>
      </c>
      <c r="R2564" s="104">
        <v>0.19</v>
      </c>
    </row>
    <row r="2565" spans="1:18" ht="15" hidden="1" customHeight="1" x14ac:dyDescent="0.3">
      <c r="A2565" s="101">
        <v>2024</v>
      </c>
      <c r="B2565" s="90">
        <v>3</v>
      </c>
      <c r="C2565" s="90" t="s">
        <v>724</v>
      </c>
      <c r="D2565" s="90" t="s">
        <v>719</v>
      </c>
      <c r="E2565" s="102" t="s">
        <v>11</v>
      </c>
      <c r="F2565" s="103" t="s">
        <v>721</v>
      </c>
      <c r="G2565" s="93">
        <v>5082.07</v>
      </c>
      <c r="H2565" s="93">
        <v>19105.82</v>
      </c>
      <c r="I2565" s="93">
        <v>2397.5457928860201</v>
      </c>
      <c r="J2565" s="93">
        <v>157611.43</v>
      </c>
      <c r="K2565" s="93">
        <v>55660.79</v>
      </c>
      <c r="L2565" s="93">
        <v>282309.86</v>
      </c>
      <c r="M2565" s="93">
        <v>591636.16</v>
      </c>
      <c r="N2565" s="95">
        <v>0.02</v>
      </c>
      <c r="O2565" s="95">
        <v>0.06</v>
      </c>
      <c r="P2565" s="95">
        <v>0.23</v>
      </c>
      <c r="Q2565" s="95">
        <v>0.51</v>
      </c>
      <c r="R2565" s="104">
        <v>0.18</v>
      </c>
    </row>
    <row r="2566" spans="1:18" ht="15" hidden="1" customHeight="1" x14ac:dyDescent="0.3">
      <c r="A2566" s="101">
        <v>2024</v>
      </c>
      <c r="B2566" s="90">
        <v>3</v>
      </c>
      <c r="C2566" s="90" t="s">
        <v>724</v>
      </c>
      <c r="D2566" s="90" t="s">
        <v>719</v>
      </c>
      <c r="E2566" s="102" t="s">
        <v>11</v>
      </c>
      <c r="F2566" s="103" t="s">
        <v>46</v>
      </c>
      <c r="G2566" s="93">
        <v>21632.27</v>
      </c>
      <c r="H2566" s="93">
        <v>64459.13</v>
      </c>
      <c r="I2566" s="93">
        <v>2397.5457928860201</v>
      </c>
      <c r="J2566" s="93">
        <v>16459.64</v>
      </c>
      <c r="K2566" s="93">
        <v>5179.3500000000004</v>
      </c>
      <c r="L2566" s="93">
        <v>1150.54</v>
      </c>
      <c r="M2566" s="93">
        <v>149678.76999999999</v>
      </c>
      <c r="N2566" s="95">
        <v>0.15</v>
      </c>
      <c r="O2566" s="95">
        <v>0.43</v>
      </c>
      <c r="P2566" s="95">
        <v>0.27</v>
      </c>
      <c r="Q2566" s="95">
        <v>0.11</v>
      </c>
      <c r="R2566" s="104">
        <v>0.03</v>
      </c>
    </row>
    <row r="2567" spans="1:18" ht="15" hidden="1" customHeight="1" x14ac:dyDescent="0.3">
      <c r="A2567" s="101">
        <v>2024</v>
      </c>
      <c r="B2567" s="90">
        <v>3</v>
      </c>
      <c r="C2567" s="90" t="s">
        <v>724</v>
      </c>
      <c r="D2567" s="90" t="s">
        <v>719</v>
      </c>
      <c r="E2567" s="102" t="s">
        <v>11</v>
      </c>
      <c r="F2567" s="103" t="s">
        <v>47</v>
      </c>
      <c r="G2567" s="93">
        <v>44007.27</v>
      </c>
      <c r="H2567" s="93">
        <v>498506.48</v>
      </c>
      <c r="I2567" s="93">
        <v>2397.5457928860201</v>
      </c>
      <c r="J2567" s="93">
        <v>148878.62</v>
      </c>
      <c r="K2567" s="93">
        <v>31105.72</v>
      </c>
      <c r="L2567" s="93">
        <v>1502.52</v>
      </c>
      <c r="M2567" s="93">
        <v>1337867.32</v>
      </c>
      <c r="N2567" s="95">
        <v>0.03</v>
      </c>
      <c r="O2567" s="95">
        <v>0.37</v>
      </c>
      <c r="P2567" s="95">
        <v>0.46</v>
      </c>
      <c r="Q2567" s="95">
        <v>0.11</v>
      </c>
      <c r="R2567" s="104">
        <v>0.02</v>
      </c>
    </row>
    <row r="2568" spans="1:18" ht="15" hidden="1" customHeight="1" x14ac:dyDescent="0.3">
      <c r="A2568" s="101">
        <v>2024</v>
      </c>
      <c r="B2568" s="90">
        <v>3</v>
      </c>
      <c r="C2568" s="90" t="s">
        <v>724</v>
      </c>
      <c r="D2568" s="90" t="s">
        <v>719</v>
      </c>
      <c r="E2568" s="102" t="s">
        <v>11</v>
      </c>
      <c r="F2568" s="103" t="s">
        <v>48</v>
      </c>
      <c r="G2568" s="93">
        <v>598.04</v>
      </c>
      <c r="H2568" s="93">
        <v>1540.66</v>
      </c>
      <c r="I2568" s="93">
        <v>2397.5457928860201</v>
      </c>
      <c r="J2568" s="93">
        <v>68303.53</v>
      </c>
      <c r="K2568" s="93">
        <v>13322.36</v>
      </c>
      <c r="L2568" s="93">
        <v>548.96</v>
      </c>
      <c r="M2568" s="93">
        <v>102068.9</v>
      </c>
      <c r="N2568" s="95">
        <v>0.01</v>
      </c>
      <c r="O2568" s="95">
        <v>0.02</v>
      </c>
      <c r="P2568" s="95">
        <v>0.17</v>
      </c>
      <c r="Q2568" s="95">
        <v>0.67</v>
      </c>
      <c r="R2568" s="104">
        <v>0.13</v>
      </c>
    </row>
    <row r="2569" spans="1:18" ht="15" hidden="1" customHeight="1" x14ac:dyDescent="0.3">
      <c r="A2569" s="101">
        <v>2024</v>
      </c>
      <c r="B2569" s="90">
        <v>3</v>
      </c>
      <c r="C2569" s="90" t="s">
        <v>724</v>
      </c>
      <c r="D2569" s="90" t="s">
        <v>722</v>
      </c>
      <c r="E2569" s="106" t="s">
        <v>11</v>
      </c>
      <c r="F2569" s="108" t="s">
        <v>33</v>
      </c>
      <c r="G2569" s="93">
        <v>406998.67</v>
      </c>
      <c r="H2569" s="93">
        <v>368026.55</v>
      </c>
      <c r="I2569" s="93">
        <v>2397.5457928860201</v>
      </c>
      <c r="J2569" s="93">
        <v>161902.45000000001</v>
      </c>
      <c r="K2569" s="93">
        <v>25370.36</v>
      </c>
      <c r="L2569" s="93">
        <v>7021.35</v>
      </c>
      <c r="M2569" s="93">
        <v>1257797.7</v>
      </c>
      <c r="N2569" s="95">
        <v>0.33</v>
      </c>
      <c r="O2569" s="95">
        <v>0.28999999999999998</v>
      </c>
      <c r="P2569" s="95">
        <v>0.23</v>
      </c>
      <c r="Q2569" s="95">
        <v>0.13</v>
      </c>
      <c r="R2569" s="104">
        <v>0.02</v>
      </c>
    </row>
    <row r="2570" spans="1:18" ht="15" hidden="1" customHeight="1" x14ac:dyDescent="0.3">
      <c r="A2570" s="101">
        <v>2024</v>
      </c>
      <c r="B2570" s="90">
        <v>3</v>
      </c>
      <c r="C2570" s="90" t="s">
        <v>724</v>
      </c>
      <c r="D2570" s="90" t="s">
        <v>722</v>
      </c>
      <c r="E2570" s="106" t="s">
        <v>11</v>
      </c>
      <c r="F2570" s="108" t="s">
        <v>34</v>
      </c>
      <c r="G2570" s="93">
        <v>63320.67</v>
      </c>
      <c r="H2570" s="93">
        <v>158779.57</v>
      </c>
      <c r="I2570" s="93">
        <v>2397.5457928860201</v>
      </c>
      <c r="J2570" s="93">
        <v>148426.03</v>
      </c>
      <c r="K2570" s="93">
        <v>11929.04</v>
      </c>
      <c r="L2570" s="93">
        <v>4051.08</v>
      </c>
      <c r="M2570" s="93">
        <v>658709.99</v>
      </c>
      <c r="N2570" s="95">
        <v>0.1</v>
      </c>
      <c r="O2570" s="95">
        <v>0.24</v>
      </c>
      <c r="P2570" s="95">
        <v>0.42</v>
      </c>
      <c r="Q2570" s="95">
        <v>0.23</v>
      </c>
      <c r="R2570" s="104">
        <v>0.02</v>
      </c>
    </row>
    <row r="2571" spans="1:18" ht="15" hidden="1" customHeight="1" x14ac:dyDescent="0.3">
      <c r="A2571" s="101">
        <v>2024</v>
      </c>
      <c r="B2571" s="90">
        <v>3</v>
      </c>
      <c r="C2571" s="90" t="s">
        <v>724</v>
      </c>
      <c r="D2571" s="90" t="s">
        <v>722</v>
      </c>
      <c r="E2571" s="106" t="s">
        <v>11</v>
      </c>
      <c r="F2571" s="108" t="s">
        <v>35</v>
      </c>
      <c r="G2571" s="93">
        <v>10642.84</v>
      </c>
      <c r="H2571" s="93">
        <v>28197.5</v>
      </c>
      <c r="I2571" s="93">
        <v>2397.5457928860201</v>
      </c>
      <c r="J2571" s="93">
        <v>192781.58</v>
      </c>
      <c r="K2571" s="93">
        <v>27177.17</v>
      </c>
      <c r="L2571" s="93">
        <v>69610.960000000006</v>
      </c>
      <c r="M2571" s="93">
        <v>439264.16</v>
      </c>
      <c r="N2571" s="95">
        <v>0.03</v>
      </c>
      <c r="O2571" s="95">
        <v>0.08</v>
      </c>
      <c r="P2571" s="95">
        <v>0.3</v>
      </c>
      <c r="Q2571" s="95">
        <v>0.52</v>
      </c>
      <c r="R2571" s="104">
        <v>7.0000000000000007E-2</v>
      </c>
    </row>
    <row r="2572" spans="1:18" ht="15" hidden="1" customHeight="1" x14ac:dyDescent="0.3">
      <c r="A2572" s="101">
        <v>2024</v>
      </c>
      <c r="B2572" s="90">
        <v>3</v>
      </c>
      <c r="C2572" s="90" t="s">
        <v>724</v>
      </c>
      <c r="D2572" s="90" t="s">
        <v>722</v>
      </c>
      <c r="E2572" s="106" t="s">
        <v>11</v>
      </c>
      <c r="F2572" s="108" t="s">
        <v>36</v>
      </c>
      <c r="G2572" s="93">
        <v>2865.63</v>
      </c>
      <c r="H2572" s="93">
        <v>12441.23</v>
      </c>
      <c r="I2572" s="93">
        <v>2397.5457928860201</v>
      </c>
      <c r="J2572" s="93">
        <v>99767.9</v>
      </c>
      <c r="K2572" s="93">
        <v>49496.81</v>
      </c>
      <c r="L2572" s="93">
        <v>72445.759999999995</v>
      </c>
      <c r="M2572" s="93">
        <v>298038.77</v>
      </c>
      <c r="N2572" s="95">
        <v>0.01</v>
      </c>
      <c r="O2572" s="95">
        <v>0.06</v>
      </c>
      <c r="P2572" s="95">
        <v>0.27</v>
      </c>
      <c r="Q2572" s="95">
        <v>0.44</v>
      </c>
      <c r="R2572" s="104">
        <v>0.22</v>
      </c>
    </row>
    <row r="2573" spans="1:18" ht="15" hidden="1" customHeight="1" x14ac:dyDescent="0.3">
      <c r="A2573" s="101">
        <v>2024</v>
      </c>
      <c r="B2573" s="90">
        <v>3</v>
      </c>
      <c r="C2573" s="90" t="s">
        <v>724</v>
      </c>
      <c r="D2573" s="90" t="s">
        <v>722</v>
      </c>
      <c r="E2573" s="106" t="s">
        <v>11</v>
      </c>
      <c r="F2573" s="108" t="s">
        <v>37</v>
      </c>
      <c r="G2573" s="93">
        <v>6218.9</v>
      </c>
      <c r="H2573" s="93">
        <v>22014.98</v>
      </c>
      <c r="I2573" s="93">
        <v>2397.5457928860201</v>
      </c>
      <c r="J2573" s="93">
        <v>193398.09</v>
      </c>
      <c r="K2573" s="93">
        <v>58665.59</v>
      </c>
      <c r="L2573" s="93">
        <v>306920.94</v>
      </c>
      <c r="M2573" s="93">
        <v>687977.15</v>
      </c>
      <c r="N2573" s="95">
        <v>0.02</v>
      </c>
      <c r="O2573" s="95">
        <v>0.06</v>
      </c>
      <c r="P2573" s="95">
        <v>0.26</v>
      </c>
      <c r="Q2573" s="95">
        <v>0.51</v>
      </c>
      <c r="R2573" s="104">
        <v>0.15</v>
      </c>
    </row>
    <row r="2574" spans="1:18" ht="15" hidden="1" customHeight="1" x14ac:dyDescent="0.3">
      <c r="A2574" s="101">
        <v>2024</v>
      </c>
      <c r="B2574" s="90">
        <v>3</v>
      </c>
      <c r="C2574" s="90" t="s">
        <v>724</v>
      </c>
      <c r="D2574" s="90" t="s">
        <v>722</v>
      </c>
      <c r="E2574" s="106" t="s">
        <v>11</v>
      </c>
      <c r="F2574" s="108" t="s">
        <v>720</v>
      </c>
      <c r="G2574" s="93">
        <v>24225.48</v>
      </c>
      <c r="H2574" s="93">
        <v>41319.599999999999</v>
      </c>
      <c r="I2574" s="93">
        <v>2397.5457928860201</v>
      </c>
      <c r="J2574" s="93">
        <v>404367</v>
      </c>
      <c r="K2574" s="93">
        <v>106432.98</v>
      </c>
      <c r="L2574" s="93">
        <v>17084.47</v>
      </c>
      <c r="M2574" s="93">
        <v>772757.69</v>
      </c>
      <c r="N2574" s="95">
        <v>0.03</v>
      </c>
      <c r="O2574" s="95">
        <v>0.05</v>
      </c>
      <c r="P2574" s="95">
        <v>0.24</v>
      </c>
      <c r="Q2574" s="95">
        <v>0.54</v>
      </c>
      <c r="R2574" s="104">
        <v>0.14000000000000001</v>
      </c>
    </row>
    <row r="2575" spans="1:18" ht="15" hidden="1" customHeight="1" x14ac:dyDescent="0.3">
      <c r="A2575" s="101">
        <v>2024</v>
      </c>
      <c r="B2575" s="90">
        <v>3</v>
      </c>
      <c r="C2575" s="90" t="s">
        <v>724</v>
      </c>
      <c r="D2575" s="90" t="s">
        <v>722</v>
      </c>
      <c r="E2575" s="106" t="s">
        <v>11</v>
      </c>
      <c r="F2575" s="108" t="s">
        <v>39</v>
      </c>
      <c r="G2575" s="93">
        <v>4286.8599999999997</v>
      </c>
      <c r="H2575" s="93">
        <v>54348.1</v>
      </c>
      <c r="I2575" s="93">
        <v>2397.5457928860201</v>
      </c>
      <c r="J2575" s="93">
        <v>62064.93</v>
      </c>
      <c r="K2575" s="93">
        <v>1114.77</v>
      </c>
      <c r="L2575" s="93">
        <v>42621.07</v>
      </c>
      <c r="M2575" s="93">
        <v>323925.98</v>
      </c>
      <c r="N2575" s="95">
        <v>0.02</v>
      </c>
      <c r="O2575" s="95">
        <v>0.19</v>
      </c>
      <c r="P2575" s="95">
        <v>0.56999999999999995</v>
      </c>
      <c r="Q2575" s="95">
        <v>0.22</v>
      </c>
      <c r="R2575" s="104">
        <v>0</v>
      </c>
    </row>
    <row r="2576" spans="1:18" ht="15" hidden="1" customHeight="1" x14ac:dyDescent="0.3">
      <c r="A2576" s="101">
        <v>2024</v>
      </c>
      <c r="B2576" s="90">
        <v>3</v>
      </c>
      <c r="C2576" s="90" t="s">
        <v>724</v>
      </c>
      <c r="D2576" s="90" t="s">
        <v>722</v>
      </c>
      <c r="E2576" s="106" t="s">
        <v>11</v>
      </c>
      <c r="F2576" s="108" t="s">
        <v>40</v>
      </c>
      <c r="G2576" s="93">
        <v>12682.73</v>
      </c>
      <c r="H2576" s="93">
        <v>54943.74</v>
      </c>
      <c r="I2576" s="93">
        <v>2397.5457928860201</v>
      </c>
      <c r="J2576" s="93">
        <v>101601.69</v>
      </c>
      <c r="K2576" s="93">
        <v>6804.72</v>
      </c>
      <c r="L2576" s="93">
        <v>42065.69</v>
      </c>
      <c r="M2576" s="93">
        <v>363274.64</v>
      </c>
      <c r="N2576" s="95">
        <v>0.04</v>
      </c>
      <c r="O2576" s="95">
        <v>0.17</v>
      </c>
      <c r="P2576" s="95">
        <v>0.45</v>
      </c>
      <c r="Q2576" s="95">
        <v>0.32</v>
      </c>
      <c r="R2576" s="104">
        <v>0.02</v>
      </c>
    </row>
    <row r="2577" spans="1:18" ht="15" hidden="1" customHeight="1" x14ac:dyDescent="0.3">
      <c r="A2577" s="101">
        <v>2024</v>
      </c>
      <c r="B2577" s="90">
        <v>3</v>
      </c>
      <c r="C2577" s="90" t="s">
        <v>724</v>
      </c>
      <c r="D2577" s="90" t="s">
        <v>722</v>
      </c>
      <c r="E2577" s="106" t="s">
        <v>11</v>
      </c>
      <c r="F2577" s="108" t="s">
        <v>41</v>
      </c>
      <c r="G2577" s="93">
        <v>1855.39</v>
      </c>
      <c r="H2577" s="93">
        <v>6954.52</v>
      </c>
      <c r="I2577" s="93">
        <v>2397.5457928860201</v>
      </c>
      <c r="J2577" s="93">
        <v>3605.7</v>
      </c>
      <c r="K2577" s="93">
        <v>458.43</v>
      </c>
      <c r="L2577" s="93">
        <v>855663.01</v>
      </c>
      <c r="M2577" s="93">
        <v>874355.31</v>
      </c>
      <c r="N2577" s="95">
        <v>0.1</v>
      </c>
      <c r="O2577" s="95">
        <v>0.37</v>
      </c>
      <c r="P2577" s="95">
        <v>0.31</v>
      </c>
      <c r="Q2577" s="95">
        <v>0.19</v>
      </c>
      <c r="R2577" s="104">
        <v>0.02</v>
      </c>
    </row>
    <row r="2578" spans="1:18" ht="15" hidden="1" customHeight="1" x14ac:dyDescent="0.3">
      <c r="A2578" s="101">
        <v>2024</v>
      </c>
      <c r="B2578" s="90">
        <v>3</v>
      </c>
      <c r="C2578" s="90" t="s">
        <v>724</v>
      </c>
      <c r="D2578" s="90" t="s">
        <v>722</v>
      </c>
      <c r="E2578" s="106" t="s">
        <v>11</v>
      </c>
      <c r="F2578" s="108" t="s">
        <v>42</v>
      </c>
      <c r="G2578" s="93">
        <v>33571.910000000003</v>
      </c>
      <c r="H2578" s="93">
        <v>116937.1</v>
      </c>
      <c r="I2578" s="93">
        <v>2397.5457928860201</v>
      </c>
      <c r="J2578" s="93">
        <v>113802.81</v>
      </c>
      <c r="K2578" s="93">
        <v>11928.38</v>
      </c>
      <c r="L2578" s="93">
        <v>7533.04</v>
      </c>
      <c r="M2578" s="93">
        <v>518946.69</v>
      </c>
      <c r="N2578" s="95">
        <v>7.0000000000000007E-2</v>
      </c>
      <c r="O2578" s="95">
        <v>0.23</v>
      </c>
      <c r="P2578" s="95">
        <v>0.46</v>
      </c>
      <c r="Q2578" s="95">
        <v>0.22</v>
      </c>
      <c r="R2578" s="104">
        <v>0.02</v>
      </c>
    </row>
    <row r="2579" spans="1:18" ht="15" hidden="1" customHeight="1" x14ac:dyDescent="0.3">
      <c r="A2579" s="101">
        <v>2024</v>
      </c>
      <c r="B2579" s="90">
        <v>3</v>
      </c>
      <c r="C2579" s="90" t="s">
        <v>724</v>
      </c>
      <c r="D2579" s="90" t="s">
        <v>722</v>
      </c>
      <c r="E2579" s="106" t="s">
        <v>11</v>
      </c>
      <c r="F2579" s="108" t="s">
        <v>43</v>
      </c>
      <c r="G2579" s="93">
        <v>3400.83</v>
      </c>
      <c r="H2579" s="93">
        <v>12867.9</v>
      </c>
      <c r="I2579" s="93">
        <v>2397.5457928860201</v>
      </c>
      <c r="J2579" s="93">
        <v>25131.71</v>
      </c>
      <c r="K2579" s="93">
        <v>4668.3</v>
      </c>
      <c r="L2579" s="93">
        <v>61801.87</v>
      </c>
      <c r="M2579" s="93">
        <v>130545.45</v>
      </c>
      <c r="N2579" s="95">
        <v>0.05</v>
      </c>
      <c r="O2579" s="95">
        <v>0.19</v>
      </c>
      <c r="P2579" s="95">
        <v>0.33</v>
      </c>
      <c r="Q2579" s="95">
        <v>0.37</v>
      </c>
      <c r="R2579" s="104">
        <v>7.0000000000000007E-2</v>
      </c>
    </row>
    <row r="2580" spans="1:18" ht="15" hidden="1" customHeight="1" x14ac:dyDescent="0.3">
      <c r="A2580" s="101">
        <v>2024</v>
      </c>
      <c r="B2580" s="90">
        <v>3</v>
      </c>
      <c r="C2580" s="90" t="s">
        <v>724</v>
      </c>
      <c r="D2580" s="90" t="s">
        <v>722</v>
      </c>
      <c r="E2580" s="106" t="s">
        <v>11</v>
      </c>
      <c r="F2580" s="108" t="s">
        <v>58</v>
      </c>
      <c r="G2580" s="93">
        <v>4817.47</v>
      </c>
      <c r="H2580" s="93">
        <v>45271.02</v>
      </c>
      <c r="I2580" s="93">
        <v>2397.5457928860201</v>
      </c>
      <c r="J2580" s="93">
        <v>137597.88</v>
      </c>
      <c r="K2580" s="93">
        <v>7840.13</v>
      </c>
      <c r="L2580" s="93">
        <v>999.53</v>
      </c>
      <c r="M2580" s="93">
        <v>368394.21</v>
      </c>
      <c r="N2580" s="95">
        <v>0.01</v>
      </c>
      <c r="O2580" s="95">
        <v>0.12</v>
      </c>
      <c r="P2580" s="95">
        <v>0.47</v>
      </c>
      <c r="Q2580" s="95">
        <v>0.37</v>
      </c>
      <c r="R2580" s="104">
        <v>0.02</v>
      </c>
    </row>
    <row r="2581" spans="1:18" ht="15" hidden="1" customHeight="1" x14ac:dyDescent="0.3">
      <c r="A2581" s="101">
        <v>2024</v>
      </c>
      <c r="B2581" s="90">
        <v>3</v>
      </c>
      <c r="C2581" s="90" t="s">
        <v>724</v>
      </c>
      <c r="D2581" s="90" t="s">
        <v>722</v>
      </c>
      <c r="E2581" s="106" t="s">
        <v>11</v>
      </c>
      <c r="F2581" s="108" t="s">
        <v>44</v>
      </c>
      <c r="G2581" s="93">
        <v>4063.28</v>
      </c>
      <c r="H2581" s="93">
        <v>5560.83</v>
      </c>
      <c r="I2581" s="93">
        <v>2397.5457928860201</v>
      </c>
      <c r="J2581" s="93">
        <v>86244</v>
      </c>
      <c r="K2581" s="93">
        <v>46223.72</v>
      </c>
      <c r="L2581" s="93">
        <v>47349.67</v>
      </c>
      <c r="M2581" s="93">
        <v>218182.63</v>
      </c>
      <c r="N2581" s="95">
        <v>0.02</v>
      </c>
      <c r="O2581" s="95">
        <v>0.03</v>
      </c>
      <c r="P2581" s="95">
        <v>0.17</v>
      </c>
      <c r="Q2581" s="95">
        <v>0.5</v>
      </c>
      <c r="R2581" s="104">
        <v>0.27</v>
      </c>
    </row>
    <row r="2582" spans="1:18" ht="15" hidden="1" customHeight="1" x14ac:dyDescent="0.3">
      <c r="A2582" s="101">
        <v>2024</v>
      </c>
      <c r="B2582" s="90">
        <v>3</v>
      </c>
      <c r="C2582" s="90" t="s">
        <v>724</v>
      </c>
      <c r="D2582" s="90" t="s">
        <v>722</v>
      </c>
      <c r="E2582" s="106" t="s">
        <v>11</v>
      </c>
      <c r="F2582" s="108" t="s">
        <v>45</v>
      </c>
      <c r="G2582" s="93">
        <v>6750.9</v>
      </c>
      <c r="H2582" s="93">
        <v>17377.330000000002</v>
      </c>
      <c r="I2582" s="93">
        <v>2397.5457928860201</v>
      </c>
      <c r="J2582" s="93">
        <v>23242.28</v>
      </c>
      <c r="K2582" s="93">
        <v>2336.4899999999998</v>
      </c>
      <c r="L2582" s="93">
        <v>27602.73</v>
      </c>
      <c r="M2582" s="93">
        <v>110883.47</v>
      </c>
      <c r="N2582" s="95">
        <v>0.08</v>
      </c>
      <c r="O2582" s="95">
        <v>0.21</v>
      </c>
      <c r="P2582" s="95">
        <v>0.4</v>
      </c>
      <c r="Q2582" s="95">
        <v>0.28000000000000003</v>
      </c>
      <c r="R2582" s="104">
        <v>0.03</v>
      </c>
    </row>
    <row r="2583" spans="1:18" ht="15" hidden="1" customHeight="1" x14ac:dyDescent="0.3">
      <c r="A2583" s="101">
        <v>2024</v>
      </c>
      <c r="B2583" s="90">
        <v>3</v>
      </c>
      <c r="C2583" s="90" t="s">
        <v>724</v>
      </c>
      <c r="D2583" s="90" t="s">
        <v>722</v>
      </c>
      <c r="E2583" s="106" t="s">
        <v>11</v>
      </c>
      <c r="F2583" s="108" t="s">
        <v>721</v>
      </c>
      <c r="G2583" s="93">
        <v>8067.86</v>
      </c>
      <c r="H2583" s="93">
        <v>31122.59</v>
      </c>
      <c r="I2583" s="93">
        <v>2397.5457928860201</v>
      </c>
      <c r="J2583" s="93">
        <v>141312.53</v>
      </c>
      <c r="K2583" s="93">
        <v>15986.01</v>
      </c>
      <c r="L2583" s="93">
        <v>587618.68000000005</v>
      </c>
      <c r="M2583" s="93">
        <v>896902.86</v>
      </c>
      <c r="N2583" s="95">
        <v>0.03</v>
      </c>
      <c r="O2583" s="95">
        <v>0.1</v>
      </c>
      <c r="P2583" s="95">
        <v>0.36</v>
      </c>
      <c r="Q2583" s="95">
        <v>0.46</v>
      </c>
      <c r="R2583" s="104">
        <v>0.05</v>
      </c>
    </row>
    <row r="2584" spans="1:18" ht="15" hidden="1" customHeight="1" x14ac:dyDescent="0.3">
      <c r="A2584" s="101">
        <v>2024</v>
      </c>
      <c r="B2584" s="90">
        <v>3</v>
      </c>
      <c r="C2584" s="90" t="s">
        <v>724</v>
      </c>
      <c r="D2584" s="90" t="s">
        <v>722</v>
      </c>
      <c r="E2584" s="106" t="s">
        <v>11</v>
      </c>
      <c r="F2584" s="108" t="s">
        <v>46</v>
      </c>
      <c r="G2584" s="93">
        <v>35008.57</v>
      </c>
      <c r="H2584" s="93">
        <v>73616.63</v>
      </c>
      <c r="I2584" s="93">
        <v>2397.5457928860201</v>
      </c>
      <c r="J2584" s="93">
        <v>10978.84</v>
      </c>
      <c r="K2584" s="93">
        <v>2908.05</v>
      </c>
      <c r="L2584" s="93">
        <v>787.57</v>
      </c>
      <c r="M2584" s="93">
        <v>149030.25</v>
      </c>
      <c r="N2584" s="95">
        <v>0.24</v>
      </c>
      <c r="O2584" s="95">
        <v>0.5</v>
      </c>
      <c r="P2584" s="95">
        <v>0.17</v>
      </c>
      <c r="Q2584" s="95">
        <v>7.0000000000000007E-2</v>
      </c>
      <c r="R2584" s="104">
        <v>0.02</v>
      </c>
    </row>
    <row r="2585" spans="1:18" ht="15" hidden="1" customHeight="1" x14ac:dyDescent="0.3">
      <c r="A2585" s="101">
        <v>2024</v>
      </c>
      <c r="B2585" s="90">
        <v>3</v>
      </c>
      <c r="C2585" s="90" t="s">
        <v>724</v>
      </c>
      <c r="D2585" s="90" t="s">
        <v>722</v>
      </c>
      <c r="E2585" s="102" t="s">
        <v>11</v>
      </c>
      <c r="F2585" s="108" t="s">
        <v>47</v>
      </c>
      <c r="G2585" s="93">
        <v>50379.79</v>
      </c>
      <c r="H2585" s="93">
        <v>430158.9</v>
      </c>
      <c r="I2585" s="93">
        <v>636564.12</v>
      </c>
      <c r="J2585" s="93">
        <v>205420.08</v>
      </c>
      <c r="K2585" s="93">
        <v>38958.629999999997</v>
      </c>
      <c r="L2585" s="93">
        <v>50482.05</v>
      </c>
      <c r="M2585" s="93">
        <v>1411963.56</v>
      </c>
      <c r="N2585" s="95">
        <v>0.04</v>
      </c>
      <c r="O2585" s="95">
        <v>0.32</v>
      </c>
      <c r="P2585" s="95">
        <v>0.47</v>
      </c>
      <c r="Q2585" s="95">
        <v>0.15</v>
      </c>
      <c r="R2585" s="104">
        <v>0.03</v>
      </c>
    </row>
    <row r="2586" spans="1:18" ht="15" hidden="1" customHeight="1" x14ac:dyDescent="0.3">
      <c r="A2586" s="101">
        <v>2024</v>
      </c>
      <c r="B2586" s="90">
        <v>3</v>
      </c>
      <c r="C2586" s="90" t="s">
        <v>724</v>
      </c>
      <c r="D2586" s="90" t="s">
        <v>722</v>
      </c>
      <c r="E2586" s="102" t="s">
        <v>11</v>
      </c>
      <c r="F2586" s="108" t="s">
        <v>48</v>
      </c>
      <c r="G2586" s="93">
        <v>2874.47</v>
      </c>
      <c r="H2586" s="93">
        <v>10032.43</v>
      </c>
      <c r="I2586" s="93">
        <v>43363.99</v>
      </c>
      <c r="J2586" s="93">
        <v>41352.1</v>
      </c>
      <c r="K2586" s="93">
        <v>1378.32</v>
      </c>
      <c r="L2586" s="93">
        <v>26332.080000000002</v>
      </c>
      <c r="M2586" s="93">
        <v>125333.39</v>
      </c>
      <c r="N2586" s="95">
        <v>0.03</v>
      </c>
      <c r="O2586" s="95">
        <v>0.1</v>
      </c>
      <c r="P2586" s="95">
        <v>0.44</v>
      </c>
      <c r="Q2586" s="95">
        <v>0.42</v>
      </c>
      <c r="R2586" s="104">
        <v>0.01</v>
      </c>
    </row>
    <row r="2587" spans="1:18" ht="15" hidden="1" customHeight="1" x14ac:dyDescent="0.3">
      <c r="A2587" s="101">
        <v>2024</v>
      </c>
      <c r="B2587" s="90">
        <v>4</v>
      </c>
      <c r="C2587" s="90" t="s">
        <v>725</v>
      </c>
      <c r="D2587" s="90" t="s">
        <v>719</v>
      </c>
      <c r="E2587" s="102" t="s">
        <v>11</v>
      </c>
      <c r="F2587" s="103" t="s">
        <v>12</v>
      </c>
      <c r="G2587" s="93">
        <v>12590.14</v>
      </c>
      <c r="H2587" s="93">
        <v>32063.48</v>
      </c>
      <c r="I2587" s="93">
        <v>2397.5457928860201</v>
      </c>
      <c r="J2587" s="93">
        <v>199846.95</v>
      </c>
      <c r="K2587" s="93">
        <v>27858.28</v>
      </c>
      <c r="L2587" s="93">
        <v>341.38</v>
      </c>
      <c r="M2587" s="93">
        <v>383716.69</v>
      </c>
      <c r="N2587" s="95">
        <v>0.03</v>
      </c>
      <c r="O2587" s="95">
        <v>0.08</v>
      </c>
      <c r="P2587" s="95">
        <v>0.28999999999999998</v>
      </c>
      <c r="Q2587" s="95">
        <v>0.52</v>
      </c>
      <c r="R2587" s="104">
        <v>7.0000000000000007E-2</v>
      </c>
    </row>
    <row r="2588" spans="1:18" ht="15" hidden="1" customHeight="1" x14ac:dyDescent="0.3">
      <c r="A2588" s="101">
        <v>2024</v>
      </c>
      <c r="B2588" s="90">
        <v>4</v>
      </c>
      <c r="C2588" s="90" t="s">
        <v>725</v>
      </c>
      <c r="D2588" s="90" t="s">
        <v>719</v>
      </c>
      <c r="E2588" s="102" t="s">
        <v>11</v>
      </c>
      <c r="F2588" s="103" t="s">
        <v>26</v>
      </c>
      <c r="G2588" s="93">
        <v>155662.85999999999</v>
      </c>
      <c r="H2588" s="93">
        <v>225341.57</v>
      </c>
      <c r="I2588" s="93">
        <v>2397.5457928860201</v>
      </c>
      <c r="J2588" s="93">
        <v>228546.9</v>
      </c>
      <c r="K2588" s="93">
        <v>8811.33</v>
      </c>
      <c r="L2588" s="93">
        <v>830.74</v>
      </c>
      <c r="M2588" s="93">
        <v>1046453.08</v>
      </c>
      <c r="N2588" s="95">
        <v>0.15</v>
      </c>
      <c r="O2588" s="95">
        <v>0.22</v>
      </c>
      <c r="P2588" s="95">
        <v>0.41</v>
      </c>
      <c r="Q2588" s="95">
        <v>0.22</v>
      </c>
      <c r="R2588" s="104">
        <v>0.01</v>
      </c>
    </row>
    <row r="2589" spans="1:18" ht="15" hidden="1" customHeight="1" x14ac:dyDescent="0.3">
      <c r="A2589" s="101">
        <v>2024</v>
      </c>
      <c r="B2589" s="90">
        <v>4</v>
      </c>
      <c r="C2589" s="90" t="s">
        <v>725</v>
      </c>
      <c r="D2589" s="90" t="s">
        <v>719</v>
      </c>
      <c r="E2589" s="102" t="s">
        <v>11</v>
      </c>
      <c r="F2589" s="103" t="s">
        <v>27</v>
      </c>
      <c r="G2589" s="93">
        <v>1584.86</v>
      </c>
      <c r="H2589" s="93">
        <v>24209.51</v>
      </c>
      <c r="I2589" s="93">
        <v>2397.5457928860201</v>
      </c>
      <c r="J2589" s="93">
        <v>79601.679999999993</v>
      </c>
      <c r="K2589" s="93">
        <v>5164.8599999999997</v>
      </c>
      <c r="L2589" s="93">
        <v>184749.59</v>
      </c>
      <c r="M2589" s="93">
        <v>379106.23</v>
      </c>
      <c r="N2589" s="95">
        <v>0.01</v>
      </c>
      <c r="O2589" s="95">
        <v>0.12</v>
      </c>
      <c r="P2589" s="95">
        <v>0.43</v>
      </c>
      <c r="Q2589" s="95">
        <v>0.41</v>
      </c>
      <c r="R2589" s="104">
        <v>0.03</v>
      </c>
    </row>
    <row r="2590" spans="1:18" ht="15" hidden="1" customHeight="1" x14ac:dyDescent="0.3">
      <c r="A2590" s="101">
        <v>2024</v>
      </c>
      <c r="B2590" s="90">
        <v>4</v>
      </c>
      <c r="C2590" s="90" t="s">
        <v>725</v>
      </c>
      <c r="D2590" s="90" t="s">
        <v>719</v>
      </c>
      <c r="E2590" s="102" t="s">
        <v>11</v>
      </c>
      <c r="F2590" s="103" t="s">
        <v>28</v>
      </c>
      <c r="G2590" s="93">
        <v>4069.1</v>
      </c>
      <c r="H2590" s="93">
        <v>11596.48</v>
      </c>
      <c r="I2590" s="93">
        <v>2397.5457928860201</v>
      </c>
      <c r="J2590" s="93">
        <v>195004.32</v>
      </c>
      <c r="K2590" s="93">
        <v>90253.63</v>
      </c>
      <c r="L2590" s="93">
        <v>86179.12</v>
      </c>
      <c r="M2590" s="93">
        <v>435177.31</v>
      </c>
      <c r="N2590" s="95">
        <v>0.01</v>
      </c>
      <c r="O2590" s="95">
        <v>0.03</v>
      </c>
      <c r="P2590" s="95">
        <v>0.14000000000000001</v>
      </c>
      <c r="Q2590" s="95">
        <v>0.56000000000000005</v>
      </c>
      <c r="R2590" s="104">
        <v>0.26</v>
      </c>
    </row>
    <row r="2591" spans="1:18" ht="15" customHeight="1" x14ac:dyDescent="0.3">
      <c r="A2591" s="101">
        <v>2024</v>
      </c>
      <c r="B2591" s="90">
        <v>4</v>
      </c>
      <c r="C2591" s="90" t="s">
        <v>725</v>
      </c>
      <c r="D2591" s="90" t="s">
        <v>719</v>
      </c>
      <c r="E2591" s="102" t="s">
        <v>11</v>
      </c>
      <c r="F2591" s="103" t="s">
        <v>29</v>
      </c>
      <c r="G2591" s="93">
        <v>16598.05</v>
      </c>
      <c r="H2591" s="93">
        <v>57150.31</v>
      </c>
      <c r="I2591" s="93">
        <v>2397.5457928860201</v>
      </c>
      <c r="J2591" s="93">
        <v>90018.1</v>
      </c>
      <c r="K2591" s="93">
        <v>6907.26</v>
      </c>
      <c r="L2591" s="93">
        <v>16753.04</v>
      </c>
      <c r="M2591" s="93">
        <v>309184.58</v>
      </c>
      <c r="N2591" s="95">
        <v>0.06</v>
      </c>
      <c r="O2591" s="95">
        <v>0.2</v>
      </c>
      <c r="P2591" s="95">
        <v>0.42</v>
      </c>
      <c r="Q2591" s="95">
        <v>0.31</v>
      </c>
      <c r="R2591" s="104">
        <v>0.02</v>
      </c>
    </row>
    <row r="2592" spans="1:18" ht="15" hidden="1" customHeight="1" x14ac:dyDescent="0.3">
      <c r="A2592" s="101">
        <v>2024</v>
      </c>
      <c r="B2592" s="90">
        <v>4</v>
      </c>
      <c r="C2592" s="90" t="s">
        <v>725</v>
      </c>
      <c r="D2592" s="90" t="s">
        <v>719</v>
      </c>
      <c r="E2592" s="102" t="s">
        <v>11</v>
      </c>
      <c r="F2592" s="103" t="s">
        <v>30</v>
      </c>
      <c r="G2592" s="93">
        <v>375.54</v>
      </c>
      <c r="H2592" s="93">
        <v>1101.92</v>
      </c>
      <c r="I2592" s="93">
        <v>2397.5457928860201</v>
      </c>
      <c r="J2592" s="93">
        <v>6263.66</v>
      </c>
      <c r="K2592" s="93">
        <v>3694.26</v>
      </c>
      <c r="L2592" s="93">
        <v>348270.06</v>
      </c>
      <c r="M2592" s="93">
        <v>362781.78</v>
      </c>
      <c r="N2592" s="95">
        <v>0.03</v>
      </c>
      <c r="O2592" s="95">
        <v>0.08</v>
      </c>
      <c r="P2592" s="95">
        <v>0.21</v>
      </c>
      <c r="Q2592" s="95">
        <v>0.43</v>
      </c>
      <c r="R2592" s="104">
        <v>0.25</v>
      </c>
    </row>
    <row r="2593" spans="1:18" ht="15" hidden="1" customHeight="1" x14ac:dyDescent="0.3">
      <c r="A2593" s="101">
        <v>2024</v>
      </c>
      <c r="B2593" s="90">
        <v>4</v>
      </c>
      <c r="C2593" s="90" t="s">
        <v>725</v>
      </c>
      <c r="D2593" s="90" t="s">
        <v>719</v>
      </c>
      <c r="E2593" s="102" t="s">
        <v>11</v>
      </c>
      <c r="F2593" s="103" t="s">
        <v>31</v>
      </c>
      <c r="G2593" s="93">
        <v>2636.62</v>
      </c>
      <c r="H2593" s="93">
        <v>29227.51</v>
      </c>
      <c r="I2593" s="93">
        <v>2397.5457928860201</v>
      </c>
      <c r="J2593" s="93">
        <v>77701.61</v>
      </c>
      <c r="K2593" s="93">
        <v>32362.83</v>
      </c>
      <c r="L2593" s="93">
        <v>18020.189999999999</v>
      </c>
      <c r="M2593" s="93">
        <v>226023.86</v>
      </c>
      <c r="N2593" s="95">
        <v>0.01</v>
      </c>
      <c r="O2593" s="95">
        <v>0.14000000000000001</v>
      </c>
      <c r="P2593" s="95">
        <v>0.32</v>
      </c>
      <c r="Q2593" s="95">
        <v>0.37</v>
      </c>
      <c r="R2593" s="104">
        <v>0.16</v>
      </c>
    </row>
    <row r="2594" spans="1:18" ht="15" hidden="1" customHeight="1" x14ac:dyDescent="0.3">
      <c r="A2594" s="101">
        <v>2024</v>
      </c>
      <c r="B2594" s="90">
        <v>4</v>
      </c>
      <c r="C2594" s="90" t="s">
        <v>725</v>
      </c>
      <c r="D2594" s="90" t="s">
        <v>719</v>
      </c>
      <c r="E2594" s="102" t="s">
        <v>11</v>
      </c>
      <c r="F2594" s="103" t="s">
        <v>32</v>
      </c>
      <c r="G2594" s="93">
        <v>15053.16</v>
      </c>
      <c r="H2594" s="93">
        <v>65271.56</v>
      </c>
      <c r="I2594" s="93">
        <v>2397.5457928860201</v>
      </c>
      <c r="J2594" s="93">
        <v>208043.63</v>
      </c>
      <c r="K2594" s="93">
        <v>8503.48</v>
      </c>
      <c r="L2594" s="93">
        <v>945.35</v>
      </c>
      <c r="M2594" s="93">
        <v>563125.34</v>
      </c>
      <c r="N2594" s="95">
        <v>0.03</v>
      </c>
      <c r="O2594" s="95">
        <v>0.12</v>
      </c>
      <c r="P2594" s="95">
        <v>0.47</v>
      </c>
      <c r="Q2594" s="95">
        <v>0.37</v>
      </c>
      <c r="R2594" s="104">
        <v>0.02</v>
      </c>
    </row>
    <row r="2595" spans="1:18" ht="15" hidden="1" customHeight="1" x14ac:dyDescent="0.3">
      <c r="A2595" s="101">
        <v>2024</v>
      </c>
      <c r="B2595" s="90">
        <v>4</v>
      </c>
      <c r="C2595" s="90" t="s">
        <v>725</v>
      </c>
      <c r="D2595" s="90" t="s">
        <v>719</v>
      </c>
      <c r="E2595" s="102" t="s">
        <v>11</v>
      </c>
      <c r="F2595" s="103" t="s">
        <v>33</v>
      </c>
      <c r="G2595" s="93">
        <v>137243.14000000001</v>
      </c>
      <c r="H2595" s="93">
        <v>452655.1</v>
      </c>
      <c r="I2595" s="93">
        <v>2397.5457928860201</v>
      </c>
      <c r="J2595" s="93">
        <v>128171.02</v>
      </c>
      <c r="K2595" s="93">
        <v>1725.18</v>
      </c>
      <c r="L2595" s="93">
        <v>6543.27</v>
      </c>
      <c r="M2595" s="93">
        <v>1323489.8999999999</v>
      </c>
      <c r="N2595" s="95">
        <v>0.1</v>
      </c>
      <c r="O2595" s="95">
        <v>0.34</v>
      </c>
      <c r="P2595" s="95">
        <v>0.45</v>
      </c>
      <c r="Q2595" s="95">
        <v>0.1</v>
      </c>
      <c r="R2595" s="104">
        <v>0</v>
      </c>
    </row>
    <row r="2596" spans="1:18" ht="15" hidden="1" customHeight="1" x14ac:dyDescent="0.3">
      <c r="A2596" s="101">
        <v>2024</v>
      </c>
      <c r="B2596" s="90">
        <v>4</v>
      </c>
      <c r="C2596" s="90" t="s">
        <v>725</v>
      </c>
      <c r="D2596" s="90" t="s">
        <v>719</v>
      </c>
      <c r="E2596" s="102" t="s">
        <v>11</v>
      </c>
      <c r="F2596" s="103" t="s">
        <v>34</v>
      </c>
      <c r="G2596" s="93">
        <v>34136.86</v>
      </c>
      <c r="H2596" s="93">
        <v>106829.31</v>
      </c>
      <c r="I2596" s="93">
        <v>2397.5457928860201</v>
      </c>
      <c r="J2596" s="93">
        <v>231996.42</v>
      </c>
      <c r="K2596" s="93">
        <v>17511.73</v>
      </c>
      <c r="L2596" s="93">
        <v>3831.1</v>
      </c>
      <c r="M2596" s="93">
        <v>668047.75</v>
      </c>
      <c r="N2596" s="95">
        <v>0.05</v>
      </c>
      <c r="O2596" s="95">
        <v>0.16</v>
      </c>
      <c r="P2596" s="95">
        <v>0.41</v>
      </c>
      <c r="Q2596" s="95">
        <v>0.35</v>
      </c>
      <c r="R2596" s="104">
        <v>0.03</v>
      </c>
    </row>
    <row r="2597" spans="1:18" ht="15" hidden="1" customHeight="1" x14ac:dyDescent="0.3">
      <c r="A2597" s="101">
        <v>2024</v>
      </c>
      <c r="B2597" s="90">
        <v>4</v>
      </c>
      <c r="C2597" s="90" t="s">
        <v>725</v>
      </c>
      <c r="D2597" s="90" t="s">
        <v>719</v>
      </c>
      <c r="E2597" s="102" t="s">
        <v>11</v>
      </c>
      <c r="F2597" s="103" t="s">
        <v>35</v>
      </c>
      <c r="G2597" s="93">
        <v>31031.53</v>
      </c>
      <c r="H2597" s="93">
        <v>72186.64</v>
      </c>
      <c r="I2597" s="93">
        <v>2397.5457928860201</v>
      </c>
      <c r="J2597" s="93">
        <v>133444.6</v>
      </c>
      <c r="K2597" s="93">
        <v>14679.08</v>
      </c>
      <c r="L2597" s="93">
        <v>69587.91</v>
      </c>
      <c r="M2597" s="93">
        <v>433159.39</v>
      </c>
      <c r="N2597" s="95">
        <v>0.09</v>
      </c>
      <c r="O2597" s="95">
        <v>0.2</v>
      </c>
      <c r="P2597" s="95">
        <v>0.31</v>
      </c>
      <c r="Q2597" s="95">
        <v>0.37</v>
      </c>
      <c r="R2597" s="104">
        <v>0.04</v>
      </c>
    </row>
    <row r="2598" spans="1:18" ht="15" hidden="1" customHeight="1" x14ac:dyDescent="0.3">
      <c r="A2598" s="101">
        <v>2024</v>
      </c>
      <c r="B2598" s="90">
        <v>4</v>
      </c>
      <c r="C2598" s="90" t="s">
        <v>725</v>
      </c>
      <c r="D2598" s="90" t="s">
        <v>719</v>
      </c>
      <c r="E2598" s="102" t="s">
        <v>11</v>
      </c>
      <c r="F2598" s="103" t="s">
        <v>36</v>
      </c>
      <c r="G2598" s="93">
        <v>8838.36</v>
      </c>
      <c r="H2598" s="93">
        <v>34313.85</v>
      </c>
      <c r="I2598" s="93">
        <v>2397.5457928860201</v>
      </c>
      <c r="J2598" s="93">
        <v>84276.49</v>
      </c>
      <c r="K2598" s="93">
        <v>10847.72</v>
      </c>
      <c r="L2598" s="93">
        <v>71776.42</v>
      </c>
      <c r="M2598" s="93">
        <v>297901.62</v>
      </c>
      <c r="N2598" s="95">
        <v>0.04</v>
      </c>
      <c r="O2598" s="95">
        <v>0.15</v>
      </c>
      <c r="P2598" s="95">
        <v>0.39</v>
      </c>
      <c r="Q2598" s="95">
        <v>0.37</v>
      </c>
      <c r="R2598" s="104">
        <v>0.05</v>
      </c>
    </row>
    <row r="2599" spans="1:18" ht="15" hidden="1" customHeight="1" x14ac:dyDescent="0.3">
      <c r="A2599" s="101">
        <v>2024</v>
      </c>
      <c r="B2599" s="90">
        <v>4</v>
      </c>
      <c r="C2599" s="90" t="s">
        <v>725</v>
      </c>
      <c r="D2599" s="90" t="s">
        <v>719</v>
      </c>
      <c r="E2599" s="102" t="s">
        <v>11</v>
      </c>
      <c r="F2599" s="103" t="s">
        <v>37</v>
      </c>
      <c r="G2599" s="93">
        <v>15054.42</v>
      </c>
      <c r="H2599" s="93">
        <v>50273.08</v>
      </c>
      <c r="I2599" s="93">
        <v>2397.5457928860201</v>
      </c>
      <c r="J2599" s="93">
        <v>154583.18</v>
      </c>
      <c r="K2599" s="93">
        <v>14144.91</v>
      </c>
      <c r="L2599" s="93">
        <v>306383.71999999997</v>
      </c>
      <c r="M2599" s="93">
        <v>686311.39</v>
      </c>
      <c r="N2599" s="95">
        <v>0.04</v>
      </c>
      <c r="O2599" s="95">
        <v>0.13</v>
      </c>
      <c r="P2599" s="95">
        <v>0.38</v>
      </c>
      <c r="Q2599" s="95">
        <v>0.41</v>
      </c>
      <c r="R2599" s="104">
        <v>0.04</v>
      </c>
    </row>
    <row r="2600" spans="1:18" ht="15" hidden="1" customHeight="1" x14ac:dyDescent="0.3">
      <c r="A2600" s="101">
        <v>2024</v>
      </c>
      <c r="B2600" s="90">
        <v>4</v>
      </c>
      <c r="C2600" s="90" t="s">
        <v>725</v>
      </c>
      <c r="D2600" s="90" t="s">
        <v>719</v>
      </c>
      <c r="E2600" s="102" t="s">
        <v>11</v>
      </c>
      <c r="F2600" s="103" t="s">
        <v>38</v>
      </c>
      <c r="G2600" s="93">
        <v>39113.43</v>
      </c>
      <c r="H2600" s="93">
        <v>58701.17</v>
      </c>
      <c r="I2600" s="93">
        <v>2397.5457928860201</v>
      </c>
      <c r="J2600" s="93">
        <v>383348.87</v>
      </c>
      <c r="K2600" s="93">
        <v>77090.44</v>
      </c>
      <c r="L2600" s="93">
        <v>17635.759999999998</v>
      </c>
      <c r="M2600" s="93">
        <v>765194.15</v>
      </c>
      <c r="N2600" s="95">
        <v>0.05</v>
      </c>
      <c r="O2600" s="95">
        <v>0.08</v>
      </c>
      <c r="P2600" s="95">
        <v>0.25</v>
      </c>
      <c r="Q2600" s="95">
        <v>0.51</v>
      </c>
      <c r="R2600" s="104">
        <v>0.1</v>
      </c>
    </row>
    <row r="2601" spans="1:18" ht="15" hidden="1" customHeight="1" x14ac:dyDescent="0.3">
      <c r="A2601" s="101">
        <v>2024</v>
      </c>
      <c r="B2601" s="90">
        <v>4</v>
      </c>
      <c r="C2601" s="90" t="s">
        <v>725</v>
      </c>
      <c r="D2601" s="90" t="s">
        <v>719</v>
      </c>
      <c r="E2601" s="102" t="s">
        <v>11</v>
      </c>
      <c r="F2601" s="103" t="s">
        <v>39</v>
      </c>
      <c r="G2601" s="93">
        <v>5178.97</v>
      </c>
      <c r="H2601" s="93">
        <v>77834.78</v>
      </c>
      <c r="I2601" s="93">
        <v>2397.5457928860201</v>
      </c>
      <c r="J2601" s="93">
        <v>29223.8</v>
      </c>
      <c r="K2601" s="93">
        <v>764.11</v>
      </c>
      <c r="L2601" s="93">
        <v>42395.98</v>
      </c>
      <c r="M2601" s="93">
        <v>324303.84000000003</v>
      </c>
      <c r="N2601" s="95">
        <v>0.02</v>
      </c>
      <c r="O2601" s="95">
        <v>0.28000000000000003</v>
      </c>
      <c r="P2601" s="95">
        <v>0.6</v>
      </c>
      <c r="Q2601" s="95">
        <v>0.1</v>
      </c>
      <c r="R2601" s="104">
        <v>0</v>
      </c>
    </row>
    <row r="2602" spans="1:18" ht="15" hidden="1" customHeight="1" x14ac:dyDescent="0.3">
      <c r="A2602" s="101">
        <v>2024</v>
      </c>
      <c r="B2602" s="90">
        <v>4</v>
      </c>
      <c r="C2602" s="90" t="s">
        <v>725</v>
      </c>
      <c r="D2602" s="90" t="s">
        <v>719</v>
      </c>
      <c r="E2602" s="102" t="s">
        <v>11</v>
      </c>
      <c r="F2602" s="103" t="s">
        <v>40</v>
      </c>
      <c r="G2602" s="93">
        <v>6929.9</v>
      </c>
      <c r="H2602" s="93">
        <v>17102.04</v>
      </c>
      <c r="I2602" s="93">
        <v>2397.5457928860201</v>
      </c>
      <c r="J2602" s="93">
        <v>178100.07</v>
      </c>
      <c r="K2602" s="93">
        <v>54531.27</v>
      </c>
      <c r="L2602" s="93">
        <v>42311.1</v>
      </c>
      <c r="M2602" s="93">
        <v>362889.25</v>
      </c>
      <c r="N2602" s="95">
        <v>0.02</v>
      </c>
      <c r="O2602" s="95">
        <v>0.05</v>
      </c>
      <c r="P2602" s="95">
        <v>0.2</v>
      </c>
      <c r="Q2602" s="95">
        <v>0.56000000000000005</v>
      </c>
      <c r="R2602" s="104">
        <v>0.17</v>
      </c>
    </row>
    <row r="2603" spans="1:18" ht="15" hidden="1" customHeight="1" x14ac:dyDescent="0.3">
      <c r="A2603" s="101">
        <v>2024</v>
      </c>
      <c r="B2603" s="90">
        <v>4</v>
      </c>
      <c r="C2603" s="90" t="s">
        <v>725</v>
      </c>
      <c r="D2603" s="90" t="s">
        <v>719</v>
      </c>
      <c r="E2603" s="102" t="s">
        <v>11</v>
      </c>
      <c r="F2603" s="103" t="s">
        <v>41</v>
      </c>
      <c r="G2603" s="93">
        <v>1639.92</v>
      </c>
      <c r="H2603" s="93">
        <v>6511.33</v>
      </c>
      <c r="I2603" s="93">
        <v>2397.5457928860201</v>
      </c>
      <c r="J2603" s="93">
        <v>3668.57</v>
      </c>
      <c r="K2603" s="93">
        <v>626.88</v>
      </c>
      <c r="L2603" s="93">
        <v>855661.92</v>
      </c>
      <c r="M2603" s="93">
        <v>874111.81</v>
      </c>
      <c r="N2603" s="95">
        <v>0.09</v>
      </c>
      <c r="O2603" s="95">
        <v>0.35</v>
      </c>
      <c r="P2603" s="95">
        <v>0.33</v>
      </c>
      <c r="Q2603" s="95">
        <v>0.2</v>
      </c>
      <c r="R2603" s="104">
        <v>0.03</v>
      </c>
    </row>
    <row r="2604" spans="1:18" ht="15" hidden="1" customHeight="1" x14ac:dyDescent="0.3">
      <c r="A2604" s="101">
        <v>2024</v>
      </c>
      <c r="B2604" s="90">
        <v>4</v>
      </c>
      <c r="C2604" s="90" t="s">
        <v>725</v>
      </c>
      <c r="D2604" s="90" t="s">
        <v>719</v>
      </c>
      <c r="E2604" s="102" t="s">
        <v>11</v>
      </c>
      <c r="F2604" s="103" t="s">
        <v>42</v>
      </c>
      <c r="G2604" s="93">
        <v>5004.5</v>
      </c>
      <c r="H2604" s="93">
        <v>35480.35</v>
      </c>
      <c r="I2604" s="93">
        <v>2397.5457928860201</v>
      </c>
      <c r="J2604" s="93">
        <v>195295.17</v>
      </c>
      <c r="K2604" s="93">
        <v>8571.4</v>
      </c>
      <c r="L2604" s="93">
        <v>0</v>
      </c>
      <c r="M2604" s="93">
        <v>497226.45</v>
      </c>
      <c r="N2604" s="95">
        <v>0.01</v>
      </c>
      <c r="O2604" s="95">
        <v>7.0000000000000007E-2</v>
      </c>
      <c r="P2604" s="95">
        <v>0.51</v>
      </c>
      <c r="Q2604" s="95">
        <v>0.39</v>
      </c>
      <c r="R2604" s="104">
        <v>0.02</v>
      </c>
    </row>
    <row r="2605" spans="1:18" ht="15" hidden="1" customHeight="1" x14ac:dyDescent="0.3">
      <c r="A2605" s="101">
        <v>2024</v>
      </c>
      <c r="B2605" s="90">
        <v>4</v>
      </c>
      <c r="C2605" s="90" t="s">
        <v>725</v>
      </c>
      <c r="D2605" s="90" t="s">
        <v>719</v>
      </c>
      <c r="E2605" s="102" t="s">
        <v>11</v>
      </c>
      <c r="F2605" s="103" t="s">
        <v>43</v>
      </c>
      <c r="G2605" s="93">
        <v>1546.61</v>
      </c>
      <c r="H2605" s="93">
        <v>11452.9</v>
      </c>
      <c r="I2605" s="93">
        <v>2397.5457928860201</v>
      </c>
      <c r="J2605" s="93">
        <v>25449.84</v>
      </c>
      <c r="K2605" s="93">
        <v>7368.54</v>
      </c>
      <c r="L2605" s="93">
        <v>61632.4</v>
      </c>
      <c r="M2605" s="93">
        <v>130486.84</v>
      </c>
      <c r="N2605" s="95">
        <v>0.02</v>
      </c>
      <c r="O2605" s="95">
        <v>0.17</v>
      </c>
      <c r="P2605" s="95">
        <v>0.33</v>
      </c>
      <c r="Q2605" s="95">
        <v>0.37</v>
      </c>
      <c r="R2605" s="104">
        <v>0.11</v>
      </c>
    </row>
    <row r="2606" spans="1:18" ht="15" hidden="1" customHeight="1" x14ac:dyDescent="0.3">
      <c r="A2606" s="101">
        <v>2024</v>
      </c>
      <c r="B2606" s="90">
        <v>4</v>
      </c>
      <c r="C2606" s="90" t="s">
        <v>725</v>
      </c>
      <c r="D2606" s="90" t="s">
        <v>719</v>
      </c>
      <c r="E2606" s="102" t="s">
        <v>11</v>
      </c>
      <c r="F2606" s="103" t="s">
        <v>58</v>
      </c>
      <c r="G2606" s="93">
        <v>2853.65</v>
      </c>
      <c r="H2606" s="93">
        <v>12603.94</v>
      </c>
      <c r="I2606" s="93">
        <v>2397.5457928860201</v>
      </c>
      <c r="J2606" s="93">
        <v>218736.65</v>
      </c>
      <c r="K2606" s="93">
        <v>49122.33</v>
      </c>
      <c r="L2606" s="93">
        <v>5670.95</v>
      </c>
      <c r="M2606" s="93">
        <v>369943.95</v>
      </c>
      <c r="N2606" s="95">
        <v>0.01</v>
      </c>
      <c r="O2606" s="95">
        <v>0.03</v>
      </c>
      <c r="P2606" s="95">
        <v>0.22</v>
      </c>
      <c r="Q2606" s="95">
        <v>0.6</v>
      </c>
      <c r="R2606" s="104">
        <v>0.13</v>
      </c>
    </row>
    <row r="2607" spans="1:18" ht="15" hidden="1" customHeight="1" x14ac:dyDescent="0.3">
      <c r="A2607" s="101">
        <v>2024</v>
      </c>
      <c r="B2607" s="90">
        <v>4</v>
      </c>
      <c r="C2607" s="90" t="s">
        <v>725</v>
      </c>
      <c r="D2607" s="90" t="s">
        <v>719</v>
      </c>
      <c r="E2607" s="102" t="s">
        <v>11</v>
      </c>
      <c r="F2607" s="103" t="s">
        <v>44</v>
      </c>
      <c r="G2607" s="93">
        <v>4463.58</v>
      </c>
      <c r="H2607" s="93">
        <v>13771.67</v>
      </c>
      <c r="I2607" s="93">
        <v>2397.5457928860201</v>
      </c>
      <c r="J2607" s="93">
        <v>84722.51</v>
      </c>
      <c r="K2607" s="93">
        <v>12890.3</v>
      </c>
      <c r="L2607" s="93">
        <v>16904.310000000001</v>
      </c>
      <c r="M2607" s="93">
        <v>186773.66</v>
      </c>
      <c r="N2607" s="95">
        <v>0.03</v>
      </c>
      <c r="O2607" s="95">
        <v>0.08</v>
      </c>
      <c r="P2607" s="95">
        <v>0.32</v>
      </c>
      <c r="Q2607" s="95">
        <v>0.5</v>
      </c>
      <c r="R2607" s="104">
        <v>0.08</v>
      </c>
    </row>
    <row r="2608" spans="1:18" ht="15" hidden="1" customHeight="1" x14ac:dyDescent="0.3">
      <c r="A2608" s="101">
        <v>2024</v>
      </c>
      <c r="B2608" s="90">
        <v>4</v>
      </c>
      <c r="C2608" s="90" t="s">
        <v>725</v>
      </c>
      <c r="D2608" s="90" t="s">
        <v>719</v>
      </c>
      <c r="E2608" s="102" t="s">
        <v>11</v>
      </c>
      <c r="F2608" s="103" t="s">
        <v>51</v>
      </c>
      <c r="G2608" s="93">
        <v>9482.6</v>
      </c>
      <c r="H2608" s="93">
        <v>33615.79</v>
      </c>
      <c r="I2608" s="93">
        <v>2397.5457928860201</v>
      </c>
      <c r="J2608" s="93">
        <v>69010.34</v>
      </c>
      <c r="K2608" s="93">
        <v>19202.650000000001</v>
      </c>
      <c r="L2608" s="93">
        <v>5224.5600000000004</v>
      </c>
      <c r="M2608" s="93">
        <v>215668.25</v>
      </c>
      <c r="N2608" s="95">
        <v>0.05</v>
      </c>
      <c r="O2608" s="95">
        <v>0.16</v>
      </c>
      <c r="P2608" s="95">
        <v>0.38</v>
      </c>
      <c r="Q2608" s="95">
        <v>0.33</v>
      </c>
      <c r="R2608" s="104">
        <v>0.09</v>
      </c>
    </row>
    <row r="2609" spans="1:18" ht="15" hidden="1" customHeight="1" x14ac:dyDescent="0.3">
      <c r="A2609" s="101">
        <v>2024</v>
      </c>
      <c r="B2609" s="90">
        <v>4</v>
      </c>
      <c r="C2609" s="90" t="s">
        <v>725</v>
      </c>
      <c r="D2609" s="90" t="s">
        <v>719</v>
      </c>
      <c r="E2609" s="102" t="s">
        <v>11</v>
      </c>
      <c r="F2609" s="103" t="s">
        <v>45</v>
      </c>
      <c r="G2609" s="93">
        <v>6670.93</v>
      </c>
      <c r="H2609" s="93">
        <v>16261.65</v>
      </c>
      <c r="I2609" s="93">
        <v>2397.5457928860201</v>
      </c>
      <c r="J2609" s="93">
        <v>23159.21</v>
      </c>
      <c r="K2609" s="93">
        <v>3882.74</v>
      </c>
      <c r="L2609" s="93">
        <v>27143.89</v>
      </c>
      <c r="M2609" s="93">
        <v>106842.4</v>
      </c>
      <c r="N2609" s="95">
        <v>0.08</v>
      </c>
      <c r="O2609" s="95">
        <v>0.2</v>
      </c>
      <c r="P2609" s="95">
        <v>0.37</v>
      </c>
      <c r="Q2609" s="95">
        <v>0.28999999999999998</v>
      </c>
      <c r="R2609" s="104">
        <v>0.05</v>
      </c>
    </row>
    <row r="2610" spans="1:18" ht="15" hidden="1" customHeight="1" x14ac:dyDescent="0.3">
      <c r="A2610" s="101">
        <v>2024</v>
      </c>
      <c r="B2610" s="90">
        <v>4</v>
      </c>
      <c r="C2610" s="90" t="s">
        <v>725</v>
      </c>
      <c r="D2610" s="90" t="s">
        <v>719</v>
      </c>
      <c r="E2610" s="102" t="s">
        <v>11</v>
      </c>
      <c r="F2610" s="103" t="s">
        <v>721</v>
      </c>
      <c r="G2610" s="93">
        <v>5676.78</v>
      </c>
      <c r="H2610" s="93">
        <v>25323.81</v>
      </c>
      <c r="I2610" s="93">
        <v>2397.5457928860201</v>
      </c>
      <c r="J2610" s="93">
        <v>140333.45000000001</v>
      </c>
      <c r="K2610" s="93">
        <v>43640.72</v>
      </c>
      <c r="L2610" s="93">
        <v>588814.01</v>
      </c>
      <c r="M2610" s="93">
        <v>882406.43</v>
      </c>
      <c r="N2610" s="95">
        <v>0.02</v>
      </c>
      <c r="O2610" s="95">
        <v>0.09</v>
      </c>
      <c r="P2610" s="95">
        <v>0.27</v>
      </c>
      <c r="Q2610" s="95">
        <v>0.48</v>
      </c>
      <c r="R2610" s="104">
        <v>0.15</v>
      </c>
    </row>
    <row r="2611" spans="1:18" ht="15" hidden="1" customHeight="1" x14ac:dyDescent="0.3">
      <c r="A2611" s="101">
        <v>2024</v>
      </c>
      <c r="B2611" s="90">
        <v>4</v>
      </c>
      <c r="C2611" s="90" t="s">
        <v>725</v>
      </c>
      <c r="D2611" s="90" t="s">
        <v>719</v>
      </c>
      <c r="E2611" s="102" t="s">
        <v>11</v>
      </c>
      <c r="F2611" s="103" t="s">
        <v>46</v>
      </c>
      <c r="G2611" s="93">
        <v>25484.5</v>
      </c>
      <c r="H2611" s="93">
        <v>62513.82</v>
      </c>
      <c r="I2611" s="93">
        <v>2397.5457928860201</v>
      </c>
      <c r="J2611" s="93">
        <v>16650.169999999998</v>
      </c>
      <c r="K2611" s="93">
        <v>6681.17</v>
      </c>
      <c r="L2611" s="93">
        <v>5644.12</v>
      </c>
      <c r="M2611" s="93">
        <v>153717.01999999999</v>
      </c>
      <c r="N2611" s="95">
        <v>0.17</v>
      </c>
      <c r="O2611" s="95">
        <v>0.42</v>
      </c>
      <c r="P2611" s="95">
        <v>0.25</v>
      </c>
      <c r="Q2611" s="95">
        <v>0.11</v>
      </c>
      <c r="R2611" s="104">
        <v>0.05</v>
      </c>
    </row>
    <row r="2612" spans="1:18" ht="15" hidden="1" customHeight="1" x14ac:dyDescent="0.3">
      <c r="A2612" s="101">
        <v>2024</v>
      </c>
      <c r="B2612" s="90">
        <v>4</v>
      </c>
      <c r="C2612" s="90" t="s">
        <v>725</v>
      </c>
      <c r="D2612" s="90" t="s">
        <v>719</v>
      </c>
      <c r="E2612" s="102" t="s">
        <v>11</v>
      </c>
      <c r="F2612" s="103" t="s">
        <v>47</v>
      </c>
      <c r="G2612" s="93">
        <v>28932.61</v>
      </c>
      <c r="H2612" s="93">
        <v>358609.78</v>
      </c>
      <c r="I2612" s="93">
        <v>2397.5457928860201</v>
      </c>
      <c r="J2612" s="93">
        <v>238119.35</v>
      </c>
      <c r="K2612" s="93">
        <v>42070.33</v>
      </c>
      <c r="L2612" s="93">
        <v>49894.22</v>
      </c>
      <c r="M2612" s="93">
        <v>1415857.34</v>
      </c>
      <c r="N2612" s="95">
        <v>0.02</v>
      </c>
      <c r="O2612" s="95">
        <v>0.26</v>
      </c>
      <c r="P2612" s="95">
        <v>0.51</v>
      </c>
      <c r="Q2612" s="95">
        <v>0.17</v>
      </c>
      <c r="R2612" s="104">
        <v>0.03</v>
      </c>
    </row>
    <row r="2613" spans="1:18" ht="15" hidden="1" customHeight="1" x14ac:dyDescent="0.3">
      <c r="A2613" s="101">
        <v>2024</v>
      </c>
      <c r="B2613" s="90">
        <v>4</v>
      </c>
      <c r="C2613" s="90" t="s">
        <v>725</v>
      </c>
      <c r="D2613" s="90" t="s">
        <v>719</v>
      </c>
      <c r="E2613" s="102" t="s">
        <v>11</v>
      </c>
      <c r="F2613" s="103" t="s">
        <v>48</v>
      </c>
      <c r="G2613" s="93">
        <v>3484.9</v>
      </c>
      <c r="H2613" s="93">
        <v>16225.98</v>
      </c>
      <c r="I2613" s="93">
        <v>2397.5457928860201</v>
      </c>
      <c r="J2613" s="93">
        <v>21544.13</v>
      </c>
      <c r="K2613" s="93">
        <v>628.65</v>
      </c>
      <c r="L2613" s="93">
        <v>118602.02</v>
      </c>
      <c r="M2613" s="93">
        <v>220369.14</v>
      </c>
      <c r="N2613" s="95">
        <v>0.03</v>
      </c>
      <c r="O2613" s="95">
        <v>0.16</v>
      </c>
      <c r="P2613" s="95">
        <v>0.59</v>
      </c>
      <c r="Q2613" s="95">
        <v>0.21</v>
      </c>
      <c r="R2613" s="104">
        <v>0.01</v>
      </c>
    </row>
    <row r="2614" spans="1:18" ht="15" hidden="1" customHeight="1" x14ac:dyDescent="0.3">
      <c r="A2614" s="101">
        <v>2024</v>
      </c>
      <c r="B2614" s="90">
        <v>4</v>
      </c>
      <c r="C2614" s="90" t="s">
        <v>725</v>
      </c>
      <c r="D2614" s="90" t="s">
        <v>722</v>
      </c>
      <c r="E2614" s="102" t="s">
        <v>11</v>
      </c>
      <c r="F2614" s="103" t="s">
        <v>12</v>
      </c>
      <c r="G2614" s="93">
        <v>2690.56</v>
      </c>
      <c r="H2614" s="93">
        <v>4507.17</v>
      </c>
      <c r="I2614" s="93">
        <v>2397.5457928860201</v>
      </c>
      <c r="J2614" s="93">
        <v>34411.85</v>
      </c>
      <c r="K2614" s="93">
        <v>4342.26</v>
      </c>
      <c r="L2614" s="93">
        <v>1451.62</v>
      </c>
      <c r="M2614" s="93">
        <v>67021.7</v>
      </c>
      <c r="N2614" s="95">
        <v>0.04</v>
      </c>
      <c r="O2614" s="95">
        <v>7.0000000000000007E-2</v>
      </c>
      <c r="P2614" s="95">
        <v>0.3</v>
      </c>
      <c r="Q2614" s="95">
        <v>0.52</v>
      </c>
      <c r="R2614" s="104">
        <v>7.0000000000000007E-2</v>
      </c>
    </row>
    <row r="2615" spans="1:18" ht="15" hidden="1" customHeight="1" x14ac:dyDescent="0.3">
      <c r="A2615" s="101">
        <v>2024</v>
      </c>
      <c r="B2615" s="90">
        <v>4</v>
      </c>
      <c r="C2615" s="90" t="s">
        <v>725</v>
      </c>
      <c r="D2615" s="90" t="s">
        <v>722</v>
      </c>
      <c r="E2615" s="102" t="s">
        <v>11</v>
      </c>
      <c r="F2615" s="103" t="s">
        <v>26</v>
      </c>
      <c r="G2615" s="93">
        <v>14873.06</v>
      </c>
      <c r="H2615" s="93">
        <v>23507.62</v>
      </c>
      <c r="I2615" s="93">
        <v>2397.5457928860201</v>
      </c>
      <c r="J2615" s="93">
        <v>21742.71</v>
      </c>
      <c r="K2615" s="93">
        <v>1736.63</v>
      </c>
      <c r="L2615" s="93">
        <v>4034.05</v>
      </c>
      <c r="M2615" s="93">
        <v>96805.16</v>
      </c>
      <c r="N2615" s="95">
        <v>0.16</v>
      </c>
      <c r="O2615" s="95">
        <v>0.25</v>
      </c>
      <c r="P2615" s="95">
        <v>0.33</v>
      </c>
      <c r="Q2615" s="95">
        <v>0.23</v>
      </c>
      <c r="R2615" s="104">
        <v>0.02</v>
      </c>
    </row>
    <row r="2616" spans="1:18" ht="15" hidden="1" customHeight="1" x14ac:dyDescent="0.3">
      <c r="A2616" s="101">
        <v>2024</v>
      </c>
      <c r="B2616" s="90">
        <v>4</v>
      </c>
      <c r="C2616" s="90" t="s">
        <v>725</v>
      </c>
      <c r="D2616" s="90" t="s">
        <v>722</v>
      </c>
      <c r="E2616" s="102" t="s">
        <v>11</v>
      </c>
      <c r="F2616" s="103" t="s">
        <v>27</v>
      </c>
      <c r="G2616" s="93">
        <v>215.84</v>
      </c>
      <c r="H2616" s="93">
        <v>224.38</v>
      </c>
      <c r="I2616" s="93">
        <v>2397.5457928860201</v>
      </c>
      <c r="J2616" s="93">
        <v>4316.3900000000003</v>
      </c>
      <c r="K2616" s="93">
        <v>10419.700000000001</v>
      </c>
      <c r="L2616" s="93">
        <v>184967.16</v>
      </c>
      <c r="M2616" s="93">
        <v>201124.47</v>
      </c>
      <c r="N2616" s="95">
        <v>0.01</v>
      </c>
      <c r="O2616" s="95">
        <v>0.01</v>
      </c>
      <c r="P2616" s="95">
        <v>0.06</v>
      </c>
      <c r="Q2616" s="95">
        <v>0.27</v>
      </c>
      <c r="R2616" s="104">
        <v>0.64</v>
      </c>
    </row>
    <row r="2617" spans="1:18" ht="15" hidden="1" customHeight="1" x14ac:dyDescent="0.3">
      <c r="A2617" s="101">
        <v>2024</v>
      </c>
      <c r="B2617" s="90">
        <v>4</v>
      </c>
      <c r="C2617" s="90" t="s">
        <v>725</v>
      </c>
      <c r="D2617" s="90" t="s">
        <v>722</v>
      </c>
      <c r="E2617" s="102" t="s">
        <v>11</v>
      </c>
      <c r="F2617" s="103" t="s">
        <v>28</v>
      </c>
      <c r="G2617" s="93">
        <v>146.31</v>
      </c>
      <c r="H2617" s="93">
        <v>211.74</v>
      </c>
      <c r="I2617" s="93">
        <v>2397.5457928860201</v>
      </c>
      <c r="J2617" s="93">
        <v>1556.82</v>
      </c>
      <c r="K2617" s="93">
        <v>397.35</v>
      </c>
      <c r="L2617" s="93">
        <v>86103.89</v>
      </c>
      <c r="M2617" s="93">
        <v>88979.37</v>
      </c>
      <c r="N2617" s="95">
        <v>0.05</v>
      </c>
      <c r="O2617" s="95">
        <v>7.0000000000000007E-2</v>
      </c>
      <c r="P2617" s="95">
        <v>0.2</v>
      </c>
      <c r="Q2617" s="95">
        <v>0.54</v>
      </c>
      <c r="R2617" s="104">
        <v>0.14000000000000001</v>
      </c>
    </row>
    <row r="2618" spans="1:18" ht="15" customHeight="1" x14ac:dyDescent="0.3">
      <c r="A2618" s="101">
        <v>2024</v>
      </c>
      <c r="B2618" s="90">
        <v>4</v>
      </c>
      <c r="C2618" s="90" t="s">
        <v>725</v>
      </c>
      <c r="D2618" s="90" t="s">
        <v>722</v>
      </c>
      <c r="E2618" s="102" t="s">
        <v>11</v>
      </c>
      <c r="F2618" s="103" t="s">
        <v>29</v>
      </c>
      <c r="G2618" s="93">
        <v>10575</v>
      </c>
      <c r="H2618" s="93">
        <v>17562.400000000001</v>
      </c>
      <c r="I2618" s="93">
        <v>2397.5457928860201</v>
      </c>
      <c r="J2618" s="93">
        <v>110101.05</v>
      </c>
      <c r="K2618" s="93">
        <v>49811.99</v>
      </c>
      <c r="L2618" s="93">
        <v>11511.32</v>
      </c>
      <c r="M2618" s="93">
        <v>246707.84</v>
      </c>
      <c r="N2618" s="95">
        <v>0.04</v>
      </c>
      <c r="O2618" s="95">
        <v>7.0000000000000007E-2</v>
      </c>
      <c r="P2618" s="95">
        <v>0.2</v>
      </c>
      <c r="Q2618" s="95">
        <v>0.47</v>
      </c>
      <c r="R2618" s="104">
        <v>0.21</v>
      </c>
    </row>
    <row r="2619" spans="1:18" ht="15" hidden="1" customHeight="1" x14ac:dyDescent="0.3">
      <c r="A2619" s="101">
        <v>2024</v>
      </c>
      <c r="B2619" s="90">
        <v>4</v>
      </c>
      <c r="C2619" s="90" t="s">
        <v>725</v>
      </c>
      <c r="D2619" s="90" t="s">
        <v>722</v>
      </c>
      <c r="E2619" s="102" t="s">
        <v>11</v>
      </c>
      <c r="F2619" s="103" t="s">
        <v>30</v>
      </c>
      <c r="G2619" s="93">
        <v>332.58</v>
      </c>
      <c r="H2619" s="93">
        <v>1907.17</v>
      </c>
      <c r="I2619" s="93">
        <v>2397.5457928860201</v>
      </c>
      <c r="J2619" s="93">
        <v>6400.21</v>
      </c>
      <c r="K2619" s="93">
        <v>1303.31</v>
      </c>
      <c r="L2619" s="93">
        <v>717559.65</v>
      </c>
      <c r="M2619" s="93">
        <v>731960.59</v>
      </c>
      <c r="N2619" s="95">
        <v>0.02</v>
      </c>
      <c r="O2619" s="95">
        <v>0.13</v>
      </c>
      <c r="P2619" s="95">
        <v>0.31</v>
      </c>
      <c r="Q2619" s="95">
        <v>0.44</v>
      </c>
      <c r="R2619" s="104">
        <v>0.09</v>
      </c>
    </row>
    <row r="2620" spans="1:18" ht="15" hidden="1" customHeight="1" x14ac:dyDescent="0.3">
      <c r="A2620" s="101">
        <v>2024</v>
      </c>
      <c r="B2620" s="90">
        <v>4</v>
      </c>
      <c r="C2620" s="90" t="s">
        <v>725</v>
      </c>
      <c r="D2620" s="90" t="s">
        <v>722</v>
      </c>
      <c r="E2620" s="102" t="s">
        <v>11</v>
      </c>
      <c r="F2620" s="103" t="s">
        <v>31</v>
      </c>
      <c r="G2620" s="93">
        <v>3026.9</v>
      </c>
      <c r="H2620" s="93">
        <v>41828.68</v>
      </c>
      <c r="I2620" s="93">
        <v>2397.5457928860201</v>
      </c>
      <c r="J2620" s="93">
        <v>65335.74</v>
      </c>
      <c r="K2620" s="93">
        <v>23998.98</v>
      </c>
      <c r="L2620" s="93">
        <v>24085.93</v>
      </c>
      <c r="M2620" s="93">
        <v>231528.59</v>
      </c>
      <c r="N2620" s="95">
        <v>0.01</v>
      </c>
      <c r="O2620" s="95">
        <v>0.2</v>
      </c>
      <c r="P2620" s="95">
        <v>0.35</v>
      </c>
      <c r="Q2620" s="95">
        <v>0.31</v>
      </c>
      <c r="R2620" s="104">
        <v>0.12</v>
      </c>
    </row>
    <row r="2621" spans="1:18" ht="15" hidden="1" customHeight="1" x14ac:dyDescent="0.3">
      <c r="A2621" s="101">
        <v>2024</v>
      </c>
      <c r="B2621" s="90">
        <v>4</v>
      </c>
      <c r="C2621" s="90" t="s">
        <v>725</v>
      </c>
      <c r="D2621" s="90" t="s">
        <v>722</v>
      </c>
      <c r="E2621" s="102" t="s">
        <v>11</v>
      </c>
      <c r="F2621" s="103" t="s">
        <v>32</v>
      </c>
      <c r="G2621" s="93">
        <v>2316.88</v>
      </c>
      <c r="H2621" s="93">
        <v>3895.93</v>
      </c>
      <c r="I2621" s="93">
        <v>2397.5457928860201</v>
      </c>
      <c r="J2621" s="93">
        <v>92358.42</v>
      </c>
      <c r="K2621" s="93">
        <v>47678.91</v>
      </c>
      <c r="L2621" s="93">
        <v>96.7</v>
      </c>
      <c r="M2621" s="93">
        <v>169969.84</v>
      </c>
      <c r="N2621" s="95">
        <v>0.01</v>
      </c>
      <c r="O2621" s="95">
        <v>0.02</v>
      </c>
      <c r="P2621" s="95">
        <v>0.14000000000000001</v>
      </c>
      <c r="Q2621" s="95">
        <v>0.54</v>
      </c>
      <c r="R2621" s="104">
        <v>0.28000000000000003</v>
      </c>
    </row>
    <row r="2622" spans="1:18" ht="15" hidden="1" customHeight="1" x14ac:dyDescent="0.3">
      <c r="A2622" s="101">
        <v>2024</v>
      </c>
      <c r="B2622" s="90">
        <v>4</v>
      </c>
      <c r="C2622" s="90" t="s">
        <v>725</v>
      </c>
      <c r="D2622" s="90" t="s">
        <v>722</v>
      </c>
      <c r="E2622" s="102" t="s">
        <v>11</v>
      </c>
      <c r="F2622" s="103" t="s">
        <v>33</v>
      </c>
      <c r="G2622" s="93">
        <v>12612.41</v>
      </c>
      <c r="H2622" s="93">
        <v>27181.25</v>
      </c>
      <c r="I2622" s="93">
        <v>2397.5457928860201</v>
      </c>
      <c r="J2622" s="93">
        <v>55849.62</v>
      </c>
      <c r="K2622" s="93">
        <v>5399.35</v>
      </c>
      <c r="L2622" s="93">
        <v>7862.62</v>
      </c>
      <c r="M2622" s="93">
        <v>177984.37</v>
      </c>
      <c r="N2622" s="95">
        <v>7.0000000000000007E-2</v>
      </c>
      <c r="O2622" s="95">
        <v>0.16</v>
      </c>
      <c r="P2622" s="95">
        <v>0.41</v>
      </c>
      <c r="Q2622" s="95">
        <v>0.33</v>
      </c>
      <c r="R2622" s="104">
        <v>0.03</v>
      </c>
    </row>
    <row r="2623" spans="1:18" ht="15" hidden="1" customHeight="1" x14ac:dyDescent="0.3">
      <c r="A2623" s="101">
        <v>2024</v>
      </c>
      <c r="B2623" s="90">
        <v>4</v>
      </c>
      <c r="C2623" s="90" t="s">
        <v>725</v>
      </c>
      <c r="D2623" s="90" t="s">
        <v>722</v>
      </c>
      <c r="E2623" s="102" t="s">
        <v>11</v>
      </c>
      <c r="F2623" s="103" t="s">
        <v>34</v>
      </c>
      <c r="G2623" s="93">
        <v>2304.3200000000002</v>
      </c>
      <c r="H2623" s="93">
        <v>1147.69</v>
      </c>
      <c r="I2623" s="93">
        <v>2397.5457928860201</v>
      </c>
      <c r="J2623" s="93">
        <v>7726.18</v>
      </c>
      <c r="K2623" s="93">
        <v>5528.73</v>
      </c>
      <c r="L2623" s="93">
        <v>3985.85</v>
      </c>
      <c r="M2623" s="93">
        <v>24611.64</v>
      </c>
      <c r="N2623" s="95">
        <v>0.11</v>
      </c>
      <c r="O2623" s="95">
        <v>0.06</v>
      </c>
      <c r="P2623" s="95">
        <v>0.19</v>
      </c>
      <c r="Q2623" s="95">
        <v>0.37</v>
      </c>
      <c r="R2623" s="104">
        <v>0.27</v>
      </c>
    </row>
    <row r="2624" spans="1:18" ht="15" hidden="1" customHeight="1" x14ac:dyDescent="0.3">
      <c r="A2624" s="101">
        <v>2024</v>
      </c>
      <c r="B2624" s="90">
        <v>4</v>
      </c>
      <c r="C2624" s="90" t="s">
        <v>725</v>
      </c>
      <c r="D2624" s="90" t="s">
        <v>722</v>
      </c>
      <c r="E2624" s="102" t="s">
        <v>11</v>
      </c>
      <c r="F2624" s="103" t="s">
        <v>35</v>
      </c>
      <c r="G2624" s="93">
        <v>6468.17</v>
      </c>
      <c r="H2624" s="93">
        <v>4377.5200000000004</v>
      </c>
      <c r="I2624" s="93">
        <v>2397.5457928860201</v>
      </c>
      <c r="J2624" s="93">
        <v>6961.6</v>
      </c>
      <c r="K2624" s="93">
        <v>678.93</v>
      </c>
      <c r="L2624" s="93">
        <v>69109.09</v>
      </c>
      <c r="M2624" s="93">
        <v>96989.57</v>
      </c>
      <c r="N2624" s="95">
        <v>0.23</v>
      </c>
      <c r="O2624" s="95">
        <v>0.16</v>
      </c>
      <c r="P2624" s="95">
        <v>0.34</v>
      </c>
      <c r="Q2624" s="95">
        <v>0.25</v>
      </c>
      <c r="R2624" s="104">
        <v>0.02</v>
      </c>
    </row>
    <row r="2625" spans="1:18" ht="15" hidden="1" customHeight="1" x14ac:dyDescent="0.3">
      <c r="A2625" s="101">
        <v>2024</v>
      </c>
      <c r="B2625" s="90">
        <v>4</v>
      </c>
      <c r="C2625" s="90" t="s">
        <v>725</v>
      </c>
      <c r="D2625" s="90" t="s">
        <v>722</v>
      </c>
      <c r="E2625" s="102" t="s">
        <v>11</v>
      </c>
      <c r="F2625" s="103" t="s">
        <v>36</v>
      </c>
      <c r="G2625" s="93">
        <v>1910.33</v>
      </c>
      <c r="H2625" s="93">
        <v>1022.78</v>
      </c>
      <c r="I2625" s="93">
        <v>2397.5457928860201</v>
      </c>
      <c r="J2625" s="93">
        <v>6622.35</v>
      </c>
      <c r="K2625" s="93">
        <v>938.17</v>
      </c>
      <c r="L2625" s="93">
        <v>71027.839999999997</v>
      </c>
      <c r="M2625" s="93">
        <v>86754.62</v>
      </c>
      <c r="N2625" s="95">
        <v>0.12</v>
      </c>
      <c r="O2625" s="95">
        <v>7.0000000000000007E-2</v>
      </c>
      <c r="P2625" s="95">
        <v>0.33</v>
      </c>
      <c r="Q2625" s="95">
        <v>0.42</v>
      </c>
      <c r="R2625" s="104">
        <v>0.06</v>
      </c>
    </row>
    <row r="2626" spans="1:18" ht="15" hidden="1" customHeight="1" x14ac:dyDescent="0.3">
      <c r="A2626" s="101">
        <v>2024</v>
      </c>
      <c r="B2626" s="90">
        <v>4</v>
      </c>
      <c r="C2626" s="90" t="s">
        <v>725</v>
      </c>
      <c r="D2626" s="90" t="s">
        <v>722</v>
      </c>
      <c r="E2626" s="102" t="s">
        <v>11</v>
      </c>
      <c r="F2626" s="103" t="s">
        <v>37</v>
      </c>
      <c r="G2626" s="93">
        <v>12420.07</v>
      </c>
      <c r="H2626" s="93">
        <v>20254.189999999999</v>
      </c>
      <c r="I2626" s="93">
        <v>2397.5457928860201</v>
      </c>
      <c r="J2626" s="93">
        <v>99666.55</v>
      </c>
      <c r="K2626" s="93">
        <v>54710.25</v>
      </c>
      <c r="L2626" s="93">
        <v>305945.46000000002</v>
      </c>
      <c r="M2626" s="93">
        <v>546195.72</v>
      </c>
      <c r="N2626" s="95">
        <v>0.05</v>
      </c>
      <c r="O2626" s="95">
        <v>0.08</v>
      </c>
      <c r="P2626" s="95">
        <v>0.22</v>
      </c>
      <c r="Q2626" s="95">
        <v>0.41</v>
      </c>
      <c r="R2626" s="104">
        <v>0.23</v>
      </c>
    </row>
    <row r="2627" spans="1:18" ht="15" hidden="1" customHeight="1" x14ac:dyDescent="0.3">
      <c r="A2627" s="101">
        <v>2024</v>
      </c>
      <c r="B2627" s="90">
        <v>4</v>
      </c>
      <c r="C2627" s="90" t="s">
        <v>725</v>
      </c>
      <c r="D2627" s="90" t="s">
        <v>722</v>
      </c>
      <c r="E2627" s="102" t="s">
        <v>11</v>
      </c>
      <c r="F2627" s="103" t="s">
        <v>38</v>
      </c>
      <c r="G2627" s="93">
        <v>2501.5</v>
      </c>
      <c r="H2627" s="93">
        <v>436.71</v>
      </c>
      <c r="I2627" s="93">
        <v>2397.5457928860201</v>
      </c>
      <c r="J2627" s="93">
        <v>4086.33</v>
      </c>
      <c r="K2627" s="93">
        <v>939.43</v>
      </c>
      <c r="L2627" s="93">
        <v>30421.79</v>
      </c>
      <c r="M2627" s="93">
        <v>42803.99</v>
      </c>
      <c r="N2627" s="95">
        <v>0.2</v>
      </c>
      <c r="O2627" s="95">
        <v>0.04</v>
      </c>
      <c r="P2627" s="95">
        <v>0.36</v>
      </c>
      <c r="Q2627" s="95">
        <v>0.33</v>
      </c>
      <c r="R2627" s="104">
        <v>0.08</v>
      </c>
    </row>
    <row r="2628" spans="1:18" ht="15" hidden="1" customHeight="1" x14ac:dyDescent="0.3">
      <c r="A2628" s="101">
        <v>2024</v>
      </c>
      <c r="B2628" s="90">
        <v>4</v>
      </c>
      <c r="C2628" s="90" t="s">
        <v>725</v>
      </c>
      <c r="D2628" s="90" t="s">
        <v>722</v>
      </c>
      <c r="E2628" s="102" t="s">
        <v>11</v>
      </c>
      <c r="F2628" s="103" t="s">
        <v>39</v>
      </c>
      <c r="G2628" s="93">
        <v>187.37</v>
      </c>
      <c r="H2628" s="93">
        <v>65.739999999999995</v>
      </c>
      <c r="I2628" s="93">
        <v>2397.5457928860201</v>
      </c>
      <c r="J2628" s="93">
        <v>1025.93</v>
      </c>
      <c r="K2628" s="93">
        <v>2544.4899999999998</v>
      </c>
      <c r="L2628" s="93">
        <v>42461.36</v>
      </c>
      <c r="M2628" s="93">
        <v>46675.98</v>
      </c>
      <c r="N2628" s="95">
        <v>0.04</v>
      </c>
      <c r="O2628" s="95">
        <v>0.02</v>
      </c>
      <c r="P2628" s="95">
        <v>0.09</v>
      </c>
      <c r="Q2628" s="95">
        <v>0.24</v>
      </c>
      <c r="R2628" s="104">
        <v>0.6</v>
      </c>
    </row>
    <row r="2629" spans="1:18" ht="15" hidden="1" customHeight="1" x14ac:dyDescent="0.3">
      <c r="A2629" s="101">
        <v>2024</v>
      </c>
      <c r="B2629" s="90">
        <v>4</v>
      </c>
      <c r="C2629" s="90" t="s">
        <v>725</v>
      </c>
      <c r="D2629" s="90" t="s">
        <v>722</v>
      </c>
      <c r="E2629" s="102" t="s">
        <v>11</v>
      </c>
      <c r="F2629" s="103" t="s">
        <v>40</v>
      </c>
      <c r="G2629" s="93">
        <v>921.8</v>
      </c>
      <c r="H2629" s="93">
        <v>3618.22</v>
      </c>
      <c r="I2629" s="93">
        <v>2397.5457928860201</v>
      </c>
      <c r="J2629" s="93">
        <v>67496.72</v>
      </c>
      <c r="K2629" s="93">
        <v>21569.99</v>
      </c>
      <c r="L2629" s="93">
        <v>43511.56</v>
      </c>
      <c r="M2629" s="93">
        <v>166001.95000000001</v>
      </c>
      <c r="N2629" s="95">
        <v>0.01</v>
      </c>
      <c r="O2629" s="95">
        <v>0.03</v>
      </c>
      <c r="P2629" s="95">
        <v>0.24</v>
      </c>
      <c r="Q2629" s="95">
        <v>0.55000000000000004</v>
      </c>
      <c r="R2629" s="104">
        <v>0.18</v>
      </c>
    </row>
    <row r="2630" spans="1:18" ht="15" hidden="1" customHeight="1" x14ac:dyDescent="0.3">
      <c r="A2630" s="101">
        <v>2024</v>
      </c>
      <c r="B2630" s="90">
        <v>4</v>
      </c>
      <c r="C2630" s="90" t="s">
        <v>725</v>
      </c>
      <c r="D2630" s="90" t="s">
        <v>722</v>
      </c>
      <c r="E2630" s="102" t="s">
        <v>11</v>
      </c>
      <c r="F2630" s="103" t="s">
        <v>41</v>
      </c>
      <c r="G2630" s="93">
        <v>2054.94</v>
      </c>
      <c r="H2630" s="93">
        <v>5908.63</v>
      </c>
      <c r="I2630" s="93">
        <v>2397.5457928860201</v>
      </c>
      <c r="J2630" s="93">
        <v>4086.99</v>
      </c>
      <c r="K2630" s="93">
        <v>999.73</v>
      </c>
      <c r="L2630" s="93">
        <v>856433.61</v>
      </c>
      <c r="M2630" s="93">
        <v>875147.95</v>
      </c>
      <c r="N2630" s="95">
        <v>0.11</v>
      </c>
      <c r="O2630" s="95">
        <v>0.32</v>
      </c>
      <c r="P2630" s="95">
        <v>0.3</v>
      </c>
      <c r="Q2630" s="95">
        <v>0.22</v>
      </c>
      <c r="R2630" s="104">
        <v>0.05</v>
      </c>
    </row>
    <row r="2631" spans="1:18" ht="15" hidden="1" customHeight="1" x14ac:dyDescent="0.3">
      <c r="A2631" s="101">
        <v>2024</v>
      </c>
      <c r="B2631" s="90">
        <v>4</v>
      </c>
      <c r="C2631" s="90" t="s">
        <v>725</v>
      </c>
      <c r="D2631" s="90" t="s">
        <v>722</v>
      </c>
      <c r="E2631" s="102" t="s">
        <v>11</v>
      </c>
      <c r="F2631" s="103" t="s">
        <v>42</v>
      </c>
      <c r="G2631" s="93">
        <v>5984.02</v>
      </c>
      <c r="H2631" s="93">
        <v>16669.22</v>
      </c>
      <c r="I2631" s="93">
        <v>2397.5457928860201</v>
      </c>
      <c r="J2631" s="93">
        <v>191898.79</v>
      </c>
      <c r="K2631" s="93">
        <v>80568.03</v>
      </c>
      <c r="L2631" s="93">
        <v>12942.44</v>
      </c>
      <c r="M2631" s="93">
        <v>398096.3</v>
      </c>
      <c r="N2631" s="95">
        <v>0.02</v>
      </c>
      <c r="O2631" s="95">
        <v>0.04</v>
      </c>
      <c r="P2631" s="95">
        <v>0.23</v>
      </c>
      <c r="Q2631" s="95">
        <v>0.5</v>
      </c>
      <c r="R2631" s="104">
        <v>0.21</v>
      </c>
    </row>
    <row r="2632" spans="1:18" ht="15" hidden="1" customHeight="1" x14ac:dyDescent="0.3">
      <c r="A2632" s="101">
        <v>2024</v>
      </c>
      <c r="B2632" s="90">
        <v>4</v>
      </c>
      <c r="C2632" s="90" t="s">
        <v>725</v>
      </c>
      <c r="D2632" s="90" t="s">
        <v>722</v>
      </c>
      <c r="E2632" s="102" t="s">
        <v>11</v>
      </c>
      <c r="F2632" s="103" t="s">
        <v>43</v>
      </c>
      <c r="G2632" s="93">
        <v>2163.04</v>
      </c>
      <c r="H2632" s="93">
        <v>21348.01</v>
      </c>
      <c r="I2632" s="93">
        <v>2397.5457928860201</v>
      </c>
      <c r="J2632" s="93">
        <v>14679.64</v>
      </c>
      <c r="K2632" s="93">
        <v>2979.44</v>
      </c>
      <c r="L2632" s="93">
        <v>61635.18</v>
      </c>
      <c r="M2632" s="93">
        <v>129594.82</v>
      </c>
      <c r="N2632" s="95">
        <v>0.03</v>
      </c>
      <c r="O2632" s="95">
        <v>0.31</v>
      </c>
      <c r="P2632" s="95">
        <v>0.39</v>
      </c>
      <c r="Q2632" s="95">
        <v>0.22</v>
      </c>
      <c r="R2632" s="104">
        <v>0.04</v>
      </c>
    </row>
    <row r="2633" spans="1:18" ht="15" hidden="1" customHeight="1" x14ac:dyDescent="0.3">
      <c r="A2633" s="101">
        <v>2024</v>
      </c>
      <c r="B2633" s="90">
        <v>4</v>
      </c>
      <c r="C2633" s="90" t="s">
        <v>725</v>
      </c>
      <c r="D2633" s="90" t="s">
        <v>722</v>
      </c>
      <c r="E2633" s="102" t="s">
        <v>11</v>
      </c>
      <c r="F2633" s="103" t="s">
        <v>58</v>
      </c>
      <c r="G2633" s="93">
        <v>5545.09</v>
      </c>
      <c r="H2633" s="93">
        <v>7383.31</v>
      </c>
      <c r="I2633" s="93">
        <v>2397.5457928860201</v>
      </c>
      <c r="J2633" s="93">
        <v>141267.26999999999</v>
      </c>
      <c r="K2633" s="93">
        <v>61821.64</v>
      </c>
      <c r="L2633" s="93">
        <v>7187.59</v>
      </c>
      <c r="M2633" s="93">
        <v>256066.11</v>
      </c>
      <c r="N2633" s="95">
        <v>0.02</v>
      </c>
      <c r="O2633" s="95">
        <v>0.03</v>
      </c>
      <c r="P2633" s="95">
        <v>0.13</v>
      </c>
      <c r="Q2633" s="95">
        <v>0.56999999999999995</v>
      </c>
      <c r="R2633" s="104">
        <v>0.25</v>
      </c>
    </row>
    <row r="2634" spans="1:18" ht="15" hidden="1" customHeight="1" x14ac:dyDescent="0.3">
      <c r="A2634" s="101">
        <v>2024</v>
      </c>
      <c r="B2634" s="90">
        <v>4</v>
      </c>
      <c r="C2634" s="90" t="s">
        <v>725</v>
      </c>
      <c r="D2634" s="90" t="s">
        <v>722</v>
      </c>
      <c r="E2634" s="102" t="s">
        <v>11</v>
      </c>
      <c r="F2634" s="103" t="s">
        <v>44</v>
      </c>
      <c r="G2634" s="93">
        <v>3685.97</v>
      </c>
      <c r="H2634" s="93">
        <v>2247.96</v>
      </c>
      <c r="I2634" s="93">
        <v>2397.5457928860201</v>
      </c>
      <c r="J2634" s="93">
        <v>13808.26</v>
      </c>
      <c r="K2634" s="93">
        <v>11735.37</v>
      </c>
      <c r="L2634" s="93">
        <v>27035</v>
      </c>
      <c r="M2634" s="93">
        <v>65375.71</v>
      </c>
      <c r="N2634" s="95">
        <v>0.1</v>
      </c>
      <c r="O2634" s="95">
        <v>0.06</v>
      </c>
      <c r="P2634" s="95">
        <v>0.18</v>
      </c>
      <c r="Q2634" s="95">
        <v>0.36</v>
      </c>
      <c r="R2634" s="104">
        <v>0.31</v>
      </c>
    </row>
    <row r="2635" spans="1:18" ht="15" hidden="1" customHeight="1" x14ac:dyDescent="0.3">
      <c r="A2635" s="101">
        <v>2024</v>
      </c>
      <c r="B2635" s="90">
        <v>4</v>
      </c>
      <c r="C2635" s="90" t="s">
        <v>725</v>
      </c>
      <c r="D2635" s="90" t="s">
        <v>722</v>
      </c>
      <c r="E2635" s="102" t="s">
        <v>11</v>
      </c>
      <c r="F2635" s="103" t="s">
        <v>51</v>
      </c>
      <c r="G2635" s="93">
        <v>7585.99</v>
      </c>
      <c r="H2635" s="93">
        <v>29030.959999999999</v>
      </c>
      <c r="I2635" s="93">
        <v>2397.5457928860201</v>
      </c>
      <c r="J2635" s="93">
        <v>76831.17</v>
      </c>
      <c r="K2635" s="93">
        <v>17816.87</v>
      </c>
      <c r="L2635" s="93">
        <v>5172.38</v>
      </c>
      <c r="M2635" s="93">
        <v>213489.53</v>
      </c>
      <c r="N2635" s="95">
        <v>0.04</v>
      </c>
      <c r="O2635" s="95">
        <v>0.14000000000000001</v>
      </c>
      <c r="P2635" s="95">
        <v>0.37</v>
      </c>
      <c r="Q2635" s="95">
        <v>0.37</v>
      </c>
      <c r="R2635" s="104">
        <v>0.09</v>
      </c>
    </row>
    <row r="2636" spans="1:18" ht="15" hidden="1" customHeight="1" x14ac:dyDescent="0.3">
      <c r="A2636" s="101">
        <v>2024</v>
      </c>
      <c r="B2636" s="90">
        <v>4</v>
      </c>
      <c r="C2636" s="90" t="s">
        <v>725</v>
      </c>
      <c r="D2636" s="90" t="s">
        <v>722</v>
      </c>
      <c r="E2636" s="102" t="s">
        <v>11</v>
      </c>
      <c r="F2636" s="103" t="s">
        <v>45</v>
      </c>
      <c r="G2636" s="93">
        <v>3092.23</v>
      </c>
      <c r="H2636" s="93">
        <v>493.27</v>
      </c>
      <c r="I2636" s="93">
        <v>2397.5457928860201</v>
      </c>
      <c r="J2636" s="93">
        <v>2643.26</v>
      </c>
      <c r="K2636" s="93">
        <v>33.1</v>
      </c>
      <c r="L2636" s="93">
        <v>27375.46</v>
      </c>
      <c r="M2636" s="93">
        <v>37201.08</v>
      </c>
      <c r="N2636" s="95">
        <v>0.31</v>
      </c>
      <c r="O2636" s="95">
        <v>0.05</v>
      </c>
      <c r="P2636" s="95">
        <v>0.36</v>
      </c>
      <c r="Q2636" s="95">
        <v>0.27</v>
      </c>
      <c r="R2636" s="104">
        <v>0</v>
      </c>
    </row>
    <row r="2637" spans="1:18" ht="15" hidden="1" customHeight="1" x14ac:dyDescent="0.3">
      <c r="A2637" s="101">
        <v>2024</v>
      </c>
      <c r="B2637" s="90">
        <v>4</v>
      </c>
      <c r="C2637" s="90" t="s">
        <v>725</v>
      </c>
      <c r="D2637" s="90" t="s">
        <v>722</v>
      </c>
      <c r="E2637" s="102" t="s">
        <v>11</v>
      </c>
      <c r="F2637" s="103" t="s">
        <v>721</v>
      </c>
      <c r="G2637" s="93">
        <v>1101.51</v>
      </c>
      <c r="H2637" s="93">
        <v>1503.6</v>
      </c>
      <c r="I2637" s="93">
        <v>2397.5457928860201</v>
      </c>
      <c r="J2637" s="93">
        <v>2678.35</v>
      </c>
      <c r="K2637" s="93">
        <v>1590.04</v>
      </c>
      <c r="L2637" s="93">
        <v>591256.05000000005</v>
      </c>
      <c r="M2637" s="93">
        <v>600968.56000000006</v>
      </c>
      <c r="N2637" s="95">
        <v>0.11</v>
      </c>
      <c r="O2637" s="95">
        <v>0.15</v>
      </c>
      <c r="P2637" s="95">
        <v>0.28999999999999998</v>
      </c>
      <c r="Q2637" s="95">
        <v>0.28000000000000003</v>
      </c>
      <c r="R2637" s="104">
        <v>0.16</v>
      </c>
    </row>
    <row r="2638" spans="1:18" ht="15" hidden="1" customHeight="1" x14ac:dyDescent="0.3">
      <c r="A2638" s="101">
        <v>2024</v>
      </c>
      <c r="B2638" s="90">
        <v>4</v>
      </c>
      <c r="C2638" s="90" t="s">
        <v>725</v>
      </c>
      <c r="D2638" s="90" t="s">
        <v>722</v>
      </c>
      <c r="E2638" s="102" t="s">
        <v>11</v>
      </c>
      <c r="F2638" s="103" t="s">
        <v>46</v>
      </c>
      <c r="G2638" s="93">
        <v>20352.23</v>
      </c>
      <c r="H2638" s="93">
        <v>68448.899999999994</v>
      </c>
      <c r="I2638" s="93">
        <v>2397.5457928860201</v>
      </c>
      <c r="J2638" s="93">
        <v>14605.77</v>
      </c>
      <c r="K2638" s="93">
        <v>3005</v>
      </c>
      <c r="L2638" s="93">
        <v>7209.4</v>
      </c>
      <c r="M2638" s="93">
        <v>153248.17000000001</v>
      </c>
      <c r="N2638" s="95">
        <v>0.14000000000000001</v>
      </c>
      <c r="O2638" s="95">
        <v>0.47</v>
      </c>
      <c r="P2638" s="95">
        <v>0.27</v>
      </c>
      <c r="Q2638" s="95">
        <v>0.1</v>
      </c>
      <c r="R2638" s="104">
        <v>0.02</v>
      </c>
    </row>
    <row r="2639" spans="1:18" ht="15" hidden="1" customHeight="1" x14ac:dyDescent="0.3">
      <c r="A2639" s="101">
        <v>2024</v>
      </c>
      <c r="B2639" s="90">
        <v>4</v>
      </c>
      <c r="C2639" s="90" t="s">
        <v>725</v>
      </c>
      <c r="D2639" s="90" t="s">
        <v>722</v>
      </c>
      <c r="E2639" s="102" t="s">
        <v>11</v>
      </c>
      <c r="F2639" s="103" t="s">
        <v>47</v>
      </c>
      <c r="G2639" s="93">
        <v>66775.14</v>
      </c>
      <c r="H2639" s="93">
        <v>398628.12</v>
      </c>
      <c r="I2639" s="93">
        <v>2397.5457928860201</v>
      </c>
      <c r="J2639" s="93">
        <v>183249.22</v>
      </c>
      <c r="K2639" s="93">
        <v>68588.960000000006</v>
      </c>
      <c r="L2639" s="93">
        <v>50220.15</v>
      </c>
      <c r="M2639" s="93">
        <v>1192385.83</v>
      </c>
      <c r="N2639" s="95">
        <v>0.06</v>
      </c>
      <c r="O2639" s="95">
        <v>0.35</v>
      </c>
      <c r="P2639" s="95">
        <v>0.37</v>
      </c>
      <c r="Q2639" s="95">
        <v>0.16</v>
      </c>
      <c r="R2639" s="104">
        <v>0.06</v>
      </c>
    </row>
    <row r="2640" spans="1:18" ht="15" hidden="1" customHeight="1" x14ac:dyDescent="0.3">
      <c r="A2640" s="101">
        <v>2024</v>
      </c>
      <c r="B2640" s="90">
        <v>4</v>
      </c>
      <c r="C2640" s="90" t="s">
        <v>725</v>
      </c>
      <c r="D2640" s="90" t="s">
        <v>722</v>
      </c>
      <c r="E2640" s="102" t="s">
        <v>11</v>
      </c>
      <c r="F2640" s="103" t="s">
        <v>48</v>
      </c>
      <c r="G2640" s="93">
        <v>1642.61</v>
      </c>
      <c r="H2640" s="93">
        <v>1147.07</v>
      </c>
      <c r="I2640" s="93">
        <v>2397.5457928860201</v>
      </c>
      <c r="J2640" s="93">
        <v>7523.36</v>
      </c>
      <c r="K2640" s="93">
        <v>7487.06</v>
      </c>
      <c r="L2640" s="93">
        <v>147793.96</v>
      </c>
      <c r="M2640" s="93">
        <v>168062.03</v>
      </c>
      <c r="N2640" s="95">
        <v>0.08</v>
      </c>
      <c r="O2640" s="95">
        <v>0.06</v>
      </c>
      <c r="P2640" s="95">
        <v>0.12</v>
      </c>
      <c r="Q2640" s="95">
        <v>0.37</v>
      </c>
      <c r="R2640" s="104">
        <v>0.37</v>
      </c>
    </row>
    <row r="2641" spans="1:18" ht="15" hidden="1" customHeight="1" x14ac:dyDescent="0.3">
      <c r="A2641" s="101">
        <v>2024</v>
      </c>
      <c r="B2641" s="90">
        <v>5</v>
      </c>
      <c r="C2641" s="90" t="s">
        <v>726</v>
      </c>
      <c r="D2641" s="90" t="s">
        <v>719</v>
      </c>
      <c r="E2641" s="102" t="s">
        <v>11</v>
      </c>
      <c r="F2641" s="103" t="s">
        <v>12</v>
      </c>
      <c r="G2641" s="93">
        <v>6194.68</v>
      </c>
      <c r="H2641" s="93">
        <v>22840.42</v>
      </c>
      <c r="I2641" s="93">
        <v>2397.5457928860201</v>
      </c>
      <c r="J2641" s="93">
        <v>217151.05</v>
      </c>
      <c r="K2641" s="93">
        <v>56136.79</v>
      </c>
      <c r="L2641" s="93">
        <v>5905.36</v>
      </c>
      <c r="M2641" s="93">
        <v>387719.25</v>
      </c>
      <c r="N2641" s="95">
        <v>0.02</v>
      </c>
      <c r="O2641" s="95">
        <v>0.06</v>
      </c>
      <c r="P2641" s="95">
        <v>0.21</v>
      </c>
      <c r="Q2641" s="95">
        <v>0.56999999999999995</v>
      </c>
      <c r="R2641" s="104">
        <v>0.15</v>
      </c>
    </row>
    <row r="2642" spans="1:18" ht="15" hidden="1" customHeight="1" x14ac:dyDescent="0.3">
      <c r="A2642" s="101">
        <v>2024</v>
      </c>
      <c r="B2642" s="90">
        <v>5</v>
      </c>
      <c r="C2642" s="90" t="s">
        <v>726</v>
      </c>
      <c r="D2642" s="90" t="s">
        <v>719</v>
      </c>
      <c r="E2642" s="102" t="s">
        <v>11</v>
      </c>
      <c r="F2642" s="103" t="s">
        <v>26</v>
      </c>
      <c r="G2642" s="93">
        <v>109018.7</v>
      </c>
      <c r="H2642" s="93">
        <v>174286.7</v>
      </c>
      <c r="I2642" s="93">
        <v>2397.5457928860201</v>
      </c>
      <c r="J2642" s="93">
        <v>313200.90999999997</v>
      </c>
      <c r="K2642" s="93">
        <v>46667.25</v>
      </c>
      <c r="L2642" s="93">
        <v>11797.39</v>
      </c>
      <c r="M2642" s="93">
        <v>1048104</v>
      </c>
      <c r="N2642" s="95">
        <v>0.11</v>
      </c>
      <c r="O2642" s="95">
        <v>0.17</v>
      </c>
      <c r="P2642" s="95">
        <v>0.38</v>
      </c>
      <c r="Q2642" s="95">
        <v>0.3</v>
      </c>
      <c r="R2642" s="104">
        <v>0.05</v>
      </c>
    </row>
    <row r="2643" spans="1:18" ht="15" hidden="1" customHeight="1" x14ac:dyDescent="0.3">
      <c r="A2643" s="101">
        <v>2024</v>
      </c>
      <c r="B2643" s="90">
        <v>5</v>
      </c>
      <c r="C2643" s="90" t="s">
        <v>726</v>
      </c>
      <c r="D2643" s="90" t="s">
        <v>719</v>
      </c>
      <c r="E2643" s="102" t="s">
        <v>11</v>
      </c>
      <c r="F2643" s="103" t="s">
        <v>27</v>
      </c>
      <c r="G2643" s="93">
        <v>596.77</v>
      </c>
      <c r="H2643" s="93">
        <v>5679.83</v>
      </c>
      <c r="I2643" s="93">
        <v>2397.5457928860201</v>
      </c>
      <c r="J2643" s="93">
        <v>116743.03999999999</v>
      </c>
      <c r="K2643" s="93">
        <v>57356.06</v>
      </c>
      <c r="L2643" s="93">
        <v>184636.23</v>
      </c>
      <c r="M2643" s="93">
        <v>400105.47</v>
      </c>
      <c r="N2643" s="95">
        <v>0</v>
      </c>
      <c r="O2643" s="95">
        <v>0.03</v>
      </c>
      <c r="P2643" s="95">
        <v>0.16</v>
      </c>
      <c r="Q2643" s="95">
        <v>0.54</v>
      </c>
      <c r="R2643" s="104">
        <v>0.27</v>
      </c>
    </row>
    <row r="2644" spans="1:18" ht="15" hidden="1" customHeight="1" x14ac:dyDescent="0.3">
      <c r="A2644" s="101">
        <v>2024</v>
      </c>
      <c r="B2644" s="90">
        <v>5</v>
      </c>
      <c r="C2644" s="90" t="s">
        <v>726</v>
      </c>
      <c r="D2644" s="90" t="s">
        <v>719</v>
      </c>
      <c r="E2644" s="102" t="s">
        <v>11</v>
      </c>
      <c r="F2644" s="103" t="s">
        <v>28</v>
      </c>
      <c r="G2644" s="93">
        <v>2549.13</v>
      </c>
      <c r="H2644" s="93">
        <v>8614.14</v>
      </c>
      <c r="I2644" s="93">
        <v>2397.5457928860201</v>
      </c>
      <c r="J2644" s="93">
        <v>210863.6</v>
      </c>
      <c r="K2644" s="93">
        <v>117042.45</v>
      </c>
      <c r="L2644" s="93">
        <v>85960.05</v>
      </c>
      <c r="M2644" s="93">
        <v>455359.01</v>
      </c>
      <c r="N2644" s="95">
        <v>0.01</v>
      </c>
      <c r="O2644" s="95">
        <v>0.02</v>
      </c>
      <c r="P2644" s="95">
        <v>0.08</v>
      </c>
      <c r="Q2644" s="95">
        <v>0.56999999999999995</v>
      </c>
      <c r="R2644" s="104">
        <v>0.32</v>
      </c>
    </row>
    <row r="2645" spans="1:18" ht="15" customHeight="1" x14ac:dyDescent="0.3">
      <c r="A2645" s="101">
        <v>2024</v>
      </c>
      <c r="B2645" s="90">
        <v>5</v>
      </c>
      <c r="C2645" s="90" t="s">
        <v>726</v>
      </c>
      <c r="D2645" s="90" t="s">
        <v>719</v>
      </c>
      <c r="E2645" s="102" t="s">
        <v>11</v>
      </c>
      <c r="F2645" s="103" t="s">
        <v>29</v>
      </c>
      <c r="G2645" s="93">
        <v>11880.25</v>
      </c>
      <c r="H2645" s="93">
        <v>33871.65</v>
      </c>
      <c r="I2645" s="93">
        <v>2397.5457928860201</v>
      </c>
      <c r="J2645" s="93">
        <v>107546.17</v>
      </c>
      <c r="K2645" s="93">
        <v>17124.330000000002</v>
      </c>
      <c r="L2645" s="93">
        <v>24507.85</v>
      </c>
      <c r="M2645" s="93">
        <v>285331.05</v>
      </c>
      <c r="N2645" s="95">
        <v>0.05</v>
      </c>
      <c r="O2645" s="95">
        <v>0.13</v>
      </c>
      <c r="P2645" s="95">
        <v>0.35</v>
      </c>
      <c r="Q2645" s="95">
        <v>0.41</v>
      </c>
      <c r="R2645" s="104">
        <v>7.0000000000000007E-2</v>
      </c>
    </row>
    <row r="2646" spans="1:18" ht="15" hidden="1" customHeight="1" x14ac:dyDescent="0.3">
      <c r="A2646" s="101">
        <v>2024</v>
      </c>
      <c r="B2646" s="90">
        <v>5</v>
      </c>
      <c r="C2646" s="90" t="s">
        <v>726</v>
      </c>
      <c r="D2646" s="90" t="s">
        <v>719</v>
      </c>
      <c r="E2646" s="102" t="s">
        <v>11</v>
      </c>
      <c r="F2646" s="103" t="s">
        <v>30</v>
      </c>
      <c r="G2646" s="93">
        <v>202.68</v>
      </c>
      <c r="H2646" s="93">
        <v>1475.53</v>
      </c>
      <c r="I2646" s="93">
        <v>2397.5457928860201</v>
      </c>
      <c r="J2646" s="93">
        <v>7186.26</v>
      </c>
      <c r="K2646" s="93">
        <v>2296.5300000000002</v>
      </c>
      <c r="L2646" s="93">
        <v>669011.88</v>
      </c>
      <c r="M2646" s="93">
        <v>683399.72</v>
      </c>
      <c r="N2646" s="95">
        <v>0.01</v>
      </c>
      <c r="O2646" s="95">
        <v>0.1</v>
      </c>
      <c r="P2646" s="95">
        <v>0.22</v>
      </c>
      <c r="Q2646" s="95">
        <v>0.5</v>
      </c>
      <c r="R2646" s="104">
        <v>0.16</v>
      </c>
    </row>
    <row r="2647" spans="1:18" ht="15" hidden="1" customHeight="1" x14ac:dyDescent="0.3">
      <c r="A2647" s="101">
        <v>2024</v>
      </c>
      <c r="B2647" s="90">
        <v>5</v>
      </c>
      <c r="C2647" s="90" t="s">
        <v>726</v>
      </c>
      <c r="D2647" s="90" t="s">
        <v>719</v>
      </c>
      <c r="E2647" s="102" t="s">
        <v>11</v>
      </c>
      <c r="F2647" s="103" t="s">
        <v>31</v>
      </c>
      <c r="G2647" s="93">
        <v>3636.97</v>
      </c>
      <c r="H2647" s="93">
        <v>67833.960000000006</v>
      </c>
      <c r="I2647" s="93">
        <v>2397.5457928860201</v>
      </c>
      <c r="J2647" s="93">
        <v>39699.879999999997</v>
      </c>
      <c r="K2647" s="93">
        <v>10558.56</v>
      </c>
      <c r="L2647" s="93">
        <v>44354.74</v>
      </c>
      <c r="M2647" s="93">
        <v>251524.57</v>
      </c>
      <c r="N2647" s="95">
        <v>0.02</v>
      </c>
      <c r="O2647" s="95">
        <v>0.33</v>
      </c>
      <c r="P2647" s="95">
        <v>0.41</v>
      </c>
      <c r="Q2647" s="95">
        <v>0.19</v>
      </c>
      <c r="R2647" s="104">
        <v>0.05</v>
      </c>
    </row>
    <row r="2648" spans="1:18" ht="15" hidden="1" customHeight="1" x14ac:dyDescent="0.3">
      <c r="A2648" s="101">
        <v>2024</v>
      </c>
      <c r="B2648" s="90">
        <v>5</v>
      </c>
      <c r="C2648" s="90" t="s">
        <v>726</v>
      </c>
      <c r="D2648" s="90" t="s">
        <v>719</v>
      </c>
      <c r="E2648" s="102" t="s">
        <v>11</v>
      </c>
      <c r="F2648" s="103" t="s">
        <v>32</v>
      </c>
      <c r="G2648" s="93">
        <v>8546.82</v>
      </c>
      <c r="H2648" s="93">
        <v>37626.47</v>
      </c>
      <c r="I2648" s="93">
        <v>2397.5457928860201</v>
      </c>
      <c r="J2648" s="93">
        <v>241292.88</v>
      </c>
      <c r="K2648" s="93">
        <v>82735.210000000006</v>
      </c>
      <c r="L2648" s="93">
        <v>1527.01</v>
      </c>
      <c r="M2648" s="93">
        <v>516079.33</v>
      </c>
      <c r="N2648" s="95">
        <v>0.02</v>
      </c>
      <c r="O2648" s="95">
        <v>7.0000000000000007E-2</v>
      </c>
      <c r="P2648" s="95">
        <v>0.28000000000000003</v>
      </c>
      <c r="Q2648" s="95">
        <v>0.47</v>
      </c>
      <c r="R2648" s="104">
        <v>0.16</v>
      </c>
    </row>
    <row r="2649" spans="1:18" ht="15" hidden="1" customHeight="1" x14ac:dyDescent="0.3">
      <c r="A2649" s="101">
        <v>2024</v>
      </c>
      <c r="B2649" s="90">
        <v>5</v>
      </c>
      <c r="C2649" s="90" t="s">
        <v>726</v>
      </c>
      <c r="D2649" s="90" t="s">
        <v>719</v>
      </c>
      <c r="E2649" s="102" t="s">
        <v>11</v>
      </c>
      <c r="F2649" s="103" t="s">
        <v>33</v>
      </c>
      <c r="G2649" s="93">
        <v>93196.68</v>
      </c>
      <c r="H2649" s="93">
        <v>324068.2</v>
      </c>
      <c r="I2649" s="93">
        <v>2397.5457928860201</v>
      </c>
      <c r="J2649" s="93">
        <v>261055.85</v>
      </c>
      <c r="K2649" s="93">
        <v>13121.04</v>
      </c>
      <c r="L2649" s="93">
        <v>41920.31</v>
      </c>
      <c r="M2649" s="93">
        <v>1293209.02</v>
      </c>
      <c r="N2649" s="95">
        <v>7.0000000000000007E-2</v>
      </c>
      <c r="O2649" s="95">
        <v>0.26</v>
      </c>
      <c r="P2649" s="95">
        <v>0.45</v>
      </c>
      <c r="Q2649" s="95">
        <v>0.21</v>
      </c>
      <c r="R2649" s="104">
        <v>0.01</v>
      </c>
    </row>
    <row r="2650" spans="1:18" ht="15" hidden="1" customHeight="1" x14ac:dyDescent="0.3">
      <c r="A2650" s="101">
        <v>2024</v>
      </c>
      <c r="B2650" s="90">
        <v>5</v>
      </c>
      <c r="C2650" s="90" t="s">
        <v>726</v>
      </c>
      <c r="D2650" s="90" t="s">
        <v>719</v>
      </c>
      <c r="E2650" s="102" t="s">
        <v>11</v>
      </c>
      <c r="F2650" s="103" t="s">
        <v>34</v>
      </c>
      <c r="G2650" s="93">
        <v>16108.79</v>
      </c>
      <c r="H2650" s="93">
        <v>38782.410000000003</v>
      </c>
      <c r="I2650" s="93">
        <v>2397.5457928860201</v>
      </c>
      <c r="J2650" s="93">
        <v>347439.48</v>
      </c>
      <c r="K2650" s="93">
        <v>86575.37</v>
      </c>
      <c r="L2650" s="93">
        <v>3918.91</v>
      </c>
      <c r="M2650" s="93">
        <v>660137.91</v>
      </c>
      <c r="N2650" s="95">
        <v>0.02</v>
      </c>
      <c r="O2650" s="95">
        <v>0.06</v>
      </c>
      <c r="P2650" s="95">
        <v>0.25</v>
      </c>
      <c r="Q2650" s="95">
        <v>0.53</v>
      </c>
      <c r="R2650" s="104">
        <v>0.13</v>
      </c>
    </row>
    <row r="2651" spans="1:18" ht="15" hidden="1" customHeight="1" x14ac:dyDescent="0.3">
      <c r="A2651" s="101">
        <v>2024</v>
      </c>
      <c r="B2651" s="90">
        <v>5</v>
      </c>
      <c r="C2651" s="90" t="s">
        <v>726</v>
      </c>
      <c r="D2651" s="90" t="s">
        <v>719</v>
      </c>
      <c r="E2651" s="102" t="s">
        <v>11</v>
      </c>
      <c r="F2651" s="103" t="s">
        <v>35</v>
      </c>
      <c r="G2651" s="93">
        <v>20321.86</v>
      </c>
      <c r="H2651" s="93">
        <v>73833.95</v>
      </c>
      <c r="I2651" s="93">
        <v>2397.5457928860201</v>
      </c>
      <c r="J2651" s="93">
        <v>126278.22</v>
      </c>
      <c r="K2651" s="93">
        <v>34770.61</v>
      </c>
      <c r="L2651" s="93">
        <v>70019.41</v>
      </c>
      <c r="M2651" s="93">
        <v>437814.77</v>
      </c>
      <c r="N2651" s="95">
        <v>0.06</v>
      </c>
      <c r="O2651" s="95">
        <v>0.2</v>
      </c>
      <c r="P2651" s="95">
        <v>0.31</v>
      </c>
      <c r="Q2651" s="95">
        <v>0.34</v>
      </c>
      <c r="R2651" s="104">
        <v>0.09</v>
      </c>
    </row>
    <row r="2652" spans="1:18" ht="15" hidden="1" customHeight="1" x14ac:dyDescent="0.3">
      <c r="A2652" s="101">
        <v>2024</v>
      </c>
      <c r="B2652" s="90">
        <v>5</v>
      </c>
      <c r="C2652" s="90" t="s">
        <v>726</v>
      </c>
      <c r="D2652" s="90" t="s">
        <v>719</v>
      </c>
      <c r="E2652" s="102" t="s">
        <v>11</v>
      </c>
      <c r="F2652" s="103" t="s">
        <v>36</v>
      </c>
      <c r="G2652" s="93">
        <v>5108.5</v>
      </c>
      <c r="H2652" s="93">
        <v>26632.21</v>
      </c>
      <c r="I2652" s="93">
        <v>2397.5457928860201</v>
      </c>
      <c r="J2652" s="93">
        <v>81397.81</v>
      </c>
      <c r="K2652" s="93">
        <v>20634.73</v>
      </c>
      <c r="L2652" s="93">
        <v>74895.289999999994</v>
      </c>
      <c r="M2652" s="93">
        <v>291013.64</v>
      </c>
      <c r="N2652" s="95">
        <v>0.02</v>
      </c>
      <c r="O2652" s="95">
        <v>0.12</v>
      </c>
      <c r="P2652" s="95">
        <v>0.38</v>
      </c>
      <c r="Q2652" s="95">
        <v>0.38</v>
      </c>
      <c r="R2652" s="104">
        <v>0.1</v>
      </c>
    </row>
    <row r="2653" spans="1:18" ht="15" hidden="1" customHeight="1" x14ac:dyDescent="0.3">
      <c r="A2653" s="101">
        <v>2024</v>
      </c>
      <c r="B2653" s="90">
        <v>5</v>
      </c>
      <c r="C2653" s="90" t="s">
        <v>726</v>
      </c>
      <c r="D2653" s="90" t="s">
        <v>719</v>
      </c>
      <c r="E2653" s="102" t="s">
        <v>11</v>
      </c>
      <c r="F2653" s="103" t="s">
        <v>37</v>
      </c>
      <c r="G2653" s="93">
        <v>11946.32</v>
      </c>
      <c r="H2653" s="93">
        <v>43171.9</v>
      </c>
      <c r="I2653" s="93">
        <v>2397.5457928860201</v>
      </c>
      <c r="J2653" s="93">
        <v>163543.6</v>
      </c>
      <c r="K2653" s="93">
        <v>21767.97</v>
      </c>
      <c r="L2653" s="93">
        <v>306182.84999999998</v>
      </c>
      <c r="M2653" s="93">
        <v>669191.73</v>
      </c>
      <c r="N2653" s="95">
        <v>0.03</v>
      </c>
      <c r="O2653" s="95">
        <v>0.12</v>
      </c>
      <c r="P2653" s="95">
        <v>0.34</v>
      </c>
      <c r="Q2653" s="95">
        <v>0.45</v>
      </c>
      <c r="R2653" s="104">
        <v>0.06</v>
      </c>
    </row>
    <row r="2654" spans="1:18" ht="15" hidden="1" customHeight="1" x14ac:dyDescent="0.3">
      <c r="A2654" s="101">
        <v>2024</v>
      </c>
      <c r="B2654" s="90">
        <v>5</v>
      </c>
      <c r="C2654" s="90" t="s">
        <v>726</v>
      </c>
      <c r="D2654" s="90" t="s">
        <v>719</v>
      </c>
      <c r="E2654" s="102" t="s">
        <v>11</v>
      </c>
      <c r="F2654" s="103" t="s">
        <v>38</v>
      </c>
      <c r="G2654" s="93">
        <v>50826.81</v>
      </c>
      <c r="H2654" s="93">
        <v>59151.16</v>
      </c>
      <c r="I2654" s="93">
        <v>2397.5457928860201</v>
      </c>
      <c r="J2654" s="93">
        <v>375289.47</v>
      </c>
      <c r="K2654" s="93">
        <v>122080.78</v>
      </c>
      <c r="L2654" s="93">
        <v>21337.3</v>
      </c>
      <c r="M2654" s="93">
        <v>765163.58</v>
      </c>
      <c r="N2654" s="95">
        <v>7.0000000000000007E-2</v>
      </c>
      <c r="O2654" s="95">
        <v>0.08</v>
      </c>
      <c r="P2654" s="95">
        <v>0.18</v>
      </c>
      <c r="Q2654" s="95">
        <v>0.5</v>
      </c>
      <c r="R2654" s="104">
        <v>0.16</v>
      </c>
    </row>
    <row r="2655" spans="1:18" ht="15" hidden="1" customHeight="1" x14ac:dyDescent="0.3">
      <c r="A2655" s="101">
        <v>2024</v>
      </c>
      <c r="B2655" s="90">
        <v>5</v>
      </c>
      <c r="C2655" s="90" t="s">
        <v>726</v>
      </c>
      <c r="D2655" s="90" t="s">
        <v>719</v>
      </c>
      <c r="E2655" s="102" t="s">
        <v>11</v>
      </c>
      <c r="F2655" s="103" t="s">
        <v>39</v>
      </c>
      <c r="G2655" s="93">
        <v>2040.37</v>
      </c>
      <c r="H2655" s="93">
        <v>28537.99</v>
      </c>
      <c r="I2655" s="93">
        <v>2397.5457928860201</v>
      </c>
      <c r="J2655" s="93">
        <v>147332.85999999999</v>
      </c>
      <c r="K2655" s="93">
        <v>12449.29</v>
      </c>
      <c r="L2655" s="93">
        <v>42765.45</v>
      </c>
      <c r="M2655" s="93">
        <v>341744.09</v>
      </c>
      <c r="N2655" s="95">
        <v>0.01</v>
      </c>
      <c r="O2655" s="95">
        <v>0.1</v>
      </c>
      <c r="P2655" s="95">
        <v>0.36</v>
      </c>
      <c r="Q2655" s="95">
        <v>0.49</v>
      </c>
      <c r="R2655" s="104">
        <v>0.04</v>
      </c>
    </row>
    <row r="2656" spans="1:18" ht="15" hidden="1" customHeight="1" x14ac:dyDescent="0.3">
      <c r="A2656" s="101">
        <v>2024</v>
      </c>
      <c r="B2656" s="90">
        <v>5</v>
      </c>
      <c r="C2656" s="90" t="s">
        <v>726</v>
      </c>
      <c r="D2656" s="90" t="s">
        <v>719</v>
      </c>
      <c r="E2656" s="102" t="s">
        <v>11</v>
      </c>
      <c r="F2656" s="103" t="s">
        <v>40</v>
      </c>
      <c r="G2656" s="93">
        <v>4804.04</v>
      </c>
      <c r="H2656" s="93">
        <v>15387.85</v>
      </c>
      <c r="I2656" s="93">
        <v>2397.5457928860201</v>
      </c>
      <c r="J2656" s="93">
        <v>156442.99</v>
      </c>
      <c r="K2656" s="93">
        <v>87227.02</v>
      </c>
      <c r="L2656" s="93">
        <v>44744</v>
      </c>
      <c r="M2656" s="93">
        <v>365371.54</v>
      </c>
      <c r="N2656" s="95">
        <v>0.01</v>
      </c>
      <c r="O2656" s="95">
        <v>0.05</v>
      </c>
      <c r="P2656" s="95">
        <v>0.18</v>
      </c>
      <c r="Q2656" s="95">
        <v>0.49</v>
      </c>
      <c r="R2656" s="104">
        <v>0.27</v>
      </c>
    </row>
    <row r="2657" spans="1:18" ht="15" hidden="1" customHeight="1" x14ac:dyDescent="0.3">
      <c r="A2657" s="101">
        <v>2024</v>
      </c>
      <c r="B2657" s="90">
        <v>5</v>
      </c>
      <c r="C2657" s="90" t="s">
        <v>726</v>
      </c>
      <c r="D2657" s="90" t="s">
        <v>719</v>
      </c>
      <c r="E2657" s="102" t="s">
        <v>11</v>
      </c>
      <c r="F2657" s="103" t="s">
        <v>41</v>
      </c>
      <c r="G2657" s="93">
        <v>2237.9899999999998</v>
      </c>
      <c r="H2657" s="93">
        <v>5706.26</v>
      </c>
      <c r="I2657" s="93">
        <v>2397.5457928860201</v>
      </c>
      <c r="J2657" s="93">
        <v>4018.11</v>
      </c>
      <c r="K2657" s="93">
        <v>1045.44</v>
      </c>
      <c r="L2657" s="93">
        <v>856190.56</v>
      </c>
      <c r="M2657" s="93">
        <v>874823.28</v>
      </c>
      <c r="N2657" s="95">
        <v>0.12</v>
      </c>
      <c r="O2657" s="95">
        <v>0.31</v>
      </c>
      <c r="P2657" s="95">
        <v>0.3</v>
      </c>
      <c r="Q2657" s="95">
        <v>0.22</v>
      </c>
      <c r="R2657" s="104">
        <v>0.06</v>
      </c>
    </row>
    <row r="2658" spans="1:18" ht="15" hidden="1" customHeight="1" x14ac:dyDescent="0.3">
      <c r="A2658" s="101">
        <v>2024</v>
      </c>
      <c r="B2658" s="90">
        <v>5</v>
      </c>
      <c r="C2658" s="90" t="s">
        <v>726</v>
      </c>
      <c r="D2658" s="90" t="s">
        <v>719</v>
      </c>
      <c r="E2658" s="102" t="s">
        <v>11</v>
      </c>
      <c r="F2658" s="103" t="s">
        <v>42</v>
      </c>
      <c r="G2658" s="93">
        <v>3709.46</v>
      </c>
      <c r="H2658" s="93">
        <v>23201.439999999999</v>
      </c>
      <c r="I2658" s="93">
        <v>2397.5457928860201</v>
      </c>
      <c r="J2658" s="93">
        <v>273890.71999999997</v>
      </c>
      <c r="K2658" s="93">
        <v>45816</v>
      </c>
      <c r="L2658" s="93">
        <v>2671.93</v>
      </c>
      <c r="M2658" s="93">
        <v>437437.23</v>
      </c>
      <c r="N2658" s="95">
        <v>0.01</v>
      </c>
      <c r="O2658" s="95">
        <v>0.05</v>
      </c>
      <c r="P2658" s="95">
        <v>0.2</v>
      </c>
      <c r="Q2658" s="95">
        <v>0.63</v>
      </c>
      <c r="R2658" s="104">
        <v>0.11</v>
      </c>
    </row>
    <row r="2659" spans="1:18" ht="15" hidden="1" customHeight="1" x14ac:dyDescent="0.3">
      <c r="A2659" s="101">
        <v>2024</v>
      </c>
      <c r="B2659" s="90">
        <v>5</v>
      </c>
      <c r="C2659" s="90" t="s">
        <v>726</v>
      </c>
      <c r="D2659" s="90" t="s">
        <v>719</v>
      </c>
      <c r="E2659" s="102" t="s">
        <v>11</v>
      </c>
      <c r="F2659" s="103" t="s">
        <v>43</v>
      </c>
      <c r="G2659" s="93">
        <v>2396.4899999999998</v>
      </c>
      <c r="H2659" s="93">
        <v>28940.3</v>
      </c>
      <c r="I2659" s="93">
        <v>2397.5457928860201</v>
      </c>
      <c r="J2659" s="93">
        <v>11181.04</v>
      </c>
      <c r="K2659" s="93">
        <v>2123.7199999999998</v>
      </c>
      <c r="L2659" s="93">
        <v>61465.7</v>
      </c>
      <c r="M2659" s="93">
        <v>131211.17000000001</v>
      </c>
      <c r="N2659" s="95">
        <v>0.03</v>
      </c>
      <c r="O2659" s="95">
        <v>0.41</v>
      </c>
      <c r="P2659" s="95">
        <v>0.36</v>
      </c>
      <c r="Q2659" s="95">
        <v>0.16</v>
      </c>
      <c r="R2659" s="104">
        <v>0.03</v>
      </c>
    </row>
    <row r="2660" spans="1:18" ht="15" hidden="1" customHeight="1" x14ac:dyDescent="0.3">
      <c r="A2660" s="101">
        <v>2024</v>
      </c>
      <c r="B2660" s="90">
        <v>5</v>
      </c>
      <c r="C2660" s="90" t="s">
        <v>726</v>
      </c>
      <c r="D2660" s="90" t="s">
        <v>719</v>
      </c>
      <c r="E2660" s="102" t="s">
        <v>11</v>
      </c>
      <c r="F2660" s="103" t="s">
        <v>58</v>
      </c>
      <c r="G2660" s="93">
        <v>1916.52</v>
      </c>
      <c r="H2660" s="93">
        <v>4706.04</v>
      </c>
      <c r="I2660" s="93">
        <v>2397.5457928860201</v>
      </c>
      <c r="J2660" s="93">
        <v>211715.1</v>
      </c>
      <c r="K2660" s="93">
        <v>111636.74</v>
      </c>
      <c r="L2660" s="93">
        <v>36617.22</v>
      </c>
      <c r="M2660" s="93">
        <v>404030.01</v>
      </c>
      <c r="N2660" s="95">
        <v>0.01</v>
      </c>
      <c r="O2660" s="95">
        <v>0.01</v>
      </c>
      <c r="P2660" s="95">
        <v>0.1</v>
      </c>
      <c r="Q2660" s="95">
        <v>0.57999999999999996</v>
      </c>
      <c r="R2660" s="104">
        <v>0.3</v>
      </c>
    </row>
    <row r="2661" spans="1:18" ht="15" hidden="1" customHeight="1" x14ac:dyDescent="0.3">
      <c r="A2661" s="101">
        <v>2024</v>
      </c>
      <c r="B2661" s="90">
        <v>5</v>
      </c>
      <c r="C2661" s="90" t="s">
        <v>726</v>
      </c>
      <c r="D2661" s="90" t="s">
        <v>719</v>
      </c>
      <c r="E2661" s="102" t="s">
        <v>11</v>
      </c>
      <c r="F2661" s="103" t="s">
        <v>44</v>
      </c>
      <c r="G2661" s="93">
        <v>5658.26</v>
      </c>
      <c r="H2661" s="93">
        <v>16306.85</v>
      </c>
      <c r="I2661" s="93">
        <v>2397.5457928860201</v>
      </c>
      <c r="J2661" s="93">
        <v>75301.56</v>
      </c>
      <c r="K2661" s="93">
        <v>26796.880000000001</v>
      </c>
      <c r="L2661" s="93">
        <v>101441.21</v>
      </c>
      <c r="M2661" s="93">
        <v>268124.21999999997</v>
      </c>
      <c r="N2661" s="95">
        <v>0.03</v>
      </c>
      <c r="O2661" s="95">
        <v>0.1</v>
      </c>
      <c r="P2661" s="95">
        <v>0.26</v>
      </c>
      <c r="Q2661" s="95">
        <v>0.45</v>
      </c>
      <c r="R2661" s="104">
        <v>0.16</v>
      </c>
    </row>
    <row r="2662" spans="1:18" ht="15" hidden="1" customHeight="1" x14ac:dyDescent="0.3">
      <c r="A2662" s="101">
        <v>2024</v>
      </c>
      <c r="B2662" s="90">
        <v>5</v>
      </c>
      <c r="C2662" s="90" t="s">
        <v>726</v>
      </c>
      <c r="D2662" s="90" t="s">
        <v>719</v>
      </c>
      <c r="E2662" s="102" t="s">
        <v>11</v>
      </c>
      <c r="F2662" s="103" t="s">
        <v>51</v>
      </c>
      <c r="G2662" s="93">
        <v>6708.95</v>
      </c>
      <c r="H2662" s="93">
        <v>20354.82</v>
      </c>
      <c r="I2662" s="93">
        <v>2397.5457928860201</v>
      </c>
      <c r="J2662" s="93">
        <v>81964.66</v>
      </c>
      <c r="K2662" s="93">
        <v>43618.68</v>
      </c>
      <c r="L2662" s="93">
        <v>5443.77</v>
      </c>
      <c r="M2662" s="93">
        <v>215940.4</v>
      </c>
      <c r="N2662" s="95">
        <v>0.03</v>
      </c>
      <c r="O2662" s="95">
        <v>0.1</v>
      </c>
      <c r="P2662" s="95">
        <v>0.27</v>
      </c>
      <c r="Q2662" s="95">
        <v>0.39</v>
      </c>
      <c r="R2662" s="104">
        <v>0.21</v>
      </c>
    </row>
    <row r="2663" spans="1:18" ht="15" hidden="1" customHeight="1" x14ac:dyDescent="0.3">
      <c r="A2663" s="101">
        <v>2024</v>
      </c>
      <c r="B2663" s="90">
        <v>5</v>
      </c>
      <c r="C2663" s="90" t="s">
        <v>726</v>
      </c>
      <c r="D2663" s="90" t="s">
        <v>719</v>
      </c>
      <c r="E2663" s="102" t="s">
        <v>11</v>
      </c>
      <c r="F2663" s="103" t="s">
        <v>45</v>
      </c>
      <c r="G2663" s="93">
        <v>5213.42</v>
      </c>
      <c r="H2663" s="93">
        <v>11893.28</v>
      </c>
      <c r="I2663" s="93">
        <v>2397.5457928860201</v>
      </c>
      <c r="J2663" s="93">
        <v>34103.47</v>
      </c>
      <c r="K2663" s="93">
        <v>7744.37</v>
      </c>
      <c r="L2663" s="93">
        <v>27225.1</v>
      </c>
      <c r="M2663" s="93">
        <v>111013.96</v>
      </c>
      <c r="N2663" s="95">
        <v>0.06</v>
      </c>
      <c r="O2663" s="95">
        <v>0.14000000000000001</v>
      </c>
      <c r="P2663" s="95">
        <v>0.3</v>
      </c>
      <c r="Q2663" s="95">
        <v>0.41</v>
      </c>
      <c r="R2663" s="104">
        <v>0.09</v>
      </c>
    </row>
    <row r="2664" spans="1:18" ht="15" hidden="1" customHeight="1" x14ac:dyDescent="0.3">
      <c r="A2664" s="101">
        <v>2024</v>
      </c>
      <c r="B2664" s="90">
        <v>5</v>
      </c>
      <c r="C2664" s="90" t="s">
        <v>726</v>
      </c>
      <c r="D2664" s="90" t="s">
        <v>719</v>
      </c>
      <c r="E2664" s="102" t="s">
        <v>11</v>
      </c>
      <c r="F2664" s="103" t="s">
        <v>721</v>
      </c>
      <c r="G2664" s="93">
        <v>4719.95</v>
      </c>
      <c r="H2664" s="93">
        <v>24837.38</v>
      </c>
      <c r="I2664" s="93">
        <v>2397.5457928860201</v>
      </c>
      <c r="J2664" s="93">
        <v>140495.23000000001</v>
      </c>
      <c r="K2664" s="93">
        <v>64271.59</v>
      </c>
      <c r="L2664" s="93">
        <v>594325.91</v>
      </c>
      <c r="M2664" s="93">
        <v>903474.25</v>
      </c>
      <c r="N2664" s="95">
        <v>0.02</v>
      </c>
      <c r="O2664" s="95">
        <v>0.08</v>
      </c>
      <c r="P2664" s="95">
        <v>0.24</v>
      </c>
      <c r="Q2664" s="95">
        <v>0.45</v>
      </c>
      <c r="R2664" s="104">
        <v>0.21</v>
      </c>
    </row>
    <row r="2665" spans="1:18" ht="15" hidden="1" customHeight="1" x14ac:dyDescent="0.3">
      <c r="A2665" s="101">
        <v>2024</v>
      </c>
      <c r="B2665" s="90">
        <v>5</v>
      </c>
      <c r="C2665" s="90" t="s">
        <v>726</v>
      </c>
      <c r="D2665" s="90" t="s">
        <v>719</v>
      </c>
      <c r="E2665" s="102" t="s">
        <v>11</v>
      </c>
      <c r="F2665" s="103" t="s">
        <v>46</v>
      </c>
      <c r="G2665" s="93">
        <v>30892.41</v>
      </c>
      <c r="H2665" s="93">
        <v>62438.95</v>
      </c>
      <c r="I2665" s="93">
        <v>2397.5457928860201</v>
      </c>
      <c r="J2665" s="93">
        <v>16425.98</v>
      </c>
      <c r="K2665" s="93">
        <v>3363.1</v>
      </c>
      <c r="L2665" s="93">
        <v>1728.95</v>
      </c>
      <c r="M2665" s="93">
        <v>149248.47</v>
      </c>
      <c r="N2665" s="95">
        <v>0.21</v>
      </c>
      <c r="O2665" s="95">
        <v>0.42</v>
      </c>
      <c r="P2665" s="95">
        <v>0.23</v>
      </c>
      <c r="Q2665" s="95">
        <v>0.11</v>
      </c>
      <c r="R2665" s="104">
        <v>0.02</v>
      </c>
    </row>
    <row r="2666" spans="1:18" ht="15" hidden="1" customHeight="1" x14ac:dyDescent="0.3">
      <c r="A2666" s="101">
        <v>2024</v>
      </c>
      <c r="B2666" s="90">
        <v>5</v>
      </c>
      <c r="C2666" s="90" t="s">
        <v>726</v>
      </c>
      <c r="D2666" s="90" t="s">
        <v>719</v>
      </c>
      <c r="E2666" s="102" t="s">
        <v>11</v>
      </c>
      <c r="F2666" s="103" t="s">
        <v>47</v>
      </c>
      <c r="G2666" s="93">
        <v>24705.91</v>
      </c>
      <c r="H2666" s="93">
        <v>142329.20000000001</v>
      </c>
      <c r="I2666" s="93">
        <v>2397.5457928860201</v>
      </c>
      <c r="J2666" s="93">
        <v>311397.46999999997</v>
      </c>
      <c r="K2666" s="93">
        <v>66083.73</v>
      </c>
      <c r="L2666" s="93">
        <v>49738.35</v>
      </c>
      <c r="M2666" s="93">
        <v>1060298.6000000001</v>
      </c>
      <c r="N2666" s="95">
        <v>0.02</v>
      </c>
      <c r="O2666" s="95">
        <v>0.14000000000000001</v>
      </c>
      <c r="P2666" s="95">
        <v>0.46</v>
      </c>
      <c r="Q2666" s="95">
        <v>0.31</v>
      </c>
      <c r="R2666" s="104">
        <v>7.0000000000000007E-2</v>
      </c>
    </row>
    <row r="2667" spans="1:18" ht="15" hidden="1" customHeight="1" x14ac:dyDescent="0.3">
      <c r="A2667" s="101">
        <v>2024</v>
      </c>
      <c r="B2667" s="90">
        <v>5</v>
      </c>
      <c r="C2667" s="90" t="s">
        <v>726</v>
      </c>
      <c r="D2667" s="90" t="s">
        <v>719</v>
      </c>
      <c r="E2667" s="102" t="s">
        <v>11</v>
      </c>
      <c r="F2667" s="103" t="s">
        <v>48</v>
      </c>
      <c r="G2667" s="93">
        <v>1725.61</v>
      </c>
      <c r="H2667" s="93">
        <v>5142.42</v>
      </c>
      <c r="I2667" s="93">
        <v>2397.5457928860201</v>
      </c>
      <c r="J2667" s="93">
        <v>56104.04</v>
      </c>
      <c r="K2667" s="93">
        <v>8435.58</v>
      </c>
      <c r="L2667" s="93">
        <v>267772.26</v>
      </c>
      <c r="M2667" s="93">
        <v>369350.45</v>
      </c>
      <c r="N2667" s="95">
        <v>0.02</v>
      </c>
      <c r="O2667" s="95">
        <v>0.05</v>
      </c>
      <c r="P2667" s="95">
        <v>0.3</v>
      </c>
      <c r="Q2667" s="95">
        <v>0.55000000000000004</v>
      </c>
      <c r="R2667" s="104">
        <v>0.08</v>
      </c>
    </row>
    <row r="2668" spans="1:18" ht="15" hidden="1" customHeight="1" x14ac:dyDescent="0.3">
      <c r="A2668" s="101">
        <v>2024</v>
      </c>
      <c r="B2668" s="90">
        <v>5</v>
      </c>
      <c r="C2668" s="90" t="s">
        <v>726</v>
      </c>
      <c r="D2668" s="90" t="s">
        <v>722</v>
      </c>
      <c r="E2668" s="102" t="s">
        <v>11</v>
      </c>
      <c r="F2668" s="103" t="s">
        <v>12</v>
      </c>
      <c r="G2668" s="93">
        <v>10675.39</v>
      </c>
      <c r="H2668" s="93">
        <v>40097.730000000003</v>
      </c>
      <c r="I2668" s="93">
        <v>2397.5457928860201</v>
      </c>
      <c r="J2668" s="93">
        <v>164617.70000000001</v>
      </c>
      <c r="K2668" s="93">
        <v>17469.48</v>
      </c>
      <c r="L2668" s="93">
        <v>25027.360000000001</v>
      </c>
      <c r="M2668" s="93">
        <v>387647.28</v>
      </c>
      <c r="N2668" s="95">
        <v>0.03</v>
      </c>
      <c r="O2668" s="95">
        <v>0.11</v>
      </c>
      <c r="P2668" s="95">
        <v>0.36</v>
      </c>
      <c r="Q2668" s="95">
        <v>0.45</v>
      </c>
      <c r="R2668" s="104">
        <v>0.05</v>
      </c>
    </row>
    <row r="2669" spans="1:18" ht="15" hidden="1" customHeight="1" x14ac:dyDescent="0.3">
      <c r="A2669" s="101">
        <v>2024</v>
      </c>
      <c r="B2669" s="90">
        <v>5</v>
      </c>
      <c r="C2669" s="90" t="s">
        <v>726</v>
      </c>
      <c r="D2669" s="90" t="s">
        <v>722</v>
      </c>
      <c r="E2669" s="102" t="s">
        <v>11</v>
      </c>
      <c r="F2669" s="103" t="s">
        <v>26</v>
      </c>
      <c r="G2669" s="93">
        <v>146046.85999999999</v>
      </c>
      <c r="H2669" s="93">
        <v>190574.14</v>
      </c>
      <c r="I2669" s="93">
        <v>2397.5457928860201</v>
      </c>
      <c r="J2669" s="93">
        <v>272631.21000000002</v>
      </c>
      <c r="K2669" s="93">
        <v>53429.09</v>
      </c>
      <c r="L2669" s="93">
        <v>39738.19</v>
      </c>
      <c r="M2669" s="93">
        <v>1061202.44</v>
      </c>
      <c r="N2669" s="95">
        <v>0.14000000000000001</v>
      </c>
      <c r="O2669" s="95">
        <v>0.19</v>
      </c>
      <c r="P2669" s="95">
        <v>0.35</v>
      </c>
      <c r="Q2669" s="95">
        <v>0.27</v>
      </c>
      <c r="R2669" s="104">
        <v>0.05</v>
      </c>
    </row>
    <row r="2670" spans="1:18" ht="15" hidden="1" customHeight="1" x14ac:dyDescent="0.3">
      <c r="A2670" s="101">
        <v>2024</v>
      </c>
      <c r="B2670" s="90">
        <v>5</v>
      </c>
      <c r="C2670" s="90" t="s">
        <v>726</v>
      </c>
      <c r="D2670" s="90" t="s">
        <v>722</v>
      </c>
      <c r="E2670" s="102" t="s">
        <v>11</v>
      </c>
      <c r="F2670" s="103" t="s">
        <v>27</v>
      </c>
      <c r="G2670" s="93">
        <v>592.76</v>
      </c>
      <c r="H2670" s="93">
        <v>7801.44</v>
      </c>
      <c r="I2670" s="93">
        <v>2397.5457928860201</v>
      </c>
      <c r="J2670" s="93">
        <v>102114.43</v>
      </c>
      <c r="K2670" s="93">
        <v>63892.51</v>
      </c>
      <c r="L2670" s="93">
        <v>186786.94</v>
      </c>
      <c r="M2670" s="93">
        <v>404937.28</v>
      </c>
      <c r="N2670" s="95">
        <v>0</v>
      </c>
      <c r="O2670" s="95">
        <v>0.04</v>
      </c>
      <c r="P2670" s="95">
        <v>0.2</v>
      </c>
      <c r="Q2670" s="95">
        <v>0.47</v>
      </c>
      <c r="R2670" s="104">
        <v>0.28999999999999998</v>
      </c>
    </row>
    <row r="2671" spans="1:18" ht="15" hidden="1" customHeight="1" x14ac:dyDescent="0.3">
      <c r="A2671" s="101">
        <v>2024</v>
      </c>
      <c r="B2671" s="90">
        <v>5</v>
      </c>
      <c r="C2671" s="90" t="s">
        <v>726</v>
      </c>
      <c r="D2671" s="90" t="s">
        <v>722</v>
      </c>
      <c r="E2671" s="102" t="s">
        <v>11</v>
      </c>
      <c r="F2671" s="103" t="s">
        <v>28</v>
      </c>
      <c r="G2671" s="93">
        <v>4469.03</v>
      </c>
      <c r="H2671" s="93">
        <v>14696.04</v>
      </c>
      <c r="I2671" s="93">
        <v>2397.5457928860201</v>
      </c>
      <c r="J2671" s="93">
        <v>218793.44</v>
      </c>
      <c r="K2671" s="93">
        <v>68405.11</v>
      </c>
      <c r="L2671" s="93">
        <v>85927.7</v>
      </c>
      <c r="M2671" s="93">
        <v>452185.5</v>
      </c>
      <c r="N2671" s="95">
        <v>0.01</v>
      </c>
      <c r="O2671" s="95">
        <v>0.04</v>
      </c>
      <c r="P2671" s="95">
        <v>0.16</v>
      </c>
      <c r="Q2671" s="95">
        <v>0.6</v>
      </c>
      <c r="R2671" s="104">
        <v>0.19</v>
      </c>
    </row>
    <row r="2672" spans="1:18" ht="15" customHeight="1" x14ac:dyDescent="0.3">
      <c r="A2672" s="101">
        <v>2024</v>
      </c>
      <c r="B2672" s="90">
        <v>5</v>
      </c>
      <c r="C2672" s="90" t="s">
        <v>726</v>
      </c>
      <c r="D2672" s="90" t="s">
        <v>722</v>
      </c>
      <c r="E2672" s="102" t="s">
        <v>11</v>
      </c>
      <c r="F2672" s="103" t="s">
        <v>29</v>
      </c>
      <c r="G2672" s="93">
        <v>11447.48</v>
      </c>
      <c r="H2672" s="93">
        <v>31007.8</v>
      </c>
      <c r="I2672" s="93">
        <v>2397.5457928860201</v>
      </c>
      <c r="J2672" s="93">
        <v>109983.59</v>
      </c>
      <c r="K2672" s="93">
        <v>27719.79</v>
      </c>
      <c r="L2672" s="93">
        <v>18141.490000000002</v>
      </c>
      <c r="M2672" s="93">
        <v>271628.83</v>
      </c>
      <c r="N2672" s="95">
        <v>0.05</v>
      </c>
      <c r="O2672" s="95">
        <v>0.12</v>
      </c>
      <c r="P2672" s="95">
        <v>0.28999999999999998</v>
      </c>
      <c r="Q2672" s="95">
        <v>0.43</v>
      </c>
      <c r="R2672" s="104">
        <v>0.11</v>
      </c>
    </row>
    <row r="2673" spans="1:18" ht="15" hidden="1" customHeight="1" x14ac:dyDescent="0.3">
      <c r="A2673" s="101">
        <v>2024</v>
      </c>
      <c r="B2673" s="90">
        <v>5</v>
      </c>
      <c r="C2673" s="90" t="s">
        <v>726</v>
      </c>
      <c r="D2673" s="90" t="s">
        <v>722</v>
      </c>
      <c r="E2673" s="102" t="s">
        <v>11</v>
      </c>
      <c r="F2673" s="103" t="s">
        <v>30</v>
      </c>
      <c r="G2673" s="93">
        <v>812.28</v>
      </c>
      <c r="H2673" s="93">
        <v>3440.24</v>
      </c>
      <c r="I2673" s="93">
        <v>2397.5457928860201</v>
      </c>
      <c r="J2673" s="93">
        <v>1136.1500000000001</v>
      </c>
      <c r="K2673" s="93">
        <v>49.59</v>
      </c>
      <c r="L2673" s="93">
        <v>554101.69999999995</v>
      </c>
      <c r="M2673" s="93">
        <v>563610.22</v>
      </c>
      <c r="N2673" s="95">
        <v>0.09</v>
      </c>
      <c r="O2673" s="95">
        <v>0.36</v>
      </c>
      <c r="P2673" s="95">
        <v>0.43</v>
      </c>
      <c r="Q2673" s="95">
        <v>0.12</v>
      </c>
      <c r="R2673" s="104">
        <v>0.01</v>
      </c>
    </row>
    <row r="2674" spans="1:18" ht="15" hidden="1" customHeight="1" x14ac:dyDescent="0.3">
      <c r="A2674" s="101">
        <v>2024</v>
      </c>
      <c r="B2674" s="90">
        <v>5</v>
      </c>
      <c r="C2674" s="90" t="s">
        <v>726</v>
      </c>
      <c r="D2674" s="90" t="s">
        <v>722</v>
      </c>
      <c r="E2674" s="102" t="s">
        <v>11</v>
      </c>
      <c r="F2674" s="103" t="s">
        <v>31</v>
      </c>
      <c r="G2674" s="93">
        <v>3955.27</v>
      </c>
      <c r="H2674" s="93">
        <v>78828.53</v>
      </c>
      <c r="I2674" s="93">
        <v>2397.5457928860201</v>
      </c>
      <c r="J2674" s="93">
        <v>27068.74</v>
      </c>
      <c r="K2674" s="93">
        <v>6623.27</v>
      </c>
      <c r="L2674" s="93">
        <v>142273.35999999999</v>
      </c>
      <c r="M2674" s="93">
        <v>335832.78</v>
      </c>
      <c r="N2674" s="95">
        <v>0.02</v>
      </c>
      <c r="O2674" s="95">
        <v>0.41</v>
      </c>
      <c r="P2674" s="95">
        <v>0.4</v>
      </c>
      <c r="Q2674" s="95">
        <v>0.14000000000000001</v>
      </c>
      <c r="R2674" s="104">
        <v>0.03</v>
      </c>
    </row>
    <row r="2675" spans="1:18" ht="15" hidden="1" customHeight="1" x14ac:dyDescent="0.3">
      <c r="A2675" s="101">
        <v>2024</v>
      </c>
      <c r="B2675" s="90">
        <v>5</v>
      </c>
      <c r="C2675" s="90" t="s">
        <v>726</v>
      </c>
      <c r="D2675" s="90" t="s">
        <v>722</v>
      </c>
      <c r="E2675" s="102" t="s">
        <v>11</v>
      </c>
      <c r="F2675" s="103" t="s">
        <v>32</v>
      </c>
      <c r="G2675" s="93">
        <v>6128.07</v>
      </c>
      <c r="H2675" s="93">
        <v>29379.62</v>
      </c>
      <c r="I2675" s="93">
        <v>2397.5457928860201</v>
      </c>
      <c r="J2675" s="93">
        <v>253086.16</v>
      </c>
      <c r="K2675" s="93">
        <v>154487.46</v>
      </c>
      <c r="L2675" s="93">
        <v>852.7</v>
      </c>
      <c r="M2675" s="93">
        <v>545872.68999999994</v>
      </c>
      <c r="N2675" s="95">
        <v>0.01</v>
      </c>
      <c r="O2675" s="95">
        <v>0.05</v>
      </c>
      <c r="P2675" s="95">
        <v>0.19</v>
      </c>
      <c r="Q2675" s="95">
        <v>0.46</v>
      </c>
      <c r="R2675" s="104">
        <v>0.28000000000000003</v>
      </c>
    </row>
    <row r="2676" spans="1:18" ht="15" hidden="1" customHeight="1" x14ac:dyDescent="0.3">
      <c r="A2676" s="101">
        <v>2024</v>
      </c>
      <c r="B2676" s="90">
        <v>5</v>
      </c>
      <c r="C2676" s="90" t="s">
        <v>726</v>
      </c>
      <c r="D2676" s="90" t="s">
        <v>722</v>
      </c>
      <c r="E2676" s="102" t="s">
        <v>11</v>
      </c>
      <c r="F2676" s="103" t="s">
        <v>33</v>
      </c>
      <c r="G2676" s="93">
        <v>74932.14</v>
      </c>
      <c r="H2676" s="93">
        <v>251174.87</v>
      </c>
      <c r="I2676" s="93">
        <v>2397.5457928860201</v>
      </c>
      <c r="J2676" s="93">
        <v>342788.8</v>
      </c>
      <c r="K2676" s="93">
        <v>40165.040000000001</v>
      </c>
      <c r="L2676" s="93">
        <v>28465.07</v>
      </c>
      <c r="M2676" s="93">
        <v>1339698</v>
      </c>
      <c r="N2676" s="95">
        <v>0.06</v>
      </c>
      <c r="O2676" s="95">
        <v>0.19</v>
      </c>
      <c r="P2676" s="95">
        <v>0.46</v>
      </c>
      <c r="Q2676" s="95">
        <v>0.26</v>
      </c>
      <c r="R2676" s="104">
        <v>0.03</v>
      </c>
    </row>
    <row r="2677" spans="1:18" ht="15" hidden="1" customHeight="1" x14ac:dyDescent="0.3">
      <c r="A2677" s="101">
        <v>2024</v>
      </c>
      <c r="B2677" s="90">
        <v>5</v>
      </c>
      <c r="C2677" s="90" t="s">
        <v>726</v>
      </c>
      <c r="D2677" s="90" t="s">
        <v>722</v>
      </c>
      <c r="E2677" s="102" t="s">
        <v>11</v>
      </c>
      <c r="F2677" s="103" t="s">
        <v>34</v>
      </c>
      <c r="G2677" s="93">
        <v>17935.669999999998</v>
      </c>
      <c r="H2677" s="93">
        <v>41555.129999999997</v>
      </c>
      <c r="I2677" s="93">
        <v>2397.5457928860201</v>
      </c>
      <c r="J2677" s="93">
        <v>337982.59</v>
      </c>
      <c r="K2677" s="93">
        <v>75080.73</v>
      </c>
      <c r="L2677" s="93">
        <v>43851.46</v>
      </c>
      <c r="M2677" s="93">
        <v>686708.51</v>
      </c>
      <c r="N2677" s="95">
        <v>0.03</v>
      </c>
      <c r="O2677" s="95">
        <v>0.06</v>
      </c>
      <c r="P2677" s="95">
        <v>0.26</v>
      </c>
      <c r="Q2677" s="95">
        <v>0.53</v>
      </c>
      <c r="R2677" s="104">
        <v>0.12</v>
      </c>
    </row>
    <row r="2678" spans="1:18" ht="15" hidden="1" customHeight="1" x14ac:dyDescent="0.3">
      <c r="A2678" s="101">
        <v>2024</v>
      </c>
      <c r="B2678" s="90">
        <v>5</v>
      </c>
      <c r="C2678" s="90" t="s">
        <v>726</v>
      </c>
      <c r="D2678" s="90" t="s">
        <v>722</v>
      </c>
      <c r="E2678" s="102" t="s">
        <v>11</v>
      </c>
      <c r="F2678" s="103" t="s">
        <v>35</v>
      </c>
      <c r="G2678" s="93">
        <v>30581.26</v>
      </c>
      <c r="H2678" s="93">
        <v>88957.82</v>
      </c>
      <c r="I2678" s="93">
        <v>2397.5457928860201</v>
      </c>
      <c r="J2678" s="93">
        <v>94391.23</v>
      </c>
      <c r="K2678" s="93">
        <v>5166.04</v>
      </c>
      <c r="L2678" s="93">
        <v>68162.490000000005</v>
      </c>
      <c r="M2678" s="93">
        <v>408167.73</v>
      </c>
      <c r="N2678" s="95">
        <v>0.09</v>
      </c>
      <c r="O2678" s="95">
        <v>0.26</v>
      </c>
      <c r="P2678" s="95">
        <v>0.36</v>
      </c>
      <c r="Q2678" s="95">
        <v>0.28000000000000003</v>
      </c>
      <c r="R2678" s="104">
        <v>0.02</v>
      </c>
    </row>
    <row r="2679" spans="1:18" ht="15" hidden="1" customHeight="1" x14ac:dyDescent="0.3">
      <c r="A2679" s="101">
        <v>2024</v>
      </c>
      <c r="B2679" s="90">
        <v>5</v>
      </c>
      <c r="C2679" s="90" t="s">
        <v>726</v>
      </c>
      <c r="D2679" s="90" t="s">
        <v>722</v>
      </c>
      <c r="E2679" s="102" t="s">
        <v>11</v>
      </c>
      <c r="F2679" s="103" t="s">
        <v>36</v>
      </c>
      <c r="G2679" s="93">
        <v>3165.41</v>
      </c>
      <c r="H2679" s="93">
        <v>26553.78</v>
      </c>
      <c r="I2679" s="93">
        <v>2397.5457928860201</v>
      </c>
      <c r="J2679" s="93">
        <v>95071.38</v>
      </c>
      <c r="K2679" s="93">
        <v>38420.22</v>
      </c>
      <c r="L2679" s="93">
        <v>106776.26</v>
      </c>
      <c r="M2679" s="93">
        <v>332551.61</v>
      </c>
      <c r="N2679" s="95">
        <v>0.01</v>
      </c>
      <c r="O2679" s="95">
        <v>0.12</v>
      </c>
      <c r="P2679" s="95">
        <v>0.28000000000000003</v>
      </c>
      <c r="Q2679" s="95">
        <v>0.42</v>
      </c>
      <c r="R2679" s="104">
        <v>0.17</v>
      </c>
    </row>
    <row r="2680" spans="1:18" ht="15" hidden="1" customHeight="1" x14ac:dyDescent="0.3">
      <c r="A2680" s="101">
        <v>2024</v>
      </c>
      <c r="B2680" s="90">
        <v>5</v>
      </c>
      <c r="C2680" s="90" t="s">
        <v>726</v>
      </c>
      <c r="D2680" s="90" t="s">
        <v>722</v>
      </c>
      <c r="E2680" s="102" t="s">
        <v>11</v>
      </c>
      <c r="F2680" s="103" t="s">
        <v>37</v>
      </c>
      <c r="G2680" s="93">
        <v>7670.14</v>
      </c>
      <c r="H2680" s="93">
        <v>34359.919999999998</v>
      </c>
      <c r="I2680" s="93">
        <v>2397.5457928860201</v>
      </c>
      <c r="J2680" s="93">
        <v>171024.53</v>
      </c>
      <c r="K2680" s="93">
        <v>34851.379999999997</v>
      </c>
      <c r="L2680" s="93">
        <v>308008.90999999997</v>
      </c>
      <c r="M2680" s="93">
        <v>664803.30000000005</v>
      </c>
      <c r="N2680" s="95">
        <v>0.02</v>
      </c>
      <c r="O2680" s="95">
        <v>0.1</v>
      </c>
      <c r="P2680" s="95">
        <v>0.31</v>
      </c>
      <c r="Q2680" s="95">
        <v>0.48</v>
      </c>
      <c r="R2680" s="104">
        <v>0.1</v>
      </c>
    </row>
    <row r="2681" spans="1:18" ht="15" hidden="1" customHeight="1" x14ac:dyDescent="0.3">
      <c r="A2681" s="101">
        <v>2024</v>
      </c>
      <c r="B2681" s="90">
        <v>5</v>
      </c>
      <c r="C2681" s="90" t="s">
        <v>726</v>
      </c>
      <c r="D2681" s="90" t="s">
        <v>722</v>
      </c>
      <c r="E2681" s="102" t="s">
        <v>11</v>
      </c>
      <c r="F2681" s="103" t="s">
        <v>38</v>
      </c>
      <c r="G2681" s="93">
        <v>68678.63</v>
      </c>
      <c r="H2681" s="93">
        <v>87907.53</v>
      </c>
      <c r="I2681" s="93">
        <v>2397.5457928860201</v>
      </c>
      <c r="J2681" s="93">
        <v>321750.43</v>
      </c>
      <c r="K2681" s="93">
        <v>57801.05</v>
      </c>
      <c r="L2681" s="93">
        <v>34879.51</v>
      </c>
      <c r="M2681" s="93">
        <v>758657.38</v>
      </c>
      <c r="N2681" s="95">
        <v>0.09</v>
      </c>
      <c r="O2681" s="95">
        <v>0.12</v>
      </c>
      <c r="P2681" s="95">
        <v>0.26</v>
      </c>
      <c r="Q2681" s="95">
        <v>0.44</v>
      </c>
      <c r="R2681" s="104">
        <v>0.08</v>
      </c>
    </row>
    <row r="2682" spans="1:18" ht="15" hidden="1" customHeight="1" x14ac:dyDescent="0.3">
      <c r="A2682" s="101">
        <v>2024</v>
      </c>
      <c r="B2682" s="90">
        <v>5</v>
      </c>
      <c r="C2682" s="90" t="s">
        <v>726</v>
      </c>
      <c r="D2682" s="90" t="s">
        <v>722</v>
      </c>
      <c r="E2682" s="102" t="s">
        <v>11</v>
      </c>
      <c r="F2682" s="103" t="s">
        <v>39</v>
      </c>
      <c r="G2682" s="93">
        <v>2204.9299999999998</v>
      </c>
      <c r="H2682" s="93">
        <v>21033.13</v>
      </c>
      <c r="I2682" s="93">
        <v>2397.5457928860201</v>
      </c>
      <c r="J2682" s="93">
        <v>140177.92000000001</v>
      </c>
      <c r="K2682" s="93">
        <v>47138.55</v>
      </c>
      <c r="L2682" s="93">
        <v>49502.97</v>
      </c>
      <c r="M2682" s="93">
        <v>333685.40999999997</v>
      </c>
      <c r="N2682" s="95">
        <v>0.01</v>
      </c>
      <c r="O2682" s="95">
        <v>7.0000000000000007E-2</v>
      </c>
      <c r="P2682" s="95">
        <v>0.26</v>
      </c>
      <c r="Q2682" s="95">
        <v>0.49</v>
      </c>
      <c r="R2682" s="104">
        <v>0.17</v>
      </c>
    </row>
    <row r="2683" spans="1:18" ht="15" hidden="1" customHeight="1" x14ac:dyDescent="0.3">
      <c r="A2683" s="101">
        <v>2024</v>
      </c>
      <c r="B2683" s="90">
        <v>5</v>
      </c>
      <c r="C2683" s="90" t="s">
        <v>726</v>
      </c>
      <c r="D2683" s="90" t="s">
        <v>722</v>
      </c>
      <c r="E2683" s="102" t="s">
        <v>11</v>
      </c>
      <c r="F2683" s="103" t="s">
        <v>40</v>
      </c>
      <c r="G2683" s="93">
        <v>5225.5</v>
      </c>
      <c r="H2683" s="93">
        <v>19047.400000000001</v>
      </c>
      <c r="I2683" s="93">
        <v>2397.5457928860201</v>
      </c>
      <c r="J2683" s="93">
        <v>158284.98000000001</v>
      </c>
      <c r="K2683" s="93">
        <v>50529.35</v>
      </c>
      <c r="L2683" s="93">
        <v>43702.81</v>
      </c>
      <c r="M2683" s="93">
        <v>347404.39</v>
      </c>
      <c r="N2683" s="95">
        <v>0.02</v>
      </c>
      <c r="O2683" s="95">
        <v>0.06</v>
      </c>
      <c r="P2683" s="95">
        <v>0.23</v>
      </c>
      <c r="Q2683" s="95">
        <v>0.52</v>
      </c>
      <c r="R2683" s="104">
        <v>0.17</v>
      </c>
    </row>
    <row r="2684" spans="1:18" ht="15" hidden="1" customHeight="1" x14ac:dyDescent="0.3">
      <c r="A2684" s="101">
        <v>2024</v>
      </c>
      <c r="B2684" s="90">
        <v>5</v>
      </c>
      <c r="C2684" s="90" t="s">
        <v>726</v>
      </c>
      <c r="D2684" s="90" t="s">
        <v>722</v>
      </c>
      <c r="E2684" s="102" t="s">
        <v>11</v>
      </c>
      <c r="F2684" s="103" t="s">
        <v>41</v>
      </c>
      <c r="G2684" s="93">
        <v>2277.2800000000002</v>
      </c>
      <c r="H2684" s="93">
        <v>6940.46</v>
      </c>
      <c r="I2684" s="93">
        <v>2397.5457928860201</v>
      </c>
      <c r="J2684" s="93">
        <v>2895.04</v>
      </c>
      <c r="K2684" s="93">
        <v>345.09</v>
      </c>
      <c r="L2684" s="93">
        <v>874291.72</v>
      </c>
      <c r="M2684" s="93">
        <v>892600.59</v>
      </c>
      <c r="N2684" s="95">
        <v>0.12</v>
      </c>
      <c r="O2684" s="95">
        <v>0.38</v>
      </c>
      <c r="P2684" s="95">
        <v>0.32</v>
      </c>
      <c r="Q2684" s="95">
        <v>0.16</v>
      </c>
      <c r="R2684" s="104">
        <v>0.02</v>
      </c>
    </row>
    <row r="2685" spans="1:18" ht="15" hidden="1" customHeight="1" x14ac:dyDescent="0.3">
      <c r="A2685" s="101">
        <v>2024</v>
      </c>
      <c r="B2685" s="90">
        <v>5</v>
      </c>
      <c r="C2685" s="90" t="s">
        <v>726</v>
      </c>
      <c r="D2685" s="90" t="s">
        <v>722</v>
      </c>
      <c r="E2685" s="102" t="s">
        <v>11</v>
      </c>
      <c r="F2685" s="103" t="s">
        <v>42</v>
      </c>
      <c r="G2685" s="93">
        <v>7032.48</v>
      </c>
      <c r="H2685" s="93">
        <v>29120.19</v>
      </c>
      <c r="I2685" s="93">
        <v>2397.5457928860201</v>
      </c>
      <c r="J2685" s="93">
        <v>177159.6</v>
      </c>
      <c r="K2685" s="93">
        <v>51037.4</v>
      </c>
      <c r="L2685" s="93">
        <v>4390.87</v>
      </c>
      <c r="M2685" s="93">
        <v>379709.63</v>
      </c>
      <c r="N2685" s="95">
        <v>0.02</v>
      </c>
      <c r="O2685" s="95">
        <v>0.08</v>
      </c>
      <c r="P2685" s="95">
        <v>0.3</v>
      </c>
      <c r="Q2685" s="95">
        <v>0.47</v>
      </c>
      <c r="R2685" s="104">
        <v>0.14000000000000001</v>
      </c>
    </row>
    <row r="2686" spans="1:18" ht="15" hidden="1" customHeight="1" x14ac:dyDescent="0.3">
      <c r="A2686" s="101">
        <v>2024</v>
      </c>
      <c r="B2686" s="90">
        <v>5</v>
      </c>
      <c r="C2686" s="90" t="s">
        <v>726</v>
      </c>
      <c r="D2686" s="90" t="s">
        <v>722</v>
      </c>
      <c r="E2686" s="102" t="s">
        <v>11</v>
      </c>
      <c r="F2686" s="103" t="s">
        <v>43</v>
      </c>
      <c r="G2686" s="93">
        <v>3513.44</v>
      </c>
      <c r="H2686" s="93">
        <v>24028.19</v>
      </c>
      <c r="I2686" s="93">
        <v>2397.5457928860201</v>
      </c>
      <c r="J2686" s="93">
        <v>4932.25</v>
      </c>
      <c r="K2686" s="93">
        <v>583.41999999999996</v>
      </c>
      <c r="L2686" s="93">
        <v>71483.37</v>
      </c>
      <c r="M2686" s="93">
        <v>118464.25</v>
      </c>
      <c r="N2686" s="95">
        <v>7.0000000000000007E-2</v>
      </c>
      <c r="O2686" s="95">
        <v>0.51</v>
      </c>
      <c r="P2686" s="95">
        <v>0.3</v>
      </c>
      <c r="Q2686" s="95">
        <v>0.1</v>
      </c>
      <c r="R2686" s="104">
        <v>0.01</v>
      </c>
    </row>
    <row r="2687" spans="1:18" ht="15" hidden="1" customHeight="1" x14ac:dyDescent="0.3">
      <c r="A2687" s="101">
        <v>2024</v>
      </c>
      <c r="B2687" s="90">
        <v>5</v>
      </c>
      <c r="C2687" s="90" t="s">
        <v>726</v>
      </c>
      <c r="D2687" s="90" t="s">
        <v>722</v>
      </c>
      <c r="E2687" s="102" t="s">
        <v>11</v>
      </c>
      <c r="F2687" s="103" t="s">
        <v>58</v>
      </c>
      <c r="G2687" s="93">
        <v>5284.37</v>
      </c>
      <c r="H2687" s="93">
        <v>16067.9</v>
      </c>
      <c r="I2687" s="93">
        <v>2397.5457928860201</v>
      </c>
      <c r="J2687" s="93">
        <v>149263.31</v>
      </c>
      <c r="K2687" s="93">
        <v>124212.72</v>
      </c>
      <c r="L2687" s="93">
        <v>36341.58</v>
      </c>
      <c r="M2687" s="93">
        <v>396663.39</v>
      </c>
      <c r="N2687" s="95">
        <v>0.01</v>
      </c>
      <c r="O2687" s="95">
        <v>0.04</v>
      </c>
      <c r="P2687" s="95">
        <v>0.18</v>
      </c>
      <c r="Q2687" s="95">
        <v>0.41</v>
      </c>
      <c r="R2687" s="104">
        <v>0.34</v>
      </c>
    </row>
    <row r="2688" spans="1:18" ht="15" hidden="1" customHeight="1" x14ac:dyDescent="0.3">
      <c r="A2688" s="101">
        <v>2024</v>
      </c>
      <c r="B2688" s="90">
        <v>5</v>
      </c>
      <c r="C2688" s="90" t="s">
        <v>726</v>
      </c>
      <c r="D2688" s="90" t="s">
        <v>722</v>
      </c>
      <c r="E2688" s="102" t="s">
        <v>11</v>
      </c>
      <c r="F2688" s="103" t="s">
        <v>44</v>
      </c>
      <c r="G2688" s="93">
        <v>4348.8500000000004</v>
      </c>
      <c r="H2688" s="93">
        <v>7321.06</v>
      </c>
      <c r="I2688" s="93">
        <v>2397.5457928860201</v>
      </c>
      <c r="J2688" s="93">
        <v>76005.759999999995</v>
      </c>
      <c r="K2688" s="93">
        <v>56700.78</v>
      </c>
      <c r="L2688" s="93">
        <v>42418.61</v>
      </c>
      <c r="M2688" s="93">
        <v>213642.45</v>
      </c>
      <c r="N2688" s="95">
        <v>0.03</v>
      </c>
      <c r="O2688" s="95">
        <v>0.04</v>
      </c>
      <c r="P2688" s="95">
        <v>0.16</v>
      </c>
      <c r="Q2688" s="95">
        <v>0.44</v>
      </c>
      <c r="R2688" s="104">
        <v>0.33</v>
      </c>
    </row>
    <row r="2689" spans="1:18" ht="15" hidden="1" customHeight="1" x14ac:dyDescent="0.3">
      <c r="A2689" s="101">
        <v>2024</v>
      </c>
      <c r="B2689" s="90">
        <v>5</v>
      </c>
      <c r="C2689" s="90" t="s">
        <v>726</v>
      </c>
      <c r="D2689" s="90" t="s">
        <v>722</v>
      </c>
      <c r="E2689" s="102" t="s">
        <v>11</v>
      </c>
      <c r="F2689" s="103" t="s">
        <v>51</v>
      </c>
      <c r="G2689" s="93">
        <v>5063</v>
      </c>
      <c r="H2689" s="93">
        <v>18558.54</v>
      </c>
      <c r="I2689" s="93">
        <v>2397.5457928860201</v>
      </c>
      <c r="J2689" s="93">
        <v>48181.93</v>
      </c>
      <c r="K2689" s="93">
        <v>100064.43</v>
      </c>
      <c r="L2689" s="93">
        <v>5042.3100000000004</v>
      </c>
      <c r="M2689" s="93">
        <v>210747.15</v>
      </c>
      <c r="N2689" s="95">
        <v>0.02</v>
      </c>
      <c r="O2689" s="95">
        <v>0.09</v>
      </c>
      <c r="P2689" s="95">
        <v>0.16</v>
      </c>
      <c r="Q2689" s="95">
        <v>0.23</v>
      </c>
      <c r="R2689" s="104">
        <v>0.49</v>
      </c>
    </row>
    <row r="2690" spans="1:18" ht="15" hidden="1" customHeight="1" x14ac:dyDescent="0.3">
      <c r="A2690" s="101">
        <v>2024</v>
      </c>
      <c r="B2690" s="90">
        <v>5</v>
      </c>
      <c r="C2690" s="90" t="s">
        <v>726</v>
      </c>
      <c r="D2690" s="90" t="s">
        <v>722</v>
      </c>
      <c r="E2690" s="102" t="s">
        <v>11</v>
      </c>
      <c r="F2690" s="103" t="s">
        <v>45</v>
      </c>
      <c r="G2690" s="93">
        <v>6317.05</v>
      </c>
      <c r="H2690" s="93">
        <v>16200.5</v>
      </c>
      <c r="I2690" s="93">
        <v>2397.5457928860201</v>
      </c>
      <c r="J2690" s="93">
        <v>30456.76</v>
      </c>
      <c r="K2690" s="93">
        <v>4536.8100000000004</v>
      </c>
      <c r="L2690" s="93">
        <v>27011</v>
      </c>
      <c r="M2690" s="93">
        <v>112563.1</v>
      </c>
      <c r="N2690" s="95">
        <v>7.0000000000000007E-2</v>
      </c>
      <c r="O2690" s="95">
        <v>0.19</v>
      </c>
      <c r="P2690" s="95">
        <v>0.33</v>
      </c>
      <c r="Q2690" s="95">
        <v>0.36</v>
      </c>
      <c r="R2690" s="104">
        <v>0.05</v>
      </c>
    </row>
    <row r="2691" spans="1:18" ht="15" hidden="1" customHeight="1" x14ac:dyDescent="0.3">
      <c r="A2691" s="101">
        <v>2024</v>
      </c>
      <c r="B2691" s="90">
        <v>5</v>
      </c>
      <c r="C2691" s="90" t="s">
        <v>726</v>
      </c>
      <c r="D2691" s="90" t="s">
        <v>722</v>
      </c>
      <c r="E2691" s="102" t="s">
        <v>11</v>
      </c>
      <c r="F2691" s="103" t="s">
        <v>721</v>
      </c>
      <c r="G2691" s="93">
        <v>4356.57</v>
      </c>
      <c r="H2691" s="93">
        <v>21477.56</v>
      </c>
      <c r="I2691" s="93">
        <v>2397.5457928860201</v>
      </c>
      <c r="J2691" s="93">
        <v>130498.16</v>
      </c>
      <c r="K2691" s="93">
        <v>76950.070000000007</v>
      </c>
      <c r="L2691" s="93">
        <v>598105.92000000004</v>
      </c>
      <c r="M2691" s="93">
        <v>904768.15</v>
      </c>
      <c r="N2691" s="95">
        <v>0.01</v>
      </c>
      <c r="O2691" s="95">
        <v>7.0000000000000007E-2</v>
      </c>
      <c r="P2691" s="95">
        <v>0.24</v>
      </c>
      <c r="Q2691" s="95">
        <v>0.43</v>
      </c>
      <c r="R2691" s="104">
        <v>0.25</v>
      </c>
    </row>
    <row r="2692" spans="1:18" ht="15" hidden="1" customHeight="1" x14ac:dyDescent="0.3">
      <c r="A2692" s="101">
        <v>2024</v>
      </c>
      <c r="B2692" s="90">
        <v>5</v>
      </c>
      <c r="C2692" s="90" t="s">
        <v>726</v>
      </c>
      <c r="D2692" s="90" t="s">
        <v>722</v>
      </c>
      <c r="E2692" s="102" t="s">
        <v>11</v>
      </c>
      <c r="F2692" s="103" t="s">
        <v>46</v>
      </c>
      <c r="G2692" s="93">
        <v>5934.26</v>
      </c>
      <c r="H2692" s="93">
        <v>36103.22</v>
      </c>
      <c r="I2692" s="93">
        <v>2397.5457928860201</v>
      </c>
      <c r="J2692" s="93">
        <v>25574.14</v>
      </c>
      <c r="K2692" s="93">
        <v>12976.68</v>
      </c>
      <c r="L2692" s="93">
        <v>8135.83</v>
      </c>
      <c r="M2692" s="93">
        <v>137826.16</v>
      </c>
      <c r="N2692" s="95">
        <v>0.05</v>
      </c>
      <c r="O2692" s="95">
        <v>0.28000000000000003</v>
      </c>
      <c r="P2692" s="95">
        <v>0.38</v>
      </c>
      <c r="Q2692" s="95">
        <v>0.2</v>
      </c>
      <c r="R2692" s="104">
        <v>0.1</v>
      </c>
    </row>
    <row r="2693" spans="1:18" ht="15" hidden="1" customHeight="1" x14ac:dyDescent="0.3">
      <c r="A2693" s="101">
        <v>2024</v>
      </c>
      <c r="B2693" s="90">
        <v>5</v>
      </c>
      <c r="C2693" s="90" t="s">
        <v>726</v>
      </c>
      <c r="D2693" s="90" t="s">
        <v>722</v>
      </c>
      <c r="E2693" s="102" t="s">
        <v>11</v>
      </c>
      <c r="F2693" s="103" t="s">
        <v>47</v>
      </c>
      <c r="G2693" s="93">
        <v>17126.919999999998</v>
      </c>
      <c r="H2693" s="93">
        <v>110809.2</v>
      </c>
      <c r="I2693" s="93">
        <v>2397.5457928860201</v>
      </c>
      <c r="J2693" s="93">
        <v>95929.62</v>
      </c>
      <c r="K2693" s="93">
        <v>58186.27</v>
      </c>
      <c r="L2693" s="93">
        <v>51030.16</v>
      </c>
      <c r="M2693" s="93">
        <v>528174.18999999994</v>
      </c>
      <c r="N2693" s="95">
        <v>0.04</v>
      </c>
      <c r="O2693" s="95">
        <v>0.23</v>
      </c>
      <c r="P2693" s="95">
        <v>0.41</v>
      </c>
      <c r="Q2693" s="95">
        <v>0.2</v>
      </c>
      <c r="R2693" s="104">
        <v>0.12</v>
      </c>
    </row>
    <row r="2694" spans="1:18" ht="15" hidden="1" customHeight="1" x14ac:dyDescent="0.3">
      <c r="A2694" s="101">
        <v>2024</v>
      </c>
      <c r="B2694" s="90">
        <v>5</v>
      </c>
      <c r="C2694" s="90" t="s">
        <v>726</v>
      </c>
      <c r="D2694" s="90" t="s">
        <v>722</v>
      </c>
      <c r="E2694" s="102" t="s">
        <v>11</v>
      </c>
      <c r="F2694" s="103" t="s">
        <v>48</v>
      </c>
      <c r="G2694" s="93">
        <v>1493.72</v>
      </c>
      <c r="H2694" s="93">
        <v>4165.03</v>
      </c>
      <c r="I2694" s="93">
        <v>2397.5457928860201</v>
      </c>
      <c r="J2694" s="93">
        <v>44479.88</v>
      </c>
      <c r="K2694" s="93">
        <v>37402.71</v>
      </c>
      <c r="L2694" s="93">
        <v>496999.65</v>
      </c>
      <c r="M2694" s="93">
        <v>598636.88</v>
      </c>
      <c r="N2694" s="95">
        <v>0.01</v>
      </c>
      <c r="O2694" s="95">
        <v>0.04</v>
      </c>
      <c r="P2694" s="95">
        <v>0.14000000000000001</v>
      </c>
      <c r="Q2694" s="95">
        <v>0.44</v>
      </c>
      <c r="R2694" s="104">
        <v>0.37</v>
      </c>
    </row>
    <row r="2695" spans="1:18" ht="15" hidden="1" customHeight="1" x14ac:dyDescent="0.3">
      <c r="A2695" s="101">
        <v>2024</v>
      </c>
      <c r="B2695" s="90">
        <v>6</v>
      </c>
      <c r="C2695" s="90" t="s">
        <v>727</v>
      </c>
      <c r="D2695" s="90" t="s">
        <v>719</v>
      </c>
      <c r="E2695" s="102" t="s">
        <v>11</v>
      </c>
      <c r="F2695" s="103" t="s">
        <v>12</v>
      </c>
      <c r="G2695" s="93">
        <v>2120.14</v>
      </c>
      <c r="H2695" s="93">
        <v>1632.8</v>
      </c>
      <c r="I2695" s="93">
        <v>2397.5457928860201</v>
      </c>
      <c r="J2695" s="93">
        <v>1266.21</v>
      </c>
      <c r="K2695" s="93">
        <v>4.68</v>
      </c>
      <c r="L2695" s="93">
        <v>73893.78</v>
      </c>
      <c r="M2695" s="93">
        <v>82915.509999999995</v>
      </c>
      <c r="N2695" s="95">
        <v>0.24</v>
      </c>
      <c r="O2695" s="95">
        <v>0.18</v>
      </c>
      <c r="P2695" s="95">
        <v>0.44</v>
      </c>
      <c r="Q2695" s="95">
        <v>0.14000000000000001</v>
      </c>
      <c r="R2695" s="104">
        <v>0</v>
      </c>
    </row>
    <row r="2696" spans="1:18" ht="15" hidden="1" customHeight="1" x14ac:dyDescent="0.3">
      <c r="A2696" s="101">
        <v>2024</v>
      </c>
      <c r="B2696" s="90">
        <v>6</v>
      </c>
      <c r="C2696" s="90" t="s">
        <v>727</v>
      </c>
      <c r="D2696" s="90" t="s">
        <v>719</v>
      </c>
      <c r="E2696" s="102" t="s">
        <v>11</v>
      </c>
      <c r="F2696" s="103" t="s">
        <v>26</v>
      </c>
      <c r="G2696" s="93">
        <v>84413.79</v>
      </c>
      <c r="H2696" s="93">
        <v>251660.99</v>
      </c>
      <c r="I2696" s="93">
        <v>2397.5457928860201</v>
      </c>
      <c r="J2696" s="93">
        <v>104223.71</v>
      </c>
      <c r="K2696" s="93">
        <v>3601.79</v>
      </c>
      <c r="L2696" s="93">
        <v>28465.88</v>
      </c>
      <c r="M2696" s="93">
        <v>728109.95</v>
      </c>
      <c r="N2696" s="95">
        <v>0.12</v>
      </c>
      <c r="O2696" s="95">
        <v>0.36</v>
      </c>
      <c r="P2696" s="95">
        <v>0.37</v>
      </c>
      <c r="Q2696" s="95">
        <v>0.15</v>
      </c>
      <c r="R2696" s="104">
        <v>0.01</v>
      </c>
    </row>
    <row r="2697" spans="1:18" ht="15" hidden="1" customHeight="1" x14ac:dyDescent="0.3">
      <c r="A2697" s="101">
        <v>2024</v>
      </c>
      <c r="B2697" s="90">
        <v>6</v>
      </c>
      <c r="C2697" s="90" t="s">
        <v>727</v>
      </c>
      <c r="D2697" s="90" t="s">
        <v>719</v>
      </c>
      <c r="E2697" s="102" t="s">
        <v>11</v>
      </c>
      <c r="F2697" s="103" t="s">
        <v>27</v>
      </c>
      <c r="G2697" s="93">
        <v>239.17</v>
      </c>
      <c r="H2697" s="93">
        <v>1759.96</v>
      </c>
      <c r="I2697" s="93">
        <v>2397.5457928860201</v>
      </c>
      <c r="J2697" s="93">
        <v>15443.85</v>
      </c>
      <c r="K2697" s="93">
        <v>4222.49</v>
      </c>
      <c r="L2697" s="93">
        <v>184277.32</v>
      </c>
      <c r="M2697" s="93">
        <v>215385.27</v>
      </c>
      <c r="N2697" s="95">
        <v>0.01</v>
      </c>
      <c r="O2697" s="95">
        <v>0.06</v>
      </c>
      <c r="P2697" s="95">
        <v>0.3</v>
      </c>
      <c r="Q2697" s="95">
        <v>0.5</v>
      </c>
      <c r="R2697" s="104">
        <v>0.14000000000000001</v>
      </c>
    </row>
    <row r="2698" spans="1:18" ht="15" hidden="1" customHeight="1" x14ac:dyDescent="0.3">
      <c r="A2698" s="101">
        <v>2024</v>
      </c>
      <c r="B2698" s="90">
        <v>6</v>
      </c>
      <c r="C2698" s="90" t="s">
        <v>727</v>
      </c>
      <c r="D2698" s="90" t="s">
        <v>719</v>
      </c>
      <c r="E2698" s="102" t="s">
        <v>11</v>
      </c>
      <c r="F2698" s="103" t="s">
        <v>28</v>
      </c>
      <c r="G2698" s="93">
        <v>1467.33</v>
      </c>
      <c r="H2698" s="93">
        <v>3189.25</v>
      </c>
      <c r="I2698" s="93">
        <v>2397.5457928860201</v>
      </c>
      <c r="J2698" s="93">
        <v>13261.93</v>
      </c>
      <c r="K2698" s="93">
        <v>2072.6999999999998</v>
      </c>
      <c r="L2698" s="93">
        <v>94886.92</v>
      </c>
      <c r="M2698" s="93">
        <v>126191.82</v>
      </c>
      <c r="N2698" s="95">
        <v>0.05</v>
      </c>
      <c r="O2698" s="95">
        <v>0.1</v>
      </c>
      <c r="P2698" s="95">
        <v>0.36</v>
      </c>
      <c r="Q2698" s="95">
        <v>0.42</v>
      </c>
      <c r="R2698" s="104">
        <v>7.0000000000000007E-2</v>
      </c>
    </row>
    <row r="2699" spans="1:18" ht="15" customHeight="1" x14ac:dyDescent="0.3">
      <c r="A2699" s="101">
        <v>2024</v>
      </c>
      <c r="B2699" s="90">
        <v>6</v>
      </c>
      <c r="C2699" s="90" t="s">
        <v>727</v>
      </c>
      <c r="D2699" s="90" t="s">
        <v>719</v>
      </c>
      <c r="E2699" s="102" t="s">
        <v>11</v>
      </c>
      <c r="F2699" s="103" t="s">
        <v>29</v>
      </c>
      <c r="G2699" s="93">
        <v>11258.01</v>
      </c>
      <c r="H2699" s="93">
        <v>51520.35</v>
      </c>
      <c r="I2699" s="93">
        <v>2397.5457928860201</v>
      </c>
      <c r="J2699" s="93">
        <v>45980.83</v>
      </c>
      <c r="K2699" s="93">
        <v>2703.81</v>
      </c>
      <c r="L2699" s="93">
        <v>22839.4</v>
      </c>
      <c r="M2699" s="93">
        <v>254251.07</v>
      </c>
      <c r="N2699" s="95">
        <v>0.05</v>
      </c>
      <c r="O2699" s="95">
        <v>0.22</v>
      </c>
      <c r="P2699" s="95">
        <v>0.52</v>
      </c>
      <c r="Q2699" s="95">
        <v>0.2</v>
      </c>
      <c r="R2699" s="104">
        <v>0.01</v>
      </c>
    </row>
    <row r="2700" spans="1:18" ht="15" hidden="1" customHeight="1" x14ac:dyDescent="0.3">
      <c r="A2700" s="101">
        <v>2024</v>
      </c>
      <c r="B2700" s="90">
        <v>6</v>
      </c>
      <c r="C2700" s="90" t="s">
        <v>727</v>
      </c>
      <c r="D2700" s="90" t="s">
        <v>719</v>
      </c>
      <c r="E2700" s="102" t="s">
        <v>11</v>
      </c>
      <c r="F2700" s="103" t="s">
        <v>30</v>
      </c>
      <c r="G2700" s="93">
        <v>1140.19</v>
      </c>
      <c r="H2700" s="93">
        <v>2962.41</v>
      </c>
      <c r="I2700" s="93">
        <v>2397.5457928860201</v>
      </c>
      <c r="J2700" s="93">
        <v>1531.1</v>
      </c>
      <c r="K2700" s="93">
        <v>63.16</v>
      </c>
      <c r="L2700" s="93">
        <v>789613.15</v>
      </c>
      <c r="M2700" s="93">
        <v>798504.82</v>
      </c>
      <c r="N2700" s="95">
        <v>0.13</v>
      </c>
      <c r="O2700" s="95">
        <v>0.33</v>
      </c>
      <c r="P2700" s="95">
        <v>0.36</v>
      </c>
      <c r="Q2700" s="95">
        <v>0.17</v>
      </c>
      <c r="R2700" s="104">
        <v>0.01</v>
      </c>
    </row>
    <row r="2701" spans="1:18" ht="15" hidden="1" customHeight="1" x14ac:dyDescent="0.3">
      <c r="A2701" s="101">
        <v>2024</v>
      </c>
      <c r="B2701" s="90">
        <v>6</v>
      </c>
      <c r="C2701" s="90" t="s">
        <v>727</v>
      </c>
      <c r="D2701" s="90" t="s">
        <v>719</v>
      </c>
      <c r="E2701" s="102" t="s">
        <v>11</v>
      </c>
      <c r="F2701" s="103" t="s">
        <v>31</v>
      </c>
      <c r="G2701" s="93">
        <v>1277.1199999999999</v>
      </c>
      <c r="H2701" s="93">
        <v>48834.26</v>
      </c>
      <c r="I2701" s="93">
        <v>2397.5457928860201</v>
      </c>
      <c r="J2701" s="93">
        <v>48219.93</v>
      </c>
      <c r="K2701" s="93">
        <v>20978.85</v>
      </c>
      <c r="L2701" s="93">
        <v>669736.11</v>
      </c>
      <c r="M2701" s="93">
        <v>877050.6</v>
      </c>
      <c r="N2701" s="95">
        <v>0.01</v>
      </c>
      <c r="O2701" s="95">
        <v>0.24</v>
      </c>
      <c r="P2701" s="95">
        <v>0.42</v>
      </c>
      <c r="Q2701" s="95">
        <v>0.23</v>
      </c>
      <c r="R2701" s="104">
        <v>0.1</v>
      </c>
    </row>
    <row r="2702" spans="1:18" ht="15" hidden="1" customHeight="1" x14ac:dyDescent="0.3">
      <c r="A2702" s="101">
        <v>2024</v>
      </c>
      <c r="B2702" s="90">
        <v>6</v>
      </c>
      <c r="C2702" s="90" t="s">
        <v>727</v>
      </c>
      <c r="D2702" s="90" t="s">
        <v>719</v>
      </c>
      <c r="E2702" s="102" t="s">
        <v>11</v>
      </c>
      <c r="F2702" s="103" t="s">
        <v>32</v>
      </c>
      <c r="G2702" s="93">
        <v>10722.57</v>
      </c>
      <c r="H2702" s="93">
        <v>71045.81</v>
      </c>
      <c r="I2702" s="93">
        <v>2397.5457928860201</v>
      </c>
      <c r="J2702" s="93">
        <v>179949.44</v>
      </c>
      <c r="K2702" s="93">
        <v>19188.25</v>
      </c>
      <c r="L2702" s="93">
        <v>1183.81</v>
      </c>
      <c r="M2702" s="93">
        <v>536164.74</v>
      </c>
      <c r="N2702" s="95">
        <v>0.02</v>
      </c>
      <c r="O2702" s="95">
        <v>0.13</v>
      </c>
      <c r="P2702" s="95">
        <v>0.47</v>
      </c>
      <c r="Q2702" s="95">
        <v>0.34</v>
      </c>
      <c r="R2702" s="104">
        <v>0.04</v>
      </c>
    </row>
    <row r="2703" spans="1:18" ht="15" hidden="1" customHeight="1" x14ac:dyDescent="0.3">
      <c r="A2703" s="101">
        <v>2024</v>
      </c>
      <c r="B2703" s="90">
        <v>6</v>
      </c>
      <c r="C2703" s="90" t="s">
        <v>727</v>
      </c>
      <c r="D2703" s="90" t="s">
        <v>719</v>
      </c>
      <c r="E2703" s="102" t="s">
        <v>11</v>
      </c>
      <c r="F2703" s="103" t="s">
        <v>33</v>
      </c>
      <c r="G2703" s="93">
        <v>55710.14</v>
      </c>
      <c r="H2703" s="93">
        <v>350843.13</v>
      </c>
      <c r="I2703" s="93">
        <v>2397.5457928860201</v>
      </c>
      <c r="J2703" s="93">
        <v>65298.17</v>
      </c>
      <c r="K2703" s="93">
        <v>4223.79</v>
      </c>
      <c r="L2703" s="93">
        <v>20155.599999999999</v>
      </c>
      <c r="M2703" s="93">
        <v>846122.31</v>
      </c>
      <c r="N2703" s="95">
        <v>7.0000000000000007E-2</v>
      </c>
      <c r="O2703" s="95">
        <v>0.42</v>
      </c>
      <c r="P2703" s="95">
        <v>0.42</v>
      </c>
      <c r="Q2703" s="95">
        <v>0.08</v>
      </c>
      <c r="R2703" s="104">
        <v>0.01</v>
      </c>
    </row>
    <row r="2704" spans="1:18" ht="15" hidden="1" customHeight="1" x14ac:dyDescent="0.3">
      <c r="A2704" s="101">
        <v>2024</v>
      </c>
      <c r="B2704" s="90">
        <v>6</v>
      </c>
      <c r="C2704" s="90" t="s">
        <v>727</v>
      </c>
      <c r="D2704" s="90" t="s">
        <v>719</v>
      </c>
      <c r="E2704" s="102" t="s">
        <v>11</v>
      </c>
      <c r="F2704" s="103" t="s">
        <v>34</v>
      </c>
      <c r="G2704" s="93">
        <v>13720.35</v>
      </c>
      <c r="H2704" s="93">
        <v>45113.31</v>
      </c>
      <c r="I2704" s="93">
        <v>2397.5457928860201</v>
      </c>
      <c r="J2704" s="93">
        <v>105785.95</v>
      </c>
      <c r="K2704" s="93">
        <v>16787.53</v>
      </c>
      <c r="L2704" s="93">
        <v>3769.47</v>
      </c>
      <c r="M2704" s="93">
        <v>355645.8</v>
      </c>
      <c r="N2704" s="95">
        <v>0.04</v>
      </c>
      <c r="O2704" s="95">
        <v>0.13</v>
      </c>
      <c r="P2704" s="95">
        <v>0.48</v>
      </c>
      <c r="Q2704" s="95">
        <v>0.3</v>
      </c>
      <c r="R2704" s="104">
        <v>0.05</v>
      </c>
    </row>
    <row r="2705" spans="1:18" ht="15" hidden="1" customHeight="1" x14ac:dyDescent="0.3">
      <c r="A2705" s="101">
        <v>2024</v>
      </c>
      <c r="B2705" s="90">
        <v>6</v>
      </c>
      <c r="C2705" s="90" t="s">
        <v>727</v>
      </c>
      <c r="D2705" s="90" t="s">
        <v>719</v>
      </c>
      <c r="E2705" s="102" t="s">
        <v>11</v>
      </c>
      <c r="F2705" s="103" t="s">
        <v>35</v>
      </c>
      <c r="G2705" s="93">
        <v>14020.84</v>
      </c>
      <c r="H2705" s="93">
        <v>10346.620000000001</v>
      </c>
      <c r="I2705" s="93">
        <v>2397.5457928860201</v>
      </c>
      <c r="J2705" s="93">
        <v>9982.7199999999993</v>
      </c>
      <c r="K2705" s="93">
        <v>361.77</v>
      </c>
      <c r="L2705" s="93">
        <v>68827.42</v>
      </c>
      <c r="M2705" s="93">
        <v>121425.56</v>
      </c>
      <c r="N2705" s="95">
        <v>0.27</v>
      </c>
      <c r="O2705" s="95">
        <v>0.2</v>
      </c>
      <c r="P2705" s="95">
        <v>0.34</v>
      </c>
      <c r="Q2705" s="95">
        <v>0.19</v>
      </c>
      <c r="R2705" s="104">
        <v>0.01</v>
      </c>
    </row>
    <row r="2706" spans="1:18" ht="15" hidden="1" customHeight="1" x14ac:dyDescent="0.3">
      <c r="A2706" s="101">
        <v>2024</v>
      </c>
      <c r="B2706" s="90">
        <v>6</v>
      </c>
      <c r="C2706" s="90" t="s">
        <v>727</v>
      </c>
      <c r="D2706" s="90" t="s">
        <v>719</v>
      </c>
      <c r="E2706" s="102" t="s">
        <v>11</v>
      </c>
      <c r="F2706" s="103" t="s">
        <v>36</v>
      </c>
      <c r="G2706" s="93">
        <v>6415.03</v>
      </c>
      <c r="H2706" s="93">
        <v>56835.72</v>
      </c>
      <c r="I2706" s="93">
        <v>2397.5457928860201</v>
      </c>
      <c r="J2706" s="93">
        <v>43296.480000000003</v>
      </c>
      <c r="K2706" s="93">
        <v>1963.26</v>
      </c>
      <c r="L2706" s="93">
        <v>73030.59</v>
      </c>
      <c r="M2706" s="93">
        <v>287430.69</v>
      </c>
      <c r="N2706" s="95">
        <v>0.03</v>
      </c>
      <c r="O2706" s="95">
        <v>0.27</v>
      </c>
      <c r="P2706" s="95">
        <v>0.49</v>
      </c>
      <c r="Q2706" s="95">
        <v>0.2</v>
      </c>
      <c r="R2706" s="104">
        <v>0.01</v>
      </c>
    </row>
    <row r="2707" spans="1:18" ht="15" hidden="1" customHeight="1" x14ac:dyDescent="0.3">
      <c r="A2707" s="101">
        <v>2024</v>
      </c>
      <c r="B2707" s="90">
        <v>6</v>
      </c>
      <c r="C2707" s="90" t="s">
        <v>727</v>
      </c>
      <c r="D2707" s="90" t="s">
        <v>719</v>
      </c>
      <c r="E2707" s="102" t="s">
        <v>11</v>
      </c>
      <c r="F2707" s="103" t="s">
        <v>37</v>
      </c>
      <c r="G2707" s="93">
        <v>14572.2</v>
      </c>
      <c r="H2707" s="93">
        <v>73158.240000000005</v>
      </c>
      <c r="I2707" s="93">
        <v>2397.5457928860201</v>
      </c>
      <c r="J2707" s="93">
        <v>67219.679999999993</v>
      </c>
      <c r="K2707" s="93">
        <v>1699.58</v>
      </c>
      <c r="L2707" s="93">
        <v>319550.15999999997</v>
      </c>
      <c r="M2707" s="93">
        <v>642953.46</v>
      </c>
      <c r="N2707" s="95">
        <v>0.05</v>
      </c>
      <c r="O2707" s="95">
        <v>0.23</v>
      </c>
      <c r="P2707" s="95">
        <v>0.52</v>
      </c>
      <c r="Q2707" s="95">
        <v>0.21</v>
      </c>
      <c r="R2707" s="104">
        <v>0.01</v>
      </c>
    </row>
    <row r="2708" spans="1:18" ht="15" hidden="1" customHeight="1" x14ac:dyDescent="0.3">
      <c r="A2708" s="101">
        <v>2024</v>
      </c>
      <c r="B2708" s="90">
        <v>6</v>
      </c>
      <c r="C2708" s="90" t="s">
        <v>727</v>
      </c>
      <c r="D2708" s="90" t="s">
        <v>719</v>
      </c>
      <c r="E2708" s="102" t="s">
        <v>11</v>
      </c>
      <c r="F2708" s="103" t="s">
        <v>38</v>
      </c>
      <c r="G2708" s="93">
        <v>24647.13</v>
      </c>
      <c r="H2708" s="93">
        <v>34578.71</v>
      </c>
      <c r="I2708" s="93">
        <v>2397.5457928860201</v>
      </c>
      <c r="J2708" s="93">
        <v>34382.44</v>
      </c>
      <c r="K2708" s="93">
        <v>9651.82</v>
      </c>
      <c r="L2708" s="93">
        <v>21092.240000000002</v>
      </c>
      <c r="M2708" s="93">
        <v>173514.11</v>
      </c>
      <c r="N2708" s="95">
        <v>0.16</v>
      </c>
      <c r="O2708" s="95">
        <v>0.23</v>
      </c>
      <c r="P2708" s="95">
        <v>0.32</v>
      </c>
      <c r="Q2708" s="95">
        <v>0.23</v>
      </c>
      <c r="R2708" s="104">
        <v>0.06</v>
      </c>
    </row>
    <row r="2709" spans="1:18" ht="15" hidden="1" customHeight="1" x14ac:dyDescent="0.3">
      <c r="A2709" s="101">
        <v>2024</v>
      </c>
      <c r="B2709" s="90">
        <v>6</v>
      </c>
      <c r="C2709" s="90" t="s">
        <v>727</v>
      </c>
      <c r="D2709" s="90" t="s">
        <v>719</v>
      </c>
      <c r="E2709" s="102" t="s">
        <v>11</v>
      </c>
      <c r="F2709" s="103" t="s">
        <v>39</v>
      </c>
      <c r="G2709" s="93">
        <v>3600.72</v>
      </c>
      <c r="H2709" s="93">
        <v>25109.14</v>
      </c>
      <c r="I2709" s="93">
        <v>2397.5457928860201</v>
      </c>
      <c r="J2709" s="93">
        <v>76421.8</v>
      </c>
      <c r="K2709" s="93">
        <v>4477.03</v>
      </c>
      <c r="L2709" s="93">
        <v>42792.07</v>
      </c>
      <c r="M2709" s="93">
        <v>242513.7</v>
      </c>
      <c r="N2709" s="95">
        <v>0.02</v>
      </c>
      <c r="O2709" s="95">
        <v>0.13</v>
      </c>
      <c r="P2709" s="95">
        <v>0.45</v>
      </c>
      <c r="Q2709" s="95">
        <v>0.38</v>
      </c>
      <c r="R2709" s="104">
        <v>0.02</v>
      </c>
    </row>
    <row r="2710" spans="1:18" ht="15" hidden="1" customHeight="1" x14ac:dyDescent="0.3">
      <c r="A2710" s="101">
        <v>2024</v>
      </c>
      <c r="B2710" s="90">
        <v>6</v>
      </c>
      <c r="C2710" s="90" t="s">
        <v>727</v>
      </c>
      <c r="D2710" s="90" t="s">
        <v>719</v>
      </c>
      <c r="E2710" s="102" t="s">
        <v>11</v>
      </c>
      <c r="F2710" s="103" t="s">
        <v>40</v>
      </c>
      <c r="G2710" s="93">
        <v>457.71</v>
      </c>
      <c r="H2710" s="93">
        <v>2491.15</v>
      </c>
      <c r="I2710" s="93">
        <v>2397.5457928860201</v>
      </c>
      <c r="J2710" s="93">
        <v>3002.62</v>
      </c>
      <c r="K2710" s="93">
        <v>97.69</v>
      </c>
      <c r="L2710" s="93">
        <v>80607.55</v>
      </c>
      <c r="M2710" s="93">
        <v>103118.68</v>
      </c>
      <c r="N2710" s="95">
        <v>0.02</v>
      </c>
      <c r="O2710" s="95">
        <v>0.11</v>
      </c>
      <c r="P2710" s="95">
        <v>0.73</v>
      </c>
      <c r="Q2710" s="95">
        <v>0.13</v>
      </c>
      <c r="R2710" s="104">
        <v>0</v>
      </c>
    </row>
    <row r="2711" spans="1:18" ht="15" hidden="1" customHeight="1" x14ac:dyDescent="0.3">
      <c r="A2711" s="101">
        <v>2024</v>
      </c>
      <c r="B2711" s="90">
        <v>6</v>
      </c>
      <c r="C2711" s="90" t="s">
        <v>727</v>
      </c>
      <c r="D2711" s="90" t="s">
        <v>719</v>
      </c>
      <c r="E2711" s="102" t="s">
        <v>11</v>
      </c>
      <c r="F2711" s="103" t="s">
        <v>41</v>
      </c>
      <c r="G2711" s="93">
        <v>1703.03</v>
      </c>
      <c r="H2711" s="93">
        <v>6337.69</v>
      </c>
      <c r="I2711" s="93">
        <v>2397.5457928860201</v>
      </c>
      <c r="J2711" s="93">
        <v>2176.29</v>
      </c>
      <c r="K2711" s="93">
        <v>87.32</v>
      </c>
      <c r="L2711" s="93">
        <v>896020.7</v>
      </c>
      <c r="M2711" s="93">
        <v>913066.78</v>
      </c>
      <c r="N2711" s="95">
        <v>0.1</v>
      </c>
      <c r="O2711" s="95">
        <v>0.37</v>
      </c>
      <c r="P2711" s="95">
        <v>0.4</v>
      </c>
      <c r="Q2711" s="95">
        <v>0.13</v>
      </c>
      <c r="R2711" s="104">
        <v>0.01</v>
      </c>
    </row>
    <row r="2712" spans="1:18" ht="15" hidden="1" customHeight="1" x14ac:dyDescent="0.3">
      <c r="A2712" s="101">
        <v>2024</v>
      </c>
      <c r="B2712" s="90">
        <v>6</v>
      </c>
      <c r="C2712" s="90" t="s">
        <v>727</v>
      </c>
      <c r="D2712" s="90" t="s">
        <v>719</v>
      </c>
      <c r="E2712" s="102" t="s">
        <v>11</v>
      </c>
      <c r="F2712" s="103" t="s">
        <v>42</v>
      </c>
      <c r="G2712" s="93">
        <v>11207.88</v>
      </c>
      <c r="H2712" s="93">
        <v>25023.56</v>
      </c>
      <c r="I2712" s="93">
        <v>2397.5457928860201</v>
      </c>
      <c r="J2712" s="93">
        <v>126787.77</v>
      </c>
      <c r="K2712" s="93">
        <v>14991.53</v>
      </c>
      <c r="L2712" s="93">
        <v>4509.87</v>
      </c>
      <c r="M2712" s="93">
        <v>326159.65000000002</v>
      </c>
      <c r="N2712" s="95">
        <v>0.03</v>
      </c>
      <c r="O2712" s="95">
        <v>0.08</v>
      </c>
      <c r="P2712" s="95">
        <v>0.45</v>
      </c>
      <c r="Q2712" s="95">
        <v>0.39</v>
      </c>
      <c r="R2712" s="104">
        <v>0.05</v>
      </c>
    </row>
    <row r="2713" spans="1:18" ht="15" hidden="1" customHeight="1" x14ac:dyDescent="0.3">
      <c r="A2713" s="101">
        <v>2024</v>
      </c>
      <c r="B2713" s="90">
        <v>6</v>
      </c>
      <c r="C2713" s="90" t="s">
        <v>727</v>
      </c>
      <c r="D2713" s="90" t="s">
        <v>719</v>
      </c>
      <c r="E2713" s="102" t="s">
        <v>11</v>
      </c>
      <c r="F2713" s="103" t="s">
        <v>43</v>
      </c>
      <c r="G2713" s="93">
        <v>651.89</v>
      </c>
      <c r="H2713" s="93">
        <v>20794.63</v>
      </c>
      <c r="I2713" s="93">
        <v>2397.5457928860201</v>
      </c>
      <c r="J2713" s="93">
        <v>14157.61</v>
      </c>
      <c r="K2713" s="93">
        <v>5236.76</v>
      </c>
      <c r="L2713" s="93">
        <v>80762.34</v>
      </c>
      <c r="M2713" s="93">
        <v>149247.79</v>
      </c>
      <c r="N2713" s="95">
        <v>0.01</v>
      </c>
      <c r="O2713" s="95">
        <v>0.3</v>
      </c>
      <c r="P2713" s="95">
        <v>0.4</v>
      </c>
      <c r="Q2713" s="95">
        <v>0.21</v>
      </c>
      <c r="R2713" s="104">
        <v>0.08</v>
      </c>
    </row>
    <row r="2714" spans="1:18" ht="15" hidden="1" customHeight="1" x14ac:dyDescent="0.3">
      <c r="A2714" s="101">
        <v>2024</v>
      </c>
      <c r="B2714" s="90">
        <v>6</v>
      </c>
      <c r="C2714" s="90" t="s">
        <v>727</v>
      </c>
      <c r="D2714" s="90" t="s">
        <v>719</v>
      </c>
      <c r="E2714" s="102" t="s">
        <v>11</v>
      </c>
      <c r="F2714" s="103" t="s">
        <v>58</v>
      </c>
      <c r="G2714" s="93">
        <v>1237.1600000000001</v>
      </c>
      <c r="H2714" s="93">
        <v>4992.51</v>
      </c>
      <c r="I2714" s="93">
        <v>2397.5457928860201</v>
      </c>
      <c r="J2714" s="93">
        <v>18050.89</v>
      </c>
      <c r="K2714" s="93">
        <v>1094.1500000000001</v>
      </c>
      <c r="L2714" s="93">
        <v>20049.28</v>
      </c>
      <c r="M2714" s="93">
        <v>56972.69</v>
      </c>
      <c r="N2714" s="95">
        <v>0.03</v>
      </c>
      <c r="O2714" s="95">
        <v>0.14000000000000001</v>
      </c>
      <c r="P2714" s="95">
        <v>0.31</v>
      </c>
      <c r="Q2714" s="95">
        <v>0.49</v>
      </c>
      <c r="R2714" s="104">
        <v>0.03</v>
      </c>
    </row>
    <row r="2715" spans="1:18" ht="15" hidden="1" customHeight="1" x14ac:dyDescent="0.3">
      <c r="A2715" s="101">
        <v>2024</v>
      </c>
      <c r="B2715" s="90">
        <v>6</v>
      </c>
      <c r="C2715" s="90" t="s">
        <v>727</v>
      </c>
      <c r="D2715" s="90" t="s">
        <v>719</v>
      </c>
      <c r="E2715" s="102" t="s">
        <v>11</v>
      </c>
      <c r="F2715" s="103" t="s">
        <v>44</v>
      </c>
      <c r="G2715" s="93">
        <v>6747.92</v>
      </c>
      <c r="H2715" s="93">
        <v>30465.82</v>
      </c>
      <c r="I2715" s="93">
        <v>2397.5457928860201</v>
      </c>
      <c r="J2715" s="93">
        <v>48051.4</v>
      </c>
      <c r="K2715" s="93">
        <v>4249.6400000000003</v>
      </c>
      <c r="L2715" s="93">
        <v>48617.41</v>
      </c>
      <c r="M2715" s="93">
        <v>215924.41</v>
      </c>
      <c r="N2715" s="95">
        <v>0.04</v>
      </c>
      <c r="O2715" s="95">
        <v>0.18</v>
      </c>
      <c r="P2715" s="95">
        <v>0.46</v>
      </c>
      <c r="Q2715" s="95">
        <v>0.28999999999999998</v>
      </c>
      <c r="R2715" s="104">
        <v>0.03</v>
      </c>
    </row>
    <row r="2716" spans="1:18" ht="15" hidden="1" customHeight="1" x14ac:dyDescent="0.3">
      <c r="A2716" s="101">
        <v>2024</v>
      </c>
      <c r="B2716" s="90">
        <v>6</v>
      </c>
      <c r="C2716" s="90" t="s">
        <v>727</v>
      </c>
      <c r="D2716" s="90" t="s">
        <v>719</v>
      </c>
      <c r="E2716" s="102" t="s">
        <v>11</v>
      </c>
      <c r="F2716" s="103" t="s">
        <v>51</v>
      </c>
      <c r="G2716" s="93">
        <v>8063.43</v>
      </c>
      <c r="H2716" s="93">
        <v>25588.95</v>
      </c>
      <c r="I2716" s="93">
        <v>2397.5457928860201</v>
      </c>
      <c r="J2716" s="93">
        <v>67223.22</v>
      </c>
      <c r="K2716" s="93">
        <v>64202.85</v>
      </c>
      <c r="L2716" s="93">
        <v>45604.2</v>
      </c>
      <c r="M2716" s="93">
        <v>254741.56</v>
      </c>
      <c r="N2716" s="95">
        <v>0.04</v>
      </c>
      <c r="O2716" s="95">
        <v>0.12</v>
      </c>
      <c r="P2716" s="95">
        <v>0.21</v>
      </c>
      <c r="Q2716" s="95">
        <v>0.32</v>
      </c>
      <c r="R2716" s="104">
        <v>0.31</v>
      </c>
    </row>
    <row r="2717" spans="1:18" ht="15" hidden="1" customHeight="1" x14ac:dyDescent="0.3">
      <c r="A2717" s="101">
        <v>2024</v>
      </c>
      <c r="B2717" s="90">
        <v>6</v>
      </c>
      <c r="C2717" s="90" t="s">
        <v>727</v>
      </c>
      <c r="D2717" s="90" t="s">
        <v>719</v>
      </c>
      <c r="E2717" s="102" t="s">
        <v>11</v>
      </c>
      <c r="F2717" s="103" t="s">
        <v>45</v>
      </c>
      <c r="G2717" s="93">
        <v>4291.63</v>
      </c>
      <c r="H2717" s="93">
        <v>8711.6</v>
      </c>
      <c r="I2717" s="93">
        <v>2397.5457928860201</v>
      </c>
      <c r="J2717" s="93">
        <v>8166.11</v>
      </c>
      <c r="K2717" s="93">
        <v>1090.3599999999999</v>
      </c>
      <c r="L2717" s="93">
        <v>27335.31</v>
      </c>
      <c r="M2717" s="93">
        <v>63973.21</v>
      </c>
      <c r="N2717" s="95">
        <v>0.12</v>
      </c>
      <c r="O2717" s="95">
        <v>0.24</v>
      </c>
      <c r="P2717" s="95">
        <v>0.39</v>
      </c>
      <c r="Q2717" s="95">
        <v>0.22</v>
      </c>
      <c r="R2717" s="104">
        <v>0.03</v>
      </c>
    </row>
    <row r="2718" spans="1:18" ht="15" hidden="1" customHeight="1" x14ac:dyDescent="0.3">
      <c r="A2718" s="101">
        <v>2024</v>
      </c>
      <c r="B2718" s="90">
        <v>6</v>
      </c>
      <c r="C2718" s="90" t="s">
        <v>727</v>
      </c>
      <c r="D2718" s="90" t="s">
        <v>719</v>
      </c>
      <c r="E2718" s="102" t="s">
        <v>11</v>
      </c>
      <c r="F2718" s="103" t="s">
        <v>721</v>
      </c>
      <c r="G2718" s="93">
        <v>79.63</v>
      </c>
      <c r="H2718" s="93">
        <v>1253.93</v>
      </c>
      <c r="I2718" s="93">
        <v>2397.5457928860201</v>
      </c>
      <c r="J2718" s="93">
        <v>3867.62</v>
      </c>
      <c r="K2718" s="93">
        <v>197.17</v>
      </c>
      <c r="L2718" s="93">
        <v>637891.56999999995</v>
      </c>
      <c r="M2718" s="93">
        <v>647451.67000000004</v>
      </c>
      <c r="N2718" s="95">
        <v>0.01</v>
      </c>
      <c r="O2718" s="95">
        <v>0.13</v>
      </c>
      <c r="P2718" s="95">
        <v>0.44</v>
      </c>
      <c r="Q2718" s="95">
        <v>0.4</v>
      </c>
      <c r="R2718" s="104">
        <v>0.02</v>
      </c>
    </row>
    <row r="2719" spans="1:18" ht="15" hidden="1" customHeight="1" x14ac:dyDescent="0.3">
      <c r="A2719" s="101">
        <v>2024</v>
      </c>
      <c r="B2719" s="90">
        <v>6</v>
      </c>
      <c r="C2719" s="90" t="s">
        <v>727</v>
      </c>
      <c r="D2719" s="90" t="s">
        <v>719</v>
      </c>
      <c r="E2719" s="102" t="s">
        <v>11</v>
      </c>
      <c r="F2719" s="103" t="s">
        <v>46</v>
      </c>
      <c r="G2719" s="93">
        <v>22143.72</v>
      </c>
      <c r="H2719" s="93">
        <v>65849.39</v>
      </c>
      <c r="I2719" s="93">
        <v>2397.5457928860201</v>
      </c>
      <c r="J2719" s="93">
        <v>12826.41</v>
      </c>
      <c r="K2719" s="93">
        <v>2159.6</v>
      </c>
      <c r="L2719" s="93">
        <v>66394.36</v>
      </c>
      <c r="M2719" s="93">
        <v>213823.76</v>
      </c>
      <c r="N2719" s="95">
        <v>0.15</v>
      </c>
      <c r="O2719" s="95">
        <v>0.45</v>
      </c>
      <c r="P2719" s="95">
        <v>0.3</v>
      </c>
      <c r="Q2719" s="95">
        <v>0.09</v>
      </c>
      <c r="R2719" s="104">
        <v>0.01</v>
      </c>
    </row>
    <row r="2720" spans="1:18" ht="15" hidden="1" customHeight="1" x14ac:dyDescent="0.3">
      <c r="A2720" s="101">
        <v>2024</v>
      </c>
      <c r="B2720" s="90">
        <v>6</v>
      </c>
      <c r="C2720" s="90" t="s">
        <v>727</v>
      </c>
      <c r="D2720" s="90" t="s">
        <v>719</v>
      </c>
      <c r="E2720" s="102" t="s">
        <v>11</v>
      </c>
      <c r="F2720" s="103" t="s">
        <v>47</v>
      </c>
      <c r="G2720" s="93">
        <v>1173.54</v>
      </c>
      <c r="H2720" s="93">
        <v>3928.1</v>
      </c>
      <c r="I2720" s="93">
        <v>2397.5457928860201</v>
      </c>
      <c r="J2720" s="93">
        <v>13222.25</v>
      </c>
      <c r="K2720" s="93">
        <v>10952.91</v>
      </c>
      <c r="L2720" s="93">
        <v>56978.51</v>
      </c>
      <c r="M2720" s="93">
        <v>98108.3</v>
      </c>
      <c r="N2720" s="95">
        <v>0.03</v>
      </c>
      <c r="O2720" s="95">
        <v>0.1</v>
      </c>
      <c r="P2720" s="95">
        <v>0.28999999999999998</v>
      </c>
      <c r="Q2720" s="95">
        <v>0.32</v>
      </c>
      <c r="R2720" s="104">
        <v>0.27</v>
      </c>
    </row>
    <row r="2721" spans="1:18" ht="15" hidden="1" customHeight="1" x14ac:dyDescent="0.3">
      <c r="A2721" s="101">
        <v>2024</v>
      </c>
      <c r="B2721" s="90">
        <v>6</v>
      </c>
      <c r="C2721" s="90" t="s">
        <v>727</v>
      </c>
      <c r="D2721" s="90" t="s">
        <v>719</v>
      </c>
      <c r="E2721" s="102" t="s">
        <v>11</v>
      </c>
      <c r="F2721" s="103" t="s">
        <v>48</v>
      </c>
      <c r="G2721" s="93">
        <v>1364.07</v>
      </c>
      <c r="H2721" s="93">
        <v>6582.67</v>
      </c>
      <c r="I2721" s="93">
        <v>2397.5457928860201</v>
      </c>
      <c r="J2721" s="93">
        <v>40634.120000000003</v>
      </c>
      <c r="K2721" s="93">
        <v>1865.98</v>
      </c>
      <c r="L2721" s="93">
        <v>280360.21000000002</v>
      </c>
      <c r="M2721" s="93">
        <v>369145.18</v>
      </c>
      <c r="N2721" s="95">
        <v>0.02</v>
      </c>
      <c r="O2721" s="95">
        <v>7.0000000000000007E-2</v>
      </c>
      <c r="P2721" s="95">
        <v>0.43</v>
      </c>
      <c r="Q2721" s="95">
        <v>0.46</v>
      </c>
      <c r="R2721" s="104">
        <v>0.02</v>
      </c>
    </row>
    <row r="2722" spans="1:18" ht="15" hidden="1" customHeight="1" x14ac:dyDescent="0.3">
      <c r="A2722" s="101">
        <v>2024</v>
      </c>
      <c r="B2722" s="90">
        <v>6</v>
      </c>
      <c r="C2722" s="90" t="s">
        <v>727</v>
      </c>
      <c r="D2722" s="90" t="s">
        <v>722</v>
      </c>
      <c r="E2722" s="102" t="s">
        <v>11</v>
      </c>
      <c r="F2722" s="103" t="s">
        <v>12</v>
      </c>
      <c r="G2722" s="93">
        <v>5190.2</v>
      </c>
      <c r="H2722" s="93">
        <v>21834.46</v>
      </c>
      <c r="I2722" s="93">
        <v>2397.5457928860201</v>
      </c>
      <c r="J2722" s="93">
        <v>167677.47</v>
      </c>
      <c r="K2722" s="93">
        <v>116478.85</v>
      </c>
      <c r="L2722" s="93">
        <v>29484.93</v>
      </c>
      <c r="M2722" s="93">
        <v>410026.59</v>
      </c>
      <c r="N2722" s="95">
        <v>0.01</v>
      </c>
      <c r="O2722" s="95">
        <v>0.06</v>
      </c>
      <c r="P2722" s="95">
        <v>0.18</v>
      </c>
      <c r="Q2722" s="95">
        <v>0.44</v>
      </c>
      <c r="R2722" s="104">
        <v>0.31</v>
      </c>
    </row>
    <row r="2723" spans="1:18" ht="15" hidden="1" customHeight="1" x14ac:dyDescent="0.3">
      <c r="A2723" s="101">
        <v>2024</v>
      </c>
      <c r="B2723" s="90">
        <v>6</v>
      </c>
      <c r="C2723" s="90" t="s">
        <v>727</v>
      </c>
      <c r="D2723" s="90" t="s">
        <v>722</v>
      </c>
      <c r="E2723" s="102" t="s">
        <v>11</v>
      </c>
      <c r="F2723" s="103" t="s">
        <v>26</v>
      </c>
      <c r="G2723" s="93">
        <v>78140.95</v>
      </c>
      <c r="H2723" s="93">
        <v>137814.31</v>
      </c>
      <c r="I2723" s="93">
        <v>2397.5457928860201</v>
      </c>
      <c r="J2723" s="93">
        <v>435482.63</v>
      </c>
      <c r="K2723" s="93">
        <v>106016.54</v>
      </c>
      <c r="L2723" s="93">
        <v>22612.03</v>
      </c>
      <c r="M2723" s="93">
        <v>1063459.75</v>
      </c>
      <c r="N2723" s="95">
        <v>0.08</v>
      </c>
      <c r="O2723" s="95">
        <v>0.13</v>
      </c>
      <c r="P2723" s="95">
        <v>0.27</v>
      </c>
      <c r="Q2723" s="95">
        <v>0.42</v>
      </c>
      <c r="R2723" s="104">
        <v>0.1</v>
      </c>
    </row>
    <row r="2724" spans="1:18" ht="15" hidden="1" customHeight="1" x14ac:dyDescent="0.3">
      <c r="A2724" s="101">
        <v>2024</v>
      </c>
      <c r="B2724" s="90">
        <v>6</v>
      </c>
      <c r="C2724" s="90" t="s">
        <v>727</v>
      </c>
      <c r="D2724" s="90" t="s">
        <v>722</v>
      </c>
      <c r="E2724" s="102" t="s">
        <v>11</v>
      </c>
      <c r="F2724" s="103" t="s">
        <v>27</v>
      </c>
      <c r="G2724" s="93">
        <v>199.9</v>
      </c>
      <c r="H2724" s="93">
        <v>2818.95</v>
      </c>
      <c r="I2724" s="93">
        <v>2397.5457928860201</v>
      </c>
      <c r="J2724" s="93">
        <v>84308.33</v>
      </c>
      <c r="K2724" s="93">
        <v>110478.6</v>
      </c>
      <c r="L2724" s="93">
        <v>183969.46</v>
      </c>
      <c r="M2724" s="93">
        <v>404169.98</v>
      </c>
      <c r="N2724" s="95">
        <v>0</v>
      </c>
      <c r="O2724" s="95">
        <v>0.01</v>
      </c>
      <c r="P2724" s="95">
        <v>0.1</v>
      </c>
      <c r="Q2724" s="95">
        <v>0.38</v>
      </c>
      <c r="R2724" s="104">
        <v>0.5</v>
      </c>
    </row>
    <row r="2725" spans="1:18" ht="15" hidden="1" customHeight="1" x14ac:dyDescent="0.3">
      <c r="A2725" s="101">
        <v>2024</v>
      </c>
      <c r="B2725" s="90">
        <v>6</v>
      </c>
      <c r="C2725" s="90" t="s">
        <v>727</v>
      </c>
      <c r="D2725" s="90" t="s">
        <v>722</v>
      </c>
      <c r="E2725" s="102" t="s">
        <v>11</v>
      </c>
      <c r="F2725" s="103" t="s">
        <v>28</v>
      </c>
      <c r="G2725" s="93">
        <v>1815.21</v>
      </c>
      <c r="H2725" s="93">
        <v>6689.27</v>
      </c>
      <c r="I2725" s="93">
        <v>2397.5457928860201</v>
      </c>
      <c r="J2725" s="93">
        <v>112827.28</v>
      </c>
      <c r="K2725" s="93">
        <v>227818.55</v>
      </c>
      <c r="L2725" s="93">
        <v>86026.69</v>
      </c>
      <c r="M2725" s="93">
        <v>455818.14</v>
      </c>
      <c r="N2725" s="95">
        <v>0</v>
      </c>
      <c r="O2725" s="95">
        <v>0.02</v>
      </c>
      <c r="P2725" s="95">
        <v>0.06</v>
      </c>
      <c r="Q2725" s="95">
        <v>0.31</v>
      </c>
      <c r="R2725" s="104">
        <v>0.62</v>
      </c>
    </row>
    <row r="2726" spans="1:18" ht="15" customHeight="1" x14ac:dyDescent="0.3">
      <c r="A2726" s="101">
        <v>2024</v>
      </c>
      <c r="B2726" s="90">
        <v>6</v>
      </c>
      <c r="C2726" s="90" t="s">
        <v>727</v>
      </c>
      <c r="D2726" s="90" t="s">
        <v>722</v>
      </c>
      <c r="E2726" s="102" t="s">
        <v>11</v>
      </c>
      <c r="F2726" s="103" t="s">
        <v>29</v>
      </c>
      <c r="G2726" s="93">
        <v>6875.24</v>
      </c>
      <c r="H2726" s="93">
        <v>25168.880000000001</v>
      </c>
      <c r="I2726" s="93">
        <v>2397.5457928860201</v>
      </c>
      <c r="J2726" s="93">
        <v>108262.84</v>
      </c>
      <c r="K2726" s="93">
        <v>45752.6</v>
      </c>
      <c r="L2726" s="93">
        <v>29630.92</v>
      </c>
      <c r="M2726" s="93">
        <v>282946.28999999998</v>
      </c>
      <c r="N2726" s="95">
        <v>0.03</v>
      </c>
      <c r="O2726" s="95">
        <v>0.1</v>
      </c>
      <c r="P2726" s="95">
        <v>0.27</v>
      </c>
      <c r="Q2726" s="95">
        <v>0.43</v>
      </c>
      <c r="R2726" s="104">
        <v>0.18</v>
      </c>
    </row>
    <row r="2727" spans="1:18" ht="15" hidden="1" customHeight="1" x14ac:dyDescent="0.3">
      <c r="A2727" s="101">
        <v>2024</v>
      </c>
      <c r="B2727" s="90">
        <v>6</v>
      </c>
      <c r="C2727" s="90" t="s">
        <v>727</v>
      </c>
      <c r="D2727" s="90" t="s">
        <v>722</v>
      </c>
      <c r="E2727" s="102" t="s">
        <v>11</v>
      </c>
      <c r="F2727" s="103" t="s">
        <v>30</v>
      </c>
      <c r="G2727" s="93">
        <v>330.81</v>
      </c>
      <c r="H2727" s="93">
        <v>2703.42</v>
      </c>
      <c r="I2727" s="93">
        <v>2397.5457928860201</v>
      </c>
      <c r="J2727" s="93">
        <v>4069.84</v>
      </c>
      <c r="K2727" s="93">
        <v>662.57</v>
      </c>
      <c r="L2727" s="93">
        <v>531412.44999999995</v>
      </c>
      <c r="M2727" s="93">
        <v>545937.46</v>
      </c>
      <c r="N2727" s="95">
        <v>0.02</v>
      </c>
      <c r="O2727" s="95">
        <v>0.19</v>
      </c>
      <c r="P2727" s="95">
        <v>0.47</v>
      </c>
      <c r="Q2727" s="95">
        <v>0.28000000000000003</v>
      </c>
      <c r="R2727" s="104">
        <v>0.05</v>
      </c>
    </row>
    <row r="2728" spans="1:18" ht="15" hidden="1" customHeight="1" x14ac:dyDescent="0.3">
      <c r="A2728" s="101">
        <v>2024</v>
      </c>
      <c r="B2728" s="90">
        <v>6</v>
      </c>
      <c r="C2728" s="90" t="s">
        <v>727</v>
      </c>
      <c r="D2728" s="90" t="s">
        <v>722</v>
      </c>
      <c r="E2728" s="102" t="s">
        <v>11</v>
      </c>
      <c r="F2728" s="103" t="s">
        <v>31</v>
      </c>
      <c r="G2728" s="93">
        <v>1468.41</v>
      </c>
      <c r="H2728" s="93">
        <v>61162.720000000001</v>
      </c>
      <c r="I2728" s="93">
        <v>2397.5457928860201</v>
      </c>
      <c r="J2728" s="93">
        <v>42721.54</v>
      </c>
      <c r="K2728" s="93">
        <v>20424.36</v>
      </c>
      <c r="L2728" s="93">
        <v>583111</v>
      </c>
      <c r="M2728" s="93">
        <v>790747.8</v>
      </c>
      <c r="N2728" s="95">
        <v>0.01</v>
      </c>
      <c r="O2728" s="95">
        <v>0.28999999999999998</v>
      </c>
      <c r="P2728" s="95">
        <v>0.39</v>
      </c>
      <c r="Q2728" s="95">
        <v>0.21</v>
      </c>
      <c r="R2728" s="104">
        <v>0.1</v>
      </c>
    </row>
    <row r="2729" spans="1:18" ht="15" hidden="1" customHeight="1" x14ac:dyDescent="0.3">
      <c r="A2729" s="101">
        <v>2024</v>
      </c>
      <c r="B2729" s="90">
        <v>6</v>
      </c>
      <c r="C2729" s="90" t="s">
        <v>727</v>
      </c>
      <c r="D2729" s="90" t="s">
        <v>722</v>
      </c>
      <c r="E2729" s="102" t="s">
        <v>11</v>
      </c>
      <c r="F2729" s="103" t="s">
        <v>32</v>
      </c>
      <c r="G2729" s="93">
        <v>5006.1099999999997</v>
      </c>
      <c r="H2729" s="93">
        <v>38080.47</v>
      </c>
      <c r="I2729" s="93">
        <v>2397.5457928860201</v>
      </c>
      <c r="J2729" s="93">
        <v>259922.98</v>
      </c>
      <c r="K2729" s="93">
        <v>127577.48</v>
      </c>
      <c r="L2729" s="93">
        <v>1870.17</v>
      </c>
      <c r="M2729" s="93">
        <v>557630.44999999995</v>
      </c>
      <c r="N2729" s="95">
        <v>0.01</v>
      </c>
      <c r="O2729" s="95">
        <v>7.0000000000000007E-2</v>
      </c>
      <c r="P2729" s="95">
        <v>0.23</v>
      </c>
      <c r="Q2729" s="95">
        <v>0.47</v>
      </c>
      <c r="R2729" s="104">
        <v>0.23</v>
      </c>
    </row>
    <row r="2730" spans="1:18" ht="15" hidden="1" customHeight="1" x14ac:dyDescent="0.3">
      <c r="A2730" s="101">
        <v>2024</v>
      </c>
      <c r="B2730" s="90">
        <v>6</v>
      </c>
      <c r="C2730" s="90" t="s">
        <v>727</v>
      </c>
      <c r="D2730" s="90" t="s">
        <v>722</v>
      </c>
      <c r="E2730" s="102" t="s">
        <v>11</v>
      </c>
      <c r="F2730" s="103" t="s">
        <v>33</v>
      </c>
      <c r="G2730" s="93">
        <v>32701.13</v>
      </c>
      <c r="H2730" s="93">
        <v>94746.89</v>
      </c>
      <c r="I2730" s="93">
        <v>2397.5457928860201</v>
      </c>
      <c r="J2730" s="93">
        <v>699886.34</v>
      </c>
      <c r="K2730" s="93">
        <v>92430.8</v>
      </c>
      <c r="L2730" s="93">
        <v>30283.25</v>
      </c>
      <c r="M2730" s="93">
        <v>1346926.74</v>
      </c>
      <c r="N2730" s="95">
        <v>0.02</v>
      </c>
      <c r="O2730" s="95">
        <v>7.0000000000000007E-2</v>
      </c>
      <c r="P2730" s="95">
        <v>0.3</v>
      </c>
      <c r="Q2730" s="95">
        <v>0.53</v>
      </c>
      <c r="R2730" s="104">
        <v>7.0000000000000007E-2</v>
      </c>
    </row>
    <row r="2731" spans="1:18" ht="15" hidden="1" customHeight="1" x14ac:dyDescent="0.3">
      <c r="A2731" s="101">
        <v>2024</v>
      </c>
      <c r="B2731" s="90">
        <v>6</v>
      </c>
      <c r="C2731" s="90" t="s">
        <v>727</v>
      </c>
      <c r="D2731" s="90" t="s">
        <v>722</v>
      </c>
      <c r="E2731" s="102" t="s">
        <v>11</v>
      </c>
      <c r="F2731" s="103" t="s">
        <v>34</v>
      </c>
      <c r="G2731" s="93">
        <v>11905.52</v>
      </c>
      <c r="H2731" s="93">
        <v>24122.9</v>
      </c>
      <c r="I2731" s="93">
        <v>2397.5457928860201</v>
      </c>
      <c r="J2731" s="93">
        <v>305940.96999999997</v>
      </c>
      <c r="K2731" s="93">
        <v>209217.55</v>
      </c>
      <c r="L2731" s="93">
        <v>3733.44</v>
      </c>
      <c r="M2731" s="93">
        <v>642218.48</v>
      </c>
      <c r="N2731" s="95">
        <v>0.02</v>
      </c>
      <c r="O2731" s="95">
        <v>0.04</v>
      </c>
      <c r="P2731" s="95">
        <v>0.14000000000000001</v>
      </c>
      <c r="Q2731" s="95">
        <v>0.48</v>
      </c>
      <c r="R2731" s="104">
        <v>0.33</v>
      </c>
    </row>
    <row r="2732" spans="1:18" ht="15" hidden="1" customHeight="1" x14ac:dyDescent="0.3">
      <c r="A2732" s="101">
        <v>2024</v>
      </c>
      <c r="B2732" s="90">
        <v>6</v>
      </c>
      <c r="C2732" s="90" t="s">
        <v>727</v>
      </c>
      <c r="D2732" s="90" t="s">
        <v>722</v>
      </c>
      <c r="E2732" s="102" t="s">
        <v>11</v>
      </c>
      <c r="F2732" s="103" t="s">
        <v>35</v>
      </c>
      <c r="G2732" s="93">
        <v>14824.5</v>
      </c>
      <c r="H2732" s="93">
        <v>62788.3</v>
      </c>
      <c r="I2732" s="93">
        <v>2397.5457928860201</v>
      </c>
      <c r="J2732" s="93">
        <v>130479.24</v>
      </c>
      <c r="K2732" s="93">
        <v>37010.44</v>
      </c>
      <c r="L2732" s="93">
        <v>68908.210000000006</v>
      </c>
      <c r="M2732" s="93">
        <v>433466.31</v>
      </c>
      <c r="N2732" s="95">
        <v>0.04</v>
      </c>
      <c r="O2732" s="95">
        <v>0.17</v>
      </c>
      <c r="P2732" s="95">
        <v>0.33</v>
      </c>
      <c r="Q2732" s="95">
        <v>0.36</v>
      </c>
      <c r="R2732" s="104">
        <v>0.1</v>
      </c>
    </row>
    <row r="2733" spans="1:18" ht="15" hidden="1" customHeight="1" x14ac:dyDescent="0.3">
      <c r="A2733" s="101">
        <v>2024</v>
      </c>
      <c r="B2733" s="90">
        <v>6</v>
      </c>
      <c r="C2733" s="90" t="s">
        <v>727</v>
      </c>
      <c r="D2733" s="90" t="s">
        <v>722</v>
      </c>
      <c r="E2733" s="102" t="s">
        <v>11</v>
      </c>
      <c r="F2733" s="103" t="s">
        <v>36</v>
      </c>
      <c r="G2733" s="93">
        <v>2236.7600000000002</v>
      </c>
      <c r="H2733" s="93">
        <v>20210.07</v>
      </c>
      <c r="I2733" s="93">
        <v>2397.5457928860201</v>
      </c>
      <c r="J2733" s="93">
        <v>99862.99</v>
      </c>
      <c r="K2733" s="93">
        <v>39620.050000000003</v>
      </c>
      <c r="L2733" s="93">
        <v>75661.38</v>
      </c>
      <c r="M2733" s="93">
        <v>301224.32000000001</v>
      </c>
      <c r="N2733" s="95">
        <v>0.01</v>
      </c>
      <c r="O2733" s="95">
        <v>0.09</v>
      </c>
      <c r="P2733" s="95">
        <v>0.28000000000000003</v>
      </c>
      <c r="Q2733" s="95">
        <v>0.44</v>
      </c>
      <c r="R2733" s="104">
        <v>0.18</v>
      </c>
    </row>
    <row r="2734" spans="1:18" ht="15" hidden="1" customHeight="1" x14ac:dyDescent="0.3">
      <c r="A2734" s="101">
        <v>2024</v>
      </c>
      <c r="B2734" s="90">
        <v>6</v>
      </c>
      <c r="C2734" s="90" t="s">
        <v>727</v>
      </c>
      <c r="D2734" s="90" t="s">
        <v>722</v>
      </c>
      <c r="E2734" s="102" t="s">
        <v>11</v>
      </c>
      <c r="F2734" s="103" t="s">
        <v>37</v>
      </c>
      <c r="G2734" s="93">
        <v>4463.08</v>
      </c>
      <c r="H2734" s="93">
        <v>26338.71</v>
      </c>
      <c r="I2734" s="93">
        <v>2397.5457928860201</v>
      </c>
      <c r="J2734" s="93">
        <v>180450.98</v>
      </c>
      <c r="K2734" s="93">
        <v>60278.15</v>
      </c>
      <c r="L2734" s="93">
        <v>305681.67</v>
      </c>
      <c r="M2734" s="93">
        <v>664534.04</v>
      </c>
      <c r="N2734" s="95">
        <v>0.01</v>
      </c>
      <c r="O2734" s="95">
        <v>7.0000000000000007E-2</v>
      </c>
      <c r="P2734" s="95">
        <v>0.24</v>
      </c>
      <c r="Q2734" s="95">
        <v>0.5</v>
      </c>
      <c r="R2734" s="104">
        <v>0.17</v>
      </c>
    </row>
    <row r="2735" spans="1:18" ht="15" hidden="1" customHeight="1" x14ac:dyDescent="0.3">
      <c r="A2735" s="101">
        <v>2024</v>
      </c>
      <c r="B2735" s="90">
        <v>6</v>
      </c>
      <c r="C2735" s="90" t="s">
        <v>727</v>
      </c>
      <c r="D2735" s="90" t="s">
        <v>722</v>
      </c>
      <c r="E2735" s="102" t="s">
        <v>11</v>
      </c>
      <c r="F2735" s="103" t="s">
        <v>720</v>
      </c>
      <c r="G2735" s="93">
        <v>36317.47</v>
      </c>
      <c r="H2735" s="93">
        <v>69552.25</v>
      </c>
      <c r="I2735" s="93">
        <v>2397.5457928860201</v>
      </c>
      <c r="J2735" s="93">
        <v>268025.63</v>
      </c>
      <c r="K2735" s="93">
        <v>211343.89</v>
      </c>
      <c r="L2735" s="93">
        <v>17843.330000000002</v>
      </c>
      <c r="M2735" s="93">
        <v>736322.05</v>
      </c>
      <c r="N2735" s="95">
        <v>0.05</v>
      </c>
      <c r="O2735" s="95">
        <v>0.1</v>
      </c>
      <c r="P2735" s="95">
        <v>0.19</v>
      </c>
      <c r="Q2735" s="95">
        <v>0.37</v>
      </c>
      <c r="R2735" s="104">
        <v>0.28999999999999998</v>
      </c>
    </row>
    <row r="2736" spans="1:18" ht="15" hidden="1" customHeight="1" x14ac:dyDescent="0.3">
      <c r="A2736" s="101">
        <v>2024</v>
      </c>
      <c r="B2736" s="90">
        <v>6</v>
      </c>
      <c r="C2736" s="90" t="s">
        <v>727</v>
      </c>
      <c r="D2736" s="90" t="s">
        <v>722</v>
      </c>
      <c r="E2736" s="102" t="s">
        <v>11</v>
      </c>
      <c r="F2736" s="103" t="s">
        <v>39</v>
      </c>
      <c r="G2736" s="93">
        <v>2152.5100000000002</v>
      </c>
      <c r="H2736" s="93">
        <v>19746.41</v>
      </c>
      <c r="I2736" s="93">
        <v>2397.5457928860201</v>
      </c>
      <c r="J2736" s="93">
        <v>128913.23</v>
      </c>
      <c r="K2736" s="93">
        <v>69706.960000000006</v>
      </c>
      <c r="L2736" s="93">
        <v>42536.4</v>
      </c>
      <c r="M2736" s="93">
        <v>326032.99</v>
      </c>
      <c r="N2736" s="95">
        <v>0.01</v>
      </c>
      <c r="O2736" s="95">
        <v>7.0000000000000007E-2</v>
      </c>
      <c r="P2736" s="95">
        <v>0.22</v>
      </c>
      <c r="Q2736" s="95">
        <v>0.45</v>
      </c>
      <c r="R2736" s="104">
        <v>0.25</v>
      </c>
    </row>
    <row r="2737" spans="1:18" ht="15" hidden="1" customHeight="1" x14ac:dyDescent="0.3">
      <c r="A2737" s="101">
        <v>2024</v>
      </c>
      <c r="B2737" s="90">
        <v>6</v>
      </c>
      <c r="C2737" s="90" t="s">
        <v>727</v>
      </c>
      <c r="D2737" s="90" t="s">
        <v>722</v>
      </c>
      <c r="E2737" s="102" t="s">
        <v>11</v>
      </c>
      <c r="F2737" s="103" t="s">
        <v>40</v>
      </c>
      <c r="G2737" s="93">
        <v>2521.65</v>
      </c>
      <c r="H2737" s="93">
        <v>6448.99</v>
      </c>
      <c r="I2737" s="93">
        <v>2397.5457928860201</v>
      </c>
      <c r="J2737" s="93">
        <v>108519.87</v>
      </c>
      <c r="K2737" s="93">
        <v>175318.69</v>
      </c>
      <c r="L2737" s="93">
        <v>44507.57</v>
      </c>
      <c r="M2737" s="93">
        <v>365362.72</v>
      </c>
      <c r="N2737" s="95">
        <v>0.01</v>
      </c>
      <c r="O2737" s="95">
        <v>0.02</v>
      </c>
      <c r="P2737" s="95">
        <v>0.09</v>
      </c>
      <c r="Q2737" s="95">
        <v>0.34</v>
      </c>
      <c r="R2737" s="104">
        <v>0.55000000000000004</v>
      </c>
    </row>
    <row r="2738" spans="1:18" ht="15" hidden="1" customHeight="1" x14ac:dyDescent="0.3">
      <c r="A2738" s="101">
        <v>2024</v>
      </c>
      <c r="B2738" s="90">
        <v>6</v>
      </c>
      <c r="C2738" s="90" t="s">
        <v>727</v>
      </c>
      <c r="D2738" s="90" t="s">
        <v>722</v>
      </c>
      <c r="E2738" s="102" t="s">
        <v>11</v>
      </c>
      <c r="F2738" s="103" t="s">
        <v>41</v>
      </c>
      <c r="G2738" s="93">
        <v>1165.67</v>
      </c>
      <c r="H2738" s="93">
        <v>5510.61</v>
      </c>
      <c r="I2738" s="93">
        <v>2397.5457928860201</v>
      </c>
      <c r="J2738" s="93">
        <v>4458.7</v>
      </c>
      <c r="K2738" s="93">
        <v>845.17</v>
      </c>
      <c r="L2738" s="93">
        <v>856217.66</v>
      </c>
      <c r="M2738" s="93">
        <v>874784.18</v>
      </c>
      <c r="N2738" s="95">
        <v>0.06</v>
      </c>
      <c r="O2738" s="95">
        <v>0.3</v>
      </c>
      <c r="P2738" s="95">
        <v>0.35</v>
      </c>
      <c r="Q2738" s="95">
        <v>0.24</v>
      </c>
      <c r="R2738" s="104">
        <v>0.05</v>
      </c>
    </row>
    <row r="2739" spans="1:18" ht="15" hidden="1" customHeight="1" x14ac:dyDescent="0.3">
      <c r="A2739" s="101">
        <v>2024</v>
      </c>
      <c r="B2739" s="90">
        <v>6</v>
      </c>
      <c r="C2739" s="90" t="s">
        <v>727</v>
      </c>
      <c r="D2739" s="90" t="s">
        <v>722</v>
      </c>
      <c r="E2739" s="102" t="s">
        <v>11</v>
      </c>
      <c r="F2739" s="103" t="s">
        <v>42</v>
      </c>
      <c r="G2739" s="93">
        <v>2627.97</v>
      </c>
      <c r="H2739" s="93">
        <v>14942.01</v>
      </c>
      <c r="I2739" s="93">
        <v>2397.5457928860201</v>
      </c>
      <c r="J2739" s="93">
        <v>226121.44</v>
      </c>
      <c r="K2739" s="93">
        <v>94279.81</v>
      </c>
      <c r="L2739" s="93">
        <v>2269.38</v>
      </c>
      <c r="M2739" s="93">
        <v>411484.09</v>
      </c>
      <c r="N2739" s="95">
        <v>0.01</v>
      </c>
      <c r="O2739" s="95">
        <v>0.04</v>
      </c>
      <c r="P2739" s="95">
        <v>0.17</v>
      </c>
      <c r="Q2739" s="95">
        <v>0.55000000000000004</v>
      </c>
      <c r="R2739" s="104">
        <v>0.23</v>
      </c>
    </row>
    <row r="2740" spans="1:18" ht="15" hidden="1" customHeight="1" x14ac:dyDescent="0.3">
      <c r="A2740" s="101">
        <v>2024</v>
      </c>
      <c r="B2740" s="90">
        <v>6</v>
      </c>
      <c r="C2740" s="90" t="s">
        <v>727</v>
      </c>
      <c r="D2740" s="90" t="s">
        <v>722</v>
      </c>
      <c r="E2740" s="102" t="s">
        <v>11</v>
      </c>
      <c r="F2740" s="103" t="s">
        <v>43</v>
      </c>
      <c r="G2740" s="93">
        <v>1015.45</v>
      </c>
      <c r="H2740" s="93">
        <v>25213.8</v>
      </c>
      <c r="I2740" s="93">
        <v>2397.5457928860201</v>
      </c>
      <c r="J2740" s="93">
        <v>12665.33</v>
      </c>
      <c r="K2740" s="93">
        <v>5086.1000000000004</v>
      </c>
      <c r="L2740" s="93">
        <v>61655.18</v>
      </c>
      <c r="M2740" s="93">
        <v>130869.3</v>
      </c>
      <c r="N2740" s="95">
        <v>0.01</v>
      </c>
      <c r="O2740" s="95">
        <v>0.36</v>
      </c>
      <c r="P2740" s="95">
        <v>0.36</v>
      </c>
      <c r="Q2740" s="95">
        <v>0.18</v>
      </c>
      <c r="R2740" s="104">
        <v>7.0000000000000007E-2</v>
      </c>
    </row>
    <row r="2741" spans="1:18" ht="15" hidden="1" customHeight="1" x14ac:dyDescent="0.3">
      <c r="A2741" s="101">
        <v>2024</v>
      </c>
      <c r="B2741" s="90">
        <v>6</v>
      </c>
      <c r="C2741" s="90" t="s">
        <v>727</v>
      </c>
      <c r="D2741" s="90" t="s">
        <v>722</v>
      </c>
      <c r="E2741" s="102" t="s">
        <v>11</v>
      </c>
      <c r="F2741" s="103" t="s">
        <v>58</v>
      </c>
      <c r="G2741" s="93">
        <v>2519.04</v>
      </c>
      <c r="H2741" s="93">
        <v>9623.77</v>
      </c>
      <c r="I2741" s="93">
        <v>2397.5457928860201</v>
      </c>
      <c r="J2741" s="93">
        <v>134962.88</v>
      </c>
      <c r="K2741" s="93">
        <v>184039.89</v>
      </c>
      <c r="L2741" s="93">
        <v>167100.89000000001</v>
      </c>
      <c r="M2741" s="93">
        <v>534495.56000000006</v>
      </c>
      <c r="N2741" s="95">
        <v>0.01</v>
      </c>
      <c r="O2741" s="95">
        <v>0.03</v>
      </c>
      <c r="P2741" s="95">
        <v>0.1</v>
      </c>
      <c r="Q2741" s="95">
        <v>0.37</v>
      </c>
      <c r="R2741" s="104">
        <v>0.5</v>
      </c>
    </row>
    <row r="2742" spans="1:18" ht="15" hidden="1" customHeight="1" x14ac:dyDescent="0.3">
      <c r="A2742" s="101">
        <v>2024</v>
      </c>
      <c r="B2742" s="90">
        <v>6</v>
      </c>
      <c r="C2742" s="90" t="s">
        <v>727</v>
      </c>
      <c r="D2742" s="90" t="s">
        <v>722</v>
      </c>
      <c r="E2742" s="102" t="s">
        <v>11</v>
      </c>
      <c r="F2742" s="103" t="s">
        <v>44</v>
      </c>
      <c r="G2742" s="93">
        <v>3237.18</v>
      </c>
      <c r="H2742" s="93">
        <v>12472.3</v>
      </c>
      <c r="I2742" s="93">
        <v>2397.5457928860201</v>
      </c>
      <c r="J2742" s="93">
        <v>79774.240000000005</v>
      </c>
      <c r="K2742" s="93">
        <v>30637.200000000001</v>
      </c>
      <c r="L2742" s="93">
        <v>57135.73</v>
      </c>
      <c r="M2742" s="93">
        <v>226505.92</v>
      </c>
      <c r="N2742" s="95">
        <v>0.02</v>
      </c>
      <c r="O2742" s="95">
        <v>7.0000000000000007E-2</v>
      </c>
      <c r="P2742" s="95">
        <v>0.26</v>
      </c>
      <c r="Q2742" s="95">
        <v>0.47</v>
      </c>
      <c r="R2742" s="104">
        <v>0.18</v>
      </c>
    </row>
    <row r="2743" spans="1:18" ht="15" hidden="1" customHeight="1" x14ac:dyDescent="0.3">
      <c r="A2743" s="101">
        <v>2024</v>
      </c>
      <c r="B2743" s="90">
        <v>6</v>
      </c>
      <c r="C2743" s="90" t="s">
        <v>727</v>
      </c>
      <c r="D2743" s="90" t="s">
        <v>722</v>
      </c>
      <c r="E2743" s="102" t="s">
        <v>11</v>
      </c>
      <c r="F2743" s="103" t="s">
        <v>51</v>
      </c>
      <c r="G2743" s="93">
        <v>9997.58</v>
      </c>
      <c r="H2743" s="93">
        <v>27238.99</v>
      </c>
      <c r="I2743" s="93">
        <v>2397.5457928860201</v>
      </c>
      <c r="J2743" s="93">
        <v>73487.259999999995</v>
      </c>
      <c r="K2743" s="93">
        <v>48687.82</v>
      </c>
      <c r="L2743" s="93">
        <v>5413.62</v>
      </c>
      <c r="M2743" s="93">
        <v>214236.55</v>
      </c>
      <c r="N2743" s="95">
        <v>0.05</v>
      </c>
      <c r="O2743" s="95">
        <v>0.13</v>
      </c>
      <c r="P2743" s="95">
        <v>0.24</v>
      </c>
      <c r="Q2743" s="95">
        <v>0.35</v>
      </c>
      <c r="R2743" s="104">
        <v>0.23</v>
      </c>
    </row>
    <row r="2744" spans="1:18" ht="15" hidden="1" customHeight="1" x14ac:dyDescent="0.3">
      <c r="A2744" s="101">
        <v>2024</v>
      </c>
      <c r="B2744" s="90">
        <v>6</v>
      </c>
      <c r="C2744" s="90" t="s">
        <v>727</v>
      </c>
      <c r="D2744" s="90" t="s">
        <v>722</v>
      </c>
      <c r="E2744" s="102" t="s">
        <v>11</v>
      </c>
      <c r="F2744" s="103" t="s">
        <v>45</v>
      </c>
      <c r="G2744" s="93">
        <v>2285.5</v>
      </c>
      <c r="H2744" s="93">
        <v>9022.75</v>
      </c>
      <c r="I2744" s="93">
        <v>2397.5457928860201</v>
      </c>
      <c r="J2744" s="93">
        <v>32847.19</v>
      </c>
      <c r="K2744" s="93">
        <v>18891.53</v>
      </c>
      <c r="L2744" s="93">
        <v>26972.77</v>
      </c>
      <c r="M2744" s="93">
        <v>111367.27</v>
      </c>
      <c r="N2744" s="95">
        <v>0.03</v>
      </c>
      <c r="O2744" s="95">
        <v>0.11</v>
      </c>
      <c r="P2744" s="95">
        <v>0.25</v>
      </c>
      <c r="Q2744" s="95">
        <v>0.39</v>
      </c>
      <c r="R2744" s="104">
        <v>0.22</v>
      </c>
    </row>
    <row r="2745" spans="1:18" ht="15" hidden="1" customHeight="1" x14ac:dyDescent="0.3">
      <c r="A2745" s="101">
        <v>2024</v>
      </c>
      <c r="B2745" s="90">
        <v>6</v>
      </c>
      <c r="C2745" s="90" t="s">
        <v>727</v>
      </c>
      <c r="D2745" s="90" t="s">
        <v>722</v>
      </c>
      <c r="E2745" s="102" t="s">
        <v>11</v>
      </c>
      <c r="F2745" s="103" t="s">
        <v>721</v>
      </c>
      <c r="G2745" s="93">
        <v>594.19000000000005</v>
      </c>
      <c r="H2745" s="93">
        <v>11868.83</v>
      </c>
      <c r="I2745" s="93">
        <v>2397.5457928860201</v>
      </c>
      <c r="J2745" s="93">
        <v>117157.24</v>
      </c>
      <c r="K2745" s="93">
        <v>134779.06</v>
      </c>
      <c r="L2745" s="93">
        <v>596407.53</v>
      </c>
      <c r="M2745" s="93">
        <v>905050.88</v>
      </c>
      <c r="N2745" s="95">
        <v>0</v>
      </c>
      <c r="O2745" s="95">
        <v>0.04</v>
      </c>
      <c r="P2745" s="95">
        <v>0.14000000000000001</v>
      </c>
      <c r="Q2745" s="95">
        <v>0.38</v>
      </c>
      <c r="R2745" s="104">
        <v>0.44</v>
      </c>
    </row>
    <row r="2746" spans="1:18" ht="15" hidden="1" customHeight="1" x14ac:dyDescent="0.3">
      <c r="A2746" s="101">
        <v>2024</v>
      </c>
      <c r="B2746" s="90">
        <v>6</v>
      </c>
      <c r="C2746" s="90" t="s">
        <v>727</v>
      </c>
      <c r="D2746" s="90" t="s">
        <v>722</v>
      </c>
      <c r="E2746" s="102" t="s">
        <v>11</v>
      </c>
      <c r="F2746" s="103" t="s">
        <v>46</v>
      </c>
      <c r="G2746" s="93">
        <v>25533.71</v>
      </c>
      <c r="H2746" s="93">
        <v>70913.039999999994</v>
      </c>
      <c r="I2746" s="93">
        <v>2397.5457928860201</v>
      </c>
      <c r="J2746" s="93">
        <v>9350.19</v>
      </c>
      <c r="K2746" s="93">
        <v>1843.71</v>
      </c>
      <c r="L2746" s="93">
        <v>19670.18</v>
      </c>
      <c r="M2746" s="93">
        <v>167738.16</v>
      </c>
      <c r="N2746" s="95">
        <v>0.17</v>
      </c>
      <c r="O2746" s="95">
        <v>0.48</v>
      </c>
      <c r="P2746" s="95">
        <v>0.27</v>
      </c>
      <c r="Q2746" s="95">
        <v>0.06</v>
      </c>
      <c r="R2746" s="104">
        <v>0.01</v>
      </c>
    </row>
    <row r="2747" spans="1:18" ht="15" hidden="1" customHeight="1" x14ac:dyDescent="0.3">
      <c r="A2747" s="101">
        <v>2024</v>
      </c>
      <c r="B2747" s="90">
        <v>6</v>
      </c>
      <c r="C2747" s="90" t="s">
        <v>727</v>
      </c>
      <c r="D2747" s="90" t="s">
        <v>722</v>
      </c>
      <c r="E2747" s="102" t="s">
        <v>11</v>
      </c>
      <c r="F2747" s="103" t="s">
        <v>47</v>
      </c>
      <c r="G2747" s="93"/>
      <c r="H2747" s="93"/>
      <c r="I2747" s="93"/>
      <c r="J2747" s="93"/>
      <c r="K2747" s="93"/>
      <c r="L2747" s="93">
        <v>49035.91</v>
      </c>
      <c r="M2747" s="93">
        <v>49035.91</v>
      </c>
      <c r="N2747" s="109"/>
      <c r="O2747" s="109"/>
      <c r="P2747" s="109"/>
      <c r="Q2747" s="109"/>
      <c r="R2747" s="110"/>
    </row>
    <row r="2748" spans="1:18" ht="15" hidden="1" customHeight="1" x14ac:dyDescent="0.3">
      <c r="A2748" s="101">
        <v>2024</v>
      </c>
      <c r="B2748" s="90">
        <v>6</v>
      </c>
      <c r="C2748" s="90" t="s">
        <v>727</v>
      </c>
      <c r="D2748" s="90" t="s">
        <v>722</v>
      </c>
      <c r="E2748" s="102" t="s">
        <v>11</v>
      </c>
      <c r="F2748" s="103" t="s">
        <v>48</v>
      </c>
      <c r="G2748" s="93">
        <v>501.51</v>
      </c>
      <c r="H2748" s="93">
        <v>1620.62</v>
      </c>
      <c r="I2748" s="93">
        <v>8199.85</v>
      </c>
      <c r="J2748" s="93">
        <v>40756.589999999997</v>
      </c>
      <c r="K2748" s="93">
        <v>50343.839999999997</v>
      </c>
      <c r="L2748" s="93">
        <v>333065.56</v>
      </c>
      <c r="M2748" s="93">
        <v>434487.98</v>
      </c>
      <c r="N2748" s="95">
        <v>0</v>
      </c>
      <c r="O2748" s="95">
        <v>0.02</v>
      </c>
      <c r="P2748" s="95">
        <v>0.08</v>
      </c>
      <c r="Q2748" s="95">
        <v>0.4</v>
      </c>
      <c r="R2748" s="104">
        <v>0.5</v>
      </c>
    </row>
    <row r="2749" spans="1:18" ht="15" hidden="1" customHeight="1" x14ac:dyDescent="0.3">
      <c r="A2749" s="101">
        <v>2024</v>
      </c>
      <c r="B2749" s="90">
        <v>7</v>
      </c>
      <c r="C2749" s="90" t="s">
        <v>728</v>
      </c>
      <c r="D2749" s="90" t="s">
        <v>719</v>
      </c>
      <c r="E2749" s="102" t="s">
        <v>11</v>
      </c>
      <c r="F2749" s="103" t="s">
        <v>12</v>
      </c>
      <c r="G2749" s="93">
        <v>5942.65</v>
      </c>
      <c r="H2749" s="93">
        <v>30307.14</v>
      </c>
      <c r="I2749" s="93">
        <v>98412.34</v>
      </c>
      <c r="J2749" s="93">
        <v>177776.37</v>
      </c>
      <c r="K2749" s="93">
        <v>67831.7</v>
      </c>
      <c r="L2749" s="93">
        <v>183017.04</v>
      </c>
      <c r="M2749" s="93">
        <v>563287.25</v>
      </c>
      <c r="N2749" s="95">
        <v>0.02</v>
      </c>
      <c r="O2749" s="95">
        <v>0.08</v>
      </c>
      <c r="P2749" s="95">
        <v>0.26</v>
      </c>
      <c r="Q2749" s="95">
        <v>0.47</v>
      </c>
      <c r="R2749" s="104">
        <v>0.18</v>
      </c>
    </row>
    <row r="2750" spans="1:18" ht="15" hidden="1" customHeight="1" x14ac:dyDescent="0.3">
      <c r="A2750" s="101">
        <v>2024</v>
      </c>
      <c r="B2750" s="90">
        <v>7</v>
      </c>
      <c r="C2750" s="90" t="s">
        <v>728</v>
      </c>
      <c r="D2750" s="90" t="s">
        <v>719</v>
      </c>
      <c r="E2750" s="102" t="s">
        <v>11</v>
      </c>
      <c r="F2750" s="103" t="s">
        <v>26</v>
      </c>
      <c r="G2750" s="93">
        <v>78888.83</v>
      </c>
      <c r="H2750" s="93">
        <v>145019.31</v>
      </c>
      <c r="I2750" s="93">
        <v>421109.17</v>
      </c>
      <c r="J2750" s="93">
        <v>358251.02</v>
      </c>
      <c r="K2750" s="93">
        <v>23641.53</v>
      </c>
      <c r="L2750" s="93">
        <v>17456.599999999999</v>
      </c>
      <c r="M2750" s="93">
        <v>1044366.46</v>
      </c>
      <c r="N2750" s="95">
        <v>0.08</v>
      </c>
      <c r="O2750" s="95">
        <v>0.14000000000000001</v>
      </c>
      <c r="P2750" s="95">
        <v>0.41</v>
      </c>
      <c r="Q2750" s="95">
        <v>0.35</v>
      </c>
      <c r="R2750" s="104">
        <v>0.02</v>
      </c>
    </row>
    <row r="2751" spans="1:18" ht="15" hidden="1" customHeight="1" x14ac:dyDescent="0.3">
      <c r="A2751" s="101">
        <v>2024</v>
      </c>
      <c r="B2751" s="90">
        <v>7</v>
      </c>
      <c r="C2751" s="90" t="s">
        <v>728</v>
      </c>
      <c r="D2751" s="90" t="s">
        <v>719</v>
      </c>
      <c r="E2751" s="102" t="s">
        <v>11</v>
      </c>
      <c r="F2751" s="103" t="s">
        <v>27</v>
      </c>
      <c r="G2751" s="93">
        <v>304.17</v>
      </c>
      <c r="H2751" s="93">
        <v>2953.8</v>
      </c>
      <c r="I2751" s="93">
        <v>27115.46</v>
      </c>
      <c r="J2751" s="93">
        <v>104275.66</v>
      </c>
      <c r="K2751" s="93">
        <v>88676.61</v>
      </c>
      <c r="L2751" s="93">
        <v>183302.01</v>
      </c>
      <c r="M2751" s="93">
        <v>406627.71</v>
      </c>
      <c r="N2751" s="95">
        <v>0</v>
      </c>
      <c r="O2751" s="95">
        <v>0.01</v>
      </c>
      <c r="P2751" s="95">
        <v>0.12</v>
      </c>
      <c r="Q2751" s="95">
        <v>0.47</v>
      </c>
      <c r="R2751" s="104">
        <v>0.4</v>
      </c>
    </row>
    <row r="2752" spans="1:18" ht="15" hidden="1" customHeight="1" x14ac:dyDescent="0.3">
      <c r="A2752" s="101">
        <v>2024</v>
      </c>
      <c r="B2752" s="90">
        <v>7</v>
      </c>
      <c r="C2752" s="90" t="s">
        <v>728</v>
      </c>
      <c r="D2752" s="90" t="s">
        <v>719</v>
      </c>
      <c r="E2752" s="102" t="s">
        <v>11</v>
      </c>
      <c r="F2752" s="103" t="s">
        <v>28</v>
      </c>
      <c r="G2752" s="93">
        <v>2488.5</v>
      </c>
      <c r="H2752" s="93">
        <v>7960.98</v>
      </c>
      <c r="I2752" s="93">
        <v>34624.54</v>
      </c>
      <c r="J2752" s="93">
        <v>163499.78</v>
      </c>
      <c r="K2752" s="93">
        <v>160767.89000000001</v>
      </c>
      <c r="L2752" s="93">
        <v>88678.18</v>
      </c>
      <c r="M2752" s="93">
        <v>458019.87</v>
      </c>
      <c r="N2752" s="95">
        <v>0.01</v>
      </c>
      <c r="O2752" s="95">
        <v>0.02</v>
      </c>
      <c r="P2752" s="95">
        <v>0.09</v>
      </c>
      <c r="Q2752" s="95">
        <v>0.44</v>
      </c>
      <c r="R2752" s="104">
        <v>0.44</v>
      </c>
    </row>
    <row r="2753" spans="1:18" ht="15" customHeight="1" x14ac:dyDescent="0.3">
      <c r="A2753" s="101">
        <v>2024</v>
      </c>
      <c r="B2753" s="90">
        <v>7</v>
      </c>
      <c r="C2753" s="90" t="s">
        <v>728</v>
      </c>
      <c r="D2753" s="90" t="s">
        <v>719</v>
      </c>
      <c r="E2753" s="102" t="s">
        <v>11</v>
      </c>
      <c r="F2753" s="103" t="s">
        <v>29</v>
      </c>
      <c r="G2753" s="93">
        <v>7452.83</v>
      </c>
      <c r="H2753" s="93">
        <v>30188.53</v>
      </c>
      <c r="I2753" s="93">
        <v>84791.57</v>
      </c>
      <c r="J2753" s="93">
        <v>94936.42</v>
      </c>
      <c r="K2753" s="93">
        <v>30230.75</v>
      </c>
      <c r="L2753" s="93">
        <v>23276.94</v>
      </c>
      <c r="M2753" s="93">
        <v>270877.03000000003</v>
      </c>
      <c r="N2753" s="95">
        <v>0.03</v>
      </c>
      <c r="O2753" s="95">
        <v>0.12</v>
      </c>
      <c r="P2753" s="95">
        <v>0.34</v>
      </c>
      <c r="Q2753" s="95">
        <v>0.38</v>
      </c>
      <c r="R2753" s="104">
        <v>0.12</v>
      </c>
    </row>
    <row r="2754" spans="1:18" ht="15" hidden="1" customHeight="1" x14ac:dyDescent="0.3">
      <c r="A2754" s="101">
        <v>2024</v>
      </c>
      <c r="B2754" s="90">
        <v>7</v>
      </c>
      <c r="C2754" s="90" t="s">
        <v>728</v>
      </c>
      <c r="D2754" s="90" t="s">
        <v>719</v>
      </c>
      <c r="E2754" s="102" t="s">
        <v>11</v>
      </c>
      <c r="F2754" s="103" t="s">
        <v>30</v>
      </c>
      <c r="G2754" s="93">
        <v>621.58000000000004</v>
      </c>
      <c r="H2754" s="93">
        <v>6417.29</v>
      </c>
      <c r="I2754" s="93">
        <v>5849.89</v>
      </c>
      <c r="J2754" s="93">
        <v>1810.03</v>
      </c>
      <c r="K2754" s="93">
        <v>203.61</v>
      </c>
      <c r="L2754" s="93">
        <v>559314.85</v>
      </c>
      <c r="M2754" s="93">
        <v>574217.25</v>
      </c>
      <c r="N2754" s="95">
        <v>0.04</v>
      </c>
      <c r="O2754" s="95">
        <v>0.43</v>
      </c>
      <c r="P2754" s="95">
        <v>0.39</v>
      </c>
      <c r="Q2754" s="95">
        <v>0.12</v>
      </c>
      <c r="R2754" s="104">
        <v>0.01</v>
      </c>
    </row>
    <row r="2755" spans="1:18" ht="15" hidden="1" customHeight="1" x14ac:dyDescent="0.3">
      <c r="A2755" s="101">
        <v>2024</v>
      </c>
      <c r="B2755" s="90">
        <v>7</v>
      </c>
      <c r="C2755" s="90" t="s">
        <v>728</v>
      </c>
      <c r="D2755" s="90" t="s">
        <v>719</v>
      </c>
      <c r="E2755" s="102" t="s">
        <v>11</v>
      </c>
      <c r="F2755" s="103" t="s">
        <v>31</v>
      </c>
      <c r="G2755" s="93">
        <v>2981.12</v>
      </c>
      <c r="H2755" s="93">
        <v>79027.740000000005</v>
      </c>
      <c r="I2755" s="93">
        <v>77501.320000000007</v>
      </c>
      <c r="J2755" s="93">
        <v>27707.91</v>
      </c>
      <c r="K2755" s="93">
        <v>10673.32</v>
      </c>
      <c r="L2755" s="93">
        <v>179704.78</v>
      </c>
      <c r="M2755" s="93">
        <v>377596.18</v>
      </c>
      <c r="N2755" s="95">
        <v>0.02</v>
      </c>
      <c r="O2755" s="95">
        <v>0.4</v>
      </c>
      <c r="P2755" s="95">
        <v>0.39</v>
      </c>
      <c r="Q2755" s="95">
        <v>0.14000000000000001</v>
      </c>
      <c r="R2755" s="104">
        <v>0.05</v>
      </c>
    </row>
    <row r="2756" spans="1:18" ht="15" hidden="1" customHeight="1" x14ac:dyDescent="0.3">
      <c r="A2756" s="101">
        <v>2024</v>
      </c>
      <c r="B2756" s="90">
        <v>7</v>
      </c>
      <c r="C2756" s="90" t="s">
        <v>728</v>
      </c>
      <c r="D2756" s="90" t="s">
        <v>719</v>
      </c>
      <c r="E2756" s="102" t="s">
        <v>11</v>
      </c>
      <c r="F2756" s="103" t="s">
        <v>32</v>
      </c>
      <c r="G2756" s="93">
        <v>5555.52</v>
      </c>
      <c r="H2756" s="93">
        <v>47820.31</v>
      </c>
      <c r="I2756" s="93">
        <v>187425.24</v>
      </c>
      <c r="J2756" s="93">
        <v>264269.53000000003</v>
      </c>
      <c r="K2756" s="93">
        <v>76414.92</v>
      </c>
      <c r="L2756" s="93">
        <v>2433.48</v>
      </c>
      <c r="M2756" s="93">
        <v>583919</v>
      </c>
      <c r="N2756" s="95">
        <v>0.01</v>
      </c>
      <c r="O2756" s="95">
        <v>0.08</v>
      </c>
      <c r="P2756" s="95">
        <v>0.32</v>
      </c>
      <c r="Q2756" s="95">
        <v>0.45</v>
      </c>
      <c r="R2756" s="104">
        <v>0.13</v>
      </c>
    </row>
    <row r="2757" spans="1:18" ht="15" hidden="1" customHeight="1" x14ac:dyDescent="0.3">
      <c r="A2757" s="101">
        <v>2024</v>
      </c>
      <c r="B2757" s="90">
        <v>7</v>
      </c>
      <c r="C2757" s="90" t="s">
        <v>728</v>
      </c>
      <c r="D2757" s="90" t="s">
        <v>719</v>
      </c>
      <c r="E2757" s="102" t="s">
        <v>11</v>
      </c>
      <c r="F2757" s="103" t="s">
        <v>33</v>
      </c>
      <c r="G2757" s="93">
        <v>29447.06</v>
      </c>
      <c r="H2757" s="93">
        <v>111078.31</v>
      </c>
      <c r="I2757" s="93">
        <v>653456.30000000005</v>
      </c>
      <c r="J2757" s="93">
        <v>505875.71</v>
      </c>
      <c r="K2757" s="93">
        <v>14197.99</v>
      </c>
      <c r="L2757" s="93">
        <v>39939.21</v>
      </c>
      <c r="M2757" s="93">
        <v>1353994.57</v>
      </c>
      <c r="N2757" s="95">
        <v>0.02</v>
      </c>
      <c r="O2757" s="95">
        <v>0.08</v>
      </c>
      <c r="P2757" s="95">
        <v>0.5</v>
      </c>
      <c r="Q2757" s="95">
        <v>0.38</v>
      </c>
      <c r="R2757" s="104">
        <v>0.01</v>
      </c>
    </row>
    <row r="2758" spans="1:18" ht="15" hidden="1" customHeight="1" x14ac:dyDescent="0.3">
      <c r="A2758" s="101">
        <v>2024</v>
      </c>
      <c r="B2758" s="90">
        <v>7</v>
      </c>
      <c r="C2758" s="90" t="s">
        <v>728</v>
      </c>
      <c r="D2758" s="90" t="s">
        <v>719</v>
      </c>
      <c r="E2758" s="102" t="s">
        <v>11</v>
      </c>
      <c r="F2758" s="103" t="s">
        <v>34</v>
      </c>
      <c r="G2758" s="93">
        <v>12123.16</v>
      </c>
      <c r="H2758" s="93">
        <v>35784.6</v>
      </c>
      <c r="I2758" s="93">
        <v>228780.03</v>
      </c>
      <c r="J2758" s="93">
        <v>311356.43</v>
      </c>
      <c r="K2758" s="93">
        <v>48119.360000000001</v>
      </c>
      <c r="L2758" s="93">
        <v>4388.6099999999997</v>
      </c>
      <c r="M2758" s="93">
        <v>640552.18000000005</v>
      </c>
      <c r="N2758" s="95">
        <v>0.02</v>
      </c>
      <c r="O2758" s="95">
        <v>0.06</v>
      </c>
      <c r="P2758" s="95">
        <v>0.36</v>
      </c>
      <c r="Q2758" s="95">
        <v>0.49</v>
      </c>
      <c r="R2758" s="104">
        <v>0.08</v>
      </c>
    </row>
    <row r="2759" spans="1:18" ht="15" hidden="1" customHeight="1" x14ac:dyDescent="0.3">
      <c r="A2759" s="101">
        <v>2024</v>
      </c>
      <c r="B2759" s="90">
        <v>7</v>
      </c>
      <c r="C2759" s="90" t="s">
        <v>728</v>
      </c>
      <c r="D2759" s="90" t="s">
        <v>719</v>
      </c>
      <c r="E2759" s="102" t="s">
        <v>11</v>
      </c>
      <c r="F2759" s="103" t="s">
        <v>35</v>
      </c>
      <c r="G2759" s="93">
        <v>13075.13</v>
      </c>
      <c r="H2759" s="93">
        <v>56314.94</v>
      </c>
      <c r="I2759" s="93">
        <v>125099.22</v>
      </c>
      <c r="J2759" s="93">
        <v>127787.02</v>
      </c>
      <c r="K2759" s="93">
        <v>30161.68</v>
      </c>
      <c r="L2759" s="93">
        <v>68027.89</v>
      </c>
      <c r="M2759" s="93">
        <v>420465.89</v>
      </c>
      <c r="N2759" s="95">
        <v>0.04</v>
      </c>
      <c r="O2759" s="95">
        <v>0.16</v>
      </c>
      <c r="P2759" s="95">
        <v>0.35</v>
      </c>
      <c r="Q2759" s="95">
        <v>0.36</v>
      </c>
      <c r="R2759" s="104">
        <v>0.09</v>
      </c>
    </row>
    <row r="2760" spans="1:18" ht="15" hidden="1" customHeight="1" x14ac:dyDescent="0.3">
      <c r="A2760" s="101">
        <v>2024</v>
      </c>
      <c r="B2760" s="90">
        <v>7</v>
      </c>
      <c r="C2760" s="90" t="s">
        <v>728</v>
      </c>
      <c r="D2760" s="90" t="s">
        <v>719</v>
      </c>
      <c r="E2760" s="102" t="s">
        <v>11</v>
      </c>
      <c r="F2760" s="103" t="s">
        <v>36</v>
      </c>
      <c r="G2760" s="93">
        <v>3467.28</v>
      </c>
      <c r="H2760" s="93">
        <v>31944.99</v>
      </c>
      <c r="I2760" s="93">
        <v>87503.75</v>
      </c>
      <c r="J2760" s="93">
        <v>84436.27</v>
      </c>
      <c r="K2760" s="93">
        <v>17506.080000000002</v>
      </c>
      <c r="L2760" s="93">
        <v>73291.179999999993</v>
      </c>
      <c r="M2760" s="93">
        <v>298149.55</v>
      </c>
      <c r="N2760" s="95">
        <v>0.02</v>
      </c>
      <c r="O2760" s="95">
        <v>0.14000000000000001</v>
      </c>
      <c r="P2760" s="95">
        <v>0.39</v>
      </c>
      <c r="Q2760" s="95">
        <v>0.38</v>
      </c>
      <c r="R2760" s="104">
        <v>0.08</v>
      </c>
    </row>
    <row r="2761" spans="1:18" ht="15" hidden="1" customHeight="1" x14ac:dyDescent="0.3">
      <c r="A2761" s="101">
        <v>2024</v>
      </c>
      <c r="B2761" s="90">
        <v>7</v>
      </c>
      <c r="C2761" s="90" t="s">
        <v>728</v>
      </c>
      <c r="D2761" s="90" t="s">
        <v>719</v>
      </c>
      <c r="E2761" s="102" t="s">
        <v>11</v>
      </c>
      <c r="F2761" s="103" t="s">
        <v>37</v>
      </c>
      <c r="G2761" s="93">
        <v>6268.66</v>
      </c>
      <c r="H2761" s="93">
        <v>36148.269999999997</v>
      </c>
      <c r="I2761" s="93">
        <v>139087.93</v>
      </c>
      <c r="J2761" s="93">
        <v>143330.21</v>
      </c>
      <c r="K2761" s="93">
        <v>22520.7</v>
      </c>
      <c r="L2761" s="93">
        <v>305377.27</v>
      </c>
      <c r="M2761" s="93">
        <v>652733.06000000006</v>
      </c>
      <c r="N2761" s="95">
        <v>0.02</v>
      </c>
      <c r="O2761" s="95">
        <v>0.1</v>
      </c>
      <c r="P2761" s="95">
        <v>0.4</v>
      </c>
      <c r="Q2761" s="95">
        <v>0.41</v>
      </c>
      <c r="R2761" s="104">
        <v>0.06</v>
      </c>
    </row>
    <row r="2762" spans="1:18" ht="15" hidden="1" customHeight="1" x14ac:dyDescent="0.3">
      <c r="A2762" s="101">
        <v>2024</v>
      </c>
      <c r="B2762" s="90">
        <v>7</v>
      </c>
      <c r="C2762" s="90" t="s">
        <v>728</v>
      </c>
      <c r="D2762" s="90" t="s">
        <v>719</v>
      </c>
      <c r="E2762" s="102" t="s">
        <v>11</v>
      </c>
      <c r="F2762" s="103" t="s">
        <v>38</v>
      </c>
      <c r="G2762" s="93">
        <v>36837.629999999997</v>
      </c>
      <c r="H2762" s="93">
        <v>74389.47</v>
      </c>
      <c r="I2762" s="93">
        <v>189064.35</v>
      </c>
      <c r="J2762" s="93">
        <v>325858.53999999998</v>
      </c>
      <c r="K2762" s="93">
        <v>83918.56</v>
      </c>
      <c r="L2762" s="93">
        <v>17319.22</v>
      </c>
      <c r="M2762" s="93">
        <v>727387.76</v>
      </c>
      <c r="N2762" s="95">
        <v>0.05</v>
      </c>
      <c r="O2762" s="95">
        <v>0.1</v>
      </c>
      <c r="P2762" s="95">
        <v>0.27</v>
      </c>
      <c r="Q2762" s="95">
        <v>0.46</v>
      </c>
      <c r="R2762" s="104">
        <v>0.12</v>
      </c>
    </row>
    <row r="2763" spans="1:18" ht="15" hidden="1" customHeight="1" x14ac:dyDescent="0.3">
      <c r="A2763" s="101">
        <v>2024</v>
      </c>
      <c r="B2763" s="90">
        <v>7</v>
      </c>
      <c r="C2763" s="90" t="s">
        <v>728</v>
      </c>
      <c r="D2763" s="90" t="s">
        <v>719</v>
      </c>
      <c r="E2763" s="102" t="s">
        <v>11</v>
      </c>
      <c r="F2763" s="103" t="s">
        <v>39</v>
      </c>
      <c r="G2763" s="93">
        <v>2013.91</v>
      </c>
      <c r="H2763" s="93">
        <v>24511.22</v>
      </c>
      <c r="I2763" s="93">
        <v>102616.31</v>
      </c>
      <c r="J2763" s="93">
        <v>139809.24</v>
      </c>
      <c r="K2763" s="93">
        <v>43611.77</v>
      </c>
      <c r="L2763" s="93">
        <v>43114.46</v>
      </c>
      <c r="M2763" s="93">
        <v>355676.91</v>
      </c>
      <c r="N2763" s="95">
        <v>0.01</v>
      </c>
      <c r="O2763" s="95">
        <v>0.08</v>
      </c>
      <c r="P2763" s="95">
        <v>0.33</v>
      </c>
      <c r="Q2763" s="95">
        <v>0.45</v>
      </c>
      <c r="R2763" s="104">
        <v>0.14000000000000001</v>
      </c>
    </row>
    <row r="2764" spans="1:18" ht="15" hidden="1" customHeight="1" x14ac:dyDescent="0.3">
      <c r="A2764" s="101">
        <v>2024</v>
      </c>
      <c r="B2764" s="90">
        <v>7</v>
      </c>
      <c r="C2764" s="90" t="s">
        <v>728</v>
      </c>
      <c r="D2764" s="90" t="s">
        <v>719</v>
      </c>
      <c r="E2764" s="102" t="s">
        <v>11</v>
      </c>
      <c r="F2764" s="103" t="s">
        <v>40</v>
      </c>
      <c r="G2764" s="93">
        <v>3556.5</v>
      </c>
      <c r="H2764" s="93">
        <v>14940.98</v>
      </c>
      <c r="I2764" s="93">
        <v>69841.490000000005</v>
      </c>
      <c r="J2764" s="93">
        <v>147669.37</v>
      </c>
      <c r="K2764" s="93">
        <v>84246.48</v>
      </c>
      <c r="L2764" s="93">
        <v>101812.45</v>
      </c>
      <c r="M2764" s="93">
        <v>422067.27</v>
      </c>
      <c r="N2764" s="95">
        <v>0.01</v>
      </c>
      <c r="O2764" s="95">
        <v>0.05</v>
      </c>
      <c r="P2764" s="95">
        <v>0.22</v>
      </c>
      <c r="Q2764" s="95">
        <v>0.46</v>
      </c>
      <c r="R2764" s="104">
        <v>0.26</v>
      </c>
    </row>
    <row r="2765" spans="1:18" ht="15" hidden="1" customHeight="1" x14ac:dyDescent="0.3">
      <c r="A2765" s="101">
        <v>2024</v>
      </c>
      <c r="B2765" s="90">
        <v>7</v>
      </c>
      <c r="C2765" s="90" t="s">
        <v>728</v>
      </c>
      <c r="D2765" s="90" t="s">
        <v>719</v>
      </c>
      <c r="E2765" s="102" t="s">
        <v>11</v>
      </c>
      <c r="F2765" s="103" t="s">
        <v>41</v>
      </c>
      <c r="G2765" s="93">
        <v>3543.11</v>
      </c>
      <c r="H2765" s="93">
        <v>8210.58</v>
      </c>
      <c r="I2765" s="93">
        <v>4777.92</v>
      </c>
      <c r="J2765" s="93">
        <v>1843.42</v>
      </c>
      <c r="K2765" s="93">
        <v>329.43</v>
      </c>
      <c r="L2765" s="93">
        <v>856107.14</v>
      </c>
      <c r="M2765" s="93">
        <v>874811.59</v>
      </c>
      <c r="N2765" s="95">
        <v>0.19</v>
      </c>
      <c r="O2765" s="95">
        <v>0.44</v>
      </c>
      <c r="P2765" s="95">
        <v>0.26</v>
      </c>
      <c r="Q2765" s="95">
        <v>0.1</v>
      </c>
      <c r="R2765" s="104">
        <v>0.02</v>
      </c>
    </row>
    <row r="2766" spans="1:18" ht="15" hidden="1" customHeight="1" x14ac:dyDescent="0.3">
      <c r="A2766" s="101">
        <v>2024</v>
      </c>
      <c r="B2766" s="90">
        <v>7</v>
      </c>
      <c r="C2766" s="90" t="s">
        <v>728</v>
      </c>
      <c r="D2766" s="90" t="s">
        <v>719</v>
      </c>
      <c r="E2766" s="102" t="s">
        <v>11</v>
      </c>
      <c r="F2766" s="103" t="s">
        <v>42</v>
      </c>
      <c r="G2766" s="93">
        <v>3340.94</v>
      </c>
      <c r="H2766" s="93">
        <v>38546.959999999999</v>
      </c>
      <c r="I2766" s="93">
        <v>166760.71</v>
      </c>
      <c r="J2766" s="93">
        <v>225907.20000000001</v>
      </c>
      <c r="K2766" s="93">
        <v>56634.52</v>
      </c>
      <c r="L2766" s="93">
        <v>1949.48</v>
      </c>
      <c r="M2766" s="93">
        <v>493139.81</v>
      </c>
      <c r="N2766" s="95">
        <v>0.01</v>
      </c>
      <c r="O2766" s="95">
        <v>0.08</v>
      </c>
      <c r="P2766" s="95">
        <v>0.34</v>
      </c>
      <c r="Q2766" s="95">
        <v>0.46</v>
      </c>
      <c r="R2766" s="104">
        <v>0.12</v>
      </c>
    </row>
    <row r="2767" spans="1:18" ht="15" hidden="1" customHeight="1" x14ac:dyDescent="0.3">
      <c r="A2767" s="101">
        <v>2024</v>
      </c>
      <c r="B2767" s="90">
        <v>7</v>
      </c>
      <c r="C2767" s="90" t="s">
        <v>728</v>
      </c>
      <c r="D2767" s="90" t="s">
        <v>719</v>
      </c>
      <c r="E2767" s="102" t="s">
        <v>11</v>
      </c>
      <c r="F2767" s="103" t="s">
        <v>43</v>
      </c>
      <c r="G2767" s="93">
        <v>2990.49</v>
      </c>
      <c r="H2767" s="93">
        <v>27979.21</v>
      </c>
      <c r="I2767" s="93">
        <v>19498.490000000002</v>
      </c>
      <c r="J2767" s="93">
        <v>7273.22</v>
      </c>
      <c r="K2767" s="93">
        <v>2007.92</v>
      </c>
      <c r="L2767" s="93">
        <v>69017.11</v>
      </c>
      <c r="M2767" s="93">
        <v>128766.44</v>
      </c>
      <c r="N2767" s="95">
        <v>0.05</v>
      </c>
      <c r="O2767" s="95">
        <v>0.47</v>
      </c>
      <c r="P2767" s="95">
        <v>0.33</v>
      </c>
      <c r="Q2767" s="95">
        <v>0.12</v>
      </c>
      <c r="R2767" s="104">
        <v>0.03</v>
      </c>
    </row>
    <row r="2768" spans="1:18" ht="15" hidden="1" customHeight="1" x14ac:dyDescent="0.3">
      <c r="A2768" s="101">
        <v>2024</v>
      </c>
      <c r="B2768" s="90">
        <v>7</v>
      </c>
      <c r="C2768" s="90" t="s">
        <v>728</v>
      </c>
      <c r="D2768" s="90" t="s">
        <v>719</v>
      </c>
      <c r="E2768" s="102" t="s">
        <v>11</v>
      </c>
      <c r="F2768" s="103" t="s">
        <v>58</v>
      </c>
      <c r="G2768" s="93">
        <v>3835</v>
      </c>
      <c r="H2768" s="93">
        <v>16152.29</v>
      </c>
      <c r="I2768" s="93">
        <v>53152.74</v>
      </c>
      <c r="J2768" s="93">
        <v>170802.4</v>
      </c>
      <c r="K2768" s="93">
        <v>122967.55</v>
      </c>
      <c r="L2768" s="93">
        <v>14215.17</v>
      </c>
      <c r="M2768" s="93">
        <v>381125.14</v>
      </c>
      <c r="N2768" s="95">
        <v>0.01</v>
      </c>
      <c r="O2768" s="95">
        <v>0.04</v>
      </c>
      <c r="P2768" s="95">
        <v>0.14000000000000001</v>
      </c>
      <c r="Q2768" s="95">
        <v>0.47</v>
      </c>
      <c r="R2768" s="104">
        <v>0.34</v>
      </c>
    </row>
    <row r="2769" spans="1:18" ht="15" hidden="1" customHeight="1" x14ac:dyDescent="0.3">
      <c r="A2769" s="101">
        <v>2024</v>
      </c>
      <c r="B2769" s="90">
        <v>7</v>
      </c>
      <c r="C2769" s="90" t="s">
        <v>728</v>
      </c>
      <c r="D2769" s="90" t="s">
        <v>719</v>
      </c>
      <c r="E2769" s="102" t="s">
        <v>11</v>
      </c>
      <c r="F2769" s="103" t="s">
        <v>44</v>
      </c>
      <c r="G2769" s="93">
        <v>4817.33</v>
      </c>
      <c r="H2769" s="93">
        <v>18519.599999999999</v>
      </c>
      <c r="I2769" s="93">
        <v>51942.83</v>
      </c>
      <c r="J2769" s="93">
        <v>73343.41</v>
      </c>
      <c r="K2769" s="93">
        <v>22269.8</v>
      </c>
      <c r="L2769" s="93">
        <v>61016.81</v>
      </c>
      <c r="M2769" s="93">
        <v>231909.79</v>
      </c>
      <c r="N2769" s="95">
        <v>0.03</v>
      </c>
      <c r="O2769" s="95">
        <v>0.11</v>
      </c>
      <c r="P2769" s="95">
        <v>0.3</v>
      </c>
      <c r="Q2769" s="95">
        <v>0.43</v>
      </c>
      <c r="R2769" s="104">
        <v>0.13</v>
      </c>
    </row>
    <row r="2770" spans="1:18" ht="15" hidden="1" customHeight="1" x14ac:dyDescent="0.3">
      <c r="A2770" s="101">
        <v>2024</v>
      </c>
      <c r="B2770" s="90">
        <v>7</v>
      </c>
      <c r="C2770" s="90" t="s">
        <v>728</v>
      </c>
      <c r="D2770" s="90" t="s">
        <v>719</v>
      </c>
      <c r="E2770" s="102" t="s">
        <v>11</v>
      </c>
      <c r="F2770" s="103" t="s">
        <v>51</v>
      </c>
      <c r="G2770" s="93">
        <v>8938.35</v>
      </c>
      <c r="H2770" s="93">
        <v>32432.240000000002</v>
      </c>
      <c r="I2770" s="93">
        <v>41011.82</v>
      </c>
      <c r="J2770" s="93">
        <v>53019.9</v>
      </c>
      <c r="K2770" s="93">
        <v>70830.3</v>
      </c>
      <c r="L2770" s="93">
        <v>23317.63</v>
      </c>
      <c r="M2770" s="93">
        <v>229550.24</v>
      </c>
      <c r="N2770" s="95">
        <v>0.04</v>
      </c>
      <c r="O2770" s="95">
        <v>0.16</v>
      </c>
      <c r="P2770" s="95">
        <v>0.2</v>
      </c>
      <c r="Q2770" s="95">
        <v>0.26</v>
      </c>
      <c r="R2770" s="104">
        <v>0.34</v>
      </c>
    </row>
    <row r="2771" spans="1:18" ht="15" hidden="1" customHeight="1" x14ac:dyDescent="0.3">
      <c r="A2771" s="101">
        <v>2024</v>
      </c>
      <c r="B2771" s="90">
        <v>7</v>
      </c>
      <c r="C2771" s="90" t="s">
        <v>728</v>
      </c>
      <c r="D2771" s="90" t="s">
        <v>719</v>
      </c>
      <c r="E2771" s="102" t="s">
        <v>11</v>
      </c>
      <c r="F2771" s="103" t="s">
        <v>45</v>
      </c>
      <c r="G2771" s="93">
        <v>2389.31</v>
      </c>
      <c r="H2771" s="93">
        <v>11173.3</v>
      </c>
      <c r="I2771" s="93">
        <v>27417.64</v>
      </c>
      <c r="J2771" s="93">
        <v>33602.78</v>
      </c>
      <c r="K2771" s="93">
        <v>9803.57</v>
      </c>
      <c r="L2771" s="93">
        <v>26498.62</v>
      </c>
      <c r="M2771" s="93">
        <v>110885.22</v>
      </c>
      <c r="N2771" s="95">
        <v>0.03</v>
      </c>
      <c r="O2771" s="95">
        <v>0.13</v>
      </c>
      <c r="P2771" s="95">
        <v>0.32</v>
      </c>
      <c r="Q2771" s="95">
        <v>0.4</v>
      </c>
      <c r="R2771" s="104">
        <v>0.12</v>
      </c>
    </row>
    <row r="2772" spans="1:18" ht="15" hidden="1" customHeight="1" x14ac:dyDescent="0.3">
      <c r="A2772" s="101">
        <v>2024</v>
      </c>
      <c r="B2772" s="90">
        <v>7</v>
      </c>
      <c r="C2772" s="90" t="s">
        <v>728</v>
      </c>
      <c r="D2772" s="90" t="s">
        <v>719</v>
      </c>
      <c r="E2772" s="102" t="s">
        <v>11</v>
      </c>
      <c r="F2772" s="103" t="s">
        <v>721</v>
      </c>
      <c r="G2772" s="93">
        <v>645.46</v>
      </c>
      <c r="H2772" s="93">
        <v>13133.62</v>
      </c>
      <c r="I2772" s="93">
        <v>52293.8</v>
      </c>
      <c r="J2772" s="93">
        <v>122037.97</v>
      </c>
      <c r="K2772" s="93">
        <v>121215.44</v>
      </c>
      <c r="L2772" s="93">
        <v>595891.07999999996</v>
      </c>
      <c r="M2772" s="93">
        <v>905217.37</v>
      </c>
      <c r="N2772" s="95">
        <v>0</v>
      </c>
      <c r="O2772" s="95">
        <v>0.04</v>
      </c>
      <c r="P2772" s="95">
        <v>0.17</v>
      </c>
      <c r="Q2772" s="95">
        <v>0.39</v>
      </c>
      <c r="R2772" s="104">
        <v>0.39</v>
      </c>
    </row>
    <row r="2773" spans="1:18" ht="15" hidden="1" customHeight="1" x14ac:dyDescent="0.3">
      <c r="A2773" s="101">
        <v>2024</v>
      </c>
      <c r="B2773" s="90">
        <v>7</v>
      </c>
      <c r="C2773" s="90" t="s">
        <v>728</v>
      </c>
      <c r="D2773" s="90" t="s">
        <v>719</v>
      </c>
      <c r="E2773" s="102" t="s">
        <v>11</v>
      </c>
      <c r="F2773" s="103" t="s">
        <v>46</v>
      </c>
      <c r="G2773" s="93">
        <v>21125.97</v>
      </c>
      <c r="H2773" s="93">
        <v>62122.25</v>
      </c>
      <c r="I2773" s="93">
        <v>45658.91</v>
      </c>
      <c r="J2773" s="93">
        <v>13201.42</v>
      </c>
      <c r="K2773" s="93">
        <v>3018.74</v>
      </c>
      <c r="L2773" s="93">
        <v>12731.25</v>
      </c>
      <c r="M2773" s="93">
        <v>157858.54</v>
      </c>
      <c r="N2773" s="95">
        <v>0.15</v>
      </c>
      <c r="O2773" s="95">
        <v>0.43</v>
      </c>
      <c r="P2773" s="95">
        <v>0.31</v>
      </c>
      <c r="Q2773" s="95">
        <v>0.09</v>
      </c>
      <c r="R2773" s="104">
        <v>0.02</v>
      </c>
    </row>
    <row r="2774" spans="1:18" ht="15" hidden="1" customHeight="1" x14ac:dyDescent="0.3">
      <c r="A2774" s="101">
        <v>2024</v>
      </c>
      <c r="B2774" s="90">
        <v>7</v>
      </c>
      <c r="C2774" s="90" t="s">
        <v>728</v>
      </c>
      <c r="D2774" s="90" t="s">
        <v>719</v>
      </c>
      <c r="E2774" s="102" t="s">
        <v>11</v>
      </c>
      <c r="F2774" s="103" t="s">
        <v>47</v>
      </c>
      <c r="G2774" s="93">
        <v>9633.5300000000007</v>
      </c>
      <c r="H2774" s="93">
        <v>53605.8</v>
      </c>
      <c r="I2774" s="93">
        <v>117003.49</v>
      </c>
      <c r="J2774" s="93">
        <v>73952.3</v>
      </c>
      <c r="K2774" s="93">
        <v>42194.06</v>
      </c>
      <c r="L2774" s="93">
        <v>50587.199999999997</v>
      </c>
      <c r="M2774" s="93">
        <v>346976.38</v>
      </c>
      <c r="N2774" s="95">
        <v>0.03</v>
      </c>
      <c r="O2774" s="95">
        <v>0.18</v>
      </c>
      <c r="P2774" s="95">
        <v>0.39</v>
      </c>
      <c r="Q2774" s="95">
        <v>0.25</v>
      </c>
      <c r="R2774" s="104">
        <v>0.14000000000000001</v>
      </c>
    </row>
    <row r="2775" spans="1:18" ht="15" hidden="1" customHeight="1" x14ac:dyDescent="0.3">
      <c r="A2775" s="101">
        <v>2024</v>
      </c>
      <c r="B2775" s="90">
        <v>7</v>
      </c>
      <c r="C2775" s="90" t="s">
        <v>728</v>
      </c>
      <c r="D2775" s="90" t="s">
        <v>719</v>
      </c>
      <c r="E2775" s="102" t="s">
        <v>11</v>
      </c>
      <c r="F2775" s="103" t="s">
        <v>48</v>
      </c>
      <c r="G2775" s="93">
        <v>854.45</v>
      </c>
      <c r="H2775" s="93">
        <v>2352.11</v>
      </c>
      <c r="I2775" s="93">
        <v>15714.7</v>
      </c>
      <c r="J2775" s="93">
        <v>55965.52</v>
      </c>
      <c r="K2775" s="93">
        <v>26618.69</v>
      </c>
      <c r="L2775" s="93">
        <v>341974.29</v>
      </c>
      <c r="M2775" s="93">
        <v>443479.75</v>
      </c>
      <c r="N2775" s="95">
        <v>0.01</v>
      </c>
      <c r="O2775" s="95">
        <v>0.02</v>
      </c>
      <c r="P2775" s="95">
        <v>0.15</v>
      </c>
      <c r="Q2775" s="95">
        <v>0.55000000000000004</v>
      </c>
      <c r="R2775" s="104">
        <v>0.26</v>
      </c>
    </row>
    <row r="2776" spans="1:18" ht="15" hidden="1" customHeight="1" x14ac:dyDescent="0.3">
      <c r="A2776" s="101">
        <v>2024</v>
      </c>
      <c r="B2776" s="90">
        <v>7</v>
      </c>
      <c r="C2776" s="90" t="s">
        <v>728</v>
      </c>
      <c r="D2776" s="90" t="s">
        <v>722</v>
      </c>
      <c r="E2776" s="102" t="s">
        <v>11</v>
      </c>
      <c r="F2776" s="103" t="s">
        <v>12</v>
      </c>
      <c r="G2776" s="93">
        <v>5769.3</v>
      </c>
      <c r="H2776" s="93">
        <v>37047.08</v>
      </c>
      <c r="I2776" s="93">
        <v>117714.4</v>
      </c>
      <c r="J2776" s="93">
        <v>169076.5</v>
      </c>
      <c r="K2776" s="93">
        <v>48588</v>
      </c>
      <c r="L2776" s="93">
        <v>21377.5</v>
      </c>
      <c r="M2776" s="93">
        <v>399572.78</v>
      </c>
      <c r="N2776" s="95">
        <v>0.02</v>
      </c>
      <c r="O2776" s="95">
        <v>0.1</v>
      </c>
      <c r="P2776" s="95">
        <v>0.31</v>
      </c>
      <c r="Q2776" s="95">
        <v>0.45</v>
      </c>
      <c r="R2776" s="104">
        <v>0.13</v>
      </c>
    </row>
    <row r="2777" spans="1:18" ht="15" hidden="1" customHeight="1" x14ac:dyDescent="0.3">
      <c r="A2777" s="101">
        <v>2024</v>
      </c>
      <c r="B2777" s="90">
        <v>7</v>
      </c>
      <c r="C2777" s="90" t="s">
        <v>728</v>
      </c>
      <c r="D2777" s="90" t="s">
        <v>722</v>
      </c>
      <c r="E2777" s="102" t="s">
        <v>11</v>
      </c>
      <c r="F2777" s="103" t="s">
        <v>26</v>
      </c>
      <c r="G2777" s="93">
        <v>79906.55</v>
      </c>
      <c r="H2777" s="93">
        <v>195301.53</v>
      </c>
      <c r="I2777" s="93">
        <v>463065.25</v>
      </c>
      <c r="J2777" s="93">
        <v>200275.37</v>
      </c>
      <c r="K2777" s="93">
        <v>25671.95</v>
      </c>
      <c r="L2777" s="93">
        <v>22919.97</v>
      </c>
      <c r="M2777" s="93">
        <v>987140.61</v>
      </c>
      <c r="N2777" s="95">
        <v>0.08</v>
      </c>
      <c r="O2777" s="95">
        <v>0.2</v>
      </c>
      <c r="P2777" s="95">
        <v>0.48</v>
      </c>
      <c r="Q2777" s="95">
        <v>0.21</v>
      </c>
      <c r="R2777" s="104">
        <v>0.03</v>
      </c>
    </row>
    <row r="2778" spans="1:18" ht="15" hidden="1" customHeight="1" x14ac:dyDescent="0.3">
      <c r="A2778" s="101">
        <v>2024</v>
      </c>
      <c r="B2778" s="90">
        <v>7</v>
      </c>
      <c r="C2778" s="90" t="s">
        <v>728</v>
      </c>
      <c r="D2778" s="90" t="s">
        <v>722</v>
      </c>
      <c r="E2778" s="102" t="s">
        <v>11</v>
      </c>
      <c r="F2778" s="103" t="s">
        <v>27</v>
      </c>
      <c r="G2778" s="93">
        <v>585.55999999999995</v>
      </c>
      <c r="H2778" s="93">
        <v>5948.46</v>
      </c>
      <c r="I2778" s="93">
        <v>36991.85</v>
      </c>
      <c r="J2778" s="93">
        <v>110309.68</v>
      </c>
      <c r="K2778" s="93">
        <v>64479.28</v>
      </c>
      <c r="L2778" s="93">
        <v>183190.1</v>
      </c>
      <c r="M2778" s="93">
        <v>401504.94</v>
      </c>
      <c r="N2778" s="95">
        <v>0</v>
      </c>
      <c r="O2778" s="95">
        <v>0.03</v>
      </c>
      <c r="P2778" s="95">
        <v>0.17</v>
      </c>
      <c r="Q2778" s="95">
        <v>0.51</v>
      </c>
      <c r="R2778" s="104">
        <v>0.3</v>
      </c>
    </row>
    <row r="2779" spans="1:18" ht="15" hidden="1" customHeight="1" x14ac:dyDescent="0.3">
      <c r="A2779" s="101">
        <v>2024</v>
      </c>
      <c r="B2779" s="90">
        <v>7</v>
      </c>
      <c r="C2779" s="90" t="s">
        <v>728</v>
      </c>
      <c r="D2779" s="90" t="s">
        <v>722</v>
      </c>
      <c r="E2779" s="102" t="s">
        <v>11</v>
      </c>
      <c r="F2779" s="103" t="s">
        <v>28</v>
      </c>
      <c r="G2779" s="93">
        <v>3702.85</v>
      </c>
      <c r="H2779" s="93">
        <v>17158.61</v>
      </c>
      <c r="I2779" s="93">
        <v>81671.45</v>
      </c>
      <c r="J2779" s="93">
        <v>206548.24</v>
      </c>
      <c r="K2779" s="93">
        <v>60045.56</v>
      </c>
      <c r="L2779" s="93">
        <v>85739.54</v>
      </c>
      <c r="M2779" s="93">
        <v>454866.25</v>
      </c>
      <c r="N2779" s="95">
        <v>0.01</v>
      </c>
      <c r="O2779" s="95">
        <v>0.05</v>
      </c>
      <c r="P2779" s="95">
        <v>0.22</v>
      </c>
      <c r="Q2779" s="95">
        <v>0.56000000000000005</v>
      </c>
      <c r="R2779" s="104">
        <v>0.16</v>
      </c>
    </row>
    <row r="2780" spans="1:18" ht="15" customHeight="1" x14ac:dyDescent="0.3">
      <c r="A2780" s="101">
        <v>2024</v>
      </c>
      <c r="B2780" s="90">
        <v>7</v>
      </c>
      <c r="C2780" s="90" t="s">
        <v>728</v>
      </c>
      <c r="D2780" s="90" t="s">
        <v>722</v>
      </c>
      <c r="E2780" s="102" t="s">
        <v>11</v>
      </c>
      <c r="F2780" s="103" t="s">
        <v>29</v>
      </c>
      <c r="G2780" s="93">
        <v>9181.8700000000008</v>
      </c>
      <c r="H2780" s="93">
        <v>34099.85</v>
      </c>
      <c r="I2780" s="93">
        <v>89797.75</v>
      </c>
      <c r="J2780" s="93">
        <v>91770.29</v>
      </c>
      <c r="K2780" s="93">
        <v>28529.46</v>
      </c>
      <c r="L2780" s="93">
        <v>22539.1</v>
      </c>
      <c r="M2780" s="93">
        <v>275918.31</v>
      </c>
      <c r="N2780" s="95">
        <v>0.04</v>
      </c>
      <c r="O2780" s="95">
        <v>0.13</v>
      </c>
      <c r="P2780" s="95">
        <v>0.35</v>
      </c>
      <c r="Q2780" s="95">
        <v>0.36</v>
      </c>
      <c r="R2780" s="104">
        <v>0.11</v>
      </c>
    </row>
    <row r="2781" spans="1:18" ht="15" hidden="1" customHeight="1" x14ac:dyDescent="0.3">
      <c r="A2781" s="101">
        <v>2024</v>
      </c>
      <c r="B2781" s="90">
        <v>7</v>
      </c>
      <c r="C2781" s="90" t="s">
        <v>728</v>
      </c>
      <c r="D2781" s="90" t="s">
        <v>722</v>
      </c>
      <c r="E2781" s="102" t="s">
        <v>11</v>
      </c>
      <c r="F2781" s="103" t="s">
        <v>30</v>
      </c>
      <c r="G2781" s="93">
        <v>288.01</v>
      </c>
      <c r="H2781" s="93">
        <v>5535.65</v>
      </c>
      <c r="I2781" s="93">
        <v>5942.95</v>
      </c>
      <c r="J2781" s="93">
        <v>2398.7600000000002</v>
      </c>
      <c r="K2781" s="93">
        <v>356.24</v>
      </c>
      <c r="L2781" s="93">
        <v>452206.12</v>
      </c>
      <c r="M2781" s="93">
        <v>466727.73</v>
      </c>
      <c r="N2781" s="95">
        <v>0.02</v>
      </c>
      <c r="O2781" s="95">
        <v>0.38</v>
      </c>
      <c r="P2781" s="95">
        <v>0.41</v>
      </c>
      <c r="Q2781" s="95">
        <v>0.17</v>
      </c>
      <c r="R2781" s="104">
        <v>0.02</v>
      </c>
    </row>
    <row r="2782" spans="1:18" ht="15" hidden="1" customHeight="1" x14ac:dyDescent="0.3">
      <c r="A2782" s="101">
        <v>2024</v>
      </c>
      <c r="B2782" s="90">
        <v>7</v>
      </c>
      <c r="C2782" s="90" t="s">
        <v>728</v>
      </c>
      <c r="D2782" s="90" t="s">
        <v>722</v>
      </c>
      <c r="E2782" s="102" t="s">
        <v>11</v>
      </c>
      <c r="F2782" s="103" t="s">
        <v>31</v>
      </c>
      <c r="G2782" s="93">
        <v>1410.38</v>
      </c>
      <c r="H2782" s="93">
        <v>76616.37</v>
      </c>
      <c r="I2782" s="93">
        <v>88026.62</v>
      </c>
      <c r="J2782" s="93">
        <v>28954.13</v>
      </c>
      <c r="K2782" s="93">
        <v>9026.57</v>
      </c>
      <c r="L2782" s="93">
        <v>81577.440000000002</v>
      </c>
      <c r="M2782" s="93">
        <v>285611.5</v>
      </c>
      <c r="N2782" s="95">
        <v>0.01</v>
      </c>
      <c r="O2782" s="95">
        <v>0.38</v>
      </c>
      <c r="P2782" s="95">
        <v>0.43</v>
      </c>
      <c r="Q2782" s="95">
        <v>0.14000000000000001</v>
      </c>
      <c r="R2782" s="104">
        <v>0.04</v>
      </c>
    </row>
    <row r="2783" spans="1:18" ht="15" hidden="1" customHeight="1" x14ac:dyDescent="0.3">
      <c r="A2783" s="101">
        <v>2024</v>
      </c>
      <c r="B2783" s="90">
        <v>7</v>
      </c>
      <c r="C2783" s="90" t="s">
        <v>728</v>
      </c>
      <c r="D2783" s="90" t="s">
        <v>722</v>
      </c>
      <c r="E2783" s="102" t="s">
        <v>11</v>
      </c>
      <c r="F2783" s="103" t="s">
        <v>32</v>
      </c>
      <c r="G2783" s="93">
        <v>10753.46</v>
      </c>
      <c r="H2783" s="93">
        <v>70471.960000000006</v>
      </c>
      <c r="I2783" s="93">
        <v>217650.42</v>
      </c>
      <c r="J2783" s="93">
        <v>213646.23</v>
      </c>
      <c r="K2783" s="93">
        <v>38045.4</v>
      </c>
      <c r="L2783" s="93">
        <v>4993.33</v>
      </c>
      <c r="M2783" s="93">
        <v>555560.80000000005</v>
      </c>
      <c r="N2783" s="95">
        <v>0.02</v>
      </c>
      <c r="O2783" s="95">
        <v>0.13</v>
      </c>
      <c r="P2783" s="95">
        <v>0.4</v>
      </c>
      <c r="Q2783" s="95">
        <v>0.39</v>
      </c>
      <c r="R2783" s="104">
        <v>7.0000000000000007E-2</v>
      </c>
    </row>
    <row r="2784" spans="1:18" ht="15" hidden="1" customHeight="1" x14ac:dyDescent="0.3">
      <c r="A2784" s="101">
        <v>2024</v>
      </c>
      <c r="B2784" s="90">
        <v>7</v>
      </c>
      <c r="C2784" s="90" t="s">
        <v>728</v>
      </c>
      <c r="D2784" s="90" t="s">
        <v>722</v>
      </c>
      <c r="E2784" s="102" t="s">
        <v>11</v>
      </c>
      <c r="F2784" s="103" t="s">
        <v>33</v>
      </c>
      <c r="G2784" s="93">
        <v>31514.65</v>
      </c>
      <c r="H2784" s="93">
        <v>196652.16</v>
      </c>
      <c r="I2784" s="93">
        <v>696315.37</v>
      </c>
      <c r="J2784" s="93">
        <v>181627.9</v>
      </c>
      <c r="K2784" s="93">
        <v>3975</v>
      </c>
      <c r="L2784" s="93">
        <v>33514.199999999997</v>
      </c>
      <c r="M2784" s="93">
        <v>1143599.28</v>
      </c>
      <c r="N2784" s="95">
        <v>0.03</v>
      </c>
      <c r="O2784" s="95">
        <v>0.18</v>
      </c>
      <c r="P2784" s="95">
        <v>0.63</v>
      </c>
      <c r="Q2784" s="95">
        <v>0.16</v>
      </c>
      <c r="R2784" s="104">
        <v>0</v>
      </c>
    </row>
    <row r="2785" spans="1:18" ht="15" hidden="1" customHeight="1" x14ac:dyDescent="0.3">
      <c r="A2785" s="101">
        <v>2024</v>
      </c>
      <c r="B2785" s="90">
        <v>7</v>
      </c>
      <c r="C2785" s="90" t="s">
        <v>728</v>
      </c>
      <c r="D2785" s="90" t="s">
        <v>722</v>
      </c>
      <c r="E2785" s="102" t="s">
        <v>11</v>
      </c>
      <c r="F2785" s="103" t="s">
        <v>34</v>
      </c>
      <c r="G2785" s="93">
        <v>12725.59</v>
      </c>
      <c r="H2785" s="93">
        <v>61148.24</v>
      </c>
      <c r="I2785" s="93">
        <v>293569.24</v>
      </c>
      <c r="J2785" s="93">
        <v>247220.77</v>
      </c>
      <c r="K2785" s="93">
        <v>23639.59</v>
      </c>
      <c r="L2785" s="93">
        <v>6372.27</v>
      </c>
      <c r="M2785" s="93">
        <v>644675.71</v>
      </c>
      <c r="N2785" s="95">
        <v>0.02</v>
      </c>
      <c r="O2785" s="95">
        <v>0.1</v>
      </c>
      <c r="P2785" s="95">
        <v>0.46</v>
      </c>
      <c r="Q2785" s="95">
        <v>0.39</v>
      </c>
      <c r="R2785" s="104">
        <v>0.04</v>
      </c>
    </row>
    <row r="2786" spans="1:18" ht="15" hidden="1" customHeight="1" x14ac:dyDescent="0.3">
      <c r="A2786" s="101">
        <v>2024</v>
      </c>
      <c r="B2786" s="90">
        <v>7</v>
      </c>
      <c r="C2786" s="90" t="s">
        <v>728</v>
      </c>
      <c r="D2786" s="90" t="s">
        <v>722</v>
      </c>
      <c r="E2786" s="102" t="s">
        <v>11</v>
      </c>
      <c r="F2786" s="103" t="s">
        <v>35</v>
      </c>
      <c r="G2786" s="93">
        <v>12869.88</v>
      </c>
      <c r="H2786" s="93">
        <v>63939.22</v>
      </c>
      <c r="I2786" s="93">
        <v>133190.54999999999</v>
      </c>
      <c r="J2786" s="93">
        <v>109895.55</v>
      </c>
      <c r="K2786" s="93">
        <v>30077</v>
      </c>
      <c r="L2786" s="93">
        <v>67896.210000000006</v>
      </c>
      <c r="M2786" s="93">
        <v>417868.4</v>
      </c>
      <c r="N2786" s="95">
        <v>0.04</v>
      </c>
      <c r="O2786" s="95">
        <v>0.18</v>
      </c>
      <c r="P2786" s="95">
        <v>0.38</v>
      </c>
      <c r="Q2786" s="95">
        <v>0.31</v>
      </c>
      <c r="R2786" s="104">
        <v>0.09</v>
      </c>
    </row>
    <row r="2787" spans="1:18" ht="15" hidden="1" customHeight="1" x14ac:dyDescent="0.3">
      <c r="A2787" s="101">
        <v>2024</v>
      </c>
      <c r="B2787" s="90">
        <v>7</v>
      </c>
      <c r="C2787" s="90" t="s">
        <v>728</v>
      </c>
      <c r="D2787" s="90" t="s">
        <v>722</v>
      </c>
      <c r="E2787" s="102" t="s">
        <v>11</v>
      </c>
      <c r="F2787" s="103" t="s">
        <v>36</v>
      </c>
      <c r="G2787" s="93">
        <v>4823.43</v>
      </c>
      <c r="H2787" s="93">
        <v>38300.769999999997</v>
      </c>
      <c r="I2787" s="93">
        <v>88306.240000000005</v>
      </c>
      <c r="J2787" s="93">
        <v>77359.53</v>
      </c>
      <c r="K2787" s="93">
        <v>15343.65</v>
      </c>
      <c r="L2787" s="93">
        <v>74278.679999999993</v>
      </c>
      <c r="M2787" s="93">
        <v>298412.3</v>
      </c>
      <c r="N2787" s="95">
        <v>0.02</v>
      </c>
      <c r="O2787" s="95">
        <v>0.17</v>
      </c>
      <c r="P2787" s="95">
        <v>0.39</v>
      </c>
      <c r="Q2787" s="95">
        <v>0.35</v>
      </c>
      <c r="R2787" s="104">
        <v>7.0000000000000007E-2</v>
      </c>
    </row>
    <row r="2788" spans="1:18" ht="15" hidden="1" customHeight="1" x14ac:dyDescent="0.3">
      <c r="A2788" s="101">
        <v>2024</v>
      </c>
      <c r="B2788" s="90">
        <v>7</v>
      </c>
      <c r="C2788" s="90" t="s">
        <v>728</v>
      </c>
      <c r="D2788" s="90" t="s">
        <v>722</v>
      </c>
      <c r="E2788" s="102" t="s">
        <v>11</v>
      </c>
      <c r="F2788" s="103" t="s">
        <v>37</v>
      </c>
      <c r="G2788" s="93">
        <v>7055.78</v>
      </c>
      <c r="H2788" s="93">
        <v>43935.69</v>
      </c>
      <c r="I2788" s="93">
        <v>154576.35999999999</v>
      </c>
      <c r="J2788" s="93">
        <v>127225.43</v>
      </c>
      <c r="K2788" s="93">
        <v>19314.810000000001</v>
      </c>
      <c r="L2788" s="93">
        <v>306245.53000000003</v>
      </c>
      <c r="M2788" s="93">
        <v>658353.6</v>
      </c>
      <c r="N2788" s="95">
        <v>0.02</v>
      </c>
      <c r="O2788" s="95">
        <v>0.12</v>
      </c>
      <c r="P2788" s="95">
        <v>0.44</v>
      </c>
      <c r="Q2788" s="95">
        <v>0.36</v>
      </c>
      <c r="R2788" s="104">
        <v>0.05</v>
      </c>
    </row>
    <row r="2789" spans="1:18" ht="15" hidden="1" customHeight="1" x14ac:dyDescent="0.3">
      <c r="A2789" s="101">
        <v>2024</v>
      </c>
      <c r="B2789" s="90">
        <v>7</v>
      </c>
      <c r="C2789" s="90" t="s">
        <v>728</v>
      </c>
      <c r="D2789" s="90" t="s">
        <v>722</v>
      </c>
      <c r="E2789" s="102" t="s">
        <v>11</v>
      </c>
      <c r="F2789" s="103" t="s">
        <v>38</v>
      </c>
      <c r="G2789" s="93">
        <v>44592.98</v>
      </c>
      <c r="H2789" s="93">
        <v>110633.45</v>
      </c>
      <c r="I2789" s="93">
        <v>280872.55</v>
      </c>
      <c r="J2789" s="93">
        <v>227480.32000000001</v>
      </c>
      <c r="K2789" s="93">
        <v>34673.67</v>
      </c>
      <c r="L2789" s="93">
        <v>17570.47</v>
      </c>
      <c r="M2789" s="93">
        <v>715823.44</v>
      </c>
      <c r="N2789" s="95">
        <v>0.06</v>
      </c>
      <c r="O2789" s="95">
        <v>0.16</v>
      </c>
      <c r="P2789" s="95">
        <v>0.4</v>
      </c>
      <c r="Q2789" s="95">
        <v>0.33</v>
      </c>
      <c r="R2789" s="104">
        <v>0.05</v>
      </c>
    </row>
    <row r="2790" spans="1:18" ht="15" hidden="1" customHeight="1" x14ac:dyDescent="0.3">
      <c r="A2790" s="101">
        <v>2024</v>
      </c>
      <c r="B2790" s="90">
        <v>7</v>
      </c>
      <c r="C2790" s="90" t="s">
        <v>728</v>
      </c>
      <c r="D2790" s="90" t="s">
        <v>722</v>
      </c>
      <c r="E2790" s="102" t="s">
        <v>11</v>
      </c>
      <c r="F2790" s="103" t="s">
        <v>39</v>
      </c>
      <c r="G2790" s="93">
        <v>3649.12</v>
      </c>
      <c r="H2790" s="93">
        <v>30968.51</v>
      </c>
      <c r="I2790" s="93">
        <v>94671.83</v>
      </c>
      <c r="J2790" s="93">
        <v>123394.26</v>
      </c>
      <c r="K2790" s="93">
        <v>38765.71</v>
      </c>
      <c r="L2790" s="93">
        <v>41989.3</v>
      </c>
      <c r="M2790" s="93">
        <v>333438.71999999997</v>
      </c>
      <c r="N2790" s="95">
        <v>0.01</v>
      </c>
      <c r="O2790" s="95">
        <v>0.11</v>
      </c>
      <c r="P2790" s="95">
        <v>0.32</v>
      </c>
      <c r="Q2790" s="95">
        <v>0.42</v>
      </c>
      <c r="R2790" s="104">
        <v>0.13</v>
      </c>
    </row>
    <row r="2791" spans="1:18" ht="15" hidden="1" customHeight="1" x14ac:dyDescent="0.3">
      <c r="A2791" s="101">
        <v>2024</v>
      </c>
      <c r="B2791" s="90">
        <v>7</v>
      </c>
      <c r="C2791" s="90" t="s">
        <v>728</v>
      </c>
      <c r="D2791" s="90" t="s">
        <v>722</v>
      </c>
      <c r="E2791" s="102" t="s">
        <v>11</v>
      </c>
      <c r="F2791" s="103" t="s">
        <v>40</v>
      </c>
      <c r="G2791" s="93">
        <v>2727.09</v>
      </c>
      <c r="H2791" s="93">
        <v>18225.04</v>
      </c>
      <c r="I2791" s="93">
        <v>92424.28</v>
      </c>
      <c r="J2791" s="93">
        <v>151989.67000000001</v>
      </c>
      <c r="K2791" s="93">
        <v>52300.87</v>
      </c>
      <c r="L2791" s="93">
        <v>45230.26</v>
      </c>
      <c r="M2791" s="93">
        <v>362897.21</v>
      </c>
      <c r="N2791" s="95">
        <v>0.01</v>
      </c>
      <c r="O2791" s="95">
        <v>0.06</v>
      </c>
      <c r="P2791" s="95">
        <v>0.28999999999999998</v>
      </c>
      <c r="Q2791" s="95">
        <v>0.48</v>
      </c>
      <c r="R2791" s="104">
        <v>0.16</v>
      </c>
    </row>
    <row r="2792" spans="1:18" ht="15" hidden="1" customHeight="1" x14ac:dyDescent="0.3">
      <c r="A2792" s="101">
        <v>2024</v>
      </c>
      <c r="B2792" s="90">
        <v>7</v>
      </c>
      <c r="C2792" s="90" t="s">
        <v>728</v>
      </c>
      <c r="D2792" s="90" t="s">
        <v>722</v>
      </c>
      <c r="E2792" s="102" t="s">
        <v>11</v>
      </c>
      <c r="F2792" s="103" t="s">
        <v>41</v>
      </c>
      <c r="G2792" s="93">
        <v>2248.88</v>
      </c>
      <c r="H2792" s="93">
        <v>7777.31</v>
      </c>
      <c r="I2792" s="93">
        <v>5414.31</v>
      </c>
      <c r="J2792" s="93">
        <v>2354.41</v>
      </c>
      <c r="K2792" s="93">
        <v>396.44</v>
      </c>
      <c r="L2792" s="93">
        <v>861917.13</v>
      </c>
      <c r="M2792" s="93">
        <v>880108.48</v>
      </c>
      <c r="N2792" s="95">
        <v>0.12</v>
      </c>
      <c r="O2792" s="95">
        <v>0.43</v>
      </c>
      <c r="P2792" s="95">
        <v>0.3</v>
      </c>
      <c r="Q2792" s="95">
        <v>0.13</v>
      </c>
      <c r="R2792" s="104">
        <v>0.02</v>
      </c>
    </row>
    <row r="2793" spans="1:18" ht="15" hidden="1" customHeight="1" x14ac:dyDescent="0.3">
      <c r="A2793" s="101">
        <v>2024</v>
      </c>
      <c r="B2793" s="90">
        <v>7</v>
      </c>
      <c r="C2793" s="90" t="s">
        <v>728</v>
      </c>
      <c r="D2793" s="90" t="s">
        <v>722</v>
      </c>
      <c r="E2793" s="102" t="s">
        <v>11</v>
      </c>
      <c r="F2793" s="103" t="s">
        <v>42</v>
      </c>
      <c r="G2793" s="93">
        <v>5379.82</v>
      </c>
      <c r="H2793" s="93">
        <v>45038.68</v>
      </c>
      <c r="I2793" s="93">
        <v>144371.22</v>
      </c>
      <c r="J2793" s="93">
        <v>179378.78</v>
      </c>
      <c r="K2793" s="93">
        <v>52461.56</v>
      </c>
      <c r="L2793" s="93">
        <v>2206.9899999999998</v>
      </c>
      <c r="M2793" s="93">
        <v>428837.04</v>
      </c>
      <c r="N2793" s="95">
        <v>0.01</v>
      </c>
      <c r="O2793" s="95">
        <v>0.11</v>
      </c>
      <c r="P2793" s="95">
        <v>0.34</v>
      </c>
      <c r="Q2793" s="95">
        <v>0.42</v>
      </c>
      <c r="R2793" s="104">
        <v>0.12</v>
      </c>
    </row>
    <row r="2794" spans="1:18" ht="15" hidden="1" customHeight="1" x14ac:dyDescent="0.3">
      <c r="A2794" s="101">
        <v>2024</v>
      </c>
      <c r="B2794" s="90">
        <v>7</v>
      </c>
      <c r="C2794" s="90" t="s">
        <v>728</v>
      </c>
      <c r="D2794" s="90" t="s">
        <v>722</v>
      </c>
      <c r="E2794" s="102" t="s">
        <v>11</v>
      </c>
      <c r="F2794" s="103" t="s">
        <v>43</v>
      </c>
      <c r="G2794" s="93">
        <v>3281.57</v>
      </c>
      <c r="H2794" s="93">
        <v>33910.42</v>
      </c>
      <c r="I2794" s="93">
        <v>21654.01</v>
      </c>
      <c r="J2794" s="93">
        <v>7288.68</v>
      </c>
      <c r="K2794" s="93">
        <v>1888.12</v>
      </c>
      <c r="L2794" s="93">
        <v>61306.62</v>
      </c>
      <c r="M2794" s="93">
        <v>129329.41</v>
      </c>
      <c r="N2794" s="95">
        <v>0.05</v>
      </c>
      <c r="O2794" s="95">
        <v>0.5</v>
      </c>
      <c r="P2794" s="95">
        <v>0.32</v>
      </c>
      <c r="Q2794" s="95">
        <v>0.11</v>
      </c>
      <c r="R2794" s="104">
        <v>0.03</v>
      </c>
    </row>
    <row r="2795" spans="1:18" ht="15" hidden="1" customHeight="1" x14ac:dyDescent="0.3">
      <c r="A2795" s="101">
        <v>2024</v>
      </c>
      <c r="B2795" s="90">
        <v>7</v>
      </c>
      <c r="C2795" s="90" t="s">
        <v>728</v>
      </c>
      <c r="D2795" s="90" t="s">
        <v>722</v>
      </c>
      <c r="E2795" s="102" t="s">
        <v>11</v>
      </c>
      <c r="F2795" s="103" t="s">
        <v>58</v>
      </c>
      <c r="G2795" s="93">
        <v>4688.95</v>
      </c>
      <c r="H2795" s="93">
        <v>22906.32</v>
      </c>
      <c r="I2795" s="93">
        <v>77554</v>
      </c>
      <c r="J2795" s="93">
        <v>169685.06</v>
      </c>
      <c r="K2795" s="93">
        <v>90588.94</v>
      </c>
      <c r="L2795" s="93">
        <v>8121.61</v>
      </c>
      <c r="M2795" s="93">
        <v>373544.88</v>
      </c>
      <c r="N2795" s="95">
        <v>0.01</v>
      </c>
      <c r="O2795" s="95">
        <v>0.06</v>
      </c>
      <c r="P2795" s="95">
        <v>0.21</v>
      </c>
      <c r="Q2795" s="95">
        <v>0.46</v>
      </c>
      <c r="R2795" s="104">
        <v>0.25</v>
      </c>
    </row>
    <row r="2796" spans="1:18" ht="15" hidden="1" customHeight="1" x14ac:dyDescent="0.3">
      <c r="A2796" s="101">
        <v>2024</v>
      </c>
      <c r="B2796" s="90">
        <v>7</v>
      </c>
      <c r="C2796" s="90" t="s">
        <v>728</v>
      </c>
      <c r="D2796" s="90" t="s">
        <v>722</v>
      </c>
      <c r="E2796" s="102" t="s">
        <v>11</v>
      </c>
      <c r="F2796" s="103" t="s">
        <v>44</v>
      </c>
      <c r="G2796" s="93">
        <v>5679.13</v>
      </c>
      <c r="H2796" s="93">
        <v>22985.25</v>
      </c>
      <c r="I2796" s="93">
        <v>62322.01</v>
      </c>
      <c r="J2796" s="93">
        <v>64913.57</v>
      </c>
      <c r="K2796" s="93">
        <v>14941.16</v>
      </c>
      <c r="L2796" s="93">
        <v>53820.45</v>
      </c>
      <c r="M2796" s="93">
        <v>224661.58</v>
      </c>
      <c r="N2796" s="95">
        <v>0.03</v>
      </c>
      <c r="O2796" s="95">
        <v>0.13</v>
      </c>
      <c r="P2796" s="95">
        <v>0.36</v>
      </c>
      <c r="Q2796" s="95">
        <v>0.38</v>
      </c>
      <c r="R2796" s="104">
        <v>0.09</v>
      </c>
    </row>
    <row r="2797" spans="1:18" ht="15" hidden="1" customHeight="1" x14ac:dyDescent="0.3">
      <c r="A2797" s="101">
        <v>2024</v>
      </c>
      <c r="B2797" s="90">
        <v>7</v>
      </c>
      <c r="C2797" s="90" t="s">
        <v>728</v>
      </c>
      <c r="D2797" s="90" t="s">
        <v>722</v>
      </c>
      <c r="E2797" s="102" t="s">
        <v>11</v>
      </c>
      <c r="F2797" s="103" t="s">
        <v>51</v>
      </c>
      <c r="G2797" s="93">
        <v>5754.97</v>
      </c>
      <c r="H2797" s="93">
        <v>28103.5</v>
      </c>
      <c r="I2797" s="93">
        <v>55604.45</v>
      </c>
      <c r="J2797" s="93">
        <v>76222.3</v>
      </c>
      <c r="K2797" s="93">
        <v>42108.61</v>
      </c>
      <c r="L2797" s="93">
        <v>5031.79</v>
      </c>
      <c r="M2797" s="93">
        <v>212825.61</v>
      </c>
      <c r="N2797" s="95">
        <v>0.03</v>
      </c>
      <c r="O2797" s="95">
        <v>0.14000000000000001</v>
      </c>
      <c r="P2797" s="95">
        <v>0.27</v>
      </c>
      <c r="Q2797" s="95">
        <v>0.37</v>
      </c>
      <c r="R2797" s="104">
        <v>0.2</v>
      </c>
    </row>
    <row r="2798" spans="1:18" ht="15" hidden="1" customHeight="1" x14ac:dyDescent="0.3">
      <c r="A2798" s="101">
        <v>2024</v>
      </c>
      <c r="B2798" s="90">
        <v>7</v>
      </c>
      <c r="C2798" s="90" t="s">
        <v>728</v>
      </c>
      <c r="D2798" s="90" t="s">
        <v>722</v>
      </c>
      <c r="E2798" s="102" t="s">
        <v>11</v>
      </c>
      <c r="F2798" s="103" t="s">
        <v>45</v>
      </c>
      <c r="G2798" s="93">
        <v>3483.69</v>
      </c>
      <c r="H2798" s="93">
        <v>15219.16</v>
      </c>
      <c r="I2798" s="93">
        <v>27927.3</v>
      </c>
      <c r="J2798" s="93">
        <v>29466.12</v>
      </c>
      <c r="K2798" s="93">
        <v>7787.07</v>
      </c>
      <c r="L2798" s="93">
        <v>26474.06</v>
      </c>
      <c r="M2798" s="93">
        <v>110357.4</v>
      </c>
      <c r="N2798" s="95">
        <v>0.04</v>
      </c>
      <c r="O2798" s="95">
        <v>0.18</v>
      </c>
      <c r="P2798" s="95">
        <v>0.33</v>
      </c>
      <c r="Q2798" s="95">
        <v>0.35</v>
      </c>
      <c r="R2798" s="104">
        <v>0.09</v>
      </c>
    </row>
    <row r="2799" spans="1:18" ht="15" hidden="1" customHeight="1" x14ac:dyDescent="0.3">
      <c r="A2799" s="101">
        <v>2024</v>
      </c>
      <c r="B2799" s="90">
        <v>7</v>
      </c>
      <c r="C2799" s="90" t="s">
        <v>728</v>
      </c>
      <c r="D2799" s="90" t="s">
        <v>722</v>
      </c>
      <c r="E2799" s="102" t="s">
        <v>11</v>
      </c>
      <c r="F2799" s="103" t="s">
        <v>721</v>
      </c>
      <c r="G2799" s="93">
        <v>1920.9</v>
      </c>
      <c r="H2799" s="93">
        <v>22314.03</v>
      </c>
      <c r="I2799" s="93">
        <v>70417.5</v>
      </c>
      <c r="J2799" s="93">
        <v>136717.07</v>
      </c>
      <c r="K2799" s="93">
        <v>77956.78</v>
      </c>
      <c r="L2799" s="93">
        <v>597751.52</v>
      </c>
      <c r="M2799" s="93">
        <v>907077.81</v>
      </c>
      <c r="N2799" s="95">
        <v>0.01</v>
      </c>
      <c r="O2799" s="95">
        <v>7.0000000000000007E-2</v>
      </c>
      <c r="P2799" s="95">
        <v>0.23</v>
      </c>
      <c r="Q2799" s="95">
        <v>0.44</v>
      </c>
      <c r="R2799" s="104">
        <v>0.25</v>
      </c>
    </row>
    <row r="2800" spans="1:18" ht="15" hidden="1" customHeight="1" x14ac:dyDescent="0.3">
      <c r="A2800" s="101">
        <v>2024</v>
      </c>
      <c r="B2800" s="90">
        <v>7</v>
      </c>
      <c r="C2800" s="90" t="s">
        <v>728</v>
      </c>
      <c r="D2800" s="90" t="s">
        <v>722</v>
      </c>
      <c r="E2800" s="102" t="s">
        <v>11</v>
      </c>
      <c r="F2800" s="103" t="s">
        <v>46</v>
      </c>
      <c r="G2800" s="93">
        <v>24291.01</v>
      </c>
      <c r="H2800" s="93">
        <v>68205.58</v>
      </c>
      <c r="I2800" s="93">
        <v>41289.370000000003</v>
      </c>
      <c r="J2800" s="93">
        <v>10753.62</v>
      </c>
      <c r="K2800" s="93">
        <v>2620.42</v>
      </c>
      <c r="L2800" s="93">
        <v>20524.91</v>
      </c>
      <c r="M2800" s="93">
        <v>167684.91</v>
      </c>
      <c r="N2800" s="95">
        <v>0.17</v>
      </c>
      <c r="O2800" s="95">
        <v>0.46</v>
      </c>
      <c r="P2800" s="95">
        <v>0.28000000000000003</v>
      </c>
      <c r="Q2800" s="95">
        <v>7.0000000000000007E-2</v>
      </c>
      <c r="R2800" s="104">
        <v>0.02</v>
      </c>
    </row>
    <row r="2801" spans="1:18" ht="15" hidden="1" customHeight="1" x14ac:dyDescent="0.3">
      <c r="A2801" s="101">
        <v>2024</v>
      </c>
      <c r="B2801" s="90">
        <v>7</v>
      </c>
      <c r="C2801" s="90" t="s">
        <v>728</v>
      </c>
      <c r="D2801" s="90" t="s">
        <v>722</v>
      </c>
      <c r="E2801" s="102" t="s">
        <v>11</v>
      </c>
      <c r="F2801" s="103" t="s">
        <v>47</v>
      </c>
      <c r="G2801" s="93">
        <v>24152.46</v>
      </c>
      <c r="H2801" s="93">
        <v>114795.48</v>
      </c>
      <c r="I2801" s="93">
        <v>434154.96</v>
      </c>
      <c r="J2801" s="93">
        <v>433125.73</v>
      </c>
      <c r="K2801" s="93">
        <v>117206.46</v>
      </c>
      <c r="L2801" s="93">
        <v>50169.66</v>
      </c>
      <c r="M2801" s="93">
        <v>1173604.75</v>
      </c>
      <c r="N2801" s="95">
        <v>0.02</v>
      </c>
      <c r="O2801" s="95">
        <v>0.1</v>
      </c>
      <c r="P2801" s="95">
        <v>0.39</v>
      </c>
      <c r="Q2801" s="95">
        <v>0.39</v>
      </c>
      <c r="R2801" s="104">
        <v>0.1</v>
      </c>
    </row>
    <row r="2802" spans="1:18" ht="15" hidden="1" customHeight="1" x14ac:dyDescent="0.3">
      <c r="A2802" s="101">
        <v>2024</v>
      </c>
      <c r="B2802" s="90">
        <v>7</v>
      </c>
      <c r="C2802" s="90" t="s">
        <v>728</v>
      </c>
      <c r="D2802" s="90" t="s">
        <v>722</v>
      </c>
      <c r="E2802" s="102" t="s">
        <v>11</v>
      </c>
      <c r="F2802" s="103" t="s">
        <v>48</v>
      </c>
      <c r="G2802" s="93">
        <v>1262.8499999999999</v>
      </c>
      <c r="H2802" s="93">
        <v>5498.76</v>
      </c>
      <c r="I2802" s="93">
        <v>20153.2</v>
      </c>
      <c r="J2802" s="93">
        <v>50049.47</v>
      </c>
      <c r="K2802" s="93">
        <v>24414.22</v>
      </c>
      <c r="L2802" s="93">
        <v>333169.09000000003</v>
      </c>
      <c r="M2802" s="93">
        <v>434547.59</v>
      </c>
      <c r="N2802" s="95">
        <v>0.01</v>
      </c>
      <c r="O2802" s="95">
        <v>0.05</v>
      </c>
      <c r="P2802" s="95">
        <v>0.2</v>
      </c>
      <c r="Q2802" s="95">
        <v>0.49</v>
      </c>
      <c r="R2802" s="104">
        <v>0.24</v>
      </c>
    </row>
    <row r="2803" spans="1:18" ht="15" hidden="1" customHeight="1" x14ac:dyDescent="0.3">
      <c r="A2803" s="101">
        <v>2024</v>
      </c>
      <c r="B2803" s="90">
        <v>8</v>
      </c>
      <c r="C2803" s="90" t="s">
        <v>729</v>
      </c>
      <c r="D2803" s="90" t="s">
        <v>719</v>
      </c>
      <c r="E2803" s="102" t="s">
        <v>11</v>
      </c>
      <c r="F2803" s="103" t="s">
        <v>12</v>
      </c>
      <c r="G2803" s="93">
        <v>4041.45</v>
      </c>
      <c r="H2803" s="93">
        <v>36005.800000000003</v>
      </c>
      <c r="I2803" s="93">
        <v>115448.63</v>
      </c>
      <c r="J2803" s="93">
        <v>160569.60000000001</v>
      </c>
      <c r="K2803" s="93">
        <v>44515.17</v>
      </c>
      <c r="L2803" s="93">
        <v>19325.14</v>
      </c>
      <c r="M2803" s="93">
        <v>379905.79</v>
      </c>
      <c r="N2803" s="95">
        <v>0.01</v>
      </c>
      <c r="O2803" s="95">
        <v>0.1</v>
      </c>
      <c r="P2803" s="95">
        <v>0.32</v>
      </c>
      <c r="Q2803" s="95">
        <v>0.45</v>
      </c>
      <c r="R2803" s="104">
        <v>0.12</v>
      </c>
    </row>
    <row r="2804" spans="1:18" ht="15" hidden="1" customHeight="1" x14ac:dyDescent="0.3">
      <c r="A2804" s="101">
        <v>2024</v>
      </c>
      <c r="B2804" s="90">
        <v>8</v>
      </c>
      <c r="C2804" s="90" t="s">
        <v>729</v>
      </c>
      <c r="D2804" s="90" t="s">
        <v>719</v>
      </c>
      <c r="E2804" s="102" t="s">
        <v>11</v>
      </c>
      <c r="F2804" s="103" t="s">
        <v>26</v>
      </c>
      <c r="G2804" s="93">
        <v>75535.59</v>
      </c>
      <c r="H2804" s="93">
        <v>131089.31</v>
      </c>
      <c r="I2804" s="93">
        <v>206058.94</v>
      </c>
      <c r="J2804" s="93">
        <v>389508.34</v>
      </c>
      <c r="K2804" s="93">
        <v>223169.45</v>
      </c>
      <c r="L2804" s="93">
        <v>19337.47</v>
      </c>
      <c r="M2804" s="93">
        <v>1044699.1</v>
      </c>
      <c r="N2804" s="95">
        <v>7.0000000000000007E-2</v>
      </c>
      <c r="O2804" s="95">
        <v>0.13</v>
      </c>
      <c r="P2804" s="95">
        <v>0.2</v>
      </c>
      <c r="Q2804" s="95">
        <v>0.38</v>
      </c>
      <c r="R2804" s="104">
        <v>0.22</v>
      </c>
    </row>
    <row r="2805" spans="1:18" ht="15" hidden="1" customHeight="1" x14ac:dyDescent="0.3">
      <c r="A2805" s="101">
        <v>2024</v>
      </c>
      <c r="B2805" s="90">
        <v>8</v>
      </c>
      <c r="C2805" s="90" t="s">
        <v>729</v>
      </c>
      <c r="D2805" s="90" t="s">
        <v>719</v>
      </c>
      <c r="E2805" s="102" t="s">
        <v>11</v>
      </c>
      <c r="F2805" s="103" t="s">
        <v>27</v>
      </c>
      <c r="G2805" s="93">
        <v>600.67999999999995</v>
      </c>
      <c r="H2805" s="93">
        <v>7170.37</v>
      </c>
      <c r="I2805" s="93">
        <v>40085.870000000003</v>
      </c>
      <c r="J2805" s="93">
        <v>71253.97</v>
      </c>
      <c r="K2805" s="93">
        <v>93350.56</v>
      </c>
      <c r="L2805" s="93">
        <v>183790.18</v>
      </c>
      <c r="M2805" s="93">
        <v>396251.64</v>
      </c>
      <c r="N2805" s="95">
        <v>0</v>
      </c>
      <c r="O2805" s="95">
        <v>0.03</v>
      </c>
      <c r="P2805" s="95">
        <v>0.19</v>
      </c>
      <c r="Q2805" s="95">
        <v>0.34</v>
      </c>
      <c r="R2805" s="104">
        <v>0.44</v>
      </c>
    </row>
    <row r="2806" spans="1:18" ht="15" hidden="1" customHeight="1" x14ac:dyDescent="0.3">
      <c r="A2806" s="101">
        <v>2024</v>
      </c>
      <c r="B2806" s="90">
        <v>8</v>
      </c>
      <c r="C2806" s="90" t="s">
        <v>729</v>
      </c>
      <c r="D2806" s="90" t="s">
        <v>719</v>
      </c>
      <c r="E2806" s="102" t="s">
        <v>11</v>
      </c>
      <c r="F2806" s="103" t="s">
        <v>28</v>
      </c>
      <c r="G2806" s="93">
        <v>2651.97</v>
      </c>
      <c r="H2806" s="93">
        <v>15350.14</v>
      </c>
      <c r="I2806" s="93">
        <v>52879.66</v>
      </c>
      <c r="J2806" s="93">
        <v>145486.01</v>
      </c>
      <c r="K2806" s="93">
        <v>117667.71</v>
      </c>
      <c r="L2806" s="93">
        <v>85682.54</v>
      </c>
      <c r="M2806" s="93">
        <v>419718.03</v>
      </c>
      <c r="N2806" s="95">
        <v>0.01</v>
      </c>
      <c r="O2806" s="95">
        <v>0.05</v>
      </c>
      <c r="P2806" s="95">
        <v>0.16</v>
      </c>
      <c r="Q2806" s="95">
        <v>0.44</v>
      </c>
      <c r="R2806" s="104">
        <v>0.35</v>
      </c>
    </row>
    <row r="2807" spans="1:18" ht="15" customHeight="1" x14ac:dyDescent="0.3">
      <c r="A2807" s="101">
        <v>2024</v>
      </c>
      <c r="B2807" s="90">
        <v>8</v>
      </c>
      <c r="C2807" s="90" t="s">
        <v>729</v>
      </c>
      <c r="D2807" s="90" t="s">
        <v>719</v>
      </c>
      <c r="E2807" s="102" t="s">
        <v>11</v>
      </c>
      <c r="F2807" s="103" t="s">
        <v>29</v>
      </c>
      <c r="G2807" s="93">
        <v>6461.84</v>
      </c>
      <c r="H2807" s="93">
        <v>29590.75</v>
      </c>
      <c r="I2807" s="93">
        <v>72505.61</v>
      </c>
      <c r="J2807" s="93">
        <v>100421.78</v>
      </c>
      <c r="K2807" s="93">
        <v>48613.3</v>
      </c>
      <c r="L2807" s="93">
        <v>16239.26</v>
      </c>
      <c r="M2807" s="93">
        <v>273832.53999999998</v>
      </c>
      <c r="N2807" s="95">
        <v>0.03</v>
      </c>
      <c r="O2807" s="95">
        <v>0.11</v>
      </c>
      <c r="P2807" s="95">
        <v>0.28000000000000003</v>
      </c>
      <c r="Q2807" s="95">
        <v>0.39</v>
      </c>
      <c r="R2807" s="104">
        <v>0.19</v>
      </c>
    </row>
    <row r="2808" spans="1:18" ht="15" hidden="1" customHeight="1" x14ac:dyDescent="0.3">
      <c r="A2808" s="101">
        <v>2024</v>
      </c>
      <c r="B2808" s="90">
        <v>8</v>
      </c>
      <c r="C2808" s="90" t="s">
        <v>729</v>
      </c>
      <c r="D2808" s="90" t="s">
        <v>719</v>
      </c>
      <c r="E2808" s="102" t="s">
        <v>11</v>
      </c>
      <c r="F2808" s="103" t="s">
        <v>30</v>
      </c>
      <c r="G2808" s="93">
        <v>463.17</v>
      </c>
      <c r="H2808" s="93">
        <v>6888.94</v>
      </c>
      <c r="I2808" s="93">
        <v>4408.32</v>
      </c>
      <c r="J2808" s="93">
        <v>1472.18</v>
      </c>
      <c r="K2808" s="93">
        <v>153.26</v>
      </c>
      <c r="L2808" s="93">
        <v>452230.94</v>
      </c>
      <c r="M2808" s="93">
        <v>465616.8</v>
      </c>
      <c r="N2808" s="95">
        <v>0.03</v>
      </c>
      <c r="O2808" s="95">
        <v>0.51</v>
      </c>
      <c r="P2808" s="95">
        <v>0.33</v>
      </c>
      <c r="Q2808" s="95">
        <v>0.11</v>
      </c>
      <c r="R2808" s="104">
        <v>0.01</v>
      </c>
    </row>
    <row r="2809" spans="1:18" ht="15" hidden="1" customHeight="1" x14ac:dyDescent="0.3">
      <c r="A2809" s="101">
        <v>2024</v>
      </c>
      <c r="B2809" s="90">
        <v>8</v>
      </c>
      <c r="C2809" s="90" t="s">
        <v>729</v>
      </c>
      <c r="D2809" s="90" t="s">
        <v>719</v>
      </c>
      <c r="E2809" s="102" t="s">
        <v>11</v>
      </c>
      <c r="F2809" s="103" t="s">
        <v>31</v>
      </c>
      <c r="G2809" s="93">
        <v>1216.6199999999999</v>
      </c>
      <c r="H2809" s="93">
        <v>66020.81</v>
      </c>
      <c r="I2809" s="93">
        <v>89040.68</v>
      </c>
      <c r="J2809" s="93">
        <v>27271.24</v>
      </c>
      <c r="K2809" s="93">
        <v>6015.36</v>
      </c>
      <c r="L2809" s="93">
        <v>18785.009999999998</v>
      </c>
      <c r="M2809" s="93">
        <v>208349.71</v>
      </c>
      <c r="N2809" s="95">
        <v>0.01</v>
      </c>
      <c r="O2809" s="95">
        <v>0.35</v>
      </c>
      <c r="P2809" s="95">
        <v>0.47</v>
      </c>
      <c r="Q2809" s="95">
        <v>0.14000000000000001</v>
      </c>
      <c r="R2809" s="104">
        <v>0.03</v>
      </c>
    </row>
    <row r="2810" spans="1:18" ht="15" hidden="1" customHeight="1" x14ac:dyDescent="0.3">
      <c r="A2810" s="101">
        <v>2024</v>
      </c>
      <c r="B2810" s="90">
        <v>8</v>
      </c>
      <c r="C2810" s="90" t="s">
        <v>729</v>
      </c>
      <c r="D2810" s="90" t="s">
        <v>719</v>
      </c>
      <c r="E2810" s="102" t="s">
        <v>11</v>
      </c>
      <c r="F2810" s="103" t="s">
        <v>32</v>
      </c>
      <c r="G2810" s="93">
        <v>5406.73</v>
      </c>
      <c r="H2810" s="93">
        <v>44726.71</v>
      </c>
      <c r="I2810" s="93">
        <v>157040.68</v>
      </c>
      <c r="J2810" s="93">
        <v>228910.32</v>
      </c>
      <c r="K2810" s="93">
        <v>107953.1</v>
      </c>
      <c r="L2810" s="93">
        <v>703.7</v>
      </c>
      <c r="M2810" s="93">
        <v>544741.23</v>
      </c>
      <c r="N2810" s="95">
        <v>0.01</v>
      </c>
      <c r="O2810" s="95">
        <v>0.08</v>
      </c>
      <c r="P2810" s="95">
        <v>0.28999999999999998</v>
      </c>
      <c r="Q2810" s="95">
        <v>0.42</v>
      </c>
      <c r="R2810" s="104">
        <v>0.2</v>
      </c>
    </row>
    <row r="2811" spans="1:18" ht="15" hidden="1" customHeight="1" x14ac:dyDescent="0.3">
      <c r="A2811" s="101">
        <v>2024</v>
      </c>
      <c r="B2811" s="90">
        <v>8</v>
      </c>
      <c r="C2811" s="90" t="s">
        <v>729</v>
      </c>
      <c r="D2811" s="90" t="s">
        <v>719</v>
      </c>
      <c r="E2811" s="102" t="s">
        <v>11</v>
      </c>
      <c r="F2811" s="103" t="s">
        <v>33</v>
      </c>
      <c r="G2811" s="93">
        <v>26902.44</v>
      </c>
      <c r="H2811" s="93">
        <v>72962.8</v>
      </c>
      <c r="I2811" s="93">
        <v>202083.04</v>
      </c>
      <c r="J2811" s="93">
        <v>684155.87</v>
      </c>
      <c r="K2811" s="93">
        <v>323891.84999999998</v>
      </c>
      <c r="L2811" s="93">
        <v>29281.19</v>
      </c>
      <c r="M2811" s="93">
        <v>1339277.19</v>
      </c>
      <c r="N2811" s="95">
        <v>0.02</v>
      </c>
      <c r="O2811" s="95">
        <v>0.06</v>
      </c>
      <c r="P2811" s="95">
        <v>0.15</v>
      </c>
      <c r="Q2811" s="95">
        <v>0.52</v>
      </c>
      <c r="R2811" s="104">
        <v>0.25</v>
      </c>
    </row>
    <row r="2812" spans="1:18" ht="15" hidden="1" customHeight="1" x14ac:dyDescent="0.3">
      <c r="A2812" s="101">
        <v>2024</v>
      </c>
      <c r="B2812" s="90">
        <v>8</v>
      </c>
      <c r="C2812" s="90" t="s">
        <v>729</v>
      </c>
      <c r="D2812" s="90" t="s">
        <v>719</v>
      </c>
      <c r="E2812" s="102" t="s">
        <v>11</v>
      </c>
      <c r="F2812" s="103" t="s">
        <v>34</v>
      </c>
      <c r="G2812" s="93">
        <v>9387.9699999999993</v>
      </c>
      <c r="H2812" s="93">
        <v>29450.02</v>
      </c>
      <c r="I2812" s="93">
        <v>119617.05</v>
      </c>
      <c r="J2812" s="93">
        <v>314102.21999999997</v>
      </c>
      <c r="K2812" s="93">
        <v>165316.72</v>
      </c>
      <c r="L2812" s="93">
        <v>4443.01</v>
      </c>
      <c r="M2812" s="93">
        <v>642316.97</v>
      </c>
      <c r="N2812" s="95">
        <v>0.01</v>
      </c>
      <c r="O2812" s="95">
        <v>0.05</v>
      </c>
      <c r="P2812" s="95">
        <v>0.19</v>
      </c>
      <c r="Q2812" s="95">
        <v>0.49</v>
      </c>
      <c r="R2812" s="104">
        <v>0.26</v>
      </c>
    </row>
    <row r="2813" spans="1:18" ht="15" hidden="1" customHeight="1" x14ac:dyDescent="0.3">
      <c r="A2813" s="101">
        <v>2024</v>
      </c>
      <c r="B2813" s="90">
        <v>8</v>
      </c>
      <c r="C2813" s="90" t="s">
        <v>729</v>
      </c>
      <c r="D2813" s="90" t="s">
        <v>719</v>
      </c>
      <c r="E2813" s="102" t="s">
        <v>11</v>
      </c>
      <c r="F2813" s="103" t="s">
        <v>35</v>
      </c>
      <c r="G2813" s="93">
        <v>13469.28</v>
      </c>
      <c r="H2813" s="93">
        <v>79158.09</v>
      </c>
      <c r="I2813" s="93">
        <v>120771.5</v>
      </c>
      <c r="J2813" s="93">
        <v>114506.07</v>
      </c>
      <c r="K2813" s="93">
        <v>36396.51</v>
      </c>
      <c r="L2813" s="93">
        <v>68067.38</v>
      </c>
      <c r="M2813" s="93">
        <v>432368.83</v>
      </c>
      <c r="N2813" s="95">
        <v>0.04</v>
      </c>
      <c r="O2813" s="95">
        <v>0.22</v>
      </c>
      <c r="P2813" s="95">
        <v>0.33</v>
      </c>
      <c r="Q2813" s="95">
        <v>0.31</v>
      </c>
      <c r="R2813" s="104">
        <v>0.1</v>
      </c>
    </row>
    <row r="2814" spans="1:18" ht="15" hidden="1" customHeight="1" x14ac:dyDescent="0.3">
      <c r="A2814" s="101">
        <v>2024</v>
      </c>
      <c r="B2814" s="90">
        <v>8</v>
      </c>
      <c r="C2814" s="90" t="s">
        <v>729</v>
      </c>
      <c r="D2814" s="90" t="s">
        <v>719</v>
      </c>
      <c r="E2814" s="102" t="s">
        <v>11</v>
      </c>
      <c r="F2814" s="103" t="s">
        <v>36</v>
      </c>
      <c r="G2814" s="93">
        <v>3701.75</v>
      </c>
      <c r="H2814" s="93">
        <v>35444.559999999998</v>
      </c>
      <c r="I2814" s="93">
        <v>89472.62</v>
      </c>
      <c r="J2814" s="93">
        <v>74285.25</v>
      </c>
      <c r="K2814" s="93">
        <v>22162.43</v>
      </c>
      <c r="L2814" s="93">
        <v>94212.31</v>
      </c>
      <c r="M2814" s="93">
        <v>319278.92</v>
      </c>
      <c r="N2814" s="95">
        <v>0.02</v>
      </c>
      <c r="O2814" s="95">
        <v>0.16</v>
      </c>
      <c r="P2814" s="95">
        <v>0.4</v>
      </c>
      <c r="Q2814" s="95">
        <v>0.33</v>
      </c>
      <c r="R2814" s="104">
        <v>0.1</v>
      </c>
    </row>
    <row r="2815" spans="1:18" ht="15" hidden="1" customHeight="1" x14ac:dyDescent="0.3">
      <c r="A2815" s="101">
        <v>2024</v>
      </c>
      <c r="B2815" s="90">
        <v>8</v>
      </c>
      <c r="C2815" s="90" t="s">
        <v>729</v>
      </c>
      <c r="D2815" s="90" t="s">
        <v>719</v>
      </c>
      <c r="E2815" s="102" t="s">
        <v>11</v>
      </c>
      <c r="F2815" s="103" t="s">
        <v>37</v>
      </c>
      <c r="G2815" s="93">
        <v>4183.4399999999996</v>
      </c>
      <c r="H2815" s="93">
        <v>26444.34</v>
      </c>
      <c r="I2815" s="93">
        <v>97602.98</v>
      </c>
      <c r="J2815" s="93">
        <v>155340.22</v>
      </c>
      <c r="K2815" s="93">
        <v>73264.47</v>
      </c>
      <c r="L2815" s="93">
        <v>319314.71000000002</v>
      </c>
      <c r="M2815" s="93">
        <v>676150.16</v>
      </c>
      <c r="N2815" s="95">
        <v>0.01</v>
      </c>
      <c r="O2815" s="95">
        <v>7.0000000000000007E-2</v>
      </c>
      <c r="P2815" s="95">
        <v>0.27</v>
      </c>
      <c r="Q2815" s="95">
        <v>0.44</v>
      </c>
      <c r="R2815" s="104">
        <v>0.21</v>
      </c>
    </row>
    <row r="2816" spans="1:18" ht="15" hidden="1" customHeight="1" x14ac:dyDescent="0.3">
      <c r="A2816" s="101">
        <v>2024</v>
      </c>
      <c r="B2816" s="90">
        <v>8</v>
      </c>
      <c r="C2816" s="90" t="s">
        <v>729</v>
      </c>
      <c r="D2816" s="90" t="s">
        <v>719</v>
      </c>
      <c r="E2816" s="102" t="s">
        <v>11</v>
      </c>
      <c r="F2816" s="103" t="s">
        <v>38</v>
      </c>
      <c r="G2816" s="93">
        <v>45527.16</v>
      </c>
      <c r="H2816" s="93">
        <v>98077.17</v>
      </c>
      <c r="I2816" s="93">
        <v>199135.58</v>
      </c>
      <c r="J2816" s="93">
        <v>250514.62</v>
      </c>
      <c r="K2816" s="93">
        <v>95937.69</v>
      </c>
      <c r="L2816" s="93">
        <v>17227.37</v>
      </c>
      <c r="M2816" s="93">
        <v>706419.59</v>
      </c>
      <c r="N2816" s="95">
        <v>7.0000000000000007E-2</v>
      </c>
      <c r="O2816" s="95">
        <v>0.14000000000000001</v>
      </c>
      <c r="P2816" s="95">
        <v>0.28999999999999998</v>
      </c>
      <c r="Q2816" s="95">
        <v>0.36</v>
      </c>
      <c r="R2816" s="104">
        <v>0.14000000000000001</v>
      </c>
    </row>
    <row r="2817" spans="1:18" ht="15" hidden="1" customHeight="1" x14ac:dyDescent="0.3">
      <c r="A2817" s="101">
        <v>2024</v>
      </c>
      <c r="B2817" s="90">
        <v>8</v>
      </c>
      <c r="C2817" s="90" t="s">
        <v>729</v>
      </c>
      <c r="D2817" s="90" t="s">
        <v>719</v>
      </c>
      <c r="E2817" s="102" t="s">
        <v>11</v>
      </c>
      <c r="F2817" s="103" t="s">
        <v>39</v>
      </c>
      <c r="G2817" s="93">
        <v>3369.99</v>
      </c>
      <c r="H2817" s="93">
        <v>29224.62</v>
      </c>
      <c r="I2817" s="93">
        <v>89611.61</v>
      </c>
      <c r="J2817" s="93">
        <v>103713.68</v>
      </c>
      <c r="K2817" s="93">
        <v>58950.400000000001</v>
      </c>
      <c r="L2817" s="93">
        <v>42006.55</v>
      </c>
      <c r="M2817" s="93">
        <v>326876.86</v>
      </c>
      <c r="N2817" s="95">
        <v>0.01</v>
      </c>
      <c r="O2817" s="95">
        <v>0.1</v>
      </c>
      <c r="P2817" s="95">
        <v>0.31</v>
      </c>
      <c r="Q2817" s="95">
        <v>0.36</v>
      </c>
      <c r="R2817" s="104">
        <v>0.21</v>
      </c>
    </row>
    <row r="2818" spans="1:18" ht="15" hidden="1" customHeight="1" x14ac:dyDescent="0.3">
      <c r="A2818" s="101">
        <v>2024</v>
      </c>
      <c r="B2818" s="90">
        <v>8</v>
      </c>
      <c r="C2818" s="90" t="s">
        <v>729</v>
      </c>
      <c r="D2818" s="90" t="s">
        <v>719</v>
      </c>
      <c r="E2818" s="102" t="s">
        <v>11</v>
      </c>
      <c r="F2818" s="103" t="s">
        <v>40</v>
      </c>
      <c r="G2818" s="93">
        <v>3084.66</v>
      </c>
      <c r="H2818" s="93">
        <v>22036.42</v>
      </c>
      <c r="I2818" s="93">
        <v>89620.160000000003</v>
      </c>
      <c r="J2818" s="93">
        <v>132491.07</v>
      </c>
      <c r="K2818" s="93">
        <v>50121.75</v>
      </c>
      <c r="L2818" s="93">
        <v>43654.03</v>
      </c>
      <c r="M2818" s="93">
        <v>341008.08</v>
      </c>
      <c r="N2818" s="95">
        <v>0.01</v>
      </c>
      <c r="O2818" s="95">
        <v>7.0000000000000007E-2</v>
      </c>
      <c r="P2818" s="95">
        <v>0.3</v>
      </c>
      <c r="Q2818" s="95">
        <v>0.45</v>
      </c>
      <c r="R2818" s="104">
        <v>0.17</v>
      </c>
    </row>
    <row r="2819" spans="1:18" ht="15" hidden="1" customHeight="1" x14ac:dyDescent="0.3">
      <c r="A2819" s="101">
        <v>2024</v>
      </c>
      <c r="B2819" s="90">
        <v>8</v>
      </c>
      <c r="C2819" s="90" t="s">
        <v>729</v>
      </c>
      <c r="D2819" s="90" t="s">
        <v>719</v>
      </c>
      <c r="E2819" s="102" t="s">
        <v>11</v>
      </c>
      <c r="F2819" s="103" t="s">
        <v>41</v>
      </c>
      <c r="G2819" s="93">
        <v>2840.79</v>
      </c>
      <c r="H2819" s="93">
        <v>8286.25</v>
      </c>
      <c r="I2819" s="93">
        <v>5247.49</v>
      </c>
      <c r="J2819" s="93">
        <v>1940.69</v>
      </c>
      <c r="K2819" s="93">
        <v>132.66</v>
      </c>
      <c r="L2819" s="93">
        <v>857641.02</v>
      </c>
      <c r="M2819" s="93">
        <v>876088.9</v>
      </c>
      <c r="N2819" s="95">
        <v>0.15</v>
      </c>
      <c r="O2819" s="95">
        <v>0.45</v>
      </c>
      <c r="P2819" s="95">
        <v>0.28000000000000003</v>
      </c>
      <c r="Q2819" s="95">
        <v>0.11</v>
      </c>
      <c r="R2819" s="104">
        <v>0.01</v>
      </c>
    </row>
    <row r="2820" spans="1:18" ht="15" hidden="1" customHeight="1" x14ac:dyDescent="0.3">
      <c r="A2820" s="101">
        <v>2024</v>
      </c>
      <c r="B2820" s="90">
        <v>8</v>
      </c>
      <c r="C2820" s="90" t="s">
        <v>729</v>
      </c>
      <c r="D2820" s="90" t="s">
        <v>719</v>
      </c>
      <c r="E2820" s="102" t="s">
        <v>11</v>
      </c>
      <c r="F2820" s="103" t="s">
        <v>42</v>
      </c>
      <c r="G2820" s="93">
        <v>3689.07</v>
      </c>
      <c r="H2820" s="93">
        <v>34611.550000000003</v>
      </c>
      <c r="I2820" s="93">
        <v>121484.27</v>
      </c>
      <c r="J2820" s="93">
        <v>166727.07</v>
      </c>
      <c r="K2820" s="93">
        <v>74900.95</v>
      </c>
      <c r="L2820" s="93">
        <v>2088.02</v>
      </c>
      <c r="M2820" s="93">
        <v>403500.93</v>
      </c>
      <c r="N2820" s="95">
        <v>0.01</v>
      </c>
      <c r="O2820" s="95">
        <v>0.09</v>
      </c>
      <c r="P2820" s="95">
        <v>0.3</v>
      </c>
      <c r="Q2820" s="95">
        <v>0.42</v>
      </c>
      <c r="R2820" s="104">
        <v>0.19</v>
      </c>
    </row>
    <row r="2821" spans="1:18" ht="15" hidden="1" customHeight="1" x14ac:dyDescent="0.3">
      <c r="A2821" s="101">
        <v>2024</v>
      </c>
      <c r="B2821" s="90">
        <v>8</v>
      </c>
      <c r="C2821" s="90" t="s">
        <v>729</v>
      </c>
      <c r="D2821" s="90" t="s">
        <v>719</v>
      </c>
      <c r="E2821" s="102" t="s">
        <v>11</v>
      </c>
      <c r="F2821" s="103" t="s">
        <v>43</v>
      </c>
      <c r="G2821" s="93">
        <v>2635.88</v>
      </c>
      <c r="H2821" s="93">
        <v>27895.35</v>
      </c>
      <c r="I2821" s="93">
        <v>21962.06</v>
      </c>
      <c r="J2821" s="93">
        <v>8349.44</v>
      </c>
      <c r="K2821" s="93">
        <v>1837.32</v>
      </c>
      <c r="L2821" s="93">
        <v>61529.84</v>
      </c>
      <c r="M2821" s="93">
        <v>124209.88</v>
      </c>
      <c r="N2821" s="95">
        <v>0.04</v>
      </c>
      <c r="O2821" s="95">
        <v>0.45</v>
      </c>
      <c r="P2821" s="95">
        <v>0.35</v>
      </c>
      <c r="Q2821" s="95">
        <v>0.13</v>
      </c>
      <c r="R2821" s="104">
        <v>0.03</v>
      </c>
    </row>
    <row r="2822" spans="1:18" ht="15" hidden="1" customHeight="1" x14ac:dyDescent="0.3">
      <c r="A2822" s="101">
        <v>2024</v>
      </c>
      <c r="B2822" s="90">
        <v>8</v>
      </c>
      <c r="C2822" s="90" t="s">
        <v>729</v>
      </c>
      <c r="D2822" s="90" t="s">
        <v>719</v>
      </c>
      <c r="E2822" s="102" t="s">
        <v>11</v>
      </c>
      <c r="F2822" s="103" t="s">
        <v>58</v>
      </c>
      <c r="G2822" s="93">
        <v>3141.57</v>
      </c>
      <c r="H2822" s="93">
        <v>12161.77</v>
      </c>
      <c r="I2822" s="93">
        <v>52586.64</v>
      </c>
      <c r="J2822" s="93">
        <v>113052.28</v>
      </c>
      <c r="K2822" s="93">
        <v>156306.64000000001</v>
      </c>
      <c r="L2822" s="93">
        <v>11818.78</v>
      </c>
      <c r="M2822" s="93">
        <v>349067.69</v>
      </c>
      <c r="N2822" s="95">
        <v>0.01</v>
      </c>
      <c r="O2822" s="95">
        <v>0.04</v>
      </c>
      <c r="P2822" s="95">
        <v>0.16</v>
      </c>
      <c r="Q2822" s="95">
        <v>0.34</v>
      </c>
      <c r="R2822" s="104">
        <v>0.46</v>
      </c>
    </row>
    <row r="2823" spans="1:18" ht="15" hidden="1" customHeight="1" x14ac:dyDescent="0.3">
      <c r="A2823" s="101">
        <v>2024</v>
      </c>
      <c r="B2823" s="90">
        <v>8</v>
      </c>
      <c r="C2823" s="90" t="s">
        <v>729</v>
      </c>
      <c r="D2823" s="90" t="s">
        <v>719</v>
      </c>
      <c r="E2823" s="102" t="s">
        <v>11</v>
      </c>
      <c r="F2823" s="103" t="s">
        <v>44</v>
      </c>
      <c r="G2823" s="93">
        <v>3795.37</v>
      </c>
      <c r="H2823" s="93">
        <v>14840.79</v>
      </c>
      <c r="I2823" s="93">
        <v>51267.38</v>
      </c>
      <c r="J2823" s="93">
        <v>67147.899999999994</v>
      </c>
      <c r="K2823" s="93">
        <v>33427.129999999997</v>
      </c>
      <c r="L2823" s="93">
        <v>34318.44</v>
      </c>
      <c r="M2823" s="93">
        <v>204797.01</v>
      </c>
      <c r="N2823" s="95">
        <v>0.02</v>
      </c>
      <c r="O2823" s="95">
        <v>0.09</v>
      </c>
      <c r="P2823" s="95">
        <v>0.3</v>
      </c>
      <c r="Q2823" s="95">
        <v>0.39</v>
      </c>
      <c r="R2823" s="104">
        <v>0.2</v>
      </c>
    </row>
    <row r="2824" spans="1:18" ht="15" hidden="1" customHeight="1" x14ac:dyDescent="0.3">
      <c r="A2824" s="101">
        <v>2024</v>
      </c>
      <c r="B2824" s="90">
        <v>8</v>
      </c>
      <c r="C2824" s="90" t="s">
        <v>729</v>
      </c>
      <c r="D2824" s="90" t="s">
        <v>719</v>
      </c>
      <c r="E2824" s="102" t="s">
        <v>11</v>
      </c>
      <c r="F2824" s="103" t="s">
        <v>51</v>
      </c>
      <c r="G2824" s="93">
        <v>5494.55</v>
      </c>
      <c r="H2824" s="93">
        <v>29630.74</v>
      </c>
      <c r="I2824" s="93">
        <v>54867.81</v>
      </c>
      <c r="J2824" s="93">
        <v>53591.06</v>
      </c>
      <c r="K2824" s="93">
        <v>65008.3</v>
      </c>
      <c r="L2824" s="93">
        <v>5032.67</v>
      </c>
      <c r="M2824" s="93">
        <v>213625.13</v>
      </c>
      <c r="N2824" s="95">
        <v>0.03</v>
      </c>
      <c r="O2824" s="95">
        <v>0.14000000000000001</v>
      </c>
      <c r="P2824" s="95">
        <v>0.26</v>
      </c>
      <c r="Q2824" s="95">
        <v>0.26</v>
      </c>
      <c r="R2824" s="104">
        <v>0.31</v>
      </c>
    </row>
    <row r="2825" spans="1:18" ht="15" hidden="1" customHeight="1" x14ac:dyDescent="0.3">
      <c r="A2825" s="101">
        <v>2024</v>
      </c>
      <c r="B2825" s="90">
        <v>8</v>
      </c>
      <c r="C2825" s="90" t="s">
        <v>729</v>
      </c>
      <c r="D2825" s="90" t="s">
        <v>719</v>
      </c>
      <c r="E2825" s="102" t="s">
        <v>11</v>
      </c>
      <c r="F2825" s="103" t="s">
        <v>45</v>
      </c>
      <c r="G2825" s="93">
        <v>3310.63</v>
      </c>
      <c r="H2825" s="93">
        <v>16811.61</v>
      </c>
      <c r="I2825" s="93">
        <v>27288.42</v>
      </c>
      <c r="J2825" s="93">
        <v>24945.94</v>
      </c>
      <c r="K2825" s="93">
        <v>8787.49</v>
      </c>
      <c r="L2825" s="93">
        <v>26748.82</v>
      </c>
      <c r="M2825" s="93">
        <v>107892.91</v>
      </c>
      <c r="N2825" s="95">
        <v>0.04</v>
      </c>
      <c r="O2825" s="95">
        <v>0.21</v>
      </c>
      <c r="P2825" s="95">
        <v>0.34</v>
      </c>
      <c r="Q2825" s="95">
        <v>0.31</v>
      </c>
      <c r="R2825" s="104">
        <v>0.11</v>
      </c>
    </row>
    <row r="2826" spans="1:18" ht="15" hidden="1" customHeight="1" x14ac:dyDescent="0.3">
      <c r="A2826" s="101">
        <v>2024</v>
      </c>
      <c r="B2826" s="90">
        <v>8</v>
      </c>
      <c r="C2826" s="90" t="s">
        <v>729</v>
      </c>
      <c r="D2826" s="90" t="s">
        <v>719</v>
      </c>
      <c r="E2826" s="102" t="s">
        <v>11</v>
      </c>
      <c r="F2826" s="103" t="s">
        <v>721</v>
      </c>
      <c r="G2826" s="93">
        <v>1365.62</v>
      </c>
      <c r="H2826" s="93">
        <v>18128.14</v>
      </c>
      <c r="I2826" s="93">
        <v>55908.7</v>
      </c>
      <c r="J2826" s="93">
        <v>91331.36</v>
      </c>
      <c r="K2826" s="93">
        <v>132018.23999999999</v>
      </c>
      <c r="L2826" s="93">
        <v>602475.93999999994</v>
      </c>
      <c r="M2826" s="93">
        <v>901228</v>
      </c>
      <c r="N2826" s="95">
        <v>0</v>
      </c>
      <c r="O2826" s="95">
        <v>0.06</v>
      </c>
      <c r="P2826" s="95">
        <v>0.19</v>
      </c>
      <c r="Q2826" s="95">
        <v>0.31</v>
      </c>
      <c r="R2826" s="104">
        <v>0.44</v>
      </c>
    </row>
    <row r="2827" spans="1:18" ht="15" hidden="1" customHeight="1" x14ac:dyDescent="0.3">
      <c r="A2827" s="101">
        <v>2024</v>
      </c>
      <c r="B2827" s="90">
        <v>8</v>
      </c>
      <c r="C2827" s="90" t="s">
        <v>729</v>
      </c>
      <c r="D2827" s="90" t="s">
        <v>719</v>
      </c>
      <c r="E2827" s="102" t="s">
        <v>11</v>
      </c>
      <c r="F2827" s="103" t="s">
        <v>46</v>
      </c>
      <c r="G2827" s="93">
        <v>26054.639999999999</v>
      </c>
      <c r="H2827" s="93">
        <v>68579.429999999993</v>
      </c>
      <c r="I2827" s="93">
        <v>38035.870000000003</v>
      </c>
      <c r="J2827" s="93">
        <v>10944.52</v>
      </c>
      <c r="K2827" s="93">
        <v>3744.92</v>
      </c>
      <c r="L2827" s="93">
        <v>12243.72</v>
      </c>
      <c r="M2827" s="93">
        <v>159603.10999999999</v>
      </c>
      <c r="N2827" s="95">
        <v>0.18</v>
      </c>
      <c r="O2827" s="95">
        <v>0.47</v>
      </c>
      <c r="P2827" s="95">
        <v>0.26</v>
      </c>
      <c r="Q2827" s="95">
        <v>7.0000000000000007E-2</v>
      </c>
      <c r="R2827" s="104">
        <v>0.03</v>
      </c>
    </row>
    <row r="2828" spans="1:18" ht="15" hidden="1" customHeight="1" x14ac:dyDescent="0.3">
      <c r="A2828" s="101">
        <v>2024</v>
      </c>
      <c r="B2828" s="90">
        <v>8</v>
      </c>
      <c r="C2828" s="90" t="s">
        <v>729</v>
      </c>
      <c r="D2828" s="90" t="s">
        <v>719</v>
      </c>
      <c r="E2828" s="102" t="s">
        <v>11</v>
      </c>
      <c r="F2828" s="103" t="s">
        <v>47</v>
      </c>
      <c r="G2828" s="93">
        <v>52939.73</v>
      </c>
      <c r="H2828" s="93">
        <v>166122.07999999999</v>
      </c>
      <c r="I2828" s="93">
        <v>417526.81</v>
      </c>
      <c r="J2828" s="93">
        <v>390819.17</v>
      </c>
      <c r="K2828" s="93">
        <v>204018.84</v>
      </c>
      <c r="L2828" s="93">
        <v>55521.69</v>
      </c>
      <c r="M2828" s="93">
        <v>1286948.32</v>
      </c>
      <c r="N2828" s="95">
        <v>0.04</v>
      </c>
      <c r="O2828" s="95">
        <v>0.13</v>
      </c>
      <c r="P2828" s="95">
        <v>0.34</v>
      </c>
      <c r="Q2828" s="95">
        <v>0.32</v>
      </c>
      <c r="R2828" s="104">
        <v>0.17</v>
      </c>
    </row>
    <row r="2829" spans="1:18" ht="15" hidden="1" customHeight="1" x14ac:dyDescent="0.3">
      <c r="A2829" s="101">
        <v>2024</v>
      </c>
      <c r="B2829" s="90">
        <v>8</v>
      </c>
      <c r="C2829" s="90" t="s">
        <v>729</v>
      </c>
      <c r="D2829" s="90" t="s">
        <v>719</v>
      </c>
      <c r="E2829" s="102" t="s">
        <v>11</v>
      </c>
      <c r="F2829" s="103" t="s">
        <v>48</v>
      </c>
      <c r="G2829" s="93">
        <v>656.55</v>
      </c>
      <c r="H2829" s="93">
        <v>3264.58</v>
      </c>
      <c r="I2829" s="93">
        <v>13630.96</v>
      </c>
      <c r="J2829" s="93">
        <v>37511.57</v>
      </c>
      <c r="K2829" s="93">
        <v>46426.78</v>
      </c>
      <c r="L2829" s="93">
        <v>299844.67</v>
      </c>
      <c r="M2829" s="93">
        <v>401335.11</v>
      </c>
      <c r="N2829" s="95">
        <v>0.01</v>
      </c>
      <c r="O2829" s="95">
        <v>0.03</v>
      </c>
      <c r="P2829" s="95">
        <v>0.13</v>
      </c>
      <c r="Q2829" s="95">
        <v>0.37</v>
      </c>
      <c r="R2829" s="104">
        <v>0.46</v>
      </c>
    </row>
    <row r="2830" spans="1:18" ht="15" hidden="1" customHeight="1" x14ac:dyDescent="0.3">
      <c r="A2830" s="101">
        <v>2024</v>
      </c>
      <c r="B2830" s="90">
        <v>8</v>
      </c>
      <c r="C2830" s="90" t="s">
        <v>729</v>
      </c>
      <c r="D2830" s="90" t="s">
        <v>722</v>
      </c>
      <c r="E2830" s="102" t="s">
        <v>11</v>
      </c>
      <c r="F2830" s="103" t="s">
        <v>12</v>
      </c>
      <c r="G2830" s="93">
        <v>6796.83</v>
      </c>
      <c r="H2830" s="93">
        <v>5998.15</v>
      </c>
      <c r="I2830" s="93">
        <v>52676.58</v>
      </c>
      <c r="J2830" s="93">
        <v>173971.52</v>
      </c>
      <c r="K2830" s="93">
        <v>131021.06</v>
      </c>
      <c r="L2830" s="93">
        <v>72855.509999999995</v>
      </c>
      <c r="M2830" s="93">
        <v>443319.65</v>
      </c>
      <c r="N2830" s="95">
        <v>0.02</v>
      </c>
      <c r="O2830" s="95">
        <v>0.02</v>
      </c>
      <c r="P2830" s="95">
        <v>0.14000000000000001</v>
      </c>
      <c r="Q2830" s="95">
        <v>0.47</v>
      </c>
      <c r="R2830" s="104">
        <v>0.35</v>
      </c>
    </row>
    <row r="2831" spans="1:18" ht="15" hidden="1" customHeight="1" x14ac:dyDescent="0.3">
      <c r="A2831" s="101">
        <v>2024</v>
      </c>
      <c r="B2831" s="90">
        <v>8</v>
      </c>
      <c r="C2831" s="90" t="s">
        <v>729</v>
      </c>
      <c r="D2831" s="90" t="s">
        <v>722</v>
      </c>
      <c r="E2831" s="102" t="s">
        <v>11</v>
      </c>
      <c r="F2831" s="103" t="s">
        <v>26</v>
      </c>
      <c r="G2831" s="93">
        <v>750.51</v>
      </c>
      <c r="H2831" s="93">
        <v>101694.88</v>
      </c>
      <c r="I2831" s="93">
        <v>229599.88</v>
      </c>
      <c r="J2831" s="93">
        <v>486178.04</v>
      </c>
      <c r="K2831" s="93">
        <v>215499.92</v>
      </c>
      <c r="L2831" s="93">
        <v>17379.43</v>
      </c>
      <c r="M2831" s="93">
        <v>1051102.6599999999</v>
      </c>
      <c r="N2831" s="95">
        <v>0</v>
      </c>
      <c r="O2831" s="95">
        <v>0.1</v>
      </c>
      <c r="P2831" s="95">
        <v>0.22</v>
      </c>
      <c r="Q2831" s="95">
        <v>0.47</v>
      </c>
      <c r="R2831" s="104">
        <v>0.21</v>
      </c>
    </row>
    <row r="2832" spans="1:18" ht="15" hidden="1" customHeight="1" x14ac:dyDescent="0.3">
      <c r="A2832" s="101">
        <v>2024</v>
      </c>
      <c r="B2832" s="90">
        <v>8</v>
      </c>
      <c r="C2832" s="90" t="s">
        <v>729</v>
      </c>
      <c r="D2832" s="90" t="s">
        <v>722</v>
      </c>
      <c r="E2832" s="102" t="s">
        <v>11</v>
      </c>
      <c r="F2832" s="103" t="s">
        <v>27</v>
      </c>
      <c r="G2832" s="93">
        <v>10364.31</v>
      </c>
      <c r="H2832" s="93">
        <v>410.86</v>
      </c>
      <c r="I2832" s="93">
        <v>8123.63</v>
      </c>
      <c r="J2832" s="93">
        <v>59407.42</v>
      </c>
      <c r="K2832" s="93">
        <v>115968.54</v>
      </c>
      <c r="L2832" s="93">
        <v>184599.58</v>
      </c>
      <c r="M2832" s="93">
        <v>378874.33</v>
      </c>
      <c r="N2832" s="95">
        <v>0.05</v>
      </c>
      <c r="O2832" s="95">
        <v>0</v>
      </c>
      <c r="P2832" s="95">
        <v>0.04</v>
      </c>
      <c r="Q2832" s="95">
        <v>0.31</v>
      </c>
      <c r="R2832" s="104">
        <v>0.6</v>
      </c>
    </row>
    <row r="2833" spans="1:18" ht="15" hidden="1" customHeight="1" x14ac:dyDescent="0.3">
      <c r="A2833" s="101">
        <v>2024</v>
      </c>
      <c r="B2833" s="90">
        <v>8</v>
      </c>
      <c r="C2833" s="90" t="s">
        <v>729</v>
      </c>
      <c r="D2833" s="90" t="s">
        <v>722</v>
      </c>
      <c r="E2833" s="102" t="s">
        <v>11</v>
      </c>
      <c r="F2833" s="103" t="s">
        <v>28</v>
      </c>
      <c r="G2833" s="93">
        <v>42.3</v>
      </c>
      <c r="H2833" s="93">
        <v>3195.05</v>
      </c>
      <c r="I2833" s="93">
        <v>23346.42</v>
      </c>
      <c r="J2833" s="93">
        <v>144097.23000000001</v>
      </c>
      <c r="K2833" s="93">
        <v>183983.42</v>
      </c>
      <c r="L2833" s="93">
        <v>85881</v>
      </c>
      <c r="M2833" s="93">
        <v>440545.42</v>
      </c>
      <c r="N2833" s="95">
        <v>0</v>
      </c>
      <c r="O2833" s="95">
        <v>0.01</v>
      </c>
      <c r="P2833" s="95">
        <v>7.0000000000000007E-2</v>
      </c>
      <c r="Q2833" s="95">
        <v>0.41</v>
      </c>
      <c r="R2833" s="104">
        <v>0.52</v>
      </c>
    </row>
    <row r="2834" spans="1:18" ht="15" customHeight="1" x14ac:dyDescent="0.3">
      <c r="A2834" s="101">
        <v>2024</v>
      </c>
      <c r="B2834" s="90">
        <v>8</v>
      </c>
      <c r="C2834" s="90" t="s">
        <v>729</v>
      </c>
      <c r="D2834" s="90" t="s">
        <v>722</v>
      </c>
      <c r="E2834" s="102" t="s">
        <v>11</v>
      </c>
      <c r="F2834" s="103" t="s">
        <v>29</v>
      </c>
      <c r="G2834" s="93">
        <v>46255.99</v>
      </c>
      <c r="H2834" s="93">
        <v>9348.93</v>
      </c>
      <c r="I2834" s="93">
        <v>42067.51</v>
      </c>
      <c r="J2834" s="93">
        <v>100956.35</v>
      </c>
      <c r="K2834" s="93">
        <v>90039.78</v>
      </c>
      <c r="L2834" s="93">
        <v>15345.47</v>
      </c>
      <c r="M2834" s="93">
        <v>304014.03000000003</v>
      </c>
      <c r="N2834" s="95">
        <v>0.16</v>
      </c>
      <c r="O2834" s="95">
        <v>0.03</v>
      </c>
      <c r="P2834" s="95">
        <v>0.15</v>
      </c>
      <c r="Q2834" s="95">
        <v>0.35</v>
      </c>
      <c r="R2834" s="104">
        <v>0.31</v>
      </c>
    </row>
    <row r="2835" spans="1:18" ht="15" hidden="1" customHeight="1" x14ac:dyDescent="0.3">
      <c r="A2835" s="101">
        <v>2024</v>
      </c>
      <c r="B2835" s="90">
        <v>8</v>
      </c>
      <c r="C2835" s="90" t="s">
        <v>729</v>
      </c>
      <c r="D2835" s="90" t="s">
        <v>722</v>
      </c>
      <c r="E2835" s="102" t="s">
        <v>11</v>
      </c>
      <c r="F2835" s="103" t="s">
        <v>30</v>
      </c>
      <c r="G2835" s="93">
        <v>9787.0400000000009</v>
      </c>
      <c r="H2835" s="93">
        <v>828.03</v>
      </c>
      <c r="I2835" s="93">
        <v>2587</v>
      </c>
      <c r="J2835" s="93">
        <v>1904.93</v>
      </c>
      <c r="K2835" s="93">
        <v>846.15</v>
      </c>
      <c r="L2835" s="93">
        <v>422849.4</v>
      </c>
      <c r="M2835" s="93">
        <v>438802.55</v>
      </c>
      <c r="N2835" s="95">
        <v>0.61</v>
      </c>
      <c r="O2835" s="95">
        <v>0.05</v>
      </c>
      <c r="P2835" s="95">
        <v>0.16</v>
      </c>
      <c r="Q2835" s="95">
        <v>0.12</v>
      </c>
      <c r="R2835" s="104">
        <v>0.05</v>
      </c>
    </row>
    <row r="2836" spans="1:18" ht="15" hidden="1" customHeight="1" x14ac:dyDescent="0.3">
      <c r="A2836" s="101">
        <v>2024</v>
      </c>
      <c r="B2836" s="90">
        <v>8</v>
      </c>
      <c r="C2836" s="90" t="s">
        <v>729</v>
      </c>
      <c r="D2836" s="90" t="s">
        <v>722</v>
      </c>
      <c r="E2836" s="102" t="s">
        <v>11</v>
      </c>
      <c r="F2836" s="103" t="s">
        <v>31</v>
      </c>
      <c r="G2836" s="93">
        <v>9700.4</v>
      </c>
      <c r="H2836" s="93">
        <v>1227.07</v>
      </c>
      <c r="I2836" s="93">
        <v>68352.12</v>
      </c>
      <c r="J2836" s="93">
        <v>93035.35</v>
      </c>
      <c r="K2836" s="93">
        <v>30989.58</v>
      </c>
      <c r="L2836" s="93">
        <v>30448.02</v>
      </c>
      <c r="M2836" s="93">
        <v>233752.55</v>
      </c>
      <c r="N2836" s="95">
        <v>0.05</v>
      </c>
      <c r="O2836" s="95">
        <v>0.01</v>
      </c>
      <c r="P2836" s="95">
        <v>0.34</v>
      </c>
      <c r="Q2836" s="95">
        <v>0.46</v>
      </c>
      <c r="R2836" s="104">
        <v>0.15</v>
      </c>
    </row>
    <row r="2837" spans="1:18" ht="15" hidden="1" customHeight="1" x14ac:dyDescent="0.3">
      <c r="A2837" s="101">
        <v>2024</v>
      </c>
      <c r="B2837" s="90">
        <v>8</v>
      </c>
      <c r="C2837" s="90" t="s">
        <v>729</v>
      </c>
      <c r="D2837" s="90" t="s">
        <v>722</v>
      </c>
      <c r="E2837" s="102" t="s">
        <v>11</v>
      </c>
      <c r="F2837" s="103" t="s">
        <v>32</v>
      </c>
      <c r="G2837" s="93">
        <v>38851.26</v>
      </c>
      <c r="H2837" s="93">
        <v>6366.72</v>
      </c>
      <c r="I2837" s="93">
        <v>41225.97</v>
      </c>
      <c r="J2837" s="93">
        <v>157679.13</v>
      </c>
      <c r="K2837" s="93">
        <v>238175.18</v>
      </c>
      <c r="L2837" s="93">
        <v>208.78</v>
      </c>
      <c r="M2837" s="93">
        <v>482507.04</v>
      </c>
      <c r="N2837" s="95">
        <v>0.08</v>
      </c>
      <c r="O2837" s="95">
        <v>0.01</v>
      </c>
      <c r="P2837" s="95">
        <v>0.09</v>
      </c>
      <c r="Q2837" s="95">
        <v>0.33</v>
      </c>
      <c r="R2837" s="104">
        <v>0.49</v>
      </c>
    </row>
    <row r="2838" spans="1:18" ht="15" hidden="1" customHeight="1" x14ac:dyDescent="0.3">
      <c r="A2838" s="101">
        <v>2024</v>
      </c>
      <c r="B2838" s="90">
        <v>8</v>
      </c>
      <c r="C2838" s="90" t="s">
        <v>729</v>
      </c>
      <c r="D2838" s="90" t="s">
        <v>722</v>
      </c>
      <c r="E2838" s="102" t="s">
        <v>11</v>
      </c>
      <c r="F2838" s="103" t="s">
        <v>33</v>
      </c>
      <c r="G2838" s="93">
        <v>826</v>
      </c>
      <c r="H2838" s="93">
        <v>34487.660000000003</v>
      </c>
      <c r="I2838" s="93">
        <v>161611.79999999999</v>
      </c>
      <c r="J2838" s="93">
        <v>713203.6</v>
      </c>
      <c r="K2838" s="93">
        <v>398288.68</v>
      </c>
      <c r="L2838" s="93">
        <v>17605.5</v>
      </c>
      <c r="M2838" s="93">
        <v>1326023.25</v>
      </c>
      <c r="N2838" s="95">
        <v>0</v>
      </c>
      <c r="O2838" s="95">
        <v>0.03</v>
      </c>
      <c r="P2838" s="95">
        <v>0.12</v>
      </c>
      <c r="Q2838" s="95">
        <v>0.55000000000000004</v>
      </c>
      <c r="R2838" s="104">
        <v>0.3</v>
      </c>
    </row>
    <row r="2839" spans="1:18" ht="15" hidden="1" customHeight="1" x14ac:dyDescent="0.3">
      <c r="A2839" s="101">
        <v>2024</v>
      </c>
      <c r="B2839" s="90">
        <v>8</v>
      </c>
      <c r="C2839" s="90" t="s">
        <v>729</v>
      </c>
      <c r="D2839" s="90" t="s">
        <v>722</v>
      </c>
      <c r="E2839" s="102" t="s">
        <v>11</v>
      </c>
      <c r="F2839" s="103" t="s">
        <v>34</v>
      </c>
      <c r="G2839" s="93">
        <v>49701.17</v>
      </c>
      <c r="H2839" s="93">
        <v>17001.07</v>
      </c>
      <c r="I2839" s="93">
        <v>74831.66</v>
      </c>
      <c r="J2839" s="93">
        <v>313316.76</v>
      </c>
      <c r="K2839" s="93">
        <v>223093.06</v>
      </c>
      <c r="L2839" s="93">
        <v>4316.1000000000004</v>
      </c>
      <c r="M2839" s="93">
        <v>682259.82</v>
      </c>
      <c r="N2839" s="95">
        <v>7.0000000000000007E-2</v>
      </c>
      <c r="O2839" s="95">
        <v>0.03</v>
      </c>
      <c r="P2839" s="95">
        <v>0.11</v>
      </c>
      <c r="Q2839" s="95">
        <v>0.46</v>
      </c>
      <c r="R2839" s="104">
        <v>0.33</v>
      </c>
    </row>
    <row r="2840" spans="1:18" ht="15" hidden="1" customHeight="1" x14ac:dyDescent="0.3">
      <c r="A2840" s="101">
        <v>2024</v>
      </c>
      <c r="B2840" s="90">
        <v>8</v>
      </c>
      <c r="C2840" s="90" t="s">
        <v>729</v>
      </c>
      <c r="D2840" s="90" t="s">
        <v>722</v>
      </c>
      <c r="E2840" s="102" t="s">
        <v>11</v>
      </c>
      <c r="F2840" s="103" t="s">
        <v>35</v>
      </c>
      <c r="G2840" s="93">
        <v>5779.05</v>
      </c>
      <c r="H2840" s="93">
        <v>16282.07</v>
      </c>
      <c r="I2840" s="93">
        <v>90841.57</v>
      </c>
      <c r="J2840" s="93">
        <v>142522.32</v>
      </c>
      <c r="K2840" s="93">
        <v>93297.36</v>
      </c>
      <c r="L2840" s="93">
        <v>71593.3</v>
      </c>
      <c r="M2840" s="93">
        <v>420315.67</v>
      </c>
      <c r="N2840" s="95">
        <v>0.02</v>
      </c>
      <c r="O2840" s="95">
        <v>0.05</v>
      </c>
      <c r="P2840" s="95">
        <v>0.26</v>
      </c>
      <c r="Q2840" s="95">
        <v>0.41</v>
      </c>
      <c r="R2840" s="104">
        <v>0.27</v>
      </c>
    </row>
    <row r="2841" spans="1:18" ht="15" hidden="1" customHeight="1" x14ac:dyDescent="0.3">
      <c r="A2841" s="101">
        <v>2024</v>
      </c>
      <c r="B2841" s="90">
        <v>8</v>
      </c>
      <c r="C2841" s="90" t="s">
        <v>729</v>
      </c>
      <c r="D2841" s="90" t="s">
        <v>722</v>
      </c>
      <c r="E2841" s="102" t="s">
        <v>11</v>
      </c>
      <c r="F2841" s="103" t="s">
        <v>36</v>
      </c>
      <c r="G2841" s="93"/>
      <c r="H2841" s="93">
        <v>1700.55</v>
      </c>
      <c r="I2841" s="93">
        <v>22923.19</v>
      </c>
      <c r="J2841" s="93">
        <v>79146.45</v>
      </c>
      <c r="K2841" s="93">
        <v>96700.479999999996</v>
      </c>
      <c r="L2841" s="93">
        <v>69352.759999999995</v>
      </c>
      <c r="M2841" s="93">
        <v>269823.42</v>
      </c>
      <c r="N2841" s="95">
        <v>0</v>
      </c>
      <c r="O2841" s="95">
        <v>0.01</v>
      </c>
      <c r="P2841" s="95">
        <v>0.11</v>
      </c>
      <c r="Q2841" s="95">
        <v>0.39</v>
      </c>
      <c r="R2841" s="104">
        <v>0.48</v>
      </c>
    </row>
    <row r="2842" spans="1:18" ht="15" hidden="1" customHeight="1" x14ac:dyDescent="0.3">
      <c r="A2842" s="101">
        <v>2024</v>
      </c>
      <c r="B2842" s="90">
        <v>8</v>
      </c>
      <c r="C2842" s="90" t="s">
        <v>729</v>
      </c>
      <c r="D2842" s="90" t="s">
        <v>722</v>
      </c>
      <c r="E2842" s="102" t="s">
        <v>11</v>
      </c>
      <c r="F2842" s="103" t="s">
        <v>37</v>
      </c>
      <c r="G2842" s="93">
        <v>29491.49</v>
      </c>
      <c r="H2842" s="93">
        <v>5255.94</v>
      </c>
      <c r="I2842" s="93">
        <v>39906.449999999997</v>
      </c>
      <c r="J2842" s="93">
        <v>132361.47</v>
      </c>
      <c r="K2842" s="93">
        <v>136163.85</v>
      </c>
      <c r="L2842" s="93">
        <v>312504.12</v>
      </c>
      <c r="M2842" s="93">
        <v>655683.32999999996</v>
      </c>
      <c r="N2842" s="95">
        <v>0.09</v>
      </c>
      <c r="O2842" s="95">
        <v>0.02</v>
      </c>
      <c r="P2842" s="95">
        <v>0.12</v>
      </c>
      <c r="Q2842" s="95">
        <v>0.39</v>
      </c>
      <c r="R2842" s="104">
        <v>0.4</v>
      </c>
    </row>
    <row r="2843" spans="1:18" ht="15" hidden="1" customHeight="1" x14ac:dyDescent="0.3">
      <c r="A2843" s="101">
        <v>2024</v>
      </c>
      <c r="B2843" s="90">
        <v>8</v>
      </c>
      <c r="C2843" s="90" t="s">
        <v>729</v>
      </c>
      <c r="D2843" s="90" t="s">
        <v>722</v>
      </c>
      <c r="E2843" s="102" t="s">
        <v>11</v>
      </c>
      <c r="F2843" s="103" t="s">
        <v>720</v>
      </c>
      <c r="G2843" s="93">
        <v>59911.88</v>
      </c>
      <c r="H2843" s="93">
        <v>53572.82</v>
      </c>
      <c r="I2843" s="93">
        <v>125446.7</v>
      </c>
      <c r="J2843" s="93">
        <v>327327.38</v>
      </c>
      <c r="K2843" s="93">
        <v>183235.7</v>
      </c>
      <c r="L2843" s="93">
        <v>17146.63</v>
      </c>
      <c r="M2843" s="93">
        <v>766641.1</v>
      </c>
      <c r="N2843" s="95">
        <v>0.08</v>
      </c>
      <c r="O2843" s="95">
        <v>7.0000000000000007E-2</v>
      </c>
      <c r="P2843" s="95">
        <v>0.17</v>
      </c>
      <c r="Q2843" s="95">
        <v>0.44</v>
      </c>
      <c r="R2843" s="104">
        <v>0.24</v>
      </c>
    </row>
    <row r="2844" spans="1:18" ht="15" hidden="1" customHeight="1" x14ac:dyDescent="0.3">
      <c r="A2844" s="101">
        <v>2024</v>
      </c>
      <c r="B2844" s="90">
        <v>8</v>
      </c>
      <c r="C2844" s="90" t="s">
        <v>729</v>
      </c>
      <c r="D2844" s="90" t="s">
        <v>722</v>
      </c>
      <c r="E2844" s="102" t="s">
        <v>11</v>
      </c>
      <c r="F2844" s="103" t="s">
        <v>39</v>
      </c>
      <c r="G2844" s="93">
        <v>43413.59</v>
      </c>
      <c r="H2844" s="93">
        <v>7131.85</v>
      </c>
      <c r="I2844" s="93">
        <v>44967.13</v>
      </c>
      <c r="J2844" s="93">
        <v>128226.15</v>
      </c>
      <c r="K2844" s="93">
        <v>98070.81</v>
      </c>
      <c r="L2844" s="93">
        <v>41826.050000000003</v>
      </c>
      <c r="M2844" s="93">
        <v>363635.57</v>
      </c>
      <c r="N2844" s="95">
        <v>0.13</v>
      </c>
      <c r="O2844" s="95">
        <v>0.02</v>
      </c>
      <c r="P2844" s="95">
        <v>0.14000000000000001</v>
      </c>
      <c r="Q2844" s="95">
        <v>0.4</v>
      </c>
      <c r="R2844" s="104">
        <v>0.3</v>
      </c>
    </row>
    <row r="2845" spans="1:18" ht="15" hidden="1" customHeight="1" x14ac:dyDescent="0.3">
      <c r="A2845" s="101">
        <v>2024</v>
      </c>
      <c r="B2845" s="90">
        <v>8</v>
      </c>
      <c r="C2845" s="90" t="s">
        <v>729</v>
      </c>
      <c r="D2845" s="90" t="s">
        <v>722</v>
      </c>
      <c r="E2845" s="102" t="s">
        <v>11</v>
      </c>
      <c r="F2845" s="103" t="s">
        <v>40</v>
      </c>
      <c r="G2845" s="93">
        <v>2395.81</v>
      </c>
      <c r="H2845" s="93">
        <v>5026.4799999999996</v>
      </c>
      <c r="I2845" s="93">
        <v>53296.72</v>
      </c>
      <c r="J2845" s="93">
        <v>123670.56</v>
      </c>
      <c r="K2845" s="93">
        <v>120167.99</v>
      </c>
      <c r="L2845" s="93">
        <v>43332.51</v>
      </c>
      <c r="M2845" s="93">
        <v>347890.07</v>
      </c>
      <c r="N2845" s="95">
        <v>0.01</v>
      </c>
      <c r="O2845" s="95">
        <v>0.02</v>
      </c>
      <c r="P2845" s="95">
        <v>0.17</v>
      </c>
      <c r="Q2845" s="95">
        <v>0.41</v>
      </c>
      <c r="R2845" s="104">
        <v>0.39</v>
      </c>
    </row>
    <row r="2846" spans="1:18" ht="15" hidden="1" customHeight="1" x14ac:dyDescent="0.3">
      <c r="A2846" s="101">
        <v>2024</v>
      </c>
      <c r="B2846" s="90">
        <v>8</v>
      </c>
      <c r="C2846" s="90" t="s">
        <v>729</v>
      </c>
      <c r="D2846" s="90" t="s">
        <v>722</v>
      </c>
      <c r="E2846" s="102" t="s">
        <v>11</v>
      </c>
      <c r="F2846" s="103" t="s">
        <v>41</v>
      </c>
      <c r="G2846" s="93">
        <v>438.68</v>
      </c>
      <c r="H2846" s="93">
        <v>5541.27</v>
      </c>
      <c r="I2846" s="93">
        <v>7132.44</v>
      </c>
      <c r="J2846" s="93">
        <v>3873.79</v>
      </c>
      <c r="K2846" s="93">
        <v>1497.38</v>
      </c>
      <c r="L2846" s="93">
        <v>879645.99</v>
      </c>
      <c r="M2846" s="93">
        <v>898129.54</v>
      </c>
      <c r="N2846" s="95">
        <v>0.02</v>
      </c>
      <c r="O2846" s="95">
        <v>0.3</v>
      </c>
      <c r="P2846" s="95">
        <v>0.39</v>
      </c>
      <c r="Q2846" s="95">
        <v>0.21</v>
      </c>
      <c r="R2846" s="104">
        <v>0.08</v>
      </c>
    </row>
    <row r="2847" spans="1:18" ht="15" hidden="1" customHeight="1" x14ac:dyDescent="0.3">
      <c r="A2847" s="101">
        <v>2024</v>
      </c>
      <c r="B2847" s="90">
        <v>8</v>
      </c>
      <c r="C2847" s="90" t="s">
        <v>729</v>
      </c>
      <c r="D2847" s="90" t="s">
        <v>722</v>
      </c>
      <c r="E2847" s="102" t="s">
        <v>11</v>
      </c>
      <c r="F2847" s="103" t="s">
        <v>42</v>
      </c>
      <c r="G2847" s="93">
        <v>134859.49</v>
      </c>
      <c r="H2847" s="93">
        <v>11771.89</v>
      </c>
      <c r="I2847" s="93">
        <v>97506.63</v>
      </c>
      <c r="J2847" s="93">
        <v>191285.26</v>
      </c>
      <c r="K2847" s="93">
        <v>151320.5</v>
      </c>
      <c r="L2847" s="93">
        <v>2472.56</v>
      </c>
      <c r="M2847" s="93">
        <v>589216.31999999995</v>
      </c>
      <c r="N2847" s="95">
        <v>0.23</v>
      </c>
      <c r="O2847" s="95">
        <v>0.02</v>
      </c>
      <c r="P2847" s="95">
        <v>0.17</v>
      </c>
      <c r="Q2847" s="95">
        <v>0.33</v>
      </c>
      <c r="R2847" s="104">
        <v>0.26</v>
      </c>
    </row>
    <row r="2848" spans="1:18" ht="15" hidden="1" customHeight="1" x14ac:dyDescent="0.3">
      <c r="A2848" s="101">
        <v>2024</v>
      </c>
      <c r="B2848" s="90">
        <v>8</v>
      </c>
      <c r="C2848" s="90" t="s">
        <v>729</v>
      </c>
      <c r="D2848" s="90" t="s">
        <v>722</v>
      </c>
      <c r="E2848" s="102" t="s">
        <v>11</v>
      </c>
      <c r="F2848" s="103" t="s">
        <v>43</v>
      </c>
      <c r="G2848" s="93">
        <v>4230.79</v>
      </c>
      <c r="H2848" s="93">
        <v>2628.52</v>
      </c>
      <c r="I2848" s="93">
        <v>28546.51</v>
      </c>
      <c r="J2848" s="93">
        <v>22346.97</v>
      </c>
      <c r="K2848" s="93">
        <v>10092.799999999999</v>
      </c>
      <c r="L2848" s="93">
        <v>63159.21</v>
      </c>
      <c r="M2848" s="93">
        <v>131004.79</v>
      </c>
      <c r="N2848" s="95">
        <v>0.06</v>
      </c>
      <c r="O2848" s="95">
        <v>0.04</v>
      </c>
      <c r="P2848" s="95">
        <v>0.42</v>
      </c>
      <c r="Q2848" s="95">
        <v>0.33</v>
      </c>
      <c r="R2848" s="104">
        <v>0.15</v>
      </c>
    </row>
    <row r="2849" spans="1:18" ht="15" hidden="1" customHeight="1" x14ac:dyDescent="0.3">
      <c r="A2849" s="101">
        <v>2024</v>
      </c>
      <c r="B2849" s="90">
        <v>8</v>
      </c>
      <c r="C2849" s="90" t="s">
        <v>729</v>
      </c>
      <c r="D2849" s="90" t="s">
        <v>722</v>
      </c>
      <c r="E2849" s="102" t="s">
        <v>11</v>
      </c>
      <c r="F2849" s="103" t="s">
        <v>58</v>
      </c>
      <c r="G2849" s="93">
        <v>3630.48</v>
      </c>
      <c r="H2849" s="93">
        <v>4900.63</v>
      </c>
      <c r="I2849" s="93">
        <v>22752.68</v>
      </c>
      <c r="J2849" s="93">
        <v>117224.81</v>
      </c>
      <c r="K2849" s="93">
        <v>180314.63</v>
      </c>
      <c r="L2849" s="93">
        <v>6893.05</v>
      </c>
      <c r="M2849" s="93">
        <v>335716.28</v>
      </c>
      <c r="N2849" s="95">
        <v>0.01</v>
      </c>
      <c r="O2849" s="95">
        <v>0.01</v>
      </c>
      <c r="P2849" s="95">
        <v>7.0000000000000007E-2</v>
      </c>
      <c r="Q2849" s="95">
        <v>0.36</v>
      </c>
      <c r="R2849" s="104">
        <v>0.55000000000000004</v>
      </c>
    </row>
    <row r="2850" spans="1:18" ht="15" hidden="1" customHeight="1" x14ac:dyDescent="0.3">
      <c r="A2850" s="101">
        <v>2024</v>
      </c>
      <c r="B2850" s="90">
        <v>8</v>
      </c>
      <c r="C2850" s="90" t="s">
        <v>729</v>
      </c>
      <c r="D2850" s="90" t="s">
        <v>722</v>
      </c>
      <c r="E2850" s="102" t="s">
        <v>11</v>
      </c>
      <c r="F2850" s="103" t="s">
        <v>44</v>
      </c>
      <c r="G2850" s="93">
        <v>10017.02</v>
      </c>
      <c r="H2850" s="93">
        <v>2665.34</v>
      </c>
      <c r="I2850" s="93">
        <v>11606.21</v>
      </c>
      <c r="J2850" s="93">
        <v>58500.36</v>
      </c>
      <c r="K2850" s="93">
        <v>80056.100000000006</v>
      </c>
      <c r="L2850" s="93">
        <v>49088.98</v>
      </c>
      <c r="M2850" s="93">
        <v>211934.01</v>
      </c>
      <c r="N2850" s="95">
        <v>0.06</v>
      </c>
      <c r="O2850" s="95">
        <v>0.02</v>
      </c>
      <c r="P2850" s="95">
        <v>7.0000000000000007E-2</v>
      </c>
      <c r="Q2850" s="95">
        <v>0.36</v>
      </c>
      <c r="R2850" s="104">
        <v>0.49</v>
      </c>
    </row>
    <row r="2851" spans="1:18" ht="15" hidden="1" customHeight="1" x14ac:dyDescent="0.3">
      <c r="A2851" s="101">
        <v>2024</v>
      </c>
      <c r="B2851" s="90">
        <v>8</v>
      </c>
      <c r="C2851" s="90" t="s">
        <v>729</v>
      </c>
      <c r="D2851" s="90" t="s">
        <v>722</v>
      </c>
      <c r="E2851" s="102" t="s">
        <v>11</v>
      </c>
      <c r="F2851" s="103" t="s">
        <v>51</v>
      </c>
      <c r="G2851" s="93">
        <v>1221.79</v>
      </c>
      <c r="H2851" s="93">
        <v>3778.26</v>
      </c>
      <c r="I2851" s="93">
        <v>28218.62</v>
      </c>
      <c r="J2851" s="93">
        <v>70311.44</v>
      </c>
      <c r="K2851" s="93">
        <v>69899.31</v>
      </c>
      <c r="L2851" s="93">
        <v>5450.59</v>
      </c>
      <c r="M2851" s="93">
        <v>178880.01</v>
      </c>
      <c r="N2851" s="95">
        <v>0.01</v>
      </c>
      <c r="O2851" s="95">
        <v>0.02</v>
      </c>
      <c r="P2851" s="95">
        <v>0.16</v>
      </c>
      <c r="Q2851" s="95">
        <v>0.41</v>
      </c>
      <c r="R2851" s="104">
        <v>0.4</v>
      </c>
    </row>
    <row r="2852" spans="1:18" ht="15" hidden="1" customHeight="1" x14ac:dyDescent="0.3">
      <c r="A2852" s="101">
        <v>2024</v>
      </c>
      <c r="B2852" s="90">
        <v>8</v>
      </c>
      <c r="C2852" s="90" t="s">
        <v>729</v>
      </c>
      <c r="D2852" s="90" t="s">
        <v>722</v>
      </c>
      <c r="E2852" s="102" t="s">
        <v>11</v>
      </c>
      <c r="F2852" s="103" t="s">
        <v>45</v>
      </c>
      <c r="G2852" s="93">
        <v>559.28</v>
      </c>
      <c r="H2852" s="93">
        <v>2885.38</v>
      </c>
      <c r="I2852" s="93">
        <v>19687.650000000001</v>
      </c>
      <c r="J2852" s="93">
        <v>37090.660000000003</v>
      </c>
      <c r="K2852" s="93">
        <v>21981.71</v>
      </c>
      <c r="L2852" s="93">
        <v>26954.5</v>
      </c>
      <c r="M2852" s="93">
        <v>109159.17</v>
      </c>
      <c r="N2852" s="95">
        <v>0.01</v>
      </c>
      <c r="O2852" s="95">
        <v>0.04</v>
      </c>
      <c r="P2852" s="95">
        <v>0.24</v>
      </c>
      <c r="Q2852" s="95">
        <v>0.45</v>
      </c>
      <c r="R2852" s="104">
        <v>0.27</v>
      </c>
    </row>
    <row r="2853" spans="1:18" ht="15" hidden="1" customHeight="1" x14ac:dyDescent="0.3">
      <c r="A2853" s="101">
        <v>2024</v>
      </c>
      <c r="B2853" s="90">
        <v>8</v>
      </c>
      <c r="C2853" s="90" t="s">
        <v>729</v>
      </c>
      <c r="D2853" s="90" t="s">
        <v>722</v>
      </c>
      <c r="E2853" s="102" t="s">
        <v>11</v>
      </c>
      <c r="F2853" s="103" t="s">
        <v>721</v>
      </c>
      <c r="G2853" s="93">
        <v>131.02000000000001</v>
      </c>
      <c r="H2853" s="93">
        <v>2175.38</v>
      </c>
      <c r="I2853" s="93">
        <v>41410.199999999997</v>
      </c>
      <c r="J2853" s="93">
        <v>87905.69</v>
      </c>
      <c r="K2853" s="93">
        <v>147419.41</v>
      </c>
      <c r="L2853" s="93">
        <v>597841.98</v>
      </c>
      <c r="M2853" s="93">
        <v>876883.68</v>
      </c>
      <c r="N2853" s="95">
        <v>0</v>
      </c>
      <c r="O2853" s="95">
        <v>0.01</v>
      </c>
      <c r="P2853" s="95">
        <v>0.15</v>
      </c>
      <c r="Q2853" s="95">
        <v>0.32</v>
      </c>
      <c r="R2853" s="104">
        <v>0.53</v>
      </c>
    </row>
    <row r="2854" spans="1:18" ht="15" hidden="1" customHeight="1" x14ac:dyDescent="0.3">
      <c r="A2854" s="101">
        <v>2024</v>
      </c>
      <c r="B2854" s="90">
        <v>8</v>
      </c>
      <c r="C2854" s="90" t="s">
        <v>729</v>
      </c>
      <c r="D2854" s="90" t="s">
        <v>722</v>
      </c>
      <c r="E2854" s="102" t="s">
        <v>11</v>
      </c>
      <c r="F2854" s="103" t="s">
        <v>46</v>
      </c>
      <c r="G2854" s="93">
        <v>640.36</v>
      </c>
      <c r="H2854" s="93">
        <v>3881.31</v>
      </c>
      <c r="I2854" s="93">
        <v>31833.58</v>
      </c>
      <c r="J2854" s="93">
        <v>57292.5</v>
      </c>
      <c r="K2854" s="93">
        <v>40610.19</v>
      </c>
      <c r="L2854" s="93">
        <v>10870.65</v>
      </c>
      <c r="M2854" s="93">
        <v>145128.6</v>
      </c>
      <c r="N2854" s="95">
        <v>0</v>
      </c>
      <c r="O2854" s="95">
        <v>0.03</v>
      </c>
      <c r="P2854" s="95">
        <v>0.24</v>
      </c>
      <c r="Q2854" s="95">
        <v>0.43</v>
      </c>
      <c r="R2854" s="104">
        <v>0.3</v>
      </c>
    </row>
    <row r="2855" spans="1:18" ht="15" hidden="1" customHeight="1" x14ac:dyDescent="0.3">
      <c r="A2855" s="101">
        <v>2024</v>
      </c>
      <c r="B2855" s="90">
        <v>8</v>
      </c>
      <c r="C2855" s="90" t="s">
        <v>729</v>
      </c>
      <c r="D2855" s="90" t="s">
        <v>722</v>
      </c>
      <c r="E2855" s="102" t="s">
        <v>11</v>
      </c>
      <c r="F2855" s="103" t="s">
        <v>47</v>
      </c>
      <c r="G2855" s="93">
        <v>229349.07</v>
      </c>
      <c r="H2855" s="93">
        <v>21564</v>
      </c>
      <c r="I2855" s="93">
        <v>78865.89</v>
      </c>
      <c r="J2855" s="93">
        <v>279801.25</v>
      </c>
      <c r="K2855" s="93">
        <v>406451.69</v>
      </c>
      <c r="L2855" s="93">
        <v>49804.08</v>
      </c>
      <c r="M2855" s="93">
        <v>1065835.96</v>
      </c>
      <c r="N2855" s="95">
        <v>0.23</v>
      </c>
      <c r="O2855" s="95">
        <v>0.02</v>
      </c>
      <c r="P2855" s="95">
        <v>0.08</v>
      </c>
      <c r="Q2855" s="95">
        <v>0.28000000000000003</v>
      </c>
      <c r="R2855" s="104">
        <v>0.4</v>
      </c>
    </row>
    <row r="2856" spans="1:18" ht="15" hidden="1" customHeight="1" x14ac:dyDescent="0.3">
      <c r="A2856" s="101">
        <v>2024</v>
      </c>
      <c r="B2856" s="90">
        <v>8</v>
      </c>
      <c r="C2856" s="90" t="s">
        <v>729</v>
      </c>
      <c r="D2856" s="90" t="s">
        <v>722</v>
      </c>
      <c r="E2856" s="102" t="s">
        <v>11</v>
      </c>
      <c r="F2856" s="103" t="s">
        <v>48</v>
      </c>
      <c r="G2856" s="93"/>
      <c r="H2856" s="93">
        <v>750.86</v>
      </c>
      <c r="I2856" s="93">
        <v>5197.92</v>
      </c>
      <c r="J2856" s="93">
        <v>22891.23</v>
      </c>
      <c r="K2856" s="93">
        <v>58630.62</v>
      </c>
      <c r="L2856" s="93">
        <v>314160.65999999997</v>
      </c>
      <c r="M2856" s="93">
        <v>401631.29</v>
      </c>
      <c r="N2856" s="95">
        <v>0</v>
      </c>
      <c r="O2856" s="95">
        <v>0.01</v>
      </c>
      <c r="P2856" s="95">
        <v>0.06</v>
      </c>
      <c r="Q2856" s="95">
        <v>0.26</v>
      </c>
      <c r="R2856" s="104">
        <v>0.67</v>
      </c>
    </row>
    <row r="2857" spans="1:18" ht="15" hidden="1" customHeight="1" x14ac:dyDescent="0.3">
      <c r="A2857" s="101">
        <v>2024</v>
      </c>
      <c r="B2857" s="90">
        <v>9</v>
      </c>
      <c r="C2857" s="90" t="s">
        <v>730</v>
      </c>
      <c r="D2857" s="90" t="s">
        <v>719</v>
      </c>
      <c r="E2857" s="102" t="s">
        <v>11</v>
      </c>
      <c r="F2857" s="103" t="s">
        <v>12</v>
      </c>
      <c r="G2857" s="93">
        <v>5769.31</v>
      </c>
      <c r="H2857" s="93">
        <v>52607.77</v>
      </c>
      <c r="I2857" s="93">
        <v>129090.87</v>
      </c>
      <c r="J2857" s="93">
        <v>136111.89000000001</v>
      </c>
      <c r="K2857" s="93">
        <v>28752.720000000001</v>
      </c>
      <c r="L2857" s="93">
        <v>5227.03</v>
      </c>
      <c r="M2857" s="93">
        <v>357559.58</v>
      </c>
      <c r="N2857" s="95">
        <v>0.02</v>
      </c>
      <c r="O2857" s="95">
        <v>0.15</v>
      </c>
      <c r="P2857" s="95">
        <v>0.37</v>
      </c>
      <c r="Q2857" s="95">
        <v>0.39</v>
      </c>
      <c r="R2857" s="104">
        <v>0.08</v>
      </c>
    </row>
    <row r="2858" spans="1:18" ht="15" hidden="1" customHeight="1" x14ac:dyDescent="0.3">
      <c r="A2858" s="101">
        <v>2024</v>
      </c>
      <c r="B2858" s="90">
        <v>9</v>
      </c>
      <c r="C2858" s="90" t="s">
        <v>730</v>
      </c>
      <c r="D2858" s="90" t="s">
        <v>719</v>
      </c>
      <c r="E2858" s="102" t="s">
        <v>11</v>
      </c>
      <c r="F2858" s="103" t="s">
        <v>26</v>
      </c>
      <c r="G2858" s="93">
        <v>90051.06</v>
      </c>
      <c r="H2858" s="93">
        <v>213532.95</v>
      </c>
      <c r="I2858" s="93">
        <v>423622.26</v>
      </c>
      <c r="J2858" s="93">
        <v>302636.21000000002</v>
      </c>
      <c r="K2858" s="93">
        <v>14437.32</v>
      </c>
      <c r="L2858" s="93">
        <v>38634.01</v>
      </c>
      <c r="M2858" s="93">
        <v>1082913.81</v>
      </c>
      <c r="N2858" s="95">
        <v>0.09</v>
      </c>
      <c r="O2858" s="95">
        <v>0.2</v>
      </c>
      <c r="P2858" s="95">
        <v>0.41</v>
      </c>
      <c r="Q2858" s="95">
        <v>0.28999999999999998</v>
      </c>
      <c r="R2858" s="104">
        <v>0.01</v>
      </c>
    </row>
    <row r="2859" spans="1:18" ht="15" hidden="1" customHeight="1" x14ac:dyDescent="0.3">
      <c r="A2859" s="101">
        <v>2024</v>
      </c>
      <c r="B2859" s="90">
        <v>9</v>
      </c>
      <c r="C2859" s="90" t="s">
        <v>730</v>
      </c>
      <c r="D2859" s="90" t="s">
        <v>719</v>
      </c>
      <c r="E2859" s="102" t="s">
        <v>11</v>
      </c>
      <c r="F2859" s="103" t="s">
        <v>27</v>
      </c>
      <c r="G2859" s="93">
        <v>2164.5</v>
      </c>
      <c r="H2859" s="93">
        <v>31735.5</v>
      </c>
      <c r="I2859" s="93">
        <v>95075.61</v>
      </c>
      <c r="J2859" s="93">
        <v>69052.36</v>
      </c>
      <c r="K2859" s="93">
        <v>17642.23</v>
      </c>
      <c r="L2859" s="93">
        <v>185016.89</v>
      </c>
      <c r="M2859" s="93">
        <v>400687.1</v>
      </c>
      <c r="N2859" s="95">
        <v>0.01</v>
      </c>
      <c r="O2859" s="95">
        <v>0.15</v>
      </c>
      <c r="P2859" s="95">
        <v>0.44</v>
      </c>
      <c r="Q2859" s="95">
        <v>0.32</v>
      </c>
      <c r="R2859" s="104">
        <v>0.08</v>
      </c>
    </row>
    <row r="2860" spans="1:18" ht="15" hidden="1" customHeight="1" x14ac:dyDescent="0.3">
      <c r="A2860" s="101">
        <v>2024</v>
      </c>
      <c r="B2860" s="90">
        <v>9</v>
      </c>
      <c r="C2860" s="90" t="s">
        <v>730</v>
      </c>
      <c r="D2860" s="90" t="s">
        <v>719</v>
      </c>
      <c r="E2860" s="102" t="s">
        <v>11</v>
      </c>
      <c r="F2860" s="103" t="s">
        <v>28</v>
      </c>
      <c r="G2860" s="93">
        <v>2331.5500000000002</v>
      </c>
      <c r="H2860" s="93">
        <v>31672.05</v>
      </c>
      <c r="I2860" s="93">
        <v>85505.32</v>
      </c>
      <c r="J2860" s="93">
        <v>177717.22</v>
      </c>
      <c r="K2860" s="93">
        <v>72555.64</v>
      </c>
      <c r="L2860" s="93">
        <v>86134.17</v>
      </c>
      <c r="M2860" s="93">
        <v>455915.95</v>
      </c>
      <c r="N2860" s="95">
        <v>0.01</v>
      </c>
      <c r="O2860" s="95">
        <v>0.09</v>
      </c>
      <c r="P2860" s="95">
        <v>0.23</v>
      </c>
      <c r="Q2860" s="95">
        <v>0.48</v>
      </c>
      <c r="R2860" s="104">
        <v>0.2</v>
      </c>
    </row>
    <row r="2861" spans="1:18" ht="15" customHeight="1" x14ac:dyDescent="0.3">
      <c r="A2861" s="101">
        <v>2024</v>
      </c>
      <c r="B2861" s="90">
        <v>9</v>
      </c>
      <c r="C2861" s="90" t="s">
        <v>730</v>
      </c>
      <c r="D2861" s="90" t="s">
        <v>719</v>
      </c>
      <c r="E2861" s="102" t="s">
        <v>11</v>
      </c>
      <c r="F2861" s="103" t="s">
        <v>29</v>
      </c>
      <c r="G2861" s="93">
        <v>22447.97</v>
      </c>
      <c r="H2861" s="93">
        <v>84574.11</v>
      </c>
      <c r="I2861" s="93">
        <v>105253.75</v>
      </c>
      <c r="J2861" s="93">
        <v>38639.47</v>
      </c>
      <c r="K2861" s="93">
        <v>7162.36</v>
      </c>
      <c r="L2861" s="93">
        <v>15035.11</v>
      </c>
      <c r="M2861" s="93">
        <v>273112.77</v>
      </c>
      <c r="N2861" s="95">
        <v>0.09</v>
      </c>
      <c r="O2861" s="95">
        <v>0.33</v>
      </c>
      <c r="P2861" s="95">
        <v>0.41</v>
      </c>
      <c r="Q2861" s="95">
        <v>0.15</v>
      </c>
      <c r="R2861" s="104">
        <v>0.03</v>
      </c>
    </row>
    <row r="2862" spans="1:18" ht="15" hidden="1" customHeight="1" x14ac:dyDescent="0.3">
      <c r="A2862" s="101">
        <v>2024</v>
      </c>
      <c r="B2862" s="90">
        <v>9</v>
      </c>
      <c r="C2862" s="90" t="s">
        <v>730</v>
      </c>
      <c r="D2862" s="90" t="s">
        <v>719</v>
      </c>
      <c r="E2862" s="102" t="s">
        <v>11</v>
      </c>
      <c r="F2862" s="103" t="s">
        <v>30</v>
      </c>
      <c r="G2862" s="93">
        <v>890.63</v>
      </c>
      <c r="H2862" s="93">
        <v>6560.01</v>
      </c>
      <c r="I2862" s="93">
        <v>3666.58</v>
      </c>
      <c r="J2862" s="93">
        <v>1115.3599999999999</v>
      </c>
      <c r="K2862" s="93">
        <v>226.48</v>
      </c>
      <c r="L2862" s="93">
        <v>398570.69</v>
      </c>
      <c r="M2862" s="93">
        <v>411029.75</v>
      </c>
      <c r="N2862" s="95">
        <v>7.0000000000000007E-2</v>
      </c>
      <c r="O2862" s="95">
        <v>0.53</v>
      </c>
      <c r="P2862" s="95">
        <v>0.28999999999999998</v>
      </c>
      <c r="Q2862" s="95">
        <v>0.09</v>
      </c>
      <c r="R2862" s="104">
        <v>0.02</v>
      </c>
    </row>
    <row r="2863" spans="1:18" ht="15" hidden="1" customHeight="1" x14ac:dyDescent="0.3">
      <c r="A2863" s="101">
        <v>2024</v>
      </c>
      <c r="B2863" s="90">
        <v>9</v>
      </c>
      <c r="C2863" s="90" t="s">
        <v>730</v>
      </c>
      <c r="D2863" s="90" t="s">
        <v>719</v>
      </c>
      <c r="E2863" s="102" t="s">
        <v>11</v>
      </c>
      <c r="F2863" s="103" t="s">
        <v>31</v>
      </c>
      <c r="G2863" s="93">
        <v>1783.6</v>
      </c>
      <c r="H2863" s="93">
        <v>54847.39</v>
      </c>
      <c r="I2863" s="93">
        <v>80233.06</v>
      </c>
      <c r="J2863" s="93">
        <v>26519.66</v>
      </c>
      <c r="K2863" s="93">
        <v>4633.09</v>
      </c>
      <c r="L2863" s="93">
        <v>30246.35</v>
      </c>
      <c r="M2863" s="93">
        <v>198263.15</v>
      </c>
      <c r="N2863" s="95">
        <v>0.01</v>
      </c>
      <c r="O2863" s="95">
        <v>0.33</v>
      </c>
      <c r="P2863" s="95">
        <v>0.48</v>
      </c>
      <c r="Q2863" s="95">
        <v>0.16</v>
      </c>
      <c r="R2863" s="104">
        <v>0.03</v>
      </c>
    </row>
    <row r="2864" spans="1:18" ht="15" hidden="1" customHeight="1" x14ac:dyDescent="0.3">
      <c r="A2864" s="101">
        <v>2024</v>
      </c>
      <c r="B2864" s="90">
        <v>9</v>
      </c>
      <c r="C2864" s="90" t="s">
        <v>730</v>
      </c>
      <c r="D2864" s="90" t="s">
        <v>719</v>
      </c>
      <c r="E2864" s="102" t="s">
        <v>11</v>
      </c>
      <c r="F2864" s="103" t="s">
        <v>32</v>
      </c>
      <c r="G2864" s="93">
        <v>14970.52</v>
      </c>
      <c r="H2864" s="93">
        <v>115223.45</v>
      </c>
      <c r="I2864" s="93">
        <v>287210.37</v>
      </c>
      <c r="J2864" s="93">
        <v>129481.12</v>
      </c>
      <c r="K2864" s="93">
        <v>16916.66</v>
      </c>
      <c r="L2864" s="93">
        <v>3657.53</v>
      </c>
      <c r="M2864" s="93">
        <v>567459.65</v>
      </c>
      <c r="N2864" s="95">
        <v>0.03</v>
      </c>
      <c r="O2864" s="95">
        <v>0.2</v>
      </c>
      <c r="P2864" s="95">
        <v>0.51</v>
      </c>
      <c r="Q2864" s="95">
        <v>0.23</v>
      </c>
      <c r="R2864" s="104">
        <v>0.03</v>
      </c>
    </row>
    <row r="2865" spans="1:18" ht="15" hidden="1" customHeight="1" x14ac:dyDescent="0.3">
      <c r="A2865" s="101">
        <v>2024</v>
      </c>
      <c r="B2865" s="90">
        <v>9</v>
      </c>
      <c r="C2865" s="90" t="s">
        <v>730</v>
      </c>
      <c r="D2865" s="90" t="s">
        <v>719</v>
      </c>
      <c r="E2865" s="102" t="s">
        <v>11</v>
      </c>
      <c r="F2865" s="103" t="s">
        <v>33</v>
      </c>
      <c r="G2865" s="93">
        <v>28929.75</v>
      </c>
      <c r="H2865" s="93">
        <v>164825.31</v>
      </c>
      <c r="I2865" s="93">
        <v>606925.47</v>
      </c>
      <c r="J2865" s="93">
        <v>481419.95</v>
      </c>
      <c r="K2865" s="93">
        <v>35380.42</v>
      </c>
      <c r="L2865" s="93">
        <v>8051.3</v>
      </c>
      <c r="M2865" s="93">
        <v>1325532.19</v>
      </c>
      <c r="N2865" s="95">
        <v>0.02</v>
      </c>
      <c r="O2865" s="95">
        <v>0.13</v>
      </c>
      <c r="P2865" s="95">
        <v>0.46</v>
      </c>
      <c r="Q2865" s="95">
        <v>0.37</v>
      </c>
      <c r="R2865" s="104">
        <v>0.03</v>
      </c>
    </row>
    <row r="2866" spans="1:18" ht="15" hidden="1" customHeight="1" x14ac:dyDescent="0.3">
      <c r="A2866" s="101">
        <v>2024</v>
      </c>
      <c r="B2866" s="90">
        <v>9</v>
      </c>
      <c r="C2866" s="90" t="s">
        <v>730</v>
      </c>
      <c r="D2866" s="90" t="s">
        <v>719</v>
      </c>
      <c r="E2866" s="102" t="s">
        <v>11</v>
      </c>
      <c r="F2866" s="103" t="s">
        <v>34</v>
      </c>
      <c r="G2866" s="93">
        <v>20156.48</v>
      </c>
      <c r="H2866" s="93">
        <v>98314.61</v>
      </c>
      <c r="I2866" s="93">
        <v>285086.55</v>
      </c>
      <c r="J2866" s="93">
        <v>215881.06</v>
      </c>
      <c r="K2866" s="93">
        <v>20945.68</v>
      </c>
      <c r="L2866" s="93">
        <v>3813.81</v>
      </c>
      <c r="M2866" s="93">
        <v>644198.19999999995</v>
      </c>
      <c r="N2866" s="95">
        <v>0.03</v>
      </c>
      <c r="O2866" s="95">
        <v>0.15</v>
      </c>
      <c r="P2866" s="95">
        <v>0.45</v>
      </c>
      <c r="Q2866" s="95">
        <v>0.34</v>
      </c>
      <c r="R2866" s="104">
        <v>0.03</v>
      </c>
    </row>
    <row r="2867" spans="1:18" ht="15" hidden="1" customHeight="1" x14ac:dyDescent="0.3">
      <c r="A2867" s="101">
        <v>2024</v>
      </c>
      <c r="B2867" s="90">
        <v>9</v>
      </c>
      <c r="C2867" s="90" t="s">
        <v>730</v>
      </c>
      <c r="D2867" s="90" t="s">
        <v>719</v>
      </c>
      <c r="E2867" s="102" t="s">
        <v>11</v>
      </c>
      <c r="F2867" s="103" t="s">
        <v>35</v>
      </c>
      <c r="G2867" s="93">
        <v>12858.36</v>
      </c>
      <c r="H2867" s="93">
        <v>79127.63</v>
      </c>
      <c r="I2867" s="93">
        <v>124833.78</v>
      </c>
      <c r="J2867" s="93">
        <v>112665.81</v>
      </c>
      <c r="K2867" s="93">
        <v>26735.33</v>
      </c>
      <c r="L2867" s="93">
        <v>70732.759999999995</v>
      </c>
      <c r="M2867" s="93">
        <v>426953.66</v>
      </c>
      <c r="N2867" s="95">
        <v>0.04</v>
      </c>
      <c r="O2867" s="95">
        <v>0.22</v>
      </c>
      <c r="P2867" s="95">
        <v>0.35</v>
      </c>
      <c r="Q2867" s="95">
        <v>0.32</v>
      </c>
      <c r="R2867" s="104">
        <v>0.08</v>
      </c>
    </row>
    <row r="2868" spans="1:18" ht="15" hidden="1" customHeight="1" x14ac:dyDescent="0.3">
      <c r="A2868" s="101">
        <v>2024</v>
      </c>
      <c r="B2868" s="90">
        <v>9</v>
      </c>
      <c r="C2868" s="90" t="s">
        <v>730</v>
      </c>
      <c r="D2868" s="90" t="s">
        <v>719</v>
      </c>
      <c r="E2868" s="102" t="s">
        <v>11</v>
      </c>
      <c r="F2868" s="103" t="s">
        <v>36</v>
      </c>
      <c r="G2868" s="93">
        <v>3712.35</v>
      </c>
      <c r="H2868" s="93">
        <v>47732.14</v>
      </c>
      <c r="I2868" s="93">
        <v>109491.23</v>
      </c>
      <c r="J2868" s="93">
        <v>59079.09</v>
      </c>
      <c r="K2868" s="93">
        <v>6025.39</v>
      </c>
      <c r="L2868" s="93">
        <v>72416.33</v>
      </c>
      <c r="M2868" s="93">
        <v>298456.53000000003</v>
      </c>
      <c r="N2868" s="95">
        <v>0.02</v>
      </c>
      <c r="O2868" s="95">
        <v>0.21</v>
      </c>
      <c r="P2868" s="95">
        <v>0.48</v>
      </c>
      <c r="Q2868" s="95">
        <v>0.26</v>
      </c>
      <c r="R2868" s="104">
        <v>0.03</v>
      </c>
    </row>
    <row r="2869" spans="1:18" ht="15" hidden="1" customHeight="1" x14ac:dyDescent="0.3">
      <c r="A2869" s="101">
        <v>2024</v>
      </c>
      <c r="B2869" s="90">
        <v>9</v>
      </c>
      <c r="C2869" s="90" t="s">
        <v>730</v>
      </c>
      <c r="D2869" s="90" t="s">
        <v>719</v>
      </c>
      <c r="E2869" s="102" t="s">
        <v>11</v>
      </c>
      <c r="F2869" s="103" t="s">
        <v>37</v>
      </c>
      <c r="G2869" s="93">
        <v>14714.82</v>
      </c>
      <c r="H2869" s="93">
        <v>118272.67</v>
      </c>
      <c r="I2869" s="93">
        <v>162976.57</v>
      </c>
      <c r="J2869" s="93">
        <v>55698.79</v>
      </c>
      <c r="K2869" s="93">
        <v>6140.83</v>
      </c>
      <c r="L2869" s="93">
        <v>310743.18</v>
      </c>
      <c r="M2869" s="93">
        <v>668546.86</v>
      </c>
      <c r="N2869" s="95">
        <v>0.04</v>
      </c>
      <c r="O2869" s="95">
        <v>0.33</v>
      </c>
      <c r="P2869" s="95">
        <v>0.46</v>
      </c>
      <c r="Q2869" s="95">
        <v>0.16</v>
      </c>
      <c r="R2869" s="104">
        <v>0.02</v>
      </c>
    </row>
    <row r="2870" spans="1:18" ht="15" hidden="1" customHeight="1" x14ac:dyDescent="0.3">
      <c r="A2870" s="101">
        <v>2024</v>
      </c>
      <c r="B2870" s="90">
        <v>9</v>
      </c>
      <c r="C2870" s="90" t="s">
        <v>730</v>
      </c>
      <c r="D2870" s="90" t="s">
        <v>719</v>
      </c>
      <c r="E2870" s="102" t="s">
        <v>11</v>
      </c>
      <c r="F2870" s="103" t="s">
        <v>38</v>
      </c>
      <c r="G2870" s="93">
        <v>48267.29</v>
      </c>
      <c r="H2870" s="93">
        <v>131272.76999999999</v>
      </c>
      <c r="I2870" s="93">
        <v>276358.90000000002</v>
      </c>
      <c r="J2870" s="93">
        <v>239019.78</v>
      </c>
      <c r="K2870" s="93">
        <v>18501.79</v>
      </c>
      <c r="L2870" s="93">
        <v>18180.259999999998</v>
      </c>
      <c r="M2870" s="93">
        <v>731600.79</v>
      </c>
      <c r="N2870" s="95">
        <v>7.0000000000000007E-2</v>
      </c>
      <c r="O2870" s="95">
        <v>0.18</v>
      </c>
      <c r="P2870" s="95">
        <v>0.39</v>
      </c>
      <c r="Q2870" s="95">
        <v>0.34</v>
      </c>
      <c r="R2870" s="104">
        <v>0.03</v>
      </c>
    </row>
    <row r="2871" spans="1:18" ht="15" hidden="1" customHeight="1" x14ac:dyDescent="0.3">
      <c r="A2871" s="101">
        <v>2024</v>
      </c>
      <c r="B2871" s="90">
        <v>9</v>
      </c>
      <c r="C2871" s="90" t="s">
        <v>730</v>
      </c>
      <c r="D2871" s="90" t="s">
        <v>719</v>
      </c>
      <c r="E2871" s="102" t="s">
        <v>11</v>
      </c>
      <c r="F2871" s="103" t="s">
        <v>39</v>
      </c>
      <c r="G2871" s="93">
        <v>20048.95</v>
      </c>
      <c r="H2871" s="93">
        <v>119147.17</v>
      </c>
      <c r="I2871" s="93">
        <v>123689.54</v>
      </c>
      <c r="J2871" s="93">
        <v>29137.41</v>
      </c>
      <c r="K2871" s="93">
        <v>1266.44</v>
      </c>
      <c r="L2871" s="93">
        <v>42585.57</v>
      </c>
      <c r="M2871" s="93">
        <v>335875.08</v>
      </c>
      <c r="N2871" s="95">
        <v>7.0000000000000007E-2</v>
      </c>
      <c r="O2871" s="95">
        <v>0.41</v>
      </c>
      <c r="P2871" s="95">
        <v>0.42</v>
      </c>
      <c r="Q2871" s="95">
        <v>0.1</v>
      </c>
      <c r="R2871" s="104">
        <v>0</v>
      </c>
    </row>
    <row r="2872" spans="1:18" ht="15" hidden="1" customHeight="1" x14ac:dyDescent="0.3">
      <c r="A2872" s="101">
        <v>2024</v>
      </c>
      <c r="B2872" s="90">
        <v>9</v>
      </c>
      <c r="C2872" s="90" t="s">
        <v>730</v>
      </c>
      <c r="D2872" s="90" t="s">
        <v>719</v>
      </c>
      <c r="E2872" s="102" t="s">
        <v>11</v>
      </c>
      <c r="F2872" s="103" t="s">
        <v>40</v>
      </c>
      <c r="G2872" s="93">
        <v>3237.69</v>
      </c>
      <c r="H2872" s="93">
        <v>64112.03</v>
      </c>
      <c r="I2872" s="93">
        <v>108019.13</v>
      </c>
      <c r="J2872" s="93">
        <v>95643.76</v>
      </c>
      <c r="K2872" s="93">
        <v>36873.35</v>
      </c>
      <c r="L2872" s="93">
        <v>66382.63</v>
      </c>
      <c r="M2872" s="93">
        <v>374268.59</v>
      </c>
      <c r="N2872" s="95">
        <v>0.01</v>
      </c>
      <c r="O2872" s="95">
        <v>0.21</v>
      </c>
      <c r="P2872" s="95">
        <v>0.35</v>
      </c>
      <c r="Q2872" s="95">
        <v>0.31</v>
      </c>
      <c r="R2872" s="104">
        <v>0.12</v>
      </c>
    </row>
    <row r="2873" spans="1:18" ht="15" hidden="1" customHeight="1" x14ac:dyDescent="0.3">
      <c r="A2873" s="101">
        <v>2024</v>
      </c>
      <c r="B2873" s="90">
        <v>9</v>
      </c>
      <c r="C2873" s="90" t="s">
        <v>730</v>
      </c>
      <c r="D2873" s="90" t="s">
        <v>719</v>
      </c>
      <c r="E2873" s="102" t="s">
        <v>11</v>
      </c>
      <c r="F2873" s="103" t="s">
        <v>41</v>
      </c>
      <c r="G2873" s="93">
        <v>2573.34</v>
      </c>
      <c r="H2873" s="93">
        <v>6052.05</v>
      </c>
      <c r="I2873" s="93">
        <v>5746.17</v>
      </c>
      <c r="J2873" s="93">
        <v>2927.3</v>
      </c>
      <c r="K2873" s="93">
        <v>491.36</v>
      </c>
      <c r="L2873" s="93">
        <v>878707.38</v>
      </c>
      <c r="M2873" s="93">
        <v>896497.6</v>
      </c>
      <c r="N2873" s="95">
        <v>0.14000000000000001</v>
      </c>
      <c r="O2873" s="95">
        <v>0.34</v>
      </c>
      <c r="P2873" s="95">
        <v>0.32</v>
      </c>
      <c r="Q2873" s="95">
        <v>0.16</v>
      </c>
      <c r="R2873" s="104">
        <v>0.03</v>
      </c>
    </row>
    <row r="2874" spans="1:18" ht="15" hidden="1" customHeight="1" x14ac:dyDescent="0.3">
      <c r="A2874" s="101">
        <v>2024</v>
      </c>
      <c r="B2874" s="90">
        <v>9</v>
      </c>
      <c r="C2874" s="90" t="s">
        <v>730</v>
      </c>
      <c r="D2874" s="90" t="s">
        <v>719</v>
      </c>
      <c r="E2874" s="102" t="s">
        <v>11</v>
      </c>
      <c r="F2874" s="103" t="s">
        <v>42</v>
      </c>
      <c r="G2874" s="93">
        <v>11858.92</v>
      </c>
      <c r="H2874" s="93">
        <v>134269.53</v>
      </c>
      <c r="I2874" s="93">
        <v>261213.61</v>
      </c>
      <c r="J2874" s="93">
        <v>80347.75</v>
      </c>
      <c r="K2874" s="93">
        <v>6944.39</v>
      </c>
      <c r="L2874" s="93">
        <v>1071.23</v>
      </c>
      <c r="M2874" s="93">
        <v>495705.42</v>
      </c>
      <c r="N2874" s="95">
        <v>0.02</v>
      </c>
      <c r="O2874" s="95">
        <v>0.27</v>
      </c>
      <c r="P2874" s="95">
        <v>0.53</v>
      </c>
      <c r="Q2874" s="95">
        <v>0.16</v>
      </c>
      <c r="R2874" s="104">
        <v>0.01</v>
      </c>
    </row>
    <row r="2875" spans="1:18" ht="15" hidden="1" customHeight="1" x14ac:dyDescent="0.3">
      <c r="A2875" s="101">
        <v>2024</v>
      </c>
      <c r="B2875" s="90">
        <v>9</v>
      </c>
      <c r="C2875" s="90" t="s">
        <v>730</v>
      </c>
      <c r="D2875" s="90" t="s">
        <v>719</v>
      </c>
      <c r="E2875" s="102" t="s">
        <v>11</v>
      </c>
      <c r="F2875" s="103" t="s">
        <v>43</v>
      </c>
      <c r="G2875" s="93">
        <v>3134.6</v>
      </c>
      <c r="H2875" s="93">
        <v>19677.560000000001</v>
      </c>
      <c r="I2875" s="93">
        <v>18213.3</v>
      </c>
      <c r="J2875" s="93">
        <v>8058.22</v>
      </c>
      <c r="K2875" s="93">
        <v>1251.2</v>
      </c>
      <c r="L2875" s="93">
        <v>62147.08</v>
      </c>
      <c r="M2875" s="93">
        <v>112481.98</v>
      </c>
      <c r="N2875" s="95">
        <v>0.06</v>
      </c>
      <c r="O2875" s="95">
        <v>0.39</v>
      </c>
      <c r="P2875" s="95">
        <v>0.36</v>
      </c>
      <c r="Q2875" s="95">
        <v>0.16</v>
      </c>
      <c r="R2875" s="104">
        <v>0.02</v>
      </c>
    </row>
    <row r="2876" spans="1:18" ht="15" hidden="1" customHeight="1" x14ac:dyDescent="0.3">
      <c r="A2876" s="101">
        <v>2024</v>
      </c>
      <c r="B2876" s="90">
        <v>9</v>
      </c>
      <c r="C2876" s="90" t="s">
        <v>730</v>
      </c>
      <c r="D2876" s="90" t="s">
        <v>719</v>
      </c>
      <c r="E2876" s="102" t="s">
        <v>11</v>
      </c>
      <c r="F2876" s="103" t="s">
        <v>58</v>
      </c>
      <c r="G2876" s="93">
        <v>5906.72</v>
      </c>
      <c r="H2876" s="93">
        <v>33821.769999999997</v>
      </c>
      <c r="I2876" s="93">
        <v>121749.79</v>
      </c>
      <c r="J2876" s="93">
        <v>86740.160000000003</v>
      </c>
      <c r="K2876" s="93">
        <v>18864.66</v>
      </c>
      <c r="L2876" s="93">
        <v>2195.25</v>
      </c>
      <c r="M2876" s="93">
        <v>269278.34999999998</v>
      </c>
      <c r="N2876" s="95">
        <v>0.02</v>
      </c>
      <c r="O2876" s="95">
        <v>0.13</v>
      </c>
      <c r="P2876" s="95">
        <v>0.46</v>
      </c>
      <c r="Q2876" s="95">
        <v>0.32</v>
      </c>
      <c r="R2876" s="104">
        <v>7.0000000000000007E-2</v>
      </c>
    </row>
    <row r="2877" spans="1:18" ht="15" hidden="1" customHeight="1" x14ac:dyDescent="0.3">
      <c r="A2877" s="101">
        <v>2024</v>
      </c>
      <c r="B2877" s="90">
        <v>9</v>
      </c>
      <c r="C2877" s="90" t="s">
        <v>730</v>
      </c>
      <c r="D2877" s="90" t="s">
        <v>719</v>
      </c>
      <c r="E2877" s="102" t="s">
        <v>11</v>
      </c>
      <c r="F2877" s="103" t="s">
        <v>44</v>
      </c>
      <c r="G2877" s="93">
        <v>7617.92</v>
      </c>
      <c r="H2877" s="93">
        <v>35297.599999999999</v>
      </c>
      <c r="I2877" s="93">
        <v>83376.100000000006</v>
      </c>
      <c r="J2877" s="93">
        <v>41382.78</v>
      </c>
      <c r="K2877" s="93">
        <v>5146.43</v>
      </c>
      <c r="L2877" s="93">
        <v>61636.45</v>
      </c>
      <c r="M2877" s="93">
        <v>234457.29</v>
      </c>
      <c r="N2877" s="95">
        <v>0.04</v>
      </c>
      <c r="O2877" s="95">
        <v>0.2</v>
      </c>
      <c r="P2877" s="95">
        <v>0.48</v>
      </c>
      <c r="Q2877" s="95">
        <v>0.24</v>
      </c>
      <c r="R2877" s="104">
        <v>0.03</v>
      </c>
    </row>
    <row r="2878" spans="1:18" ht="15" hidden="1" customHeight="1" x14ac:dyDescent="0.3">
      <c r="A2878" s="101">
        <v>2024</v>
      </c>
      <c r="B2878" s="90">
        <v>9</v>
      </c>
      <c r="C2878" s="90" t="s">
        <v>730</v>
      </c>
      <c r="D2878" s="90" t="s">
        <v>719</v>
      </c>
      <c r="E2878" s="102" t="s">
        <v>11</v>
      </c>
      <c r="F2878" s="103" t="s">
        <v>51</v>
      </c>
      <c r="G2878" s="93">
        <v>6344.38</v>
      </c>
      <c r="H2878" s="93">
        <v>47145.14</v>
      </c>
      <c r="I2878" s="93">
        <v>84093.77</v>
      </c>
      <c r="J2878" s="93">
        <v>55284.85</v>
      </c>
      <c r="K2878" s="93">
        <v>17612.52</v>
      </c>
      <c r="L2878" s="93">
        <v>23831.77</v>
      </c>
      <c r="M2878" s="93">
        <v>234312.43</v>
      </c>
      <c r="N2878" s="95">
        <v>0.03</v>
      </c>
      <c r="O2878" s="95">
        <v>0.22</v>
      </c>
      <c r="P2878" s="95">
        <v>0.4</v>
      </c>
      <c r="Q2878" s="95">
        <v>0.26</v>
      </c>
      <c r="R2878" s="104">
        <v>0.08</v>
      </c>
    </row>
    <row r="2879" spans="1:18" ht="15" hidden="1" customHeight="1" x14ac:dyDescent="0.3">
      <c r="A2879" s="101">
        <v>2024</v>
      </c>
      <c r="B2879" s="90">
        <v>9</v>
      </c>
      <c r="C2879" s="90" t="s">
        <v>730</v>
      </c>
      <c r="D2879" s="90" t="s">
        <v>719</v>
      </c>
      <c r="E2879" s="102" t="s">
        <v>11</v>
      </c>
      <c r="F2879" s="103" t="s">
        <v>45</v>
      </c>
      <c r="G2879" s="93">
        <v>13184.97</v>
      </c>
      <c r="H2879" s="93">
        <v>31146.959999999999</v>
      </c>
      <c r="I2879" s="93">
        <v>26459.57</v>
      </c>
      <c r="J2879" s="93">
        <v>11883.61</v>
      </c>
      <c r="K2879" s="93">
        <v>2935.93</v>
      </c>
      <c r="L2879" s="93">
        <v>27387.09</v>
      </c>
      <c r="M2879" s="93">
        <v>112998.14</v>
      </c>
      <c r="N2879" s="95">
        <v>0.15</v>
      </c>
      <c r="O2879" s="95">
        <v>0.36</v>
      </c>
      <c r="P2879" s="95">
        <v>0.31</v>
      </c>
      <c r="Q2879" s="95">
        <v>0.14000000000000001</v>
      </c>
      <c r="R2879" s="104">
        <v>0.03</v>
      </c>
    </row>
    <row r="2880" spans="1:18" ht="15" hidden="1" customHeight="1" x14ac:dyDescent="0.3">
      <c r="A2880" s="101">
        <v>2024</v>
      </c>
      <c r="B2880" s="90">
        <v>9</v>
      </c>
      <c r="C2880" s="90" t="s">
        <v>730</v>
      </c>
      <c r="D2880" s="90" t="s">
        <v>719</v>
      </c>
      <c r="E2880" s="102" t="s">
        <v>11</v>
      </c>
      <c r="F2880" s="103" t="s">
        <v>721</v>
      </c>
      <c r="G2880" s="93">
        <v>3967.16</v>
      </c>
      <c r="H2880" s="93">
        <v>59824.480000000003</v>
      </c>
      <c r="I2880" s="93">
        <v>108091.04</v>
      </c>
      <c r="J2880" s="93">
        <v>100977.36</v>
      </c>
      <c r="K2880" s="93">
        <v>17921.23</v>
      </c>
      <c r="L2880" s="93">
        <v>631318.91</v>
      </c>
      <c r="M2880" s="93">
        <v>922100.19</v>
      </c>
      <c r="N2880" s="95">
        <v>0.01</v>
      </c>
      <c r="O2880" s="95">
        <v>0.21</v>
      </c>
      <c r="P2880" s="95">
        <v>0.37</v>
      </c>
      <c r="Q2880" s="95">
        <v>0.35</v>
      </c>
      <c r="R2880" s="104">
        <v>0.06</v>
      </c>
    </row>
    <row r="2881" spans="1:18" ht="15" hidden="1" customHeight="1" x14ac:dyDescent="0.3">
      <c r="A2881" s="101">
        <v>2024</v>
      </c>
      <c r="B2881" s="90">
        <v>9</v>
      </c>
      <c r="C2881" s="90" t="s">
        <v>730</v>
      </c>
      <c r="D2881" s="90" t="s">
        <v>719</v>
      </c>
      <c r="E2881" s="102" t="s">
        <v>11</v>
      </c>
      <c r="F2881" s="103" t="s">
        <v>46</v>
      </c>
      <c r="G2881" s="93">
        <v>36326.6</v>
      </c>
      <c r="H2881" s="93">
        <v>70743.45</v>
      </c>
      <c r="I2881" s="93">
        <v>26196.25</v>
      </c>
      <c r="J2881" s="93">
        <v>9536.36</v>
      </c>
      <c r="K2881" s="93">
        <v>4638.25</v>
      </c>
      <c r="L2881" s="93">
        <v>4234.45</v>
      </c>
      <c r="M2881" s="93">
        <v>151675.35</v>
      </c>
      <c r="N2881" s="95">
        <v>0.25</v>
      </c>
      <c r="O2881" s="95">
        <v>0.48</v>
      </c>
      <c r="P2881" s="95">
        <v>0.18</v>
      </c>
      <c r="Q2881" s="95">
        <v>0.06</v>
      </c>
      <c r="R2881" s="104">
        <v>0.03</v>
      </c>
    </row>
    <row r="2882" spans="1:18" ht="15" hidden="1" customHeight="1" x14ac:dyDescent="0.3">
      <c r="A2882" s="101">
        <v>2024</v>
      </c>
      <c r="B2882" s="90">
        <v>9</v>
      </c>
      <c r="C2882" s="90" t="s">
        <v>730</v>
      </c>
      <c r="D2882" s="90" t="s">
        <v>719</v>
      </c>
      <c r="E2882" s="102" t="s">
        <v>11</v>
      </c>
      <c r="F2882" s="103" t="s">
        <v>47</v>
      </c>
      <c r="G2882" s="93">
        <v>20242.900000000001</v>
      </c>
      <c r="H2882" s="93">
        <v>104579.03</v>
      </c>
      <c r="I2882" s="93">
        <v>364189.04</v>
      </c>
      <c r="J2882" s="93">
        <v>484857.8</v>
      </c>
      <c r="K2882" s="93">
        <v>208432.37</v>
      </c>
      <c r="L2882" s="93">
        <v>49012.45</v>
      </c>
      <c r="M2882" s="93">
        <v>1231313.6000000001</v>
      </c>
      <c r="N2882" s="95">
        <v>0.02</v>
      </c>
      <c r="O2882" s="95">
        <v>0.09</v>
      </c>
      <c r="P2882" s="95">
        <v>0.31</v>
      </c>
      <c r="Q2882" s="95">
        <v>0.41</v>
      </c>
      <c r="R2882" s="104">
        <v>0.18</v>
      </c>
    </row>
    <row r="2883" spans="1:18" ht="15" hidden="1" customHeight="1" x14ac:dyDescent="0.3">
      <c r="A2883" s="101">
        <v>2024</v>
      </c>
      <c r="B2883" s="90">
        <v>9</v>
      </c>
      <c r="C2883" s="90" t="s">
        <v>730</v>
      </c>
      <c r="D2883" s="90" t="s">
        <v>719</v>
      </c>
      <c r="E2883" s="102" t="s">
        <v>11</v>
      </c>
      <c r="F2883" s="103" t="s">
        <v>48</v>
      </c>
      <c r="G2883" s="93">
        <v>8993.66</v>
      </c>
      <c r="H2883" s="93">
        <v>38311</v>
      </c>
      <c r="I2883" s="93">
        <v>41869.89</v>
      </c>
      <c r="J2883" s="93">
        <v>11953.17</v>
      </c>
      <c r="K2883" s="93">
        <v>763.82</v>
      </c>
      <c r="L2883" s="93">
        <v>318924.28999999998</v>
      </c>
      <c r="M2883" s="93">
        <v>420815.83</v>
      </c>
      <c r="N2883" s="95">
        <v>0.09</v>
      </c>
      <c r="O2883" s="95">
        <v>0.38</v>
      </c>
      <c r="P2883" s="95">
        <v>0.41</v>
      </c>
      <c r="Q2883" s="95">
        <v>0.12</v>
      </c>
      <c r="R2883" s="104">
        <v>0.01</v>
      </c>
    </row>
    <row r="2884" spans="1:18" ht="15" hidden="1" customHeight="1" x14ac:dyDescent="0.3">
      <c r="A2884" s="105">
        <v>2024</v>
      </c>
      <c r="B2884" s="90">
        <v>9</v>
      </c>
      <c r="C2884" s="90" t="s">
        <v>730</v>
      </c>
      <c r="D2884" s="90" t="s">
        <v>722</v>
      </c>
      <c r="E2884" s="102" t="s">
        <v>11</v>
      </c>
      <c r="F2884" s="106" t="s">
        <v>12</v>
      </c>
      <c r="G2884" s="93">
        <v>2290.39</v>
      </c>
      <c r="H2884" s="93">
        <v>51210.6</v>
      </c>
      <c r="I2884" s="93">
        <v>174268.9</v>
      </c>
      <c r="J2884" s="93">
        <v>136907.73000000001</v>
      </c>
      <c r="K2884" s="93">
        <v>20508.13</v>
      </c>
      <c r="L2884" s="93">
        <v>4075.2</v>
      </c>
      <c r="M2884" s="93">
        <v>389260.94</v>
      </c>
      <c r="N2884" s="95">
        <v>0.01</v>
      </c>
      <c r="O2884" s="95">
        <v>0.13</v>
      </c>
      <c r="P2884" s="95">
        <v>0.45</v>
      </c>
      <c r="Q2884" s="95">
        <v>0.36</v>
      </c>
      <c r="R2884" s="95">
        <v>0.05</v>
      </c>
    </row>
    <row r="2885" spans="1:18" ht="15" hidden="1" customHeight="1" x14ac:dyDescent="0.3">
      <c r="A2885" s="105">
        <v>2024</v>
      </c>
      <c r="B2885" s="90">
        <v>9</v>
      </c>
      <c r="C2885" s="90" t="s">
        <v>730</v>
      </c>
      <c r="D2885" s="90" t="s">
        <v>722</v>
      </c>
      <c r="E2885" s="102" t="s">
        <v>11</v>
      </c>
      <c r="F2885" s="106" t="s">
        <v>26</v>
      </c>
      <c r="G2885" s="93">
        <v>66796.789999999994</v>
      </c>
      <c r="H2885" s="93">
        <v>243113.92</v>
      </c>
      <c r="I2885" s="93">
        <v>532535.22</v>
      </c>
      <c r="J2885" s="93">
        <v>174792.76</v>
      </c>
      <c r="K2885" s="93">
        <v>9004.8799999999992</v>
      </c>
      <c r="L2885" s="93">
        <v>10527.78</v>
      </c>
      <c r="M2885" s="93">
        <v>1036771.36</v>
      </c>
      <c r="N2885" s="95">
        <v>7.0000000000000007E-2</v>
      </c>
      <c r="O2885" s="95">
        <v>0.24</v>
      </c>
      <c r="P2885" s="95">
        <v>0.52</v>
      </c>
      <c r="Q2885" s="95">
        <v>0.17</v>
      </c>
      <c r="R2885" s="95">
        <v>0.01</v>
      </c>
    </row>
    <row r="2886" spans="1:18" ht="15" hidden="1" customHeight="1" x14ac:dyDescent="0.3">
      <c r="A2886" s="105">
        <v>2024</v>
      </c>
      <c r="B2886" s="90">
        <v>9</v>
      </c>
      <c r="C2886" s="90" t="s">
        <v>730</v>
      </c>
      <c r="D2886" s="90" t="s">
        <v>722</v>
      </c>
      <c r="E2886" s="102" t="s">
        <v>11</v>
      </c>
      <c r="F2886" s="106" t="s">
        <v>27</v>
      </c>
      <c r="G2886" s="93">
        <v>46.93</v>
      </c>
      <c r="H2886" s="93">
        <v>1282.82</v>
      </c>
      <c r="I2886" s="93">
        <v>19075.25</v>
      </c>
      <c r="J2886" s="93">
        <v>95235.87</v>
      </c>
      <c r="K2886" s="93">
        <v>109594.33</v>
      </c>
      <c r="L2886" s="93">
        <v>185247.76</v>
      </c>
      <c r="M2886" s="93">
        <v>410482.96</v>
      </c>
      <c r="N2886" s="95">
        <v>0</v>
      </c>
      <c r="O2886" s="95">
        <v>0.01</v>
      </c>
      <c r="P2886" s="95">
        <v>0.08</v>
      </c>
      <c r="Q2886" s="95">
        <v>0.42</v>
      </c>
      <c r="R2886" s="95">
        <v>0.49</v>
      </c>
    </row>
    <row r="2887" spans="1:18" ht="15" hidden="1" customHeight="1" x14ac:dyDescent="0.3">
      <c r="A2887" s="105">
        <v>2024</v>
      </c>
      <c r="B2887" s="90">
        <v>9</v>
      </c>
      <c r="C2887" s="90" t="s">
        <v>730</v>
      </c>
      <c r="D2887" s="90" t="s">
        <v>722</v>
      </c>
      <c r="E2887" s="102" t="s">
        <v>11</v>
      </c>
      <c r="F2887" s="106" t="s">
        <v>28</v>
      </c>
      <c r="G2887" s="93">
        <v>1176.08</v>
      </c>
      <c r="H2887" s="93">
        <v>12688.94</v>
      </c>
      <c r="I2887" s="93">
        <v>75191.570000000007</v>
      </c>
      <c r="J2887" s="93">
        <v>229902.59</v>
      </c>
      <c r="K2887" s="93">
        <v>50860.38</v>
      </c>
      <c r="L2887" s="93">
        <v>85911.16</v>
      </c>
      <c r="M2887" s="93">
        <v>455730.71</v>
      </c>
      <c r="N2887" s="95">
        <v>0</v>
      </c>
      <c r="O2887" s="95">
        <v>0.03</v>
      </c>
      <c r="P2887" s="95">
        <v>0.2</v>
      </c>
      <c r="Q2887" s="95">
        <v>0.62</v>
      </c>
      <c r="R2887" s="95">
        <v>0.14000000000000001</v>
      </c>
    </row>
    <row r="2888" spans="1:18" ht="15" customHeight="1" x14ac:dyDescent="0.3">
      <c r="A2888" s="105">
        <v>2024</v>
      </c>
      <c r="B2888" s="90">
        <v>9</v>
      </c>
      <c r="C2888" s="90" t="s">
        <v>730</v>
      </c>
      <c r="D2888" s="90" t="s">
        <v>722</v>
      </c>
      <c r="E2888" s="102" t="s">
        <v>11</v>
      </c>
      <c r="F2888" s="106" t="s">
        <v>29</v>
      </c>
      <c r="G2888" s="93">
        <v>8440.75</v>
      </c>
      <c r="H2888" s="93">
        <v>39933.65</v>
      </c>
      <c r="I2888" s="93">
        <v>88824.34</v>
      </c>
      <c r="J2888" s="93">
        <v>105618.2</v>
      </c>
      <c r="K2888" s="93">
        <v>56526.87</v>
      </c>
      <c r="L2888" s="93">
        <v>10794.54</v>
      </c>
      <c r="M2888" s="93">
        <v>310138.36</v>
      </c>
      <c r="N2888" s="95">
        <v>0.03</v>
      </c>
      <c r="O2888" s="95">
        <v>0.13</v>
      </c>
      <c r="P2888" s="95">
        <v>0.3</v>
      </c>
      <c r="Q2888" s="95">
        <v>0.35</v>
      </c>
      <c r="R2888" s="95">
        <v>0.19</v>
      </c>
    </row>
    <row r="2889" spans="1:18" ht="15" hidden="1" customHeight="1" x14ac:dyDescent="0.3">
      <c r="A2889" s="105">
        <v>2024</v>
      </c>
      <c r="B2889" s="90">
        <v>9</v>
      </c>
      <c r="C2889" s="90" t="s">
        <v>730</v>
      </c>
      <c r="D2889" s="90" t="s">
        <v>722</v>
      </c>
      <c r="E2889" s="102" t="s">
        <v>11</v>
      </c>
      <c r="F2889" s="106" t="s">
        <v>30</v>
      </c>
      <c r="G2889" s="93">
        <v>926.08</v>
      </c>
      <c r="H2889" s="93">
        <v>7317.48</v>
      </c>
      <c r="I2889" s="93">
        <v>5057.5600000000004</v>
      </c>
      <c r="J2889" s="93">
        <v>1266.79</v>
      </c>
      <c r="K2889" s="93">
        <v>296.56</v>
      </c>
      <c r="L2889" s="93">
        <v>400435.73</v>
      </c>
      <c r="M2889" s="93">
        <v>415300.19</v>
      </c>
      <c r="N2889" s="95">
        <v>0.06</v>
      </c>
      <c r="O2889" s="95">
        <v>0.49</v>
      </c>
      <c r="P2889" s="95">
        <v>0.34</v>
      </c>
      <c r="Q2889" s="95">
        <v>0.09</v>
      </c>
      <c r="R2889" s="95">
        <v>0.02</v>
      </c>
    </row>
    <row r="2890" spans="1:18" ht="15" hidden="1" customHeight="1" x14ac:dyDescent="0.3">
      <c r="A2890" s="105">
        <v>2024</v>
      </c>
      <c r="B2890" s="90">
        <v>9</v>
      </c>
      <c r="C2890" s="90" t="s">
        <v>730</v>
      </c>
      <c r="D2890" s="90" t="s">
        <v>722</v>
      </c>
      <c r="E2890" s="102" t="s">
        <v>11</v>
      </c>
      <c r="F2890" s="106" t="s">
        <v>31</v>
      </c>
      <c r="G2890" s="93">
        <v>15694.73</v>
      </c>
      <c r="H2890" s="93">
        <v>121298.03</v>
      </c>
      <c r="I2890" s="93">
        <v>56882.89</v>
      </c>
      <c r="J2890" s="93">
        <v>11951.45</v>
      </c>
      <c r="K2890" s="93">
        <v>1457.81</v>
      </c>
      <c r="L2890" s="93">
        <v>17874.77</v>
      </c>
      <c r="M2890" s="93">
        <v>225159.67999999999</v>
      </c>
      <c r="N2890" s="95">
        <v>0.08</v>
      </c>
      <c r="O2890" s="95">
        <v>0.59</v>
      </c>
      <c r="P2890" s="95">
        <v>0.27</v>
      </c>
      <c r="Q2890" s="95">
        <v>0.06</v>
      </c>
      <c r="R2890" s="95">
        <v>0.01</v>
      </c>
    </row>
    <row r="2891" spans="1:18" ht="15" hidden="1" customHeight="1" x14ac:dyDescent="0.3">
      <c r="A2891" s="105">
        <v>2024</v>
      </c>
      <c r="B2891" s="90">
        <v>9</v>
      </c>
      <c r="C2891" s="90" t="s">
        <v>730</v>
      </c>
      <c r="D2891" s="90" t="s">
        <v>722</v>
      </c>
      <c r="E2891" s="102" t="s">
        <v>11</v>
      </c>
      <c r="F2891" s="106" t="s">
        <v>32</v>
      </c>
      <c r="G2891" s="93">
        <v>5247.22</v>
      </c>
      <c r="H2891" s="93">
        <v>87343.4</v>
      </c>
      <c r="I2891" s="93">
        <v>210417.92000000001</v>
      </c>
      <c r="J2891" s="93">
        <v>159976.42000000001</v>
      </c>
      <c r="K2891" s="93">
        <v>123646.41</v>
      </c>
      <c r="L2891" s="93">
        <v>0</v>
      </c>
      <c r="M2891" s="93">
        <v>586631.37</v>
      </c>
      <c r="N2891" s="95">
        <v>0.01</v>
      </c>
      <c r="O2891" s="95">
        <v>0.15</v>
      </c>
      <c r="P2891" s="95">
        <v>0.36</v>
      </c>
      <c r="Q2891" s="95">
        <v>0.27</v>
      </c>
      <c r="R2891" s="95">
        <v>0.21</v>
      </c>
    </row>
    <row r="2892" spans="1:18" ht="15" hidden="1" customHeight="1" x14ac:dyDescent="0.3">
      <c r="A2892" s="105">
        <v>2024</v>
      </c>
      <c r="B2892" s="90">
        <v>9</v>
      </c>
      <c r="C2892" s="90" t="s">
        <v>730</v>
      </c>
      <c r="D2892" s="90" t="s">
        <v>722</v>
      </c>
      <c r="E2892" s="102" t="s">
        <v>11</v>
      </c>
      <c r="F2892" s="106" t="s">
        <v>33</v>
      </c>
      <c r="G2892" s="93">
        <v>25239.07</v>
      </c>
      <c r="H2892" s="93">
        <v>209608.85</v>
      </c>
      <c r="I2892" s="93">
        <v>744733.47</v>
      </c>
      <c r="J2892" s="93">
        <v>285860.28999999998</v>
      </c>
      <c r="K2892" s="93">
        <v>19399.25</v>
      </c>
      <c r="L2892" s="93">
        <v>8720.44</v>
      </c>
      <c r="M2892" s="93">
        <v>1293561.3700000001</v>
      </c>
      <c r="N2892" s="95">
        <v>0.02</v>
      </c>
      <c r="O2892" s="95">
        <v>0.16</v>
      </c>
      <c r="P2892" s="95">
        <v>0.57999999999999996</v>
      </c>
      <c r="Q2892" s="95">
        <v>0.22</v>
      </c>
      <c r="R2892" s="95">
        <v>0.02</v>
      </c>
    </row>
    <row r="2893" spans="1:18" ht="15" hidden="1" customHeight="1" x14ac:dyDescent="0.3">
      <c r="A2893" s="105">
        <v>2024</v>
      </c>
      <c r="B2893" s="90">
        <v>9</v>
      </c>
      <c r="C2893" s="90" t="s">
        <v>730</v>
      </c>
      <c r="D2893" s="90" t="s">
        <v>722</v>
      </c>
      <c r="E2893" s="102" t="s">
        <v>11</v>
      </c>
      <c r="F2893" s="106" t="s">
        <v>34</v>
      </c>
      <c r="G2893" s="93">
        <v>6145.17</v>
      </c>
      <c r="H2893" s="93">
        <v>32880.339999999997</v>
      </c>
      <c r="I2893" s="93">
        <v>296408.90000000002</v>
      </c>
      <c r="J2893" s="93">
        <v>287269.56</v>
      </c>
      <c r="K2893" s="93">
        <v>62048.33</v>
      </c>
      <c r="L2893" s="93">
        <v>3979.42</v>
      </c>
      <c r="M2893" s="93">
        <v>688731.73</v>
      </c>
      <c r="N2893" s="95">
        <v>0.01</v>
      </c>
      <c r="O2893" s="95">
        <v>0.05</v>
      </c>
      <c r="P2893" s="95">
        <v>0.43</v>
      </c>
      <c r="Q2893" s="95">
        <v>0.42</v>
      </c>
      <c r="R2893" s="95">
        <v>0.09</v>
      </c>
    </row>
    <row r="2894" spans="1:18" ht="15" hidden="1" customHeight="1" x14ac:dyDescent="0.3">
      <c r="A2894" s="105">
        <v>2024</v>
      </c>
      <c r="B2894" s="90">
        <v>9</v>
      </c>
      <c r="C2894" s="90" t="s">
        <v>730</v>
      </c>
      <c r="D2894" s="90" t="s">
        <v>722</v>
      </c>
      <c r="E2894" s="102" t="s">
        <v>11</v>
      </c>
      <c r="F2894" s="106" t="s">
        <v>35</v>
      </c>
      <c r="G2894" s="93">
        <v>9495.0400000000009</v>
      </c>
      <c r="H2894" s="93">
        <v>78235.600000000006</v>
      </c>
      <c r="I2894" s="93">
        <v>154424.82</v>
      </c>
      <c r="J2894" s="93">
        <v>110182.6</v>
      </c>
      <c r="K2894" s="93">
        <v>19121.080000000002</v>
      </c>
      <c r="L2894" s="93">
        <v>75330.34</v>
      </c>
      <c r="M2894" s="93">
        <v>446789.48</v>
      </c>
      <c r="N2894" s="95">
        <v>0.03</v>
      </c>
      <c r="O2894" s="95">
        <v>0.21</v>
      </c>
      <c r="P2894" s="95">
        <v>0.42</v>
      </c>
      <c r="Q2894" s="95">
        <v>0.3</v>
      </c>
      <c r="R2894" s="95">
        <v>0.05</v>
      </c>
    </row>
    <row r="2895" spans="1:18" ht="15" hidden="1" customHeight="1" x14ac:dyDescent="0.3">
      <c r="A2895" s="105">
        <v>2024</v>
      </c>
      <c r="B2895" s="90">
        <v>9</v>
      </c>
      <c r="C2895" s="90" t="s">
        <v>730</v>
      </c>
      <c r="D2895" s="90" t="s">
        <v>722</v>
      </c>
      <c r="E2895" s="102" t="s">
        <v>11</v>
      </c>
      <c r="F2895" s="106" t="s">
        <v>36</v>
      </c>
      <c r="G2895" s="93">
        <v>2444.89</v>
      </c>
      <c r="H2895" s="93">
        <v>32901.68</v>
      </c>
      <c r="I2895" s="93">
        <v>69704.03</v>
      </c>
      <c r="J2895" s="93">
        <v>70055.199999999997</v>
      </c>
      <c r="K2895" s="93">
        <v>50823.61</v>
      </c>
      <c r="L2895" s="93">
        <v>69052.47</v>
      </c>
      <c r="M2895" s="93">
        <v>294981.88</v>
      </c>
      <c r="N2895" s="95">
        <v>0.01</v>
      </c>
      <c r="O2895" s="95">
        <v>0.15</v>
      </c>
      <c r="P2895" s="95">
        <v>0.31</v>
      </c>
      <c r="Q2895" s="95">
        <v>0.31</v>
      </c>
      <c r="R2895" s="95">
        <v>0.22</v>
      </c>
    </row>
    <row r="2896" spans="1:18" ht="15" hidden="1" customHeight="1" x14ac:dyDescent="0.3">
      <c r="A2896" s="105">
        <v>2024</v>
      </c>
      <c r="B2896" s="90">
        <v>9</v>
      </c>
      <c r="C2896" s="90" t="s">
        <v>730</v>
      </c>
      <c r="D2896" s="90" t="s">
        <v>722</v>
      </c>
      <c r="E2896" s="102" t="s">
        <v>11</v>
      </c>
      <c r="F2896" s="106" t="s">
        <v>37</v>
      </c>
      <c r="G2896" s="93">
        <v>8446.07</v>
      </c>
      <c r="H2896" s="93">
        <v>96989.89</v>
      </c>
      <c r="I2896" s="93">
        <v>165702.23000000001</v>
      </c>
      <c r="J2896" s="93">
        <v>79573.8</v>
      </c>
      <c r="K2896" s="93">
        <v>25484.23</v>
      </c>
      <c r="L2896" s="93">
        <v>305494.78999999998</v>
      </c>
      <c r="M2896" s="93">
        <v>681691.01</v>
      </c>
      <c r="N2896" s="95">
        <v>0.02</v>
      </c>
      <c r="O2896" s="95">
        <v>0.26</v>
      </c>
      <c r="P2896" s="95">
        <v>0.44</v>
      </c>
      <c r="Q2896" s="95">
        <v>0.21</v>
      </c>
      <c r="R2896" s="95">
        <v>7.0000000000000007E-2</v>
      </c>
    </row>
    <row r="2897" spans="1:18" ht="15" hidden="1" customHeight="1" x14ac:dyDescent="0.3">
      <c r="A2897" s="105">
        <v>2024</v>
      </c>
      <c r="B2897" s="90">
        <v>9</v>
      </c>
      <c r="C2897" s="90" t="s">
        <v>730</v>
      </c>
      <c r="D2897" s="90" t="s">
        <v>722</v>
      </c>
      <c r="E2897" s="102" t="s">
        <v>11</v>
      </c>
      <c r="F2897" s="106" t="s">
        <v>38</v>
      </c>
      <c r="G2897" s="93">
        <v>29395.47</v>
      </c>
      <c r="H2897" s="93">
        <v>103823.17</v>
      </c>
      <c r="I2897" s="93">
        <v>316383.08</v>
      </c>
      <c r="J2897" s="93">
        <v>280327.18</v>
      </c>
      <c r="K2897" s="93">
        <v>24988.17</v>
      </c>
      <c r="L2897" s="93">
        <v>16926.169999999998</v>
      </c>
      <c r="M2897" s="93">
        <v>771843.25</v>
      </c>
      <c r="N2897" s="95">
        <v>0.04</v>
      </c>
      <c r="O2897" s="95">
        <v>0.14000000000000001</v>
      </c>
      <c r="P2897" s="95">
        <v>0.42</v>
      </c>
      <c r="Q2897" s="95">
        <v>0.37</v>
      </c>
      <c r="R2897" s="95">
        <v>0.03</v>
      </c>
    </row>
    <row r="2898" spans="1:18" ht="15" hidden="1" customHeight="1" x14ac:dyDescent="0.3">
      <c r="A2898" s="105">
        <v>2024</v>
      </c>
      <c r="B2898" s="90">
        <v>9</v>
      </c>
      <c r="C2898" s="90" t="s">
        <v>730</v>
      </c>
      <c r="D2898" s="90" t="s">
        <v>722</v>
      </c>
      <c r="E2898" s="102" t="s">
        <v>11</v>
      </c>
      <c r="F2898" s="106" t="s">
        <v>39</v>
      </c>
      <c r="G2898" s="93">
        <v>656.41</v>
      </c>
      <c r="H2898" s="93">
        <v>5684.71</v>
      </c>
      <c r="I2898" s="93">
        <v>24571.52</v>
      </c>
      <c r="J2898" s="93">
        <v>117997.87</v>
      </c>
      <c r="K2898" s="93">
        <v>181065.37</v>
      </c>
      <c r="L2898" s="93">
        <v>57698.06</v>
      </c>
      <c r="M2898" s="93">
        <v>387673.93</v>
      </c>
      <c r="N2898" s="95">
        <v>0</v>
      </c>
      <c r="O2898" s="95">
        <v>0.02</v>
      </c>
      <c r="P2898" s="95">
        <v>7.0000000000000007E-2</v>
      </c>
      <c r="Q2898" s="95">
        <v>0.36</v>
      </c>
      <c r="R2898" s="95">
        <v>0.55000000000000004</v>
      </c>
    </row>
    <row r="2899" spans="1:18" ht="15" hidden="1" customHeight="1" x14ac:dyDescent="0.3">
      <c r="A2899" s="105">
        <v>2024</v>
      </c>
      <c r="B2899" s="90">
        <v>9</v>
      </c>
      <c r="C2899" s="90" t="s">
        <v>730</v>
      </c>
      <c r="D2899" s="90" t="s">
        <v>722</v>
      </c>
      <c r="E2899" s="102" t="s">
        <v>11</v>
      </c>
      <c r="F2899" s="106" t="s">
        <v>40</v>
      </c>
      <c r="G2899" s="93">
        <v>4125.54</v>
      </c>
      <c r="H2899" s="93">
        <v>64252.19</v>
      </c>
      <c r="I2899" s="93">
        <v>127500.29</v>
      </c>
      <c r="J2899" s="93">
        <v>109896.73</v>
      </c>
      <c r="K2899" s="93">
        <v>15349.22</v>
      </c>
      <c r="L2899" s="93">
        <v>44303.07</v>
      </c>
      <c r="M2899" s="93">
        <v>365427.05</v>
      </c>
      <c r="N2899" s="95">
        <v>0.01</v>
      </c>
      <c r="O2899" s="95">
        <v>0.2</v>
      </c>
      <c r="P2899" s="95">
        <v>0.4</v>
      </c>
      <c r="Q2899" s="95">
        <v>0.34</v>
      </c>
      <c r="R2899" s="95">
        <v>0.05</v>
      </c>
    </row>
    <row r="2900" spans="1:18" ht="15" hidden="1" customHeight="1" x14ac:dyDescent="0.3">
      <c r="A2900" s="105">
        <v>2024</v>
      </c>
      <c r="B2900" s="90">
        <v>9</v>
      </c>
      <c r="C2900" s="90" t="s">
        <v>730</v>
      </c>
      <c r="D2900" s="90" t="s">
        <v>722</v>
      </c>
      <c r="E2900" s="102" t="s">
        <v>11</v>
      </c>
      <c r="F2900" s="106" t="s">
        <v>41</v>
      </c>
      <c r="G2900" s="93">
        <v>4025.53</v>
      </c>
      <c r="H2900" s="93">
        <v>6938.62</v>
      </c>
      <c r="I2900" s="93">
        <v>4623.37</v>
      </c>
      <c r="J2900" s="93">
        <v>1605.69</v>
      </c>
      <c r="K2900" s="93">
        <v>238.99</v>
      </c>
      <c r="L2900" s="93">
        <v>855148.63</v>
      </c>
      <c r="M2900" s="93">
        <v>872580.84</v>
      </c>
      <c r="N2900" s="95">
        <v>0.23</v>
      </c>
      <c r="O2900" s="95">
        <v>0.4</v>
      </c>
      <c r="P2900" s="95">
        <v>0.27</v>
      </c>
      <c r="Q2900" s="95">
        <v>0.09</v>
      </c>
      <c r="R2900" s="95">
        <v>0.01</v>
      </c>
    </row>
    <row r="2901" spans="1:18" ht="15" hidden="1" customHeight="1" x14ac:dyDescent="0.3">
      <c r="A2901" s="105">
        <v>2024</v>
      </c>
      <c r="B2901" s="90">
        <v>9</v>
      </c>
      <c r="C2901" s="90" t="s">
        <v>730</v>
      </c>
      <c r="D2901" s="90" t="s">
        <v>722</v>
      </c>
      <c r="E2901" s="102" t="s">
        <v>11</v>
      </c>
      <c r="F2901" s="106" t="s">
        <v>42</v>
      </c>
      <c r="G2901" s="93">
        <v>2169.44</v>
      </c>
      <c r="H2901" s="93">
        <v>26966.28</v>
      </c>
      <c r="I2901" s="93">
        <v>183087.27</v>
      </c>
      <c r="J2901" s="93">
        <v>229367.39</v>
      </c>
      <c r="K2901" s="93">
        <v>164333.48000000001</v>
      </c>
      <c r="L2901" s="93">
        <v>22.99</v>
      </c>
      <c r="M2901" s="93">
        <v>605946.84</v>
      </c>
      <c r="N2901" s="95">
        <v>0</v>
      </c>
      <c r="O2901" s="95">
        <v>0.04</v>
      </c>
      <c r="P2901" s="95">
        <v>0.3</v>
      </c>
      <c r="Q2901" s="95">
        <v>0.38</v>
      </c>
      <c r="R2901" s="95">
        <v>0.27</v>
      </c>
    </row>
    <row r="2902" spans="1:18" ht="15" hidden="1" customHeight="1" x14ac:dyDescent="0.3">
      <c r="A2902" s="105">
        <v>2024</v>
      </c>
      <c r="B2902" s="90">
        <v>9</v>
      </c>
      <c r="C2902" s="90" t="s">
        <v>730</v>
      </c>
      <c r="D2902" s="90" t="s">
        <v>722</v>
      </c>
      <c r="E2902" s="102" t="s">
        <v>11</v>
      </c>
      <c r="F2902" s="106" t="s">
        <v>43</v>
      </c>
      <c r="G2902" s="93">
        <v>11105.08</v>
      </c>
      <c r="H2902" s="93">
        <v>39012.49</v>
      </c>
      <c r="I2902" s="93">
        <v>14822.3</v>
      </c>
      <c r="J2902" s="93">
        <v>4609.22</v>
      </c>
      <c r="K2902" s="93">
        <v>472.63</v>
      </c>
      <c r="L2902" s="93">
        <v>62024.84</v>
      </c>
      <c r="M2902" s="93">
        <v>132046.57</v>
      </c>
      <c r="N2902" s="95">
        <v>0.16</v>
      </c>
      <c r="O2902" s="95">
        <v>0.56000000000000005</v>
      </c>
      <c r="P2902" s="95">
        <v>0.21</v>
      </c>
      <c r="Q2902" s="95">
        <v>7.0000000000000007E-2</v>
      </c>
      <c r="R2902" s="95">
        <v>0.01</v>
      </c>
    </row>
    <row r="2903" spans="1:18" ht="15" hidden="1" customHeight="1" x14ac:dyDescent="0.3">
      <c r="A2903" s="105">
        <v>2024</v>
      </c>
      <c r="B2903" s="90">
        <v>9</v>
      </c>
      <c r="C2903" s="90" t="s">
        <v>730</v>
      </c>
      <c r="D2903" s="90" t="s">
        <v>722</v>
      </c>
      <c r="E2903" s="102" t="s">
        <v>11</v>
      </c>
      <c r="F2903" s="106" t="s">
        <v>58</v>
      </c>
      <c r="G2903" s="93">
        <v>2723.3</v>
      </c>
      <c r="H2903" s="93">
        <v>16164.14</v>
      </c>
      <c r="I2903" s="93">
        <v>112941.78</v>
      </c>
      <c r="J2903" s="93">
        <v>173315.98</v>
      </c>
      <c r="K2903" s="93">
        <v>62244.83</v>
      </c>
      <c r="L2903" s="93">
        <v>7930.49</v>
      </c>
      <c r="M2903" s="93">
        <v>375320.52</v>
      </c>
      <c r="N2903" s="95">
        <v>0.01</v>
      </c>
      <c r="O2903" s="95">
        <v>0.04</v>
      </c>
      <c r="P2903" s="95">
        <v>0.31</v>
      </c>
      <c r="Q2903" s="95">
        <v>0.47</v>
      </c>
      <c r="R2903" s="95">
        <v>0.17</v>
      </c>
    </row>
    <row r="2904" spans="1:18" ht="15" hidden="1" customHeight="1" x14ac:dyDescent="0.3">
      <c r="A2904" s="105">
        <v>2024</v>
      </c>
      <c r="B2904" s="90">
        <v>9</v>
      </c>
      <c r="C2904" s="90" t="s">
        <v>730</v>
      </c>
      <c r="D2904" s="90" t="s">
        <v>722</v>
      </c>
      <c r="E2904" s="102" t="s">
        <v>11</v>
      </c>
      <c r="F2904" s="106" t="s">
        <v>44</v>
      </c>
      <c r="G2904" s="93">
        <v>3172.12</v>
      </c>
      <c r="H2904" s="93">
        <v>9455.9699999999993</v>
      </c>
      <c r="I2904" s="93">
        <v>21660.46</v>
      </c>
      <c r="J2904" s="93">
        <v>50160.959999999999</v>
      </c>
      <c r="K2904" s="93">
        <v>88390.79</v>
      </c>
      <c r="L2904" s="93">
        <v>53665.440000000002</v>
      </c>
      <c r="M2904" s="93">
        <v>226505.74</v>
      </c>
      <c r="N2904" s="95">
        <v>0.02</v>
      </c>
      <c r="O2904" s="95">
        <v>0.05</v>
      </c>
      <c r="P2904" s="95">
        <v>0.13</v>
      </c>
      <c r="Q2904" s="95">
        <v>0.28999999999999998</v>
      </c>
      <c r="R2904" s="95">
        <v>0.51</v>
      </c>
    </row>
    <row r="2905" spans="1:18" ht="15" hidden="1" customHeight="1" x14ac:dyDescent="0.3">
      <c r="A2905" s="105">
        <v>2024</v>
      </c>
      <c r="B2905" s="90">
        <v>9</v>
      </c>
      <c r="C2905" s="90" t="s">
        <v>730</v>
      </c>
      <c r="D2905" s="90" t="s">
        <v>722</v>
      </c>
      <c r="E2905" s="102" t="s">
        <v>11</v>
      </c>
      <c r="F2905" s="106" t="s">
        <v>51</v>
      </c>
      <c r="G2905" s="93">
        <v>1895.82</v>
      </c>
      <c r="H2905" s="93">
        <v>25604.61</v>
      </c>
      <c r="I2905" s="93">
        <v>95078.18</v>
      </c>
      <c r="J2905" s="93">
        <v>71298.210000000006</v>
      </c>
      <c r="K2905" s="93">
        <v>15929.65</v>
      </c>
      <c r="L2905" s="93">
        <v>5970.79</v>
      </c>
      <c r="M2905" s="93">
        <v>215777.26</v>
      </c>
      <c r="N2905" s="95">
        <v>0.01</v>
      </c>
      <c r="O2905" s="95">
        <v>0.12</v>
      </c>
      <c r="P2905" s="95">
        <v>0.45</v>
      </c>
      <c r="Q2905" s="95">
        <v>0.34</v>
      </c>
      <c r="R2905" s="95">
        <v>0.08</v>
      </c>
    </row>
    <row r="2906" spans="1:18" ht="15" hidden="1" customHeight="1" x14ac:dyDescent="0.3">
      <c r="A2906" s="105">
        <v>2024</v>
      </c>
      <c r="B2906" s="90">
        <v>9</v>
      </c>
      <c r="C2906" s="90" t="s">
        <v>730</v>
      </c>
      <c r="D2906" s="90" t="s">
        <v>722</v>
      </c>
      <c r="E2906" s="102" t="s">
        <v>11</v>
      </c>
      <c r="F2906" s="106" t="s">
        <v>45</v>
      </c>
      <c r="G2906" s="93">
        <v>1735.8</v>
      </c>
      <c r="H2906" s="93">
        <v>9956.56</v>
      </c>
      <c r="I2906" s="93">
        <v>22113.38</v>
      </c>
      <c r="J2906" s="93">
        <v>32710.05</v>
      </c>
      <c r="K2906" s="93">
        <v>17844.28</v>
      </c>
      <c r="L2906" s="93">
        <v>27514.09</v>
      </c>
      <c r="M2906" s="93">
        <v>111874.16</v>
      </c>
      <c r="N2906" s="95">
        <v>0.02</v>
      </c>
      <c r="O2906" s="95">
        <v>0.12</v>
      </c>
      <c r="P2906" s="95">
        <v>0.26</v>
      </c>
      <c r="Q2906" s="95">
        <v>0.39</v>
      </c>
      <c r="R2906" s="95">
        <v>0.21</v>
      </c>
    </row>
    <row r="2907" spans="1:18" ht="15" hidden="1" customHeight="1" x14ac:dyDescent="0.3">
      <c r="A2907" s="105">
        <v>2024</v>
      </c>
      <c r="B2907" s="90">
        <v>9</v>
      </c>
      <c r="C2907" s="90" t="s">
        <v>730</v>
      </c>
      <c r="D2907" s="90" t="s">
        <v>722</v>
      </c>
      <c r="E2907" s="102" t="s">
        <v>11</v>
      </c>
      <c r="F2907" s="106" t="s">
        <v>721</v>
      </c>
      <c r="G2907" s="93">
        <v>169.01</v>
      </c>
      <c r="H2907" s="93">
        <v>41118.29</v>
      </c>
      <c r="I2907" s="93">
        <v>95067.62</v>
      </c>
      <c r="J2907" s="93">
        <v>143334.14000000001</v>
      </c>
      <c r="K2907" s="93">
        <v>29637.24</v>
      </c>
      <c r="L2907" s="93">
        <v>588536.52</v>
      </c>
      <c r="M2907" s="93">
        <v>897862.81</v>
      </c>
      <c r="N2907" s="95">
        <v>0</v>
      </c>
      <c r="O2907" s="95">
        <v>0.13</v>
      </c>
      <c r="P2907" s="95">
        <v>0.31</v>
      </c>
      <c r="Q2907" s="95">
        <v>0.46</v>
      </c>
      <c r="R2907" s="95">
        <v>0.1</v>
      </c>
    </row>
    <row r="2908" spans="1:18" ht="15" hidden="1" customHeight="1" x14ac:dyDescent="0.3">
      <c r="A2908" s="105">
        <v>2024</v>
      </c>
      <c r="B2908" s="90">
        <v>9</v>
      </c>
      <c r="C2908" s="90" t="s">
        <v>730</v>
      </c>
      <c r="D2908" s="90" t="s">
        <v>722</v>
      </c>
      <c r="E2908" s="102" t="s">
        <v>11</v>
      </c>
      <c r="F2908" s="106" t="s">
        <v>46</v>
      </c>
      <c r="G2908" s="93">
        <v>12833.84</v>
      </c>
      <c r="H2908" s="93">
        <v>62602.82</v>
      </c>
      <c r="I2908" s="93">
        <v>34743.69</v>
      </c>
      <c r="J2908" s="93">
        <v>19837.48</v>
      </c>
      <c r="K2908" s="93">
        <v>18089.330000000002</v>
      </c>
      <c r="L2908" s="93">
        <v>5569.44</v>
      </c>
      <c r="M2908" s="93">
        <v>153676.6</v>
      </c>
      <c r="N2908" s="95">
        <v>0.09</v>
      </c>
      <c r="O2908" s="95">
        <v>0.42</v>
      </c>
      <c r="P2908" s="95">
        <v>0.23</v>
      </c>
      <c r="Q2908" s="95">
        <v>0.13</v>
      </c>
      <c r="R2908" s="95">
        <v>0.12</v>
      </c>
    </row>
    <row r="2909" spans="1:18" ht="15" hidden="1" customHeight="1" x14ac:dyDescent="0.3">
      <c r="A2909" s="105">
        <v>2024</v>
      </c>
      <c r="B2909" s="90">
        <v>9</v>
      </c>
      <c r="C2909" s="90" t="s">
        <v>730</v>
      </c>
      <c r="D2909" s="90" t="s">
        <v>722</v>
      </c>
      <c r="E2909" s="102" t="s">
        <v>11</v>
      </c>
      <c r="F2909" s="106" t="s">
        <v>47</v>
      </c>
      <c r="G2909" s="93">
        <v>10363.549999999999</v>
      </c>
      <c r="H2909" s="93">
        <v>61769.88</v>
      </c>
      <c r="I2909" s="93">
        <v>266074.65999999997</v>
      </c>
      <c r="J2909" s="93">
        <v>567407.49</v>
      </c>
      <c r="K2909" s="93">
        <v>400286.7</v>
      </c>
      <c r="L2909" s="93">
        <v>49006.26</v>
      </c>
      <c r="M2909" s="93">
        <v>1354908.55</v>
      </c>
      <c r="N2909" s="95">
        <v>0.01</v>
      </c>
      <c r="O2909" s="95">
        <v>0.05</v>
      </c>
      <c r="P2909" s="95">
        <v>0.2</v>
      </c>
      <c r="Q2909" s="95">
        <v>0.43</v>
      </c>
      <c r="R2909" s="95">
        <v>0.31</v>
      </c>
    </row>
    <row r="2910" spans="1:18" ht="15" hidden="1" customHeight="1" x14ac:dyDescent="0.3">
      <c r="A2910" s="105">
        <v>2024</v>
      </c>
      <c r="B2910" s="90">
        <v>9</v>
      </c>
      <c r="C2910" s="90" t="s">
        <v>730</v>
      </c>
      <c r="D2910" s="90" t="s">
        <v>722</v>
      </c>
      <c r="E2910" s="102" t="s">
        <v>11</v>
      </c>
      <c r="F2910" s="106" t="s">
        <v>48</v>
      </c>
      <c r="G2910" s="93">
        <v>347.16</v>
      </c>
      <c r="H2910" s="93">
        <v>2113.33</v>
      </c>
      <c r="I2910" s="93">
        <v>5735.97</v>
      </c>
      <c r="J2910" s="93">
        <v>25688.19</v>
      </c>
      <c r="K2910" s="93">
        <v>67583.67</v>
      </c>
      <c r="L2910" s="93">
        <v>314102.21000000002</v>
      </c>
      <c r="M2910" s="93">
        <v>415570.54</v>
      </c>
      <c r="N2910" s="95">
        <v>0</v>
      </c>
      <c r="O2910" s="95">
        <v>0.02</v>
      </c>
      <c r="P2910" s="95">
        <v>0.06</v>
      </c>
      <c r="Q2910" s="95">
        <v>0.25</v>
      </c>
      <c r="R2910" s="95">
        <v>0.67</v>
      </c>
    </row>
    <row r="2911" spans="1:18" ht="15" hidden="1" customHeight="1" x14ac:dyDescent="0.3">
      <c r="A2911" s="101">
        <v>2024</v>
      </c>
      <c r="B2911" s="90">
        <v>10</v>
      </c>
      <c r="C2911" s="90" t="s">
        <v>731</v>
      </c>
      <c r="D2911" s="90" t="s">
        <v>719</v>
      </c>
      <c r="E2911" s="102" t="s">
        <v>11</v>
      </c>
      <c r="F2911" s="103" t="s">
        <v>12</v>
      </c>
      <c r="G2911" s="93">
        <v>3630.51</v>
      </c>
      <c r="H2911" s="93">
        <v>51699.48</v>
      </c>
      <c r="I2911" s="93">
        <v>130773.86</v>
      </c>
      <c r="J2911" s="93">
        <v>160761.47</v>
      </c>
      <c r="K2911" s="93">
        <v>38424.269999999997</v>
      </c>
      <c r="L2911" s="93">
        <v>1006.58</v>
      </c>
      <c r="M2911" s="93">
        <v>386296.17</v>
      </c>
      <c r="N2911" s="95">
        <v>0.01</v>
      </c>
      <c r="O2911" s="95">
        <v>0.13</v>
      </c>
      <c r="P2911" s="95">
        <v>0.34</v>
      </c>
      <c r="Q2911" s="95">
        <v>0.42</v>
      </c>
      <c r="R2911" s="104">
        <v>0.1</v>
      </c>
    </row>
    <row r="2912" spans="1:18" ht="15" hidden="1" customHeight="1" x14ac:dyDescent="0.3">
      <c r="A2912" s="101">
        <v>2024</v>
      </c>
      <c r="B2912" s="90">
        <v>10</v>
      </c>
      <c r="C2912" s="90" t="s">
        <v>731</v>
      </c>
      <c r="D2912" s="90" t="s">
        <v>719</v>
      </c>
      <c r="E2912" s="102" t="s">
        <v>11</v>
      </c>
      <c r="F2912" s="103" t="s">
        <v>26</v>
      </c>
      <c r="G2912" s="93">
        <v>89899.18</v>
      </c>
      <c r="H2912" s="93">
        <v>160446.28</v>
      </c>
      <c r="I2912" s="93">
        <v>436317.11</v>
      </c>
      <c r="J2912" s="93">
        <v>337269.38</v>
      </c>
      <c r="K2912" s="93">
        <v>21632.49</v>
      </c>
      <c r="L2912" s="93">
        <v>7169.63</v>
      </c>
      <c r="M2912" s="93">
        <v>1052734.08</v>
      </c>
      <c r="N2912" s="95">
        <v>0.09</v>
      </c>
      <c r="O2912" s="95">
        <v>0.15</v>
      </c>
      <c r="P2912" s="95">
        <v>0.42</v>
      </c>
      <c r="Q2912" s="95">
        <v>0.32</v>
      </c>
      <c r="R2912" s="104">
        <v>0.02</v>
      </c>
    </row>
    <row r="2913" spans="1:18" ht="15" hidden="1" customHeight="1" x14ac:dyDescent="0.3">
      <c r="A2913" s="101">
        <v>2024</v>
      </c>
      <c r="B2913" s="90">
        <v>10</v>
      </c>
      <c r="C2913" s="90" t="s">
        <v>731</v>
      </c>
      <c r="D2913" s="90" t="s">
        <v>719</v>
      </c>
      <c r="E2913" s="102" t="s">
        <v>11</v>
      </c>
      <c r="F2913" s="103" t="s">
        <v>27</v>
      </c>
      <c r="G2913" s="93">
        <v>185.76</v>
      </c>
      <c r="H2913" s="93">
        <v>3403.18</v>
      </c>
      <c r="I2913" s="93">
        <v>29201.22</v>
      </c>
      <c r="J2913" s="93">
        <v>103030.85</v>
      </c>
      <c r="K2913" s="93">
        <v>82919.92</v>
      </c>
      <c r="L2913" s="93">
        <v>184290.51</v>
      </c>
      <c r="M2913" s="93">
        <v>403031.43</v>
      </c>
      <c r="N2913" s="95">
        <v>0</v>
      </c>
      <c r="O2913" s="95">
        <v>0.02</v>
      </c>
      <c r="P2913" s="95">
        <v>0.13</v>
      </c>
      <c r="Q2913" s="95">
        <v>0.47</v>
      </c>
      <c r="R2913" s="104">
        <v>0.38</v>
      </c>
    </row>
    <row r="2914" spans="1:18" ht="15" hidden="1" customHeight="1" x14ac:dyDescent="0.3">
      <c r="A2914" s="101">
        <v>2024</v>
      </c>
      <c r="B2914" s="90">
        <v>10</v>
      </c>
      <c r="C2914" s="90" t="s">
        <v>731</v>
      </c>
      <c r="D2914" s="90" t="s">
        <v>719</v>
      </c>
      <c r="E2914" s="102" t="s">
        <v>11</v>
      </c>
      <c r="F2914" s="103" t="s">
        <v>28</v>
      </c>
      <c r="G2914" s="93">
        <v>968.86</v>
      </c>
      <c r="H2914" s="93">
        <v>8267.15</v>
      </c>
      <c r="I2914" s="93">
        <v>33748.15</v>
      </c>
      <c r="J2914" s="93">
        <v>209376.82</v>
      </c>
      <c r="K2914" s="93">
        <v>117458.58</v>
      </c>
      <c r="L2914" s="93">
        <v>85763.6</v>
      </c>
      <c r="M2914" s="93">
        <v>455583.15</v>
      </c>
      <c r="N2914" s="95">
        <v>0</v>
      </c>
      <c r="O2914" s="95">
        <v>0.02</v>
      </c>
      <c r="P2914" s="95">
        <v>0.09</v>
      </c>
      <c r="Q2914" s="95">
        <v>0.56999999999999995</v>
      </c>
      <c r="R2914" s="104">
        <v>0.32</v>
      </c>
    </row>
    <row r="2915" spans="1:18" ht="15" customHeight="1" x14ac:dyDescent="0.3">
      <c r="A2915" s="101">
        <v>2024</v>
      </c>
      <c r="B2915" s="90">
        <v>10</v>
      </c>
      <c r="C2915" s="90" t="s">
        <v>731</v>
      </c>
      <c r="D2915" s="90" t="s">
        <v>719</v>
      </c>
      <c r="E2915" s="102" t="s">
        <v>11</v>
      </c>
      <c r="F2915" s="103" t="s">
        <v>29</v>
      </c>
      <c r="G2915" s="93">
        <v>2684.14</v>
      </c>
      <c r="H2915" s="93">
        <v>13872.22</v>
      </c>
      <c r="I2915" s="93">
        <v>36745.9</v>
      </c>
      <c r="J2915" s="93">
        <v>95548.61</v>
      </c>
      <c r="K2915" s="93">
        <v>134207.51</v>
      </c>
      <c r="L2915" s="93">
        <v>12382.48</v>
      </c>
      <c r="M2915" s="93">
        <v>295440.86</v>
      </c>
      <c r="N2915" s="95">
        <v>0.01</v>
      </c>
      <c r="O2915" s="95">
        <v>0.05</v>
      </c>
      <c r="P2915" s="95">
        <v>0.13</v>
      </c>
      <c r="Q2915" s="95">
        <v>0.34</v>
      </c>
      <c r="R2915" s="104">
        <v>0.47</v>
      </c>
    </row>
    <row r="2916" spans="1:18" ht="15" hidden="1" customHeight="1" x14ac:dyDescent="0.3">
      <c r="A2916" s="101">
        <v>2024</v>
      </c>
      <c r="B2916" s="90">
        <v>10</v>
      </c>
      <c r="C2916" s="90" t="s">
        <v>731</v>
      </c>
      <c r="D2916" s="90" t="s">
        <v>719</v>
      </c>
      <c r="E2916" s="102" t="s">
        <v>11</v>
      </c>
      <c r="F2916" s="103" t="s">
        <v>30</v>
      </c>
      <c r="G2916" s="93">
        <v>195</v>
      </c>
      <c r="H2916" s="93">
        <v>2621.45</v>
      </c>
      <c r="I2916" s="93">
        <v>6007.87</v>
      </c>
      <c r="J2916" s="93">
        <v>4811.3599999999997</v>
      </c>
      <c r="K2916" s="93">
        <v>1014.24</v>
      </c>
      <c r="L2916" s="93">
        <v>402948.84</v>
      </c>
      <c r="M2916" s="93">
        <v>417598.75</v>
      </c>
      <c r="N2916" s="95">
        <v>0.01</v>
      </c>
      <c r="O2916" s="95">
        <v>0.18</v>
      </c>
      <c r="P2916" s="95">
        <v>0.41</v>
      </c>
      <c r="Q2916" s="95">
        <v>0.33</v>
      </c>
      <c r="R2916" s="104">
        <v>7.0000000000000007E-2</v>
      </c>
    </row>
    <row r="2917" spans="1:18" ht="15" hidden="1" customHeight="1" x14ac:dyDescent="0.3">
      <c r="A2917" s="101">
        <v>2024</v>
      </c>
      <c r="B2917" s="90">
        <v>10</v>
      </c>
      <c r="C2917" s="90" t="s">
        <v>731</v>
      </c>
      <c r="D2917" s="90" t="s">
        <v>719</v>
      </c>
      <c r="E2917" s="102" t="s">
        <v>11</v>
      </c>
      <c r="F2917" s="103" t="s">
        <v>31</v>
      </c>
      <c r="G2917" s="93">
        <v>14740.28</v>
      </c>
      <c r="H2917" s="93">
        <v>120361.25</v>
      </c>
      <c r="I2917" s="93">
        <v>57533.22</v>
      </c>
      <c r="J2917" s="93">
        <v>11105.58</v>
      </c>
      <c r="K2917" s="93">
        <v>798.15</v>
      </c>
      <c r="L2917" s="93">
        <v>16294.5</v>
      </c>
      <c r="M2917" s="93">
        <v>220832.99</v>
      </c>
      <c r="N2917" s="95">
        <v>7.0000000000000007E-2</v>
      </c>
      <c r="O2917" s="95">
        <v>0.59</v>
      </c>
      <c r="P2917" s="95">
        <v>0.28000000000000003</v>
      </c>
      <c r="Q2917" s="95">
        <v>0.05</v>
      </c>
      <c r="R2917" s="104">
        <v>0</v>
      </c>
    </row>
    <row r="2918" spans="1:18" ht="15" hidden="1" customHeight="1" x14ac:dyDescent="0.3">
      <c r="A2918" s="101">
        <v>2024</v>
      </c>
      <c r="B2918" s="90">
        <v>10</v>
      </c>
      <c r="C2918" s="90" t="s">
        <v>731</v>
      </c>
      <c r="D2918" s="90" t="s">
        <v>719</v>
      </c>
      <c r="E2918" s="102" t="s">
        <v>11</v>
      </c>
      <c r="F2918" s="103" t="s">
        <v>32</v>
      </c>
      <c r="G2918" s="93">
        <v>1784.76</v>
      </c>
      <c r="H2918" s="93">
        <v>13656.61</v>
      </c>
      <c r="I2918" s="93">
        <v>42428.55</v>
      </c>
      <c r="J2918" s="93">
        <v>205078.18</v>
      </c>
      <c r="K2918" s="93">
        <v>299507.48</v>
      </c>
      <c r="L2918" s="93">
        <v>0</v>
      </c>
      <c r="M2918" s="93">
        <v>562455.57999999996</v>
      </c>
      <c r="N2918" s="95">
        <v>0</v>
      </c>
      <c r="O2918" s="95">
        <v>0.02</v>
      </c>
      <c r="P2918" s="95">
        <v>0.08</v>
      </c>
      <c r="Q2918" s="95">
        <v>0.36</v>
      </c>
      <c r="R2918" s="104">
        <v>0.53</v>
      </c>
    </row>
    <row r="2919" spans="1:18" ht="15" hidden="1" customHeight="1" x14ac:dyDescent="0.3">
      <c r="A2919" s="101">
        <v>2024</v>
      </c>
      <c r="B2919" s="90">
        <v>10</v>
      </c>
      <c r="C2919" s="90" t="s">
        <v>731</v>
      </c>
      <c r="D2919" s="90" t="s">
        <v>719</v>
      </c>
      <c r="E2919" s="102" t="s">
        <v>11</v>
      </c>
      <c r="F2919" s="103" t="s">
        <v>33</v>
      </c>
      <c r="G2919" s="93">
        <v>14958.52</v>
      </c>
      <c r="H2919" s="93">
        <v>75321.67</v>
      </c>
      <c r="I2919" s="93">
        <v>533247.28</v>
      </c>
      <c r="J2919" s="93">
        <v>615392.9</v>
      </c>
      <c r="K2919" s="93">
        <v>78483.73</v>
      </c>
      <c r="L2919" s="93">
        <v>6316.31</v>
      </c>
      <c r="M2919" s="93">
        <v>1323720.4099999999</v>
      </c>
      <c r="N2919" s="95">
        <v>0.01</v>
      </c>
      <c r="O2919" s="95">
        <v>0.06</v>
      </c>
      <c r="P2919" s="95">
        <v>0.4</v>
      </c>
      <c r="Q2919" s="95">
        <v>0.47</v>
      </c>
      <c r="R2919" s="104">
        <v>0.06</v>
      </c>
    </row>
    <row r="2920" spans="1:18" ht="15" hidden="1" customHeight="1" x14ac:dyDescent="0.3">
      <c r="A2920" s="101">
        <v>2024</v>
      </c>
      <c r="B2920" s="90">
        <v>10</v>
      </c>
      <c r="C2920" s="90" t="s">
        <v>731</v>
      </c>
      <c r="D2920" s="90" t="s">
        <v>719</v>
      </c>
      <c r="E2920" s="102" t="s">
        <v>11</v>
      </c>
      <c r="F2920" s="103" t="s">
        <v>34</v>
      </c>
      <c r="G2920" s="93">
        <v>7053.88</v>
      </c>
      <c r="H2920" s="93">
        <v>27636.29</v>
      </c>
      <c r="I2920" s="93">
        <v>151565.31</v>
      </c>
      <c r="J2920" s="93">
        <v>331971.88</v>
      </c>
      <c r="K2920" s="93">
        <v>148514.85999999999</v>
      </c>
      <c r="L2920" s="93">
        <v>3703.25</v>
      </c>
      <c r="M2920" s="93">
        <v>670445.47</v>
      </c>
      <c r="N2920" s="95">
        <v>0.01</v>
      </c>
      <c r="O2920" s="95">
        <v>0.04</v>
      </c>
      <c r="P2920" s="95">
        <v>0.23</v>
      </c>
      <c r="Q2920" s="95">
        <v>0.5</v>
      </c>
      <c r="R2920" s="104">
        <v>0.22</v>
      </c>
    </row>
    <row r="2921" spans="1:18" ht="15" hidden="1" customHeight="1" x14ac:dyDescent="0.3">
      <c r="A2921" s="101">
        <v>2024</v>
      </c>
      <c r="B2921" s="90">
        <v>10</v>
      </c>
      <c r="C2921" s="90" t="s">
        <v>731</v>
      </c>
      <c r="D2921" s="90" t="s">
        <v>719</v>
      </c>
      <c r="E2921" s="102" t="s">
        <v>11</v>
      </c>
      <c r="F2921" s="103" t="s">
        <v>35</v>
      </c>
      <c r="G2921" s="93">
        <v>12558.55</v>
      </c>
      <c r="H2921" s="93">
        <v>107246.51</v>
      </c>
      <c r="I2921" s="93">
        <v>109203.56</v>
      </c>
      <c r="J2921" s="93">
        <v>104983.86</v>
      </c>
      <c r="K2921" s="93">
        <v>38656.93</v>
      </c>
      <c r="L2921" s="93">
        <v>68315</v>
      </c>
      <c r="M2921" s="93">
        <v>440964.41</v>
      </c>
      <c r="N2921" s="95">
        <v>0.03</v>
      </c>
      <c r="O2921" s="95">
        <v>0.28999999999999998</v>
      </c>
      <c r="P2921" s="95">
        <v>0.28999999999999998</v>
      </c>
      <c r="Q2921" s="95">
        <v>0.28000000000000003</v>
      </c>
      <c r="R2921" s="104">
        <v>0.1</v>
      </c>
    </row>
    <row r="2922" spans="1:18" ht="15" hidden="1" customHeight="1" x14ac:dyDescent="0.3">
      <c r="A2922" s="101">
        <v>2024</v>
      </c>
      <c r="B2922" s="90">
        <v>10</v>
      </c>
      <c r="C2922" s="90" t="s">
        <v>731</v>
      </c>
      <c r="D2922" s="90" t="s">
        <v>719</v>
      </c>
      <c r="E2922" s="102" t="s">
        <v>11</v>
      </c>
      <c r="F2922" s="103" t="s">
        <v>36</v>
      </c>
      <c r="G2922" s="93">
        <v>115.21</v>
      </c>
      <c r="H2922" s="93">
        <v>2647.97</v>
      </c>
      <c r="I2922" s="93">
        <v>8440.2800000000007</v>
      </c>
      <c r="J2922" s="93">
        <v>66783.17</v>
      </c>
      <c r="K2922" s="93">
        <v>147231.71</v>
      </c>
      <c r="L2922" s="93">
        <v>67566.37</v>
      </c>
      <c r="M2922" s="93">
        <v>292784.71000000002</v>
      </c>
      <c r="N2922" s="95">
        <v>0</v>
      </c>
      <c r="O2922" s="95">
        <v>0.01</v>
      </c>
      <c r="P2922" s="95">
        <v>0.04</v>
      </c>
      <c r="Q2922" s="95">
        <v>0.3</v>
      </c>
      <c r="R2922" s="104">
        <v>0.65</v>
      </c>
    </row>
    <row r="2923" spans="1:18" ht="15" hidden="1" customHeight="1" x14ac:dyDescent="0.3">
      <c r="A2923" s="101">
        <v>2024</v>
      </c>
      <c r="B2923" s="90">
        <v>10</v>
      </c>
      <c r="C2923" s="90" t="s">
        <v>731</v>
      </c>
      <c r="D2923" s="90" t="s">
        <v>719</v>
      </c>
      <c r="E2923" s="102" t="s">
        <v>11</v>
      </c>
      <c r="F2923" s="103" t="s">
        <v>37</v>
      </c>
      <c r="G2923" s="93">
        <v>1612.54</v>
      </c>
      <c r="H2923" s="93">
        <v>7424.01</v>
      </c>
      <c r="I2923" s="93">
        <v>36117.769999999997</v>
      </c>
      <c r="J2923" s="93">
        <v>148347.12</v>
      </c>
      <c r="K2923" s="93">
        <v>185569.26</v>
      </c>
      <c r="L2923" s="93">
        <v>306112.90000000002</v>
      </c>
      <c r="M2923" s="93">
        <v>685183.59</v>
      </c>
      <c r="N2923" s="95">
        <v>0</v>
      </c>
      <c r="O2923" s="95">
        <v>0.02</v>
      </c>
      <c r="P2923" s="95">
        <v>0.1</v>
      </c>
      <c r="Q2923" s="95">
        <v>0.39</v>
      </c>
      <c r="R2923" s="104">
        <v>0.49</v>
      </c>
    </row>
    <row r="2924" spans="1:18" ht="15" hidden="1" customHeight="1" x14ac:dyDescent="0.3">
      <c r="A2924" s="101">
        <v>2024</v>
      </c>
      <c r="B2924" s="90">
        <v>10</v>
      </c>
      <c r="C2924" s="90" t="s">
        <v>731</v>
      </c>
      <c r="D2924" s="90" t="s">
        <v>719</v>
      </c>
      <c r="E2924" s="102" t="s">
        <v>11</v>
      </c>
      <c r="F2924" s="103" t="s">
        <v>38</v>
      </c>
      <c r="G2924" s="93">
        <v>35888.6</v>
      </c>
      <c r="H2924" s="93">
        <v>96804.33</v>
      </c>
      <c r="I2924" s="93">
        <v>203491.4</v>
      </c>
      <c r="J2924" s="93">
        <v>348377.22</v>
      </c>
      <c r="K2924" s="93">
        <v>78175.520000000004</v>
      </c>
      <c r="L2924" s="93">
        <v>16970.57</v>
      </c>
      <c r="M2924" s="93">
        <v>779707.64</v>
      </c>
      <c r="N2924" s="95">
        <v>0.05</v>
      </c>
      <c r="O2924" s="95">
        <v>0.13</v>
      </c>
      <c r="P2924" s="95">
        <v>0.27</v>
      </c>
      <c r="Q2924" s="95">
        <v>0.46</v>
      </c>
      <c r="R2924" s="104">
        <v>0.1</v>
      </c>
    </row>
    <row r="2925" spans="1:18" ht="15" hidden="1" customHeight="1" x14ac:dyDescent="0.3">
      <c r="A2925" s="101">
        <v>2024</v>
      </c>
      <c r="B2925" s="90">
        <v>10</v>
      </c>
      <c r="C2925" s="90" t="s">
        <v>731</v>
      </c>
      <c r="D2925" s="90" t="s">
        <v>719</v>
      </c>
      <c r="E2925" s="102" t="s">
        <v>11</v>
      </c>
      <c r="F2925" s="103" t="s">
        <v>39</v>
      </c>
      <c r="G2925" s="93">
        <v>1285.55</v>
      </c>
      <c r="H2925" s="93">
        <v>18942.439999999999</v>
      </c>
      <c r="I2925" s="93">
        <v>38022.99</v>
      </c>
      <c r="J2925" s="93">
        <v>96762.73</v>
      </c>
      <c r="K2925" s="93">
        <v>144180.01999999999</v>
      </c>
      <c r="L2925" s="93">
        <v>41878.050000000003</v>
      </c>
      <c r="M2925" s="93">
        <v>341071.79</v>
      </c>
      <c r="N2925" s="95">
        <v>0</v>
      </c>
      <c r="O2925" s="95">
        <v>0.06</v>
      </c>
      <c r="P2925" s="95">
        <v>0.13</v>
      </c>
      <c r="Q2925" s="95">
        <v>0.32</v>
      </c>
      <c r="R2925" s="104">
        <v>0.48</v>
      </c>
    </row>
    <row r="2926" spans="1:18" ht="15" hidden="1" customHeight="1" x14ac:dyDescent="0.3">
      <c r="A2926" s="101">
        <v>2024</v>
      </c>
      <c r="B2926" s="90">
        <v>10</v>
      </c>
      <c r="C2926" s="90" t="s">
        <v>731</v>
      </c>
      <c r="D2926" s="90" t="s">
        <v>719</v>
      </c>
      <c r="E2926" s="102" t="s">
        <v>11</v>
      </c>
      <c r="F2926" s="103" t="s">
        <v>40</v>
      </c>
      <c r="G2926" s="93">
        <v>2422.35</v>
      </c>
      <c r="H2926" s="93">
        <v>47860.21</v>
      </c>
      <c r="I2926" s="93">
        <v>100106</v>
      </c>
      <c r="J2926" s="93">
        <v>126061.99</v>
      </c>
      <c r="K2926" s="93">
        <v>44714.19</v>
      </c>
      <c r="L2926" s="93">
        <v>43268.25</v>
      </c>
      <c r="M2926" s="93">
        <v>364432.98</v>
      </c>
      <c r="N2926" s="95">
        <v>0.01</v>
      </c>
      <c r="O2926" s="95">
        <v>0.15</v>
      </c>
      <c r="P2926" s="95">
        <v>0.31</v>
      </c>
      <c r="Q2926" s="95">
        <v>0.39</v>
      </c>
      <c r="R2926" s="104">
        <v>0.14000000000000001</v>
      </c>
    </row>
    <row r="2927" spans="1:18" ht="15" hidden="1" customHeight="1" x14ac:dyDescent="0.3">
      <c r="A2927" s="101">
        <v>2024</v>
      </c>
      <c r="B2927" s="90">
        <v>10</v>
      </c>
      <c r="C2927" s="90" t="s">
        <v>731</v>
      </c>
      <c r="D2927" s="90" t="s">
        <v>719</v>
      </c>
      <c r="E2927" s="102" t="s">
        <v>11</v>
      </c>
      <c r="F2927" s="103" t="s">
        <v>41</v>
      </c>
      <c r="G2927" s="93">
        <v>4243.8900000000003</v>
      </c>
      <c r="H2927" s="93">
        <v>7422.36</v>
      </c>
      <c r="I2927" s="93">
        <v>4806.78</v>
      </c>
      <c r="J2927" s="93">
        <v>1901.12</v>
      </c>
      <c r="K2927" s="93">
        <v>318.14</v>
      </c>
      <c r="L2927" s="93">
        <v>854301.47</v>
      </c>
      <c r="M2927" s="93">
        <v>872993.75</v>
      </c>
      <c r="N2927" s="95">
        <v>0.23</v>
      </c>
      <c r="O2927" s="95">
        <v>0.4</v>
      </c>
      <c r="P2927" s="95">
        <v>0.26</v>
      </c>
      <c r="Q2927" s="95">
        <v>0.1</v>
      </c>
      <c r="R2927" s="104">
        <v>0.02</v>
      </c>
    </row>
    <row r="2928" spans="1:18" ht="15" hidden="1" customHeight="1" x14ac:dyDescent="0.3">
      <c r="A2928" s="101">
        <v>2024</v>
      </c>
      <c r="B2928" s="90">
        <v>10</v>
      </c>
      <c r="C2928" s="90" t="s">
        <v>731</v>
      </c>
      <c r="D2928" s="90" t="s">
        <v>719</v>
      </c>
      <c r="E2928" s="102" t="s">
        <v>11</v>
      </c>
      <c r="F2928" s="103" t="s">
        <v>42</v>
      </c>
      <c r="G2928" s="93">
        <v>10059.06</v>
      </c>
      <c r="H2928" s="93">
        <v>61677.86</v>
      </c>
      <c r="I2928" s="93">
        <v>123700.89</v>
      </c>
      <c r="J2928" s="93">
        <v>218319.91</v>
      </c>
      <c r="K2928" s="93">
        <v>103681.75</v>
      </c>
      <c r="L2928" s="93">
        <v>0</v>
      </c>
      <c r="M2928" s="93">
        <v>517439.47</v>
      </c>
      <c r="N2928" s="95">
        <v>0.02</v>
      </c>
      <c r="O2928" s="95">
        <v>0.12</v>
      </c>
      <c r="P2928" s="95">
        <v>0.24</v>
      </c>
      <c r="Q2928" s="95">
        <v>0.42</v>
      </c>
      <c r="R2928" s="104">
        <v>0.2</v>
      </c>
    </row>
    <row r="2929" spans="1:18" ht="15" hidden="1" customHeight="1" x14ac:dyDescent="0.3">
      <c r="A2929" s="101">
        <v>2024</v>
      </c>
      <c r="B2929" s="90">
        <v>10</v>
      </c>
      <c r="C2929" s="90" t="s">
        <v>731</v>
      </c>
      <c r="D2929" s="90" t="s">
        <v>719</v>
      </c>
      <c r="E2929" s="102" t="s">
        <v>11</v>
      </c>
      <c r="F2929" s="103" t="s">
        <v>43</v>
      </c>
      <c r="G2929" s="93">
        <v>6834.37</v>
      </c>
      <c r="H2929" s="93">
        <v>38270.879999999997</v>
      </c>
      <c r="I2929" s="93">
        <v>18698.36</v>
      </c>
      <c r="J2929" s="93">
        <v>5926.73</v>
      </c>
      <c r="K2929" s="93">
        <v>367.54</v>
      </c>
      <c r="L2929" s="93">
        <v>61152.51</v>
      </c>
      <c r="M2929" s="93">
        <v>131250.38</v>
      </c>
      <c r="N2929" s="95">
        <v>0.1</v>
      </c>
      <c r="O2929" s="95">
        <v>0.55000000000000004</v>
      </c>
      <c r="P2929" s="95">
        <v>0.27</v>
      </c>
      <c r="Q2929" s="95">
        <v>0.08</v>
      </c>
      <c r="R2929" s="104">
        <v>0.01</v>
      </c>
    </row>
    <row r="2930" spans="1:18" ht="15" hidden="1" customHeight="1" x14ac:dyDescent="0.3">
      <c r="A2930" s="101">
        <v>2024</v>
      </c>
      <c r="B2930" s="90">
        <v>10</v>
      </c>
      <c r="C2930" s="90" t="s">
        <v>731</v>
      </c>
      <c r="D2930" s="90" t="s">
        <v>719</v>
      </c>
      <c r="E2930" s="102" t="s">
        <v>11</v>
      </c>
      <c r="F2930" s="103" t="s">
        <v>58</v>
      </c>
      <c r="G2930" s="93">
        <v>400.02</v>
      </c>
      <c r="H2930" s="93">
        <v>5248.13</v>
      </c>
      <c r="I2930" s="93">
        <v>30907.93</v>
      </c>
      <c r="J2930" s="93">
        <v>193886.36</v>
      </c>
      <c r="K2930" s="93">
        <v>136947.57999999999</v>
      </c>
      <c r="L2930" s="93">
        <v>3037.91</v>
      </c>
      <c r="M2930" s="93">
        <v>370427.93</v>
      </c>
      <c r="N2930" s="95">
        <v>0</v>
      </c>
      <c r="O2930" s="95">
        <v>0.01</v>
      </c>
      <c r="P2930" s="95">
        <v>0.08</v>
      </c>
      <c r="Q2930" s="95">
        <v>0.53</v>
      </c>
      <c r="R2930" s="104">
        <v>0.37</v>
      </c>
    </row>
    <row r="2931" spans="1:18" ht="15" hidden="1" customHeight="1" x14ac:dyDescent="0.3">
      <c r="A2931" s="101">
        <v>2024</v>
      </c>
      <c r="B2931" s="90">
        <v>10</v>
      </c>
      <c r="C2931" s="90" t="s">
        <v>731</v>
      </c>
      <c r="D2931" s="90" t="s">
        <v>719</v>
      </c>
      <c r="E2931" s="102" t="s">
        <v>11</v>
      </c>
      <c r="F2931" s="103" t="s">
        <v>44</v>
      </c>
      <c r="G2931" s="93">
        <v>2179.62</v>
      </c>
      <c r="H2931" s="93">
        <v>1657.55</v>
      </c>
      <c r="I2931" s="93">
        <v>4649.97</v>
      </c>
      <c r="J2931" s="93">
        <v>30550.84</v>
      </c>
      <c r="K2931" s="93">
        <v>133288.48000000001</v>
      </c>
      <c r="L2931" s="93">
        <v>19866.2</v>
      </c>
      <c r="M2931" s="93">
        <v>192192.65</v>
      </c>
      <c r="N2931" s="95">
        <v>0.01</v>
      </c>
      <c r="O2931" s="95">
        <v>0.01</v>
      </c>
      <c r="P2931" s="95">
        <v>0.03</v>
      </c>
      <c r="Q2931" s="95">
        <v>0.18</v>
      </c>
      <c r="R2931" s="104">
        <v>0.77</v>
      </c>
    </row>
    <row r="2932" spans="1:18" ht="15" hidden="1" customHeight="1" x14ac:dyDescent="0.3">
      <c r="A2932" s="101">
        <v>2024</v>
      </c>
      <c r="B2932" s="90">
        <v>10</v>
      </c>
      <c r="C2932" s="90" t="s">
        <v>731</v>
      </c>
      <c r="D2932" s="90" t="s">
        <v>719</v>
      </c>
      <c r="E2932" s="102" t="s">
        <v>11</v>
      </c>
      <c r="F2932" s="103" t="s">
        <v>51</v>
      </c>
      <c r="G2932" s="93">
        <v>1193.44</v>
      </c>
      <c r="H2932" s="93">
        <v>3313.75</v>
      </c>
      <c r="I2932" s="93">
        <v>12249.36</v>
      </c>
      <c r="J2932" s="93">
        <v>43052</v>
      </c>
      <c r="K2932" s="93">
        <v>150837.74</v>
      </c>
      <c r="L2932" s="93">
        <v>5006.1400000000003</v>
      </c>
      <c r="M2932" s="93">
        <v>215652.43</v>
      </c>
      <c r="N2932" s="95">
        <v>0.01</v>
      </c>
      <c r="O2932" s="95">
        <v>0.02</v>
      </c>
      <c r="P2932" s="95">
        <v>0.06</v>
      </c>
      <c r="Q2932" s="95">
        <v>0.2</v>
      </c>
      <c r="R2932" s="104">
        <v>0.72</v>
      </c>
    </row>
    <row r="2933" spans="1:18" ht="15" hidden="1" customHeight="1" x14ac:dyDescent="0.3">
      <c r="A2933" s="101">
        <v>2024</v>
      </c>
      <c r="B2933" s="90">
        <v>10</v>
      </c>
      <c r="C2933" s="90" t="s">
        <v>731</v>
      </c>
      <c r="D2933" s="90" t="s">
        <v>719</v>
      </c>
      <c r="E2933" s="102" t="s">
        <v>11</v>
      </c>
      <c r="F2933" s="103" t="s">
        <v>45</v>
      </c>
      <c r="G2933" s="93">
        <v>2400.2600000000002</v>
      </c>
      <c r="H2933" s="93">
        <v>7937.46</v>
      </c>
      <c r="I2933" s="93">
        <v>15655.26</v>
      </c>
      <c r="J2933" s="93">
        <v>33749.21</v>
      </c>
      <c r="K2933" s="93">
        <v>24743.77</v>
      </c>
      <c r="L2933" s="93">
        <v>26538.58</v>
      </c>
      <c r="M2933" s="93">
        <v>111024.54</v>
      </c>
      <c r="N2933" s="95">
        <v>0.03</v>
      </c>
      <c r="O2933" s="95">
        <v>0.09</v>
      </c>
      <c r="P2933" s="95">
        <v>0.19</v>
      </c>
      <c r="Q2933" s="95">
        <v>0.4</v>
      </c>
      <c r="R2933" s="104">
        <v>0.28999999999999998</v>
      </c>
    </row>
    <row r="2934" spans="1:18" ht="15" hidden="1" customHeight="1" x14ac:dyDescent="0.3">
      <c r="A2934" s="101">
        <v>2024</v>
      </c>
      <c r="B2934" s="90">
        <v>10</v>
      </c>
      <c r="C2934" s="90" t="s">
        <v>731</v>
      </c>
      <c r="D2934" s="90" t="s">
        <v>719</v>
      </c>
      <c r="E2934" s="102" t="s">
        <v>11</v>
      </c>
      <c r="F2934" s="103" t="s">
        <v>721</v>
      </c>
      <c r="G2934" s="93">
        <v>117</v>
      </c>
      <c r="H2934" s="93">
        <v>19775.41</v>
      </c>
      <c r="I2934" s="93">
        <v>74410.350000000006</v>
      </c>
      <c r="J2934" s="93">
        <v>140474.38</v>
      </c>
      <c r="K2934" s="93">
        <v>74549.149999999994</v>
      </c>
      <c r="L2934" s="93">
        <v>589713.99</v>
      </c>
      <c r="M2934" s="93">
        <v>899040.28</v>
      </c>
      <c r="N2934" s="95">
        <v>0</v>
      </c>
      <c r="O2934" s="95">
        <v>0.06</v>
      </c>
      <c r="P2934" s="95">
        <v>0.24</v>
      </c>
      <c r="Q2934" s="95">
        <v>0.45</v>
      </c>
      <c r="R2934" s="104">
        <v>0.24</v>
      </c>
    </row>
    <row r="2935" spans="1:18" ht="15" hidden="1" customHeight="1" x14ac:dyDescent="0.3">
      <c r="A2935" s="101">
        <v>2024</v>
      </c>
      <c r="B2935" s="90">
        <v>10</v>
      </c>
      <c r="C2935" s="90" t="s">
        <v>731</v>
      </c>
      <c r="D2935" s="90" t="s">
        <v>719</v>
      </c>
      <c r="E2935" s="102" t="s">
        <v>11</v>
      </c>
      <c r="F2935" s="103" t="s">
        <v>46</v>
      </c>
      <c r="G2935" s="93">
        <v>1054.55</v>
      </c>
      <c r="H2935" s="93">
        <v>6384.98</v>
      </c>
      <c r="I2935" s="93">
        <v>20561.55</v>
      </c>
      <c r="J2935" s="93">
        <v>53447.24</v>
      </c>
      <c r="K2935" s="93">
        <v>66596.039999999994</v>
      </c>
      <c r="L2935" s="93">
        <v>3335.35</v>
      </c>
      <c r="M2935" s="93">
        <v>151379.71</v>
      </c>
      <c r="N2935" s="95">
        <v>0.01</v>
      </c>
      <c r="O2935" s="95">
        <v>0.04</v>
      </c>
      <c r="P2935" s="95">
        <v>0.14000000000000001</v>
      </c>
      <c r="Q2935" s="95">
        <v>0.36</v>
      </c>
      <c r="R2935" s="104">
        <v>0.45</v>
      </c>
    </row>
    <row r="2936" spans="1:18" ht="15" hidden="1" customHeight="1" x14ac:dyDescent="0.3">
      <c r="A2936" s="101">
        <v>2024</v>
      </c>
      <c r="B2936" s="90">
        <v>10</v>
      </c>
      <c r="C2936" s="90" t="s">
        <v>731</v>
      </c>
      <c r="D2936" s="90" t="s">
        <v>719</v>
      </c>
      <c r="E2936" s="102" t="s">
        <v>11</v>
      </c>
      <c r="F2936" s="103" t="s">
        <v>47</v>
      </c>
      <c r="G2936" s="93">
        <v>7708.42</v>
      </c>
      <c r="H2936" s="93">
        <v>49725.8</v>
      </c>
      <c r="I2936" s="93">
        <v>255420.88</v>
      </c>
      <c r="J2936" s="93">
        <v>580634.89</v>
      </c>
      <c r="K2936" s="93">
        <v>402867.14</v>
      </c>
      <c r="L2936" s="93">
        <v>50237.17</v>
      </c>
      <c r="M2936" s="93">
        <v>1346594.3</v>
      </c>
      <c r="N2936" s="95">
        <v>0.01</v>
      </c>
      <c r="O2936" s="95">
        <v>0.04</v>
      </c>
      <c r="P2936" s="95">
        <v>0.2</v>
      </c>
      <c r="Q2936" s="95">
        <v>0.45</v>
      </c>
      <c r="R2936" s="104">
        <v>0.31</v>
      </c>
    </row>
    <row r="2937" spans="1:18" ht="15" hidden="1" customHeight="1" x14ac:dyDescent="0.3">
      <c r="A2937" s="101">
        <v>2024</v>
      </c>
      <c r="B2937" s="90">
        <v>10</v>
      </c>
      <c r="C2937" s="90" t="s">
        <v>731</v>
      </c>
      <c r="D2937" s="90" t="s">
        <v>719</v>
      </c>
      <c r="E2937" s="102" t="s">
        <v>11</v>
      </c>
      <c r="F2937" s="103" t="s">
        <v>48</v>
      </c>
      <c r="G2937" s="93">
        <v>70.72</v>
      </c>
      <c r="H2937" s="93">
        <v>820.05</v>
      </c>
      <c r="I2937" s="93">
        <v>2943.5</v>
      </c>
      <c r="J2937" s="93">
        <v>31319.96</v>
      </c>
      <c r="K2937" s="93">
        <v>66210.36</v>
      </c>
      <c r="L2937" s="93">
        <v>190852.78</v>
      </c>
      <c r="M2937" s="93">
        <v>292217.37</v>
      </c>
      <c r="N2937" s="95">
        <v>0</v>
      </c>
      <c r="O2937" s="95">
        <v>0.01</v>
      </c>
      <c r="P2937" s="95">
        <v>0.03</v>
      </c>
      <c r="Q2937" s="95">
        <v>0.31</v>
      </c>
      <c r="R2937" s="104">
        <v>0.65</v>
      </c>
    </row>
    <row r="2938" spans="1:18" ht="15" hidden="1" customHeight="1" x14ac:dyDescent="0.3">
      <c r="A2938" s="105">
        <v>2024</v>
      </c>
      <c r="B2938" s="90">
        <v>10</v>
      </c>
      <c r="C2938" s="90" t="s">
        <v>731</v>
      </c>
      <c r="D2938" s="90" t="s">
        <v>722</v>
      </c>
      <c r="E2938" s="102" t="s">
        <v>11</v>
      </c>
      <c r="F2938" s="106" t="s">
        <v>12</v>
      </c>
      <c r="G2938" s="93">
        <v>10666.14</v>
      </c>
      <c r="H2938" s="93">
        <v>60452.69</v>
      </c>
      <c r="I2938" s="93">
        <v>139720.07999999999</v>
      </c>
      <c r="J2938" s="93">
        <v>146424.54</v>
      </c>
      <c r="K2938" s="93">
        <v>28202.33</v>
      </c>
      <c r="L2938" s="93">
        <v>849.43</v>
      </c>
      <c r="M2938" s="93">
        <v>386315.23</v>
      </c>
      <c r="N2938" s="95">
        <v>0.03</v>
      </c>
      <c r="O2938" s="95">
        <v>0.16</v>
      </c>
      <c r="P2938" s="95">
        <v>0.36</v>
      </c>
      <c r="Q2938" s="95">
        <v>0.38</v>
      </c>
      <c r="R2938" s="95">
        <v>7.0000000000000007E-2</v>
      </c>
    </row>
    <row r="2939" spans="1:18" ht="15" hidden="1" customHeight="1" x14ac:dyDescent="0.3">
      <c r="A2939" s="105">
        <v>2024</v>
      </c>
      <c r="B2939" s="90">
        <v>10</v>
      </c>
      <c r="C2939" s="90" t="s">
        <v>731</v>
      </c>
      <c r="D2939" s="90" t="s">
        <v>722</v>
      </c>
      <c r="E2939" s="102" t="s">
        <v>11</v>
      </c>
      <c r="F2939" s="106" t="s">
        <v>26</v>
      </c>
      <c r="G2939" s="93">
        <v>96864.320000000007</v>
      </c>
      <c r="H2939" s="93">
        <v>137799.25</v>
      </c>
      <c r="I2939" s="93">
        <v>493745.04</v>
      </c>
      <c r="J2939" s="93">
        <v>310801.63</v>
      </c>
      <c r="K2939" s="93">
        <v>6304.17</v>
      </c>
      <c r="L2939" s="93">
        <v>3460.72</v>
      </c>
      <c r="M2939" s="93">
        <v>1048975.1200000001</v>
      </c>
      <c r="N2939" s="95">
        <v>0.09</v>
      </c>
      <c r="O2939" s="95">
        <v>0.13</v>
      </c>
      <c r="P2939" s="95">
        <v>0.47</v>
      </c>
      <c r="Q2939" s="95">
        <v>0.3</v>
      </c>
      <c r="R2939" s="95">
        <v>0.01</v>
      </c>
    </row>
    <row r="2940" spans="1:18" ht="15" hidden="1" customHeight="1" x14ac:dyDescent="0.3">
      <c r="A2940" s="105">
        <v>2024</v>
      </c>
      <c r="B2940" s="90">
        <v>10</v>
      </c>
      <c r="C2940" s="90" t="s">
        <v>731</v>
      </c>
      <c r="D2940" s="90" t="s">
        <v>722</v>
      </c>
      <c r="E2940" s="102" t="s">
        <v>11</v>
      </c>
      <c r="F2940" s="106" t="s">
        <v>27</v>
      </c>
      <c r="G2940" s="93">
        <v>442.28</v>
      </c>
      <c r="H2940" s="93">
        <v>14081.33</v>
      </c>
      <c r="I2940" s="93">
        <v>102120.91</v>
      </c>
      <c r="J2940" s="93">
        <v>91083.13</v>
      </c>
      <c r="K2940" s="93">
        <v>10497.22</v>
      </c>
      <c r="L2940" s="93">
        <v>184020.85</v>
      </c>
      <c r="M2940" s="93">
        <v>402245.72</v>
      </c>
      <c r="N2940" s="95">
        <v>0</v>
      </c>
      <c r="O2940" s="95">
        <v>0.06</v>
      </c>
      <c r="P2940" s="95">
        <v>0.47</v>
      </c>
      <c r="Q2940" s="95">
        <v>0.42</v>
      </c>
      <c r="R2940" s="95">
        <v>0.05</v>
      </c>
    </row>
    <row r="2941" spans="1:18" ht="15" hidden="1" customHeight="1" x14ac:dyDescent="0.3">
      <c r="A2941" s="105">
        <v>2024</v>
      </c>
      <c r="B2941" s="90">
        <v>10</v>
      </c>
      <c r="C2941" s="90" t="s">
        <v>731</v>
      </c>
      <c r="D2941" s="90" t="s">
        <v>722</v>
      </c>
      <c r="E2941" s="102" t="s">
        <v>11</v>
      </c>
      <c r="F2941" s="106" t="s">
        <v>28</v>
      </c>
      <c r="G2941" s="93">
        <v>2359.89</v>
      </c>
      <c r="H2941" s="93">
        <v>10389.92</v>
      </c>
      <c r="I2941" s="93">
        <v>98953.86</v>
      </c>
      <c r="J2941" s="93">
        <v>238174.8</v>
      </c>
      <c r="K2941" s="93">
        <v>19964.52</v>
      </c>
      <c r="L2941" s="93">
        <v>85942.86</v>
      </c>
      <c r="M2941" s="93">
        <v>455785.85</v>
      </c>
      <c r="N2941" s="95">
        <v>0.01</v>
      </c>
      <c r="O2941" s="95">
        <v>0.03</v>
      </c>
      <c r="P2941" s="95">
        <v>0.27</v>
      </c>
      <c r="Q2941" s="95">
        <v>0.64</v>
      </c>
      <c r="R2941" s="95">
        <v>0.05</v>
      </c>
    </row>
    <row r="2942" spans="1:18" ht="15" customHeight="1" x14ac:dyDescent="0.3">
      <c r="A2942" s="105">
        <v>2024</v>
      </c>
      <c r="B2942" s="90">
        <v>10</v>
      </c>
      <c r="C2942" s="90" t="s">
        <v>731</v>
      </c>
      <c r="D2942" s="90" t="s">
        <v>722</v>
      </c>
      <c r="E2942" s="102" t="s">
        <v>11</v>
      </c>
      <c r="F2942" s="106" t="s">
        <v>29</v>
      </c>
      <c r="G2942" s="93">
        <v>2640.2</v>
      </c>
      <c r="H2942" s="93">
        <v>10709.18</v>
      </c>
      <c r="I2942" s="93">
        <v>48154.89</v>
      </c>
      <c r="J2942" s="93">
        <v>153689.07999999999</v>
      </c>
      <c r="K2942" s="93">
        <v>82548.58</v>
      </c>
      <c r="L2942" s="93">
        <v>9029.02</v>
      </c>
      <c r="M2942" s="93">
        <v>306770.95</v>
      </c>
      <c r="N2942" s="95">
        <v>0.01</v>
      </c>
      <c r="O2942" s="95">
        <v>0.04</v>
      </c>
      <c r="P2942" s="95">
        <v>0.16</v>
      </c>
      <c r="Q2942" s="95">
        <v>0.52</v>
      </c>
      <c r="R2942" s="95">
        <v>0.28000000000000003</v>
      </c>
    </row>
    <row r="2943" spans="1:18" ht="15" hidden="1" customHeight="1" x14ac:dyDescent="0.3">
      <c r="A2943" s="105">
        <v>2024</v>
      </c>
      <c r="B2943" s="90">
        <v>10</v>
      </c>
      <c r="C2943" s="90" t="s">
        <v>731</v>
      </c>
      <c r="D2943" s="90" t="s">
        <v>722</v>
      </c>
      <c r="E2943" s="102" t="s">
        <v>11</v>
      </c>
      <c r="F2943" s="106" t="s">
        <v>30</v>
      </c>
      <c r="G2943" s="93">
        <v>193.76</v>
      </c>
      <c r="H2943" s="93">
        <v>1930.91</v>
      </c>
      <c r="I2943" s="93">
        <v>3234.17</v>
      </c>
      <c r="J2943" s="93">
        <v>6321.24</v>
      </c>
      <c r="K2943" s="93">
        <v>2879.97</v>
      </c>
      <c r="L2943" s="93">
        <v>369739.76</v>
      </c>
      <c r="M2943" s="93">
        <v>384299.81</v>
      </c>
      <c r="N2943" s="95">
        <v>0.01</v>
      </c>
      <c r="O2943" s="95">
        <v>0.13</v>
      </c>
      <c r="P2943" s="95">
        <v>0.22</v>
      </c>
      <c r="Q2943" s="95">
        <v>0.43</v>
      </c>
      <c r="R2943" s="95">
        <v>0.2</v>
      </c>
    </row>
    <row r="2944" spans="1:18" ht="15" hidden="1" customHeight="1" x14ac:dyDescent="0.3">
      <c r="A2944" s="105">
        <v>2024</v>
      </c>
      <c r="B2944" s="90">
        <v>10</v>
      </c>
      <c r="C2944" s="90" t="s">
        <v>731</v>
      </c>
      <c r="D2944" s="90" t="s">
        <v>722</v>
      </c>
      <c r="E2944" s="102" t="s">
        <v>11</v>
      </c>
      <c r="F2944" s="106" t="s">
        <v>31</v>
      </c>
      <c r="G2944" s="93">
        <v>9119.81</v>
      </c>
      <c r="H2944" s="93">
        <v>79052.33</v>
      </c>
      <c r="I2944" s="93">
        <v>90195.53</v>
      </c>
      <c r="J2944" s="93">
        <v>26491.37</v>
      </c>
      <c r="K2944" s="93">
        <v>2923.2</v>
      </c>
      <c r="L2944" s="93">
        <v>19829.34</v>
      </c>
      <c r="M2944" s="93">
        <v>227611.59</v>
      </c>
      <c r="N2944" s="95">
        <v>0.04</v>
      </c>
      <c r="O2944" s="95">
        <v>0.38</v>
      </c>
      <c r="P2944" s="95">
        <v>0.43</v>
      </c>
      <c r="Q2944" s="95">
        <v>0.13</v>
      </c>
      <c r="R2944" s="95">
        <v>0.01</v>
      </c>
    </row>
    <row r="2945" spans="1:18" ht="15" hidden="1" customHeight="1" x14ac:dyDescent="0.3">
      <c r="A2945" s="105">
        <v>2024</v>
      </c>
      <c r="B2945" s="90">
        <v>10</v>
      </c>
      <c r="C2945" s="90" t="s">
        <v>731</v>
      </c>
      <c r="D2945" s="90" t="s">
        <v>722</v>
      </c>
      <c r="E2945" s="102" t="s">
        <v>11</v>
      </c>
      <c r="F2945" s="106" t="s">
        <v>32</v>
      </c>
      <c r="G2945" s="93">
        <v>1268.57</v>
      </c>
      <c r="H2945" s="93">
        <v>27749.599999999999</v>
      </c>
      <c r="I2945" s="93">
        <v>125948.22</v>
      </c>
      <c r="J2945" s="93">
        <v>268816.68</v>
      </c>
      <c r="K2945" s="93">
        <v>163192.60999999999</v>
      </c>
      <c r="L2945" s="93">
        <v>0</v>
      </c>
      <c r="M2945" s="93">
        <v>586975.68000000005</v>
      </c>
      <c r="N2945" s="95">
        <v>0</v>
      </c>
      <c r="O2945" s="95">
        <v>0.05</v>
      </c>
      <c r="P2945" s="95">
        <v>0.21</v>
      </c>
      <c r="Q2945" s="95">
        <v>0.46</v>
      </c>
      <c r="R2945" s="95">
        <v>0.28000000000000003</v>
      </c>
    </row>
    <row r="2946" spans="1:18" ht="15" hidden="1" customHeight="1" x14ac:dyDescent="0.3">
      <c r="A2946" s="105">
        <v>2024</v>
      </c>
      <c r="B2946" s="90">
        <v>10</v>
      </c>
      <c r="C2946" s="90" t="s">
        <v>731</v>
      </c>
      <c r="D2946" s="90" t="s">
        <v>722</v>
      </c>
      <c r="E2946" s="102" t="s">
        <v>11</v>
      </c>
      <c r="F2946" s="106" t="s">
        <v>33</v>
      </c>
      <c r="G2946" s="93">
        <v>16354.71</v>
      </c>
      <c r="H2946" s="93">
        <v>44364.1</v>
      </c>
      <c r="I2946" s="93">
        <v>402580.03</v>
      </c>
      <c r="J2946" s="93">
        <v>718263.27</v>
      </c>
      <c r="K2946" s="93">
        <v>135761.63</v>
      </c>
      <c r="L2946" s="93">
        <v>3500.29</v>
      </c>
      <c r="M2946" s="93">
        <v>1320824.02</v>
      </c>
      <c r="N2946" s="95">
        <v>0.01</v>
      </c>
      <c r="O2946" s="95">
        <v>0.03</v>
      </c>
      <c r="P2946" s="95">
        <v>0.31</v>
      </c>
      <c r="Q2946" s="95">
        <v>0.55000000000000004</v>
      </c>
      <c r="R2946" s="95">
        <v>0.1</v>
      </c>
    </row>
    <row r="2947" spans="1:18" ht="15" hidden="1" customHeight="1" x14ac:dyDescent="0.3">
      <c r="A2947" s="105">
        <v>2024</v>
      </c>
      <c r="B2947" s="90">
        <v>10</v>
      </c>
      <c r="C2947" s="90" t="s">
        <v>731</v>
      </c>
      <c r="D2947" s="90" t="s">
        <v>722</v>
      </c>
      <c r="E2947" s="102" t="s">
        <v>11</v>
      </c>
      <c r="F2947" s="106" t="s">
        <v>34</v>
      </c>
      <c r="G2947" s="93">
        <v>4494.47</v>
      </c>
      <c r="H2947" s="93">
        <v>20720.64</v>
      </c>
      <c r="I2947" s="93">
        <v>226828.05</v>
      </c>
      <c r="J2947" s="93">
        <v>357733.26</v>
      </c>
      <c r="K2947" s="93">
        <v>75080.710000000006</v>
      </c>
      <c r="L2947" s="93">
        <v>3836.96</v>
      </c>
      <c r="M2947" s="93">
        <v>688694.08</v>
      </c>
      <c r="N2947" s="95">
        <v>0.01</v>
      </c>
      <c r="O2947" s="95">
        <v>0.03</v>
      </c>
      <c r="P2947" s="95">
        <v>0.33</v>
      </c>
      <c r="Q2947" s="95">
        <v>0.52</v>
      </c>
      <c r="R2947" s="95">
        <v>0.11</v>
      </c>
    </row>
    <row r="2948" spans="1:18" ht="15" hidden="1" customHeight="1" x14ac:dyDescent="0.3">
      <c r="A2948" s="105">
        <v>2024</v>
      </c>
      <c r="B2948" s="90">
        <v>10</v>
      </c>
      <c r="C2948" s="90" t="s">
        <v>731</v>
      </c>
      <c r="D2948" s="90" t="s">
        <v>722</v>
      </c>
      <c r="E2948" s="102" t="s">
        <v>11</v>
      </c>
      <c r="F2948" s="106" t="s">
        <v>35</v>
      </c>
      <c r="G2948" s="93">
        <v>19095.75</v>
      </c>
      <c r="H2948" s="93">
        <v>98245.79</v>
      </c>
      <c r="I2948" s="93">
        <v>100259</v>
      </c>
      <c r="J2948" s="93">
        <v>128491.8</v>
      </c>
      <c r="K2948" s="93">
        <v>26585.3</v>
      </c>
      <c r="L2948" s="93">
        <v>68172.899999999994</v>
      </c>
      <c r="M2948" s="93">
        <v>440850.54</v>
      </c>
      <c r="N2948" s="95">
        <v>0.05</v>
      </c>
      <c r="O2948" s="95">
        <v>0.26</v>
      </c>
      <c r="P2948" s="95">
        <v>0.27</v>
      </c>
      <c r="Q2948" s="95">
        <v>0.34</v>
      </c>
      <c r="R2948" s="95">
        <v>7.0000000000000007E-2</v>
      </c>
    </row>
    <row r="2949" spans="1:18" ht="15" hidden="1" customHeight="1" x14ac:dyDescent="0.3">
      <c r="A2949" s="105">
        <v>2024</v>
      </c>
      <c r="B2949" s="90">
        <v>10</v>
      </c>
      <c r="C2949" s="90" t="s">
        <v>731</v>
      </c>
      <c r="D2949" s="90" t="s">
        <v>722</v>
      </c>
      <c r="E2949" s="102" t="s">
        <v>11</v>
      </c>
      <c r="F2949" s="106" t="s">
        <v>36</v>
      </c>
      <c r="G2949" s="93">
        <v>330.07</v>
      </c>
      <c r="H2949" s="93">
        <v>3975.21</v>
      </c>
      <c r="I2949" s="93">
        <v>14971.93</v>
      </c>
      <c r="J2949" s="93">
        <v>94291.12</v>
      </c>
      <c r="K2949" s="93">
        <v>111768.03</v>
      </c>
      <c r="L2949" s="93">
        <v>68443.5</v>
      </c>
      <c r="M2949" s="93">
        <v>293779.87</v>
      </c>
      <c r="N2949" s="95">
        <v>0</v>
      </c>
      <c r="O2949" s="95">
        <v>0.02</v>
      </c>
      <c r="P2949" s="95">
        <v>7.0000000000000007E-2</v>
      </c>
      <c r="Q2949" s="95">
        <v>0.42</v>
      </c>
      <c r="R2949" s="95">
        <v>0.5</v>
      </c>
    </row>
    <row r="2950" spans="1:18" ht="15" hidden="1" customHeight="1" x14ac:dyDescent="0.3">
      <c r="A2950" s="105">
        <v>2024</v>
      </c>
      <c r="B2950" s="90">
        <v>10</v>
      </c>
      <c r="C2950" s="90" t="s">
        <v>731</v>
      </c>
      <c r="D2950" s="90" t="s">
        <v>722</v>
      </c>
      <c r="E2950" s="102" t="s">
        <v>11</v>
      </c>
      <c r="F2950" s="106" t="s">
        <v>37</v>
      </c>
      <c r="G2950" s="93">
        <v>1732.45</v>
      </c>
      <c r="H2950" s="93">
        <v>7136.52</v>
      </c>
      <c r="I2950" s="93">
        <v>55169.27</v>
      </c>
      <c r="J2950" s="93">
        <v>150938.03</v>
      </c>
      <c r="K2950" s="93">
        <v>165794.51999999999</v>
      </c>
      <c r="L2950" s="93">
        <v>306136.08</v>
      </c>
      <c r="M2950" s="93">
        <v>686906.87</v>
      </c>
      <c r="N2950" s="95">
        <v>0</v>
      </c>
      <c r="O2950" s="95">
        <v>0.02</v>
      </c>
      <c r="P2950" s="95">
        <v>0.14000000000000001</v>
      </c>
      <c r="Q2950" s="95">
        <v>0.4</v>
      </c>
      <c r="R2950" s="95">
        <v>0.44</v>
      </c>
    </row>
    <row r="2951" spans="1:18" ht="15" hidden="1" customHeight="1" x14ac:dyDescent="0.3">
      <c r="A2951" s="105">
        <v>2024</v>
      </c>
      <c r="B2951" s="90">
        <v>10</v>
      </c>
      <c r="C2951" s="90" t="s">
        <v>731</v>
      </c>
      <c r="D2951" s="90" t="s">
        <v>722</v>
      </c>
      <c r="E2951" s="102" t="s">
        <v>11</v>
      </c>
      <c r="F2951" s="106" t="s">
        <v>38</v>
      </c>
      <c r="G2951" s="93">
        <v>44000.76</v>
      </c>
      <c r="H2951" s="93">
        <v>71624.320000000007</v>
      </c>
      <c r="I2951" s="93">
        <v>167325.29999999999</v>
      </c>
      <c r="J2951" s="93">
        <v>432758.81</v>
      </c>
      <c r="K2951" s="93">
        <v>46533.52</v>
      </c>
      <c r="L2951" s="93">
        <v>16942.759999999998</v>
      </c>
      <c r="M2951" s="93">
        <v>779185.47</v>
      </c>
      <c r="N2951" s="95">
        <v>0.06</v>
      </c>
      <c r="O2951" s="95">
        <v>0.09</v>
      </c>
      <c r="P2951" s="95">
        <v>0.22</v>
      </c>
      <c r="Q2951" s="95">
        <v>0.56999999999999995</v>
      </c>
      <c r="R2951" s="95">
        <v>0.06</v>
      </c>
    </row>
    <row r="2952" spans="1:18" ht="15" hidden="1" customHeight="1" x14ac:dyDescent="0.3">
      <c r="A2952" s="105">
        <v>2024</v>
      </c>
      <c r="B2952" s="90">
        <v>10</v>
      </c>
      <c r="C2952" s="90" t="s">
        <v>731</v>
      </c>
      <c r="D2952" s="90" t="s">
        <v>722</v>
      </c>
      <c r="E2952" s="102" t="s">
        <v>11</v>
      </c>
      <c r="F2952" s="106" t="s">
        <v>39</v>
      </c>
      <c r="G2952" s="93">
        <v>1264.47</v>
      </c>
      <c r="H2952" s="93">
        <v>34109.94</v>
      </c>
      <c r="I2952" s="93">
        <v>63885.43</v>
      </c>
      <c r="J2952" s="93">
        <v>133735.49</v>
      </c>
      <c r="K2952" s="93">
        <v>71378.55</v>
      </c>
      <c r="L2952" s="93">
        <v>42548.73</v>
      </c>
      <c r="M2952" s="93">
        <v>346922.6</v>
      </c>
      <c r="N2952" s="95">
        <v>0</v>
      </c>
      <c r="O2952" s="95">
        <v>0.11</v>
      </c>
      <c r="P2952" s="95">
        <v>0.21</v>
      </c>
      <c r="Q2952" s="95">
        <v>0.44</v>
      </c>
      <c r="R2952" s="95">
        <v>0.23</v>
      </c>
    </row>
    <row r="2953" spans="1:18" ht="15" hidden="1" customHeight="1" x14ac:dyDescent="0.3">
      <c r="A2953" s="105">
        <v>2024</v>
      </c>
      <c r="B2953" s="90">
        <v>10</v>
      </c>
      <c r="C2953" s="90" t="s">
        <v>731</v>
      </c>
      <c r="D2953" s="90" t="s">
        <v>722</v>
      </c>
      <c r="E2953" s="102" t="s">
        <v>11</v>
      </c>
      <c r="F2953" s="106" t="s">
        <v>40</v>
      </c>
      <c r="G2953" s="93">
        <v>5488.05</v>
      </c>
      <c r="H2953" s="93">
        <v>69795.92</v>
      </c>
      <c r="I2953" s="93">
        <v>114357.27</v>
      </c>
      <c r="J2953" s="93">
        <v>117081.95</v>
      </c>
      <c r="K2953" s="93">
        <v>14372.03</v>
      </c>
      <c r="L2953" s="93">
        <v>43325.38</v>
      </c>
      <c r="M2953" s="93">
        <v>364420.61</v>
      </c>
      <c r="N2953" s="95">
        <v>0.02</v>
      </c>
      <c r="O2953" s="95">
        <v>0.22</v>
      </c>
      <c r="P2953" s="95">
        <v>0.36</v>
      </c>
      <c r="Q2953" s="95">
        <v>0.36</v>
      </c>
      <c r="R2953" s="95">
        <v>0.04</v>
      </c>
    </row>
    <row r="2954" spans="1:18" ht="15" hidden="1" customHeight="1" x14ac:dyDescent="0.3">
      <c r="A2954" s="105">
        <v>2024</v>
      </c>
      <c r="B2954" s="90">
        <v>10</v>
      </c>
      <c r="C2954" s="90" t="s">
        <v>731</v>
      </c>
      <c r="D2954" s="90" t="s">
        <v>722</v>
      </c>
      <c r="E2954" s="102" t="s">
        <v>11</v>
      </c>
      <c r="F2954" s="106" t="s">
        <v>41</v>
      </c>
      <c r="G2954" s="93">
        <v>4496.45</v>
      </c>
      <c r="H2954" s="93">
        <v>7112.55</v>
      </c>
      <c r="I2954" s="93">
        <v>4553.8100000000004</v>
      </c>
      <c r="J2954" s="93">
        <v>1823.27</v>
      </c>
      <c r="K2954" s="93">
        <v>177.27</v>
      </c>
      <c r="L2954" s="93">
        <v>854915.95</v>
      </c>
      <c r="M2954" s="93">
        <v>873079.29</v>
      </c>
      <c r="N2954" s="95">
        <v>0.25</v>
      </c>
      <c r="O2954" s="95">
        <v>0.39</v>
      </c>
      <c r="P2954" s="95">
        <v>0.25</v>
      </c>
      <c r="Q2954" s="95">
        <v>0.1</v>
      </c>
      <c r="R2954" s="95">
        <v>0.01</v>
      </c>
    </row>
    <row r="2955" spans="1:18" ht="15" hidden="1" customHeight="1" x14ac:dyDescent="0.3">
      <c r="A2955" s="105">
        <v>2024</v>
      </c>
      <c r="B2955" s="90">
        <v>10</v>
      </c>
      <c r="C2955" s="90" t="s">
        <v>731</v>
      </c>
      <c r="D2955" s="90" t="s">
        <v>722</v>
      </c>
      <c r="E2955" s="102" t="s">
        <v>11</v>
      </c>
      <c r="F2955" s="106" t="s">
        <v>42</v>
      </c>
      <c r="G2955" s="93">
        <v>13223.41</v>
      </c>
      <c r="H2955" s="93">
        <v>117187.37</v>
      </c>
      <c r="I2955" s="93">
        <v>223748.81</v>
      </c>
      <c r="J2955" s="93">
        <v>164657.01</v>
      </c>
      <c r="K2955" s="93">
        <v>19907.97</v>
      </c>
      <c r="L2955" s="93">
        <v>2363.89</v>
      </c>
      <c r="M2955" s="93">
        <v>541088.44999999995</v>
      </c>
      <c r="N2955" s="95">
        <v>0.02</v>
      </c>
      <c r="O2955" s="95">
        <v>0.22</v>
      </c>
      <c r="P2955" s="95">
        <v>0.42</v>
      </c>
      <c r="Q2955" s="95">
        <v>0.31</v>
      </c>
      <c r="R2955" s="95">
        <v>0.04</v>
      </c>
    </row>
    <row r="2956" spans="1:18" ht="15" hidden="1" customHeight="1" x14ac:dyDescent="0.3">
      <c r="A2956" s="105">
        <v>2024</v>
      </c>
      <c r="B2956" s="90">
        <v>10</v>
      </c>
      <c r="C2956" s="90" t="s">
        <v>731</v>
      </c>
      <c r="D2956" s="90" t="s">
        <v>722</v>
      </c>
      <c r="E2956" s="102" t="s">
        <v>11</v>
      </c>
      <c r="F2956" s="106" t="s">
        <v>43</v>
      </c>
      <c r="G2956" s="93">
        <v>3238.57</v>
      </c>
      <c r="H2956" s="93">
        <v>29402.65</v>
      </c>
      <c r="I2956" s="93">
        <v>22707.7</v>
      </c>
      <c r="J2956" s="93">
        <v>12465.56</v>
      </c>
      <c r="K2956" s="93">
        <v>1837.11</v>
      </c>
      <c r="L2956" s="93">
        <v>61474.97</v>
      </c>
      <c r="M2956" s="93">
        <v>131126.56</v>
      </c>
      <c r="N2956" s="95">
        <v>0.05</v>
      </c>
      <c r="O2956" s="95">
        <v>0.42</v>
      </c>
      <c r="P2956" s="95">
        <v>0.33</v>
      </c>
      <c r="Q2956" s="95">
        <v>0.18</v>
      </c>
      <c r="R2956" s="95">
        <v>0.03</v>
      </c>
    </row>
    <row r="2957" spans="1:18" ht="15" hidden="1" customHeight="1" x14ac:dyDescent="0.3">
      <c r="A2957" s="105">
        <v>2024</v>
      </c>
      <c r="B2957" s="90">
        <v>10</v>
      </c>
      <c r="C2957" s="90" t="s">
        <v>731</v>
      </c>
      <c r="D2957" s="90" t="s">
        <v>722</v>
      </c>
      <c r="E2957" s="102" t="s">
        <v>11</v>
      </c>
      <c r="F2957" s="106" t="s">
        <v>58</v>
      </c>
      <c r="G2957" s="93">
        <v>2294.04</v>
      </c>
      <c r="H2957" s="93">
        <v>17957.080000000002</v>
      </c>
      <c r="I2957" s="93">
        <v>137570.85</v>
      </c>
      <c r="J2957" s="93">
        <v>178827.31</v>
      </c>
      <c r="K2957" s="93">
        <v>30740.75</v>
      </c>
      <c r="L2957" s="93">
        <v>2240.21</v>
      </c>
      <c r="M2957" s="93">
        <v>369630.23</v>
      </c>
      <c r="N2957" s="95">
        <v>0.01</v>
      </c>
      <c r="O2957" s="95">
        <v>0.05</v>
      </c>
      <c r="P2957" s="95">
        <v>0.37</v>
      </c>
      <c r="Q2957" s="95">
        <v>0.49</v>
      </c>
      <c r="R2957" s="95">
        <v>0.08</v>
      </c>
    </row>
    <row r="2958" spans="1:18" ht="15" hidden="1" customHeight="1" x14ac:dyDescent="0.3">
      <c r="A2958" s="105">
        <v>2024</v>
      </c>
      <c r="B2958" s="90">
        <v>10</v>
      </c>
      <c r="C2958" s="90" t="s">
        <v>731</v>
      </c>
      <c r="D2958" s="90" t="s">
        <v>722</v>
      </c>
      <c r="E2958" s="102" t="s">
        <v>11</v>
      </c>
      <c r="F2958" s="106" t="s">
        <v>44</v>
      </c>
      <c r="G2958" s="93">
        <v>2327.34</v>
      </c>
      <c r="H2958" s="93">
        <v>1784.17</v>
      </c>
      <c r="I2958" s="93">
        <v>5466.57</v>
      </c>
      <c r="J2958" s="93">
        <v>39881.78</v>
      </c>
      <c r="K2958" s="93">
        <v>122889.7</v>
      </c>
      <c r="L2958" s="93">
        <v>46817.87</v>
      </c>
      <c r="M2958" s="93">
        <v>219167.43</v>
      </c>
      <c r="N2958" s="95">
        <v>0.01</v>
      </c>
      <c r="O2958" s="95">
        <v>0.01</v>
      </c>
      <c r="P2958" s="95">
        <v>0.03</v>
      </c>
      <c r="Q2958" s="95">
        <v>0.23</v>
      </c>
      <c r="R2958" s="95">
        <v>0.71</v>
      </c>
    </row>
    <row r="2959" spans="1:18" ht="15" hidden="1" customHeight="1" x14ac:dyDescent="0.3">
      <c r="A2959" s="105">
        <v>2024</v>
      </c>
      <c r="B2959" s="90">
        <v>10</v>
      </c>
      <c r="C2959" s="90" t="s">
        <v>731</v>
      </c>
      <c r="D2959" s="90" t="s">
        <v>722</v>
      </c>
      <c r="E2959" s="102" t="s">
        <v>11</v>
      </c>
      <c r="F2959" s="106" t="s">
        <v>51</v>
      </c>
      <c r="G2959" s="93">
        <v>1246.99</v>
      </c>
      <c r="H2959" s="93">
        <v>2740.31</v>
      </c>
      <c r="I2959" s="93">
        <v>8704.5400000000009</v>
      </c>
      <c r="J2959" s="93">
        <v>37106.160000000003</v>
      </c>
      <c r="K2959" s="93">
        <v>160888.26</v>
      </c>
      <c r="L2959" s="93">
        <v>5024.22</v>
      </c>
      <c r="M2959" s="93">
        <v>215710.48</v>
      </c>
      <c r="N2959" s="95">
        <v>0.01</v>
      </c>
      <c r="O2959" s="95">
        <v>0.01</v>
      </c>
      <c r="P2959" s="95">
        <v>0.04</v>
      </c>
      <c r="Q2959" s="95">
        <v>0.18</v>
      </c>
      <c r="R2959" s="95">
        <v>0.76</v>
      </c>
    </row>
    <row r="2960" spans="1:18" ht="15" hidden="1" customHeight="1" x14ac:dyDescent="0.3">
      <c r="A2960" s="105">
        <v>2024</v>
      </c>
      <c r="B2960" s="90">
        <v>10</v>
      </c>
      <c r="C2960" s="90" t="s">
        <v>731</v>
      </c>
      <c r="D2960" s="90" t="s">
        <v>722</v>
      </c>
      <c r="E2960" s="102" t="s">
        <v>11</v>
      </c>
      <c r="F2960" s="106" t="s">
        <v>45</v>
      </c>
      <c r="G2960" s="93">
        <v>1714.25</v>
      </c>
      <c r="H2960" s="93">
        <v>5038.09</v>
      </c>
      <c r="I2960" s="93">
        <v>13432.63</v>
      </c>
      <c r="J2960" s="93">
        <v>47744.49</v>
      </c>
      <c r="K2960" s="93">
        <v>16230.07</v>
      </c>
      <c r="L2960" s="93">
        <v>27144.9</v>
      </c>
      <c r="M2960" s="93">
        <v>111304.42</v>
      </c>
      <c r="N2960" s="95">
        <v>0.02</v>
      </c>
      <c r="O2960" s="95">
        <v>0.06</v>
      </c>
      <c r="P2960" s="95">
        <v>0.16</v>
      </c>
      <c r="Q2960" s="95">
        <v>0.56999999999999995</v>
      </c>
      <c r="R2960" s="95">
        <v>0.19</v>
      </c>
    </row>
    <row r="2961" spans="1:18" ht="15" hidden="1" customHeight="1" x14ac:dyDescent="0.3">
      <c r="A2961" s="105">
        <v>2024</v>
      </c>
      <c r="B2961" s="90">
        <v>10</v>
      </c>
      <c r="C2961" s="90" t="s">
        <v>731</v>
      </c>
      <c r="D2961" s="90" t="s">
        <v>722</v>
      </c>
      <c r="E2961" s="102" t="s">
        <v>11</v>
      </c>
      <c r="F2961" s="106" t="s">
        <v>721</v>
      </c>
      <c r="G2961" s="93">
        <v>1039.21</v>
      </c>
      <c r="H2961" s="93">
        <v>48917.72</v>
      </c>
      <c r="I2961" s="93">
        <v>127589.09</v>
      </c>
      <c r="J2961" s="93">
        <v>111736.61</v>
      </c>
      <c r="K2961" s="93">
        <v>20043.66</v>
      </c>
      <c r="L2961" s="93">
        <v>588874.98</v>
      </c>
      <c r="M2961" s="93">
        <v>898201.27</v>
      </c>
      <c r="N2961" s="95">
        <v>0</v>
      </c>
      <c r="O2961" s="95">
        <v>0.16</v>
      </c>
      <c r="P2961" s="95">
        <v>0.41</v>
      </c>
      <c r="Q2961" s="95">
        <v>0.36</v>
      </c>
      <c r="R2961" s="95">
        <v>0.06</v>
      </c>
    </row>
    <row r="2962" spans="1:18" ht="15" hidden="1" customHeight="1" x14ac:dyDescent="0.3">
      <c r="A2962" s="105">
        <v>2024</v>
      </c>
      <c r="B2962" s="90">
        <v>10</v>
      </c>
      <c r="C2962" s="90" t="s">
        <v>731</v>
      </c>
      <c r="D2962" s="90" t="s">
        <v>722</v>
      </c>
      <c r="E2962" s="102" t="s">
        <v>11</v>
      </c>
      <c r="F2962" s="106" t="s">
        <v>46</v>
      </c>
      <c r="G2962" s="93">
        <v>2110.9499999999998</v>
      </c>
      <c r="H2962" s="93">
        <v>6940.54</v>
      </c>
      <c r="I2962" s="93">
        <v>16073.68</v>
      </c>
      <c r="J2962" s="93">
        <v>37325.9</v>
      </c>
      <c r="K2962" s="93">
        <v>86292.74</v>
      </c>
      <c r="L2962" s="93">
        <v>161.72</v>
      </c>
      <c r="M2962" s="93">
        <v>148905.51</v>
      </c>
      <c r="N2962" s="95">
        <v>0.01</v>
      </c>
      <c r="O2962" s="95">
        <v>0.05</v>
      </c>
      <c r="P2962" s="95">
        <v>0.11</v>
      </c>
      <c r="Q2962" s="95">
        <v>0.25</v>
      </c>
      <c r="R2962" s="95">
        <v>0.57999999999999996</v>
      </c>
    </row>
    <row r="2963" spans="1:18" ht="15" hidden="1" customHeight="1" x14ac:dyDescent="0.3">
      <c r="A2963" s="105">
        <v>2024</v>
      </c>
      <c r="B2963" s="90">
        <v>10</v>
      </c>
      <c r="C2963" s="90" t="s">
        <v>731</v>
      </c>
      <c r="D2963" s="90" t="s">
        <v>722</v>
      </c>
      <c r="E2963" s="102" t="s">
        <v>11</v>
      </c>
      <c r="F2963" s="106" t="s">
        <v>47</v>
      </c>
      <c r="G2963" s="93">
        <v>8441.11</v>
      </c>
      <c r="H2963" s="93">
        <v>47486.75</v>
      </c>
      <c r="I2963" s="93">
        <v>237053.85</v>
      </c>
      <c r="J2963" s="93">
        <v>567489.15</v>
      </c>
      <c r="K2963" s="93">
        <v>450775.03</v>
      </c>
      <c r="L2963" s="93">
        <v>50901.31</v>
      </c>
      <c r="M2963" s="93">
        <v>1362147.2</v>
      </c>
      <c r="N2963" s="95">
        <v>0.01</v>
      </c>
      <c r="O2963" s="95">
        <v>0.04</v>
      </c>
      <c r="P2963" s="95">
        <v>0.18</v>
      </c>
      <c r="Q2963" s="95">
        <v>0.43</v>
      </c>
      <c r="R2963" s="95">
        <v>0.34</v>
      </c>
    </row>
    <row r="2964" spans="1:18" ht="15" hidden="1" customHeight="1" x14ac:dyDescent="0.3">
      <c r="A2964" s="105">
        <v>2024</v>
      </c>
      <c r="B2964" s="90">
        <v>10</v>
      </c>
      <c r="C2964" s="90" t="s">
        <v>731</v>
      </c>
      <c r="D2964" s="90" t="s">
        <v>722</v>
      </c>
      <c r="E2964" s="102" t="s">
        <v>11</v>
      </c>
      <c r="F2964" s="106" t="s">
        <v>48</v>
      </c>
      <c r="G2964" s="93">
        <v>347.73</v>
      </c>
      <c r="H2964" s="93">
        <v>1171.01</v>
      </c>
      <c r="I2964" s="93">
        <v>1593.59</v>
      </c>
      <c r="J2964" s="93">
        <v>49674.17</v>
      </c>
      <c r="K2964" s="93">
        <v>48585.58</v>
      </c>
      <c r="L2964" s="93">
        <v>175198.68</v>
      </c>
      <c r="M2964" s="93">
        <v>276570.76</v>
      </c>
      <c r="N2964" s="95">
        <v>0</v>
      </c>
      <c r="O2964" s="95">
        <v>0.01</v>
      </c>
      <c r="P2964" s="95">
        <v>0.02</v>
      </c>
      <c r="Q2964" s="95">
        <v>0.49</v>
      </c>
      <c r="R2964" s="95">
        <v>0.48</v>
      </c>
    </row>
    <row r="2965" spans="1:18" ht="15" hidden="1" customHeight="1" x14ac:dyDescent="0.3">
      <c r="A2965" s="101">
        <v>2024</v>
      </c>
      <c r="B2965" s="90">
        <v>11</v>
      </c>
      <c r="C2965" s="90" t="s">
        <v>732</v>
      </c>
      <c r="D2965" s="90" t="s">
        <v>719</v>
      </c>
      <c r="E2965" s="102" t="s">
        <v>11</v>
      </c>
      <c r="F2965" s="103" t="s">
        <v>12</v>
      </c>
      <c r="G2965" s="93">
        <v>18569.189999999999</v>
      </c>
      <c r="H2965" s="93">
        <v>59101.57</v>
      </c>
      <c r="I2965" s="93">
        <v>135864.89000000001</v>
      </c>
      <c r="J2965" s="93">
        <v>151409.51999999999</v>
      </c>
      <c r="K2965" s="93">
        <v>19286.54</v>
      </c>
      <c r="L2965" s="93">
        <v>974.53</v>
      </c>
      <c r="M2965" s="93">
        <v>385206.23</v>
      </c>
      <c r="N2965" s="95">
        <v>0.05</v>
      </c>
      <c r="O2965" s="95">
        <v>0.15</v>
      </c>
      <c r="P2965" s="95">
        <v>0.35</v>
      </c>
      <c r="Q2965" s="95">
        <v>0.39</v>
      </c>
      <c r="R2965" s="104">
        <v>0.05</v>
      </c>
    </row>
    <row r="2966" spans="1:18" ht="15" hidden="1" customHeight="1" x14ac:dyDescent="0.3">
      <c r="A2966" s="101">
        <v>2024</v>
      </c>
      <c r="B2966" s="90">
        <v>11</v>
      </c>
      <c r="C2966" s="90" t="s">
        <v>732</v>
      </c>
      <c r="D2966" s="90" t="s">
        <v>719</v>
      </c>
      <c r="E2966" s="102" t="s">
        <v>11</v>
      </c>
      <c r="F2966" s="103" t="s">
        <v>26</v>
      </c>
      <c r="G2966" s="93">
        <v>90838.080000000002</v>
      </c>
      <c r="H2966" s="93">
        <v>240930.39</v>
      </c>
      <c r="I2966" s="93">
        <v>453404.26</v>
      </c>
      <c r="J2966" s="93">
        <v>219502.66</v>
      </c>
      <c r="K2966" s="93">
        <v>14472.11</v>
      </c>
      <c r="L2966" s="93">
        <v>2062.52</v>
      </c>
      <c r="M2966" s="93">
        <v>1021210.02</v>
      </c>
      <c r="N2966" s="95">
        <v>0.09</v>
      </c>
      <c r="O2966" s="95">
        <v>0.24</v>
      </c>
      <c r="P2966" s="95">
        <v>0.44</v>
      </c>
      <c r="Q2966" s="95">
        <v>0.22</v>
      </c>
      <c r="R2966" s="104">
        <v>0.01</v>
      </c>
    </row>
    <row r="2967" spans="1:18" ht="15" hidden="1" customHeight="1" x14ac:dyDescent="0.3">
      <c r="A2967" s="101">
        <v>2024</v>
      </c>
      <c r="B2967" s="90">
        <v>11</v>
      </c>
      <c r="C2967" s="90" t="s">
        <v>732</v>
      </c>
      <c r="D2967" s="90" t="s">
        <v>719</v>
      </c>
      <c r="E2967" s="102" t="s">
        <v>11</v>
      </c>
      <c r="F2967" s="103" t="s">
        <v>27</v>
      </c>
      <c r="G2967" s="93">
        <v>265.54000000000002</v>
      </c>
      <c r="H2967" s="93">
        <v>3781.41</v>
      </c>
      <c r="I2967" s="93">
        <v>47228.77</v>
      </c>
      <c r="J2967" s="93">
        <v>139546.57</v>
      </c>
      <c r="K2967" s="93">
        <v>34321.370000000003</v>
      </c>
      <c r="L2967" s="93">
        <v>184685.46</v>
      </c>
      <c r="M2967" s="93">
        <v>409829.12</v>
      </c>
      <c r="N2967" s="95">
        <v>0</v>
      </c>
      <c r="O2967" s="95">
        <v>0.02</v>
      </c>
      <c r="P2967" s="95">
        <v>0.21</v>
      </c>
      <c r="Q2967" s="95">
        <v>0.62</v>
      </c>
      <c r="R2967" s="104">
        <v>0.15</v>
      </c>
    </row>
    <row r="2968" spans="1:18" ht="15" hidden="1" customHeight="1" x14ac:dyDescent="0.3">
      <c r="A2968" s="101">
        <v>2024</v>
      </c>
      <c r="B2968" s="90">
        <v>11</v>
      </c>
      <c r="C2968" s="90" t="s">
        <v>732</v>
      </c>
      <c r="D2968" s="90" t="s">
        <v>719</v>
      </c>
      <c r="E2968" s="102" t="s">
        <v>11</v>
      </c>
      <c r="F2968" s="103" t="s">
        <v>28</v>
      </c>
      <c r="G2968" s="93">
        <v>3047.71</v>
      </c>
      <c r="H2968" s="93">
        <v>9263.43</v>
      </c>
      <c r="I2968" s="93">
        <v>78435.11</v>
      </c>
      <c r="J2968" s="93">
        <v>245940.46</v>
      </c>
      <c r="K2968" s="93">
        <v>33146.89</v>
      </c>
      <c r="L2968" s="93">
        <v>85870.52</v>
      </c>
      <c r="M2968" s="93">
        <v>455704.12</v>
      </c>
      <c r="N2968" s="95">
        <v>0.01</v>
      </c>
      <c r="O2968" s="95">
        <v>0.03</v>
      </c>
      <c r="P2968" s="95">
        <v>0.21</v>
      </c>
      <c r="Q2968" s="95">
        <v>0.67</v>
      </c>
      <c r="R2968" s="104">
        <v>0.09</v>
      </c>
    </row>
    <row r="2969" spans="1:18" ht="15" customHeight="1" x14ac:dyDescent="0.3">
      <c r="A2969" s="101">
        <v>2024</v>
      </c>
      <c r="B2969" s="90">
        <v>11</v>
      </c>
      <c r="C2969" s="90" t="s">
        <v>732</v>
      </c>
      <c r="D2969" s="90" t="s">
        <v>719</v>
      </c>
      <c r="E2969" s="102" t="s">
        <v>11</v>
      </c>
      <c r="F2969" s="103" t="s">
        <v>29</v>
      </c>
      <c r="G2969" s="93">
        <v>4126.95</v>
      </c>
      <c r="H2969" s="93">
        <v>3582.57</v>
      </c>
      <c r="I2969" s="93">
        <v>24989.18</v>
      </c>
      <c r="J2969" s="93">
        <v>37552.51</v>
      </c>
      <c r="K2969" s="93">
        <v>56652.19</v>
      </c>
      <c r="L2969" s="93">
        <v>65463.17</v>
      </c>
      <c r="M2969" s="93">
        <v>192366.57</v>
      </c>
      <c r="N2969" s="95">
        <v>0.03</v>
      </c>
      <c r="O2969" s="95">
        <v>0.03</v>
      </c>
      <c r="P2969" s="95">
        <v>0.2</v>
      </c>
      <c r="Q2969" s="95">
        <v>0.3</v>
      </c>
      <c r="R2969" s="104">
        <v>0.45</v>
      </c>
    </row>
    <row r="2970" spans="1:18" ht="15" hidden="1" customHeight="1" x14ac:dyDescent="0.3">
      <c r="A2970" s="101">
        <v>2024</v>
      </c>
      <c r="B2970" s="90">
        <v>11</v>
      </c>
      <c r="C2970" s="90" t="s">
        <v>732</v>
      </c>
      <c r="D2970" s="90" t="s">
        <v>719</v>
      </c>
      <c r="E2970" s="102" t="s">
        <v>11</v>
      </c>
      <c r="F2970" s="103" t="s">
        <v>30</v>
      </c>
      <c r="G2970" s="93">
        <v>1062.27</v>
      </c>
      <c r="H2970" s="93">
        <v>1944.32</v>
      </c>
      <c r="I2970" s="93">
        <v>3054.33</v>
      </c>
      <c r="J2970" s="93">
        <v>1774.2</v>
      </c>
      <c r="K2970" s="93">
        <v>208.99</v>
      </c>
      <c r="L2970" s="93">
        <v>397585.73</v>
      </c>
      <c r="M2970" s="93">
        <v>405629.85</v>
      </c>
      <c r="N2970" s="95">
        <v>0.13</v>
      </c>
      <c r="O2970" s="95">
        <v>0.24</v>
      </c>
      <c r="P2970" s="95">
        <v>0.38</v>
      </c>
      <c r="Q2970" s="95">
        <v>0.22</v>
      </c>
      <c r="R2970" s="104">
        <v>0.03</v>
      </c>
    </row>
    <row r="2971" spans="1:18" ht="15" hidden="1" customHeight="1" x14ac:dyDescent="0.3">
      <c r="A2971" s="101">
        <v>2024</v>
      </c>
      <c r="B2971" s="90">
        <v>11</v>
      </c>
      <c r="C2971" s="90" t="s">
        <v>732</v>
      </c>
      <c r="D2971" s="90" t="s">
        <v>719</v>
      </c>
      <c r="E2971" s="102" t="s">
        <v>11</v>
      </c>
      <c r="F2971" s="103" t="s">
        <v>31</v>
      </c>
      <c r="G2971" s="93">
        <v>4025.24</v>
      </c>
      <c r="H2971" s="93">
        <v>61130.62</v>
      </c>
      <c r="I2971" s="93">
        <v>89014.34</v>
      </c>
      <c r="J2971" s="93">
        <v>44418.36</v>
      </c>
      <c r="K2971" s="93">
        <v>8935.2099999999991</v>
      </c>
      <c r="L2971" s="93">
        <v>12498.45</v>
      </c>
      <c r="M2971" s="93">
        <v>220022.22</v>
      </c>
      <c r="N2971" s="95">
        <v>0.02</v>
      </c>
      <c r="O2971" s="95">
        <v>0.28999999999999998</v>
      </c>
      <c r="P2971" s="95">
        <v>0.43</v>
      </c>
      <c r="Q2971" s="95">
        <v>0.21</v>
      </c>
      <c r="R2971" s="104">
        <v>0.04</v>
      </c>
    </row>
    <row r="2972" spans="1:18" ht="15" hidden="1" customHeight="1" x14ac:dyDescent="0.3">
      <c r="A2972" s="101">
        <v>2024</v>
      </c>
      <c r="B2972" s="90">
        <v>11</v>
      </c>
      <c r="C2972" s="90" t="s">
        <v>732</v>
      </c>
      <c r="D2972" s="90" t="s">
        <v>719</v>
      </c>
      <c r="E2972" s="102" t="s">
        <v>11</v>
      </c>
      <c r="F2972" s="103" t="s">
        <v>32</v>
      </c>
      <c r="G2972" s="93">
        <v>4576.05</v>
      </c>
      <c r="H2972" s="93">
        <v>33663.25</v>
      </c>
      <c r="I2972" s="93">
        <v>131010.35</v>
      </c>
      <c r="J2972" s="93">
        <v>85423</v>
      </c>
      <c r="K2972" s="93">
        <v>20735.93</v>
      </c>
      <c r="L2972" s="93">
        <v>0</v>
      </c>
      <c r="M2972" s="93">
        <v>275408.58</v>
      </c>
      <c r="N2972" s="95">
        <v>0.02</v>
      </c>
      <c r="O2972" s="95">
        <v>0.12</v>
      </c>
      <c r="P2972" s="95">
        <v>0.48</v>
      </c>
      <c r="Q2972" s="95">
        <v>0.31</v>
      </c>
      <c r="R2972" s="104">
        <v>0.08</v>
      </c>
    </row>
    <row r="2973" spans="1:18" ht="15" hidden="1" customHeight="1" x14ac:dyDescent="0.3">
      <c r="A2973" s="101">
        <v>2024</v>
      </c>
      <c r="B2973" s="90">
        <v>11</v>
      </c>
      <c r="C2973" s="90" t="s">
        <v>732</v>
      </c>
      <c r="D2973" s="90" t="s">
        <v>719</v>
      </c>
      <c r="E2973" s="102" t="s">
        <v>11</v>
      </c>
      <c r="F2973" s="103" t="s">
        <v>33</v>
      </c>
      <c r="G2973" s="93">
        <v>23829.38</v>
      </c>
      <c r="H2973" s="93">
        <v>139003.57</v>
      </c>
      <c r="I2973" s="93">
        <v>682694.84</v>
      </c>
      <c r="J2973" s="93">
        <v>381871.48</v>
      </c>
      <c r="K2973" s="93">
        <v>26885.43</v>
      </c>
      <c r="L2973" s="93">
        <v>4246.29</v>
      </c>
      <c r="M2973" s="93">
        <v>1258530.99</v>
      </c>
      <c r="N2973" s="95">
        <v>0.02</v>
      </c>
      <c r="O2973" s="95">
        <v>0.11</v>
      </c>
      <c r="P2973" s="95">
        <v>0.54</v>
      </c>
      <c r="Q2973" s="95">
        <v>0.3</v>
      </c>
      <c r="R2973" s="104">
        <v>0.02</v>
      </c>
    </row>
    <row r="2974" spans="1:18" ht="15" hidden="1" customHeight="1" x14ac:dyDescent="0.3">
      <c r="A2974" s="101">
        <v>2024</v>
      </c>
      <c r="B2974" s="90">
        <v>11</v>
      </c>
      <c r="C2974" s="90" t="s">
        <v>732</v>
      </c>
      <c r="D2974" s="90" t="s">
        <v>719</v>
      </c>
      <c r="E2974" s="102" t="s">
        <v>11</v>
      </c>
      <c r="F2974" s="103" t="s">
        <v>34</v>
      </c>
      <c r="G2974" s="93">
        <v>6104.01</v>
      </c>
      <c r="H2974" s="93">
        <v>33697.01</v>
      </c>
      <c r="I2974" s="93">
        <v>187224.57</v>
      </c>
      <c r="J2974" s="93">
        <v>278062.78000000003</v>
      </c>
      <c r="K2974" s="93">
        <v>68846.789999999994</v>
      </c>
      <c r="L2974" s="93">
        <v>4031.14</v>
      </c>
      <c r="M2974" s="93">
        <v>577966.31000000006</v>
      </c>
      <c r="N2974" s="95">
        <v>0.01</v>
      </c>
      <c r="O2974" s="95">
        <v>0.06</v>
      </c>
      <c r="P2974" s="95">
        <v>0.33</v>
      </c>
      <c r="Q2974" s="95">
        <v>0.48</v>
      </c>
      <c r="R2974" s="104">
        <v>0.12</v>
      </c>
    </row>
    <row r="2975" spans="1:18" ht="15" hidden="1" customHeight="1" x14ac:dyDescent="0.3">
      <c r="A2975" s="101">
        <v>2024</v>
      </c>
      <c r="B2975" s="90">
        <v>11</v>
      </c>
      <c r="C2975" s="90" t="s">
        <v>732</v>
      </c>
      <c r="D2975" s="90" t="s">
        <v>719</v>
      </c>
      <c r="E2975" s="102" t="s">
        <v>11</v>
      </c>
      <c r="F2975" s="103" t="s">
        <v>35</v>
      </c>
      <c r="G2975" s="93">
        <v>24843.33</v>
      </c>
      <c r="H2975" s="93">
        <v>88110.63</v>
      </c>
      <c r="I2975" s="93">
        <v>91232.5</v>
      </c>
      <c r="J2975" s="93">
        <v>132680.37</v>
      </c>
      <c r="K2975" s="93">
        <v>35810.49</v>
      </c>
      <c r="L2975" s="93">
        <v>69264.53</v>
      </c>
      <c r="M2975" s="93">
        <v>441941.84</v>
      </c>
      <c r="N2975" s="95">
        <v>7.0000000000000007E-2</v>
      </c>
      <c r="O2975" s="95">
        <v>0.24</v>
      </c>
      <c r="P2975" s="95">
        <v>0.24</v>
      </c>
      <c r="Q2975" s="95">
        <v>0.36</v>
      </c>
      <c r="R2975" s="104">
        <v>0.1</v>
      </c>
    </row>
    <row r="2976" spans="1:18" ht="15" hidden="1" customHeight="1" x14ac:dyDescent="0.3">
      <c r="A2976" s="101">
        <v>2024</v>
      </c>
      <c r="B2976" s="90">
        <v>11</v>
      </c>
      <c r="C2976" s="90" t="s">
        <v>732</v>
      </c>
      <c r="D2976" s="90" t="s">
        <v>719</v>
      </c>
      <c r="E2976" s="102" t="s">
        <v>11</v>
      </c>
      <c r="F2976" s="103" t="s">
        <v>36</v>
      </c>
      <c r="G2976" s="93">
        <v>1091.1600000000001</v>
      </c>
      <c r="H2976" s="93">
        <v>1194.8499999999999</v>
      </c>
      <c r="I2976" s="93">
        <v>8145.68</v>
      </c>
      <c r="J2976" s="93">
        <v>34350.06</v>
      </c>
      <c r="K2976" s="93">
        <v>4737.49</v>
      </c>
      <c r="L2976" s="93">
        <v>77740.92</v>
      </c>
      <c r="M2976" s="93">
        <v>127260.17</v>
      </c>
      <c r="N2976" s="95">
        <v>0.02</v>
      </c>
      <c r="O2976" s="95">
        <v>0.02</v>
      </c>
      <c r="P2976" s="95">
        <v>0.16</v>
      </c>
      <c r="Q2976" s="95">
        <v>0.69</v>
      </c>
      <c r="R2976" s="104">
        <v>0.1</v>
      </c>
    </row>
    <row r="2977" spans="1:18" ht="15" hidden="1" customHeight="1" x14ac:dyDescent="0.3">
      <c r="A2977" s="101">
        <v>2024</v>
      </c>
      <c r="B2977" s="90">
        <v>11</v>
      </c>
      <c r="C2977" s="90" t="s">
        <v>732</v>
      </c>
      <c r="D2977" s="90" t="s">
        <v>719</v>
      </c>
      <c r="E2977" s="102" t="s">
        <v>11</v>
      </c>
      <c r="F2977" s="103" t="s">
        <v>37</v>
      </c>
      <c r="G2977" s="93">
        <v>2504.06</v>
      </c>
      <c r="H2977" s="93">
        <v>22364.32</v>
      </c>
      <c r="I2977" s="93">
        <v>90839.56</v>
      </c>
      <c r="J2977" s="93">
        <v>85828.44</v>
      </c>
      <c r="K2977" s="93">
        <v>99481.95</v>
      </c>
      <c r="L2977" s="93">
        <v>307130.86</v>
      </c>
      <c r="M2977" s="93">
        <v>608149.19999999995</v>
      </c>
      <c r="N2977" s="95">
        <v>0.01</v>
      </c>
      <c r="O2977" s="95">
        <v>7.0000000000000007E-2</v>
      </c>
      <c r="P2977" s="95">
        <v>0.3</v>
      </c>
      <c r="Q2977" s="95">
        <v>0.28999999999999998</v>
      </c>
      <c r="R2977" s="104">
        <v>0.33</v>
      </c>
    </row>
    <row r="2978" spans="1:18" ht="15" hidden="1" customHeight="1" x14ac:dyDescent="0.3">
      <c r="A2978" s="101">
        <v>2024</v>
      </c>
      <c r="B2978" s="90">
        <v>11</v>
      </c>
      <c r="C2978" s="90" t="s">
        <v>732</v>
      </c>
      <c r="D2978" s="90" t="s">
        <v>719</v>
      </c>
      <c r="E2978" s="102" t="s">
        <v>11</v>
      </c>
      <c r="F2978" s="103" t="s">
        <v>38</v>
      </c>
      <c r="G2978" s="93">
        <v>47933.47</v>
      </c>
      <c r="H2978" s="93">
        <v>62833.79</v>
      </c>
      <c r="I2978" s="93">
        <v>112731.42</v>
      </c>
      <c r="J2978" s="93">
        <v>426614.64</v>
      </c>
      <c r="K2978" s="93">
        <v>112084.98</v>
      </c>
      <c r="L2978" s="93">
        <v>17486.63</v>
      </c>
      <c r="M2978" s="93">
        <v>779684.93</v>
      </c>
      <c r="N2978" s="95">
        <v>0.06</v>
      </c>
      <c r="O2978" s="95">
        <v>0.08</v>
      </c>
      <c r="P2978" s="95">
        <v>0.15</v>
      </c>
      <c r="Q2978" s="95">
        <v>0.56000000000000005</v>
      </c>
      <c r="R2978" s="104">
        <v>0.15</v>
      </c>
    </row>
    <row r="2979" spans="1:18" ht="15" hidden="1" customHeight="1" x14ac:dyDescent="0.3">
      <c r="A2979" s="101">
        <v>2024</v>
      </c>
      <c r="B2979" s="90">
        <v>11</v>
      </c>
      <c r="C2979" s="90" t="s">
        <v>732</v>
      </c>
      <c r="D2979" s="90" t="s">
        <v>719</v>
      </c>
      <c r="E2979" s="102" t="s">
        <v>11</v>
      </c>
      <c r="F2979" s="103" t="s">
        <v>39</v>
      </c>
      <c r="G2979" s="93">
        <v>821.3</v>
      </c>
      <c r="H2979" s="93">
        <v>11330.19</v>
      </c>
      <c r="I2979" s="93">
        <v>63125.77</v>
      </c>
      <c r="J2979" s="93">
        <v>132418.65</v>
      </c>
      <c r="K2979" s="93">
        <v>50105.8</v>
      </c>
      <c r="L2979" s="93">
        <v>42621.34</v>
      </c>
      <c r="M2979" s="93">
        <v>300423.05</v>
      </c>
      <c r="N2979" s="95">
        <v>0</v>
      </c>
      <c r="O2979" s="95">
        <v>0.04</v>
      </c>
      <c r="P2979" s="95">
        <v>0.24</v>
      </c>
      <c r="Q2979" s="95">
        <v>0.51</v>
      </c>
      <c r="R2979" s="104">
        <v>0.19</v>
      </c>
    </row>
    <row r="2980" spans="1:18" ht="15" hidden="1" customHeight="1" x14ac:dyDescent="0.3">
      <c r="A2980" s="101">
        <v>2024</v>
      </c>
      <c r="B2980" s="90">
        <v>11</v>
      </c>
      <c r="C2980" s="90" t="s">
        <v>732</v>
      </c>
      <c r="D2980" s="90" t="s">
        <v>719</v>
      </c>
      <c r="E2980" s="102" t="s">
        <v>11</v>
      </c>
      <c r="F2980" s="103" t="s">
        <v>40</v>
      </c>
      <c r="G2980" s="93">
        <v>5927.49</v>
      </c>
      <c r="H2980" s="93">
        <v>43577.98</v>
      </c>
      <c r="I2980" s="93">
        <v>107398.56</v>
      </c>
      <c r="J2980" s="93">
        <v>136827.91</v>
      </c>
      <c r="K2980" s="93">
        <v>26005.51</v>
      </c>
      <c r="L2980" s="93">
        <v>43187.48</v>
      </c>
      <c r="M2980" s="93">
        <v>362924.94</v>
      </c>
      <c r="N2980" s="95">
        <v>0.02</v>
      </c>
      <c r="O2980" s="95">
        <v>0.14000000000000001</v>
      </c>
      <c r="P2980" s="95">
        <v>0.34</v>
      </c>
      <c r="Q2980" s="95">
        <v>0.43</v>
      </c>
      <c r="R2980" s="104">
        <v>0.08</v>
      </c>
    </row>
    <row r="2981" spans="1:18" ht="15" hidden="1" customHeight="1" x14ac:dyDescent="0.3">
      <c r="A2981" s="101">
        <v>2024</v>
      </c>
      <c r="B2981" s="90">
        <v>11</v>
      </c>
      <c r="C2981" s="90" t="s">
        <v>732</v>
      </c>
      <c r="D2981" s="90" t="s">
        <v>719</v>
      </c>
      <c r="E2981" s="102" t="s">
        <v>11</v>
      </c>
      <c r="F2981" s="103" t="s">
        <v>41</v>
      </c>
      <c r="G2981" s="93">
        <v>7525.36</v>
      </c>
      <c r="H2981" s="93">
        <v>5488.78</v>
      </c>
      <c r="I2981" s="93">
        <v>2579.89</v>
      </c>
      <c r="J2981" s="93">
        <v>938.03</v>
      </c>
      <c r="K2981" s="93">
        <v>79.09</v>
      </c>
      <c r="L2981" s="93">
        <v>877741.98</v>
      </c>
      <c r="M2981" s="93">
        <v>894353.14</v>
      </c>
      <c r="N2981" s="95">
        <v>0.45</v>
      </c>
      <c r="O2981" s="95">
        <v>0.33</v>
      </c>
      <c r="P2981" s="95">
        <v>0.16</v>
      </c>
      <c r="Q2981" s="95">
        <v>0.06</v>
      </c>
      <c r="R2981" s="104">
        <v>0</v>
      </c>
    </row>
    <row r="2982" spans="1:18" ht="15" hidden="1" customHeight="1" x14ac:dyDescent="0.3">
      <c r="A2982" s="101">
        <v>2024</v>
      </c>
      <c r="B2982" s="90">
        <v>11</v>
      </c>
      <c r="C2982" s="90" t="s">
        <v>732</v>
      </c>
      <c r="D2982" s="90" t="s">
        <v>719</v>
      </c>
      <c r="E2982" s="102" t="s">
        <v>11</v>
      </c>
      <c r="F2982" s="103" t="s">
        <v>42</v>
      </c>
      <c r="G2982" s="93">
        <v>22127.95</v>
      </c>
      <c r="H2982" s="93">
        <v>88692.29</v>
      </c>
      <c r="I2982" s="93">
        <v>159577.17000000001</v>
      </c>
      <c r="J2982" s="93">
        <v>196818.44</v>
      </c>
      <c r="K2982" s="93">
        <v>34531.019999999997</v>
      </c>
      <c r="L2982" s="93">
        <v>9683.7199999999993</v>
      </c>
      <c r="M2982" s="93">
        <v>511430.59</v>
      </c>
      <c r="N2982" s="95">
        <v>0.04</v>
      </c>
      <c r="O2982" s="95">
        <v>0.18</v>
      </c>
      <c r="P2982" s="95">
        <v>0.32</v>
      </c>
      <c r="Q2982" s="95">
        <v>0.39</v>
      </c>
      <c r="R2982" s="104">
        <v>7.0000000000000007E-2</v>
      </c>
    </row>
    <row r="2983" spans="1:18" ht="15" hidden="1" customHeight="1" x14ac:dyDescent="0.3">
      <c r="A2983" s="101">
        <v>2024</v>
      </c>
      <c r="B2983" s="90">
        <v>11</v>
      </c>
      <c r="C2983" s="90" t="s">
        <v>732</v>
      </c>
      <c r="D2983" s="90" t="s">
        <v>719</v>
      </c>
      <c r="E2983" s="102" t="s">
        <v>11</v>
      </c>
      <c r="F2983" s="103" t="s">
        <v>43</v>
      </c>
      <c r="G2983" s="93">
        <v>2724.61</v>
      </c>
      <c r="H2983" s="93">
        <v>22523.99</v>
      </c>
      <c r="I2983" s="93">
        <v>22945.46</v>
      </c>
      <c r="J2983" s="93">
        <v>17080.07</v>
      </c>
      <c r="K2983" s="93">
        <v>4125.38</v>
      </c>
      <c r="L2983" s="93">
        <v>60770.21</v>
      </c>
      <c r="M2983" s="93">
        <v>130169.72</v>
      </c>
      <c r="N2983" s="95">
        <v>0.04</v>
      </c>
      <c r="O2983" s="95">
        <v>0.32</v>
      </c>
      <c r="P2983" s="95">
        <v>0.33</v>
      </c>
      <c r="Q2983" s="95">
        <v>0.25</v>
      </c>
      <c r="R2983" s="104">
        <v>0.06</v>
      </c>
    </row>
    <row r="2984" spans="1:18" ht="15" hidden="1" customHeight="1" x14ac:dyDescent="0.3">
      <c r="A2984" s="101">
        <v>2024</v>
      </c>
      <c r="B2984" s="90">
        <v>11</v>
      </c>
      <c r="C2984" s="90" t="s">
        <v>732</v>
      </c>
      <c r="D2984" s="90" t="s">
        <v>719</v>
      </c>
      <c r="E2984" s="102" t="s">
        <v>11</v>
      </c>
      <c r="F2984" s="103" t="s">
        <v>58</v>
      </c>
      <c r="G2984" s="93">
        <v>1783.01</v>
      </c>
      <c r="H2984" s="93">
        <v>10784.96</v>
      </c>
      <c r="I2984" s="93">
        <v>108798.56</v>
      </c>
      <c r="J2984" s="93">
        <v>212738.77</v>
      </c>
      <c r="K2984" s="93">
        <v>33294.019999999997</v>
      </c>
      <c r="L2984" s="93">
        <v>3066.29</v>
      </c>
      <c r="M2984" s="93">
        <v>370465.63</v>
      </c>
      <c r="N2984" s="95">
        <v>0</v>
      </c>
      <c r="O2984" s="95">
        <v>0.03</v>
      </c>
      <c r="P2984" s="95">
        <v>0.3</v>
      </c>
      <c r="Q2984" s="95">
        <v>0.57999999999999996</v>
      </c>
      <c r="R2984" s="104">
        <v>0.09</v>
      </c>
    </row>
    <row r="2985" spans="1:18" ht="15" hidden="1" customHeight="1" x14ac:dyDescent="0.3">
      <c r="A2985" s="101">
        <v>2024</v>
      </c>
      <c r="B2985" s="90">
        <v>11</v>
      </c>
      <c r="C2985" s="90" t="s">
        <v>732</v>
      </c>
      <c r="D2985" s="90" t="s">
        <v>719</v>
      </c>
      <c r="E2985" s="102" t="s">
        <v>11</v>
      </c>
      <c r="F2985" s="103" t="s">
        <v>44</v>
      </c>
      <c r="G2985" s="93">
        <v>1440.64</v>
      </c>
      <c r="H2985" s="93">
        <v>1725.36</v>
      </c>
      <c r="I2985" s="93">
        <v>11005.7</v>
      </c>
      <c r="J2985" s="93">
        <v>33274.589999999997</v>
      </c>
      <c r="K2985" s="93">
        <v>19634.07</v>
      </c>
      <c r="L2985" s="93">
        <v>16576.37</v>
      </c>
      <c r="M2985" s="93">
        <v>83656.740000000005</v>
      </c>
      <c r="N2985" s="95">
        <v>0.02</v>
      </c>
      <c r="O2985" s="95">
        <v>0.03</v>
      </c>
      <c r="P2985" s="95">
        <v>0.16</v>
      </c>
      <c r="Q2985" s="95">
        <v>0.5</v>
      </c>
      <c r="R2985" s="104">
        <v>0.28999999999999998</v>
      </c>
    </row>
    <row r="2986" spans="1:18" ht="15" hidden="1" customHeight="1" x14ac:dyDescent="0.3">
      <c r="A2986" s="101">
        <v>2024</v>
      </c>
      <c r="B2986" s="90">
        <v>11</v>
      </c>
      <c r="C2986" s="90" t="s">
        <v>732</v>
      </c>
      <c r="D2986" s="90" t="s">
        <v>719</v>
      </c>
      <c r="E2986" s="102" t="s">
        <v>11</v>
      </c>
      <c r="F2986" s="103" t="s">
        <v>51</v>
      </c>
      <c r="G2986" s="93">
        <v>1271.05</v>
      </c>
      <c r="H2986" s="93">
        <v>3560.61</v>
      </c>
      <c r="I2986" s="93">
        <v>9404.99</v>
      </c>
      <c r="J2986" s="93">
        <v>20255.29</v>
      </c>
      <c r="K2986" s="93">
        <v>175980.45</v>
      </c>
      <c r="L2986" s="93">
        <v>5043.05</v>
      </c>
      <c r="M2986" s="93">
        <v>215515.45</v>
      </c>
      <c r="N2986" s="95">
        <v>0.01</v>
      </c>
      <c r="O2986" s="95">
        <v>0.02</v>
      </c>
      <c r="P2986" s="95">
        <v>0.04</v>
      </c>
      <c r="Q2986" s="95">
        <v>0.1</v>
      </c>
      <c r="R2986" s="104">
        <v>0.84</v>
      </c>
    </row>
    <row r="2987" spans="1:18" ht="15" hidden="1" customHeight="1" x14ac:dyDescent="0.3">
      <c r="A2987" s="101">
        <v>2024</v>
      </c>
      <c r="B2987" s="90">
        <v>11</v>
      </c>
      <c r="C2987" s="90" t="s">
        <v>732</v>
      </c>
      <c r="D2987" s="90" t="s">
        <v>719</v>
      </c>
      <c r="E2987" s="102" t="s">
        <v>11</v>
      </c>
      <c r="F2987" s="103" t="s">
        <v>45</v>
      </c>
      <c r="G2987" s="93">
        <v>1972.45</v>
      </c>
      <c r="H2987" s="93">
        <v>2276.8200000000002</v>
      </c>
      <c r="I2987" s="93">
        <v>6827.15</v>
      </c>
      <c r="J2987" s="93">
        <v>29536.55</v>
      </c>
      <c r="K2987" s="93">
        <v>18675.88</v>
      </c>
      <c r="L2987" s="93">
        <v>28874.5</v>
      </c>
      <c r="M2987" s="93">
        <v>88163.35</v>
      </c>
      <c r="N2987" s="95">
        <v>0.03</v>
      </c>
      <c r="O2987" s="95">
        <v>0.04</v>
      </c>
      <c r="P2987" s="95">
        <v>0.12</v>
      </c>
      <c r="Q2987" s="95">
        <v>0.5</v>
      </c>
      <c r="R2987" s="104">
        <v>0.31</v>
      </c>
    </row>
    <row r="2988" spans="1:18" ht="15" hidden="1" customHeight="1" x14ac:dyDescent="0.3">
      <c r="A2988" s="101">
        <v>2024</v>
      </c>
      <c r="B2988" s="90">
        <v>11</v>
      </c>
      <c r="C2988" s="90" t="s">
        <v>732</v>
      </c>
      <c r="D2988" s="90" t="s">
        <v>719</v>
      </c>
      <c r="E2988" s="102" t="s">
        <v>11</v>
      </c>
      <c r="F2988" s="103" t="s">
        <v>721</v>
      </c>
      <c r="G2988" s="93">
        <v>3378.54</v>
      </c>
      <c r="H2988" s="93">
        <v>52125.13</v>
      </c>
      <c r="I2988" s="93">
        <v>124970.7</v>
      </c>
      <c r="J2988" s="93">
        <v>109275.87</v>
      </c>
      <c r="K2988" s="93">
        <v>19576.05</v>
      </c>
      <c r="L2988" s="93">
        <v>587851.46</v>
      </c>
      <c r="M2988" s="93">
        <v>897177.75</v>
      </c>
      <c r="N2988" s="95">
        <v>0.01</v>
      </c>
      <c r="O2988" s="95">
        <v>0.17</v>
      </c>
      <c r="P2988" s="95">
        <v>0.4</v>
      </c>
      <c r="Q2988" s="95">
        <v>0.35</v>
      </c>
      <c r="R2988" s="104">
        <v>0.06</v>
      </c>
    </row>
    <row r="2989" spans="1:18" ht="15" hidden="1" customHeight="1" x14ac:dyDescent="0.3">
      <c r="A2989" s="101">
        <v>2024</v>
      </c>
      <c r="B2989" s="90">
        <v>11</v>
      </c>
      <c r="C2989" s="90" t="s">
        <v>732</v>
      </c>
      <c r="D2989" s="90" t="s">
        <v>719</v>
      </c>
      <c r="E2989" s="102" t="s">
        <v>11</v>
      </c>
      <c r="F2989" s="103" t="s">
        <v>46</v>
      </c>
      <c r="G2989" s="93">
        <v>2175.33</v>
      </c>
      <c r="H2989" s="93">
        <v>7753.98</v>
      </c>
      <c r="I2989" s="93">
        <v>19579.86</v>
      </c>
      <c r="J2989" s="93">
        <v>52314.42</v>
      </c>
      <c r="K2989" s="93">
        <v>66144.52</v>
      </c>
      <c r="L2989" s="93">
        <v>37718.92</v>
      </c>
      <c r="M2989" s="93">
        <v>185687.03</v>
      </c>
      <c r="N2989" s="95">
        <v>0.01</v>
      </c>
      <c r="O2989" s="95">
        <v>0.05</v>
      </c>
      <c r="P2989" s="95">
        <v>0.13</v>
      </c>
      <c r="Q2989" s="95">
        <v>0.35</v>
      </c>
      <c r="R2989" s="104">
        <v>0.45</v>
      </c>
    </row>
    <row r="2990" spans="1:18" ht="15" hidden="1" customHeight="1" x14ac:dyDescent="0.3">
      <c r="A2990" s="101">
        <v>2024</v>
      </c>
      <c r="B2990" s="90">
        <v>11</v>
      </c>
      <c r="C2990" s="90" t="s">
        <v>732</v>
      </c>
      <c r="D2990" s="90" t="s">
        <v>719</v>
      </c>
      <c r="E2990" s="102" t="s">
        <v>11</v>
      </c>
      <c r="F2990" s="103" t="s">
        <v>47</v>
      </c>
      <c r="G2990" s="93">
        <v>7530.38</v>
      </c>
      <c r="H2990" s="93">
        <v>31680.39</v>
      </c>
      <c r="I2990" s="93">
        <v>148747.1</v>
      </c>
      <c r="J2990" s="93">
        <v>535499.01</v>
      </c>
      <c r="K2990" s="93">
        <v>657905.63</v>
      </c>
      <c r="L2990" s="93">
        <v>51899.56</v>
      </c>
      <c r="M2990" s="93">
        <v>1433262.0800000001</v>
      </c>
      <c r="N2990" s="95">
        <v>0.01</v>
      </c>
      <c r="O2990" s="95">
        <v>0.02</v>
      </c>
      <c r="P2990" s="95">
        <v>0.11</v>
      </c>
      <c r="Q2990" s="95">
        <v>0.39</v>
      </c>
      <c r="R2990" s="104">
        <v>0.48</v>
      </c>
    </row>
    <row r="2991" spans="1:18" ht="15" hidden="1" customHeight="1" x14ac:dyDescent="0.3">
      <c r="A2991" s="101">
        <v>2024</v>
      </c>
      <c r="B2991" s="90">
        <v>11</v>
      </c>
      <c r="C2991" s="90" t="s">
        <v>732</v>
      </c>
      <c r="D2991" s="90" t="s">
        <v>719</v>
      </c>
      <c r="E2991" s="102" t="s">
        <v>11</v>
      </c>
      <c r="F2991" s="103" t="s">
        <v>48</v>
      </c>
      <c r="G2991" s="93">
        <v>655.59</v>
      </c>
      <c r="H2991" s="93">
        <v>96.82</v>
      </c>
      <c r="I2991" s="93">
        <v>632.67999999999995</v>
      </c>
      <c r="J2991" s="93">
        <v>1408.78</v>
      </c>
      <c r="K2991" s="93">
        <v>6475.09</v>
      </c>
      <c r="L2991" s="93">
        <v>158406.35</v>
      </c>
      <c r="M2991" s="93">
        <v>167675.31</v>
      </c>
      <c r="N2991" s="95">
        <v>7.0000000000000007E-2</v>
      </c>
      <c r="O2991" s="95">
        <v>0.01</v>
      </c>
      <c r="P2991" s="95">
        <v>7.0000000000000007E-2</v>
      </c>
      <c r="Q2991" s="95">
        <v>0.15</v>
      </c>
      <c r="R2991" s="104">
        <v>0.7</v>
      </c>
    </row>
    <row r="2992" spans="1:18" ht="15" hidden="1" customHeight="1" x14ac:dyDescent="0.3">
      <c r="A2992" s="101">
        <v>2024</v>
      </c>
      <c r="B2992" s="90">
        <v>12</v>
      </c>
      <c r="C2992" s="90" t="s">
        <v>733</v>
      </c>
      <c r="D2992" s="90" t="s">
        <v>719</v>
      </c>
      <c r="E2992" s="102" t="s">
        <v>11</v>
      </c>
      <c r="F2992" s="103" t="s">
        <v>12</v>
      </c>
      <c r="G2992" s="93">
        <v>15616.23</v>
      </c>
      <c r="H2992" s="93">
        <v>41679.32</v>
      </c>
      <c r="I2992" s="93">
        <v>139517.82</v>
      </c>
      <c r="J2992" s="93">
        <v>164497</v>
      </c>
      <c r="K2992" s="93">
        <v>24266.73</v>
      </c>
      <c r="L2992" s="93">
        <v>558.35</v>
      </c>
      <c r="M2992" s="93">
        <v>386135.45</v>
      </c>
      <c r="N2992" s="95">
        <v>0.04</v>
      </c>
      <c r="O2992" s="95">
        <v>0.11</v>
      </c>
      <c r="P2992" s="95">
        <v>0.36</v>
      </c>
      <c r="Q2992" s="95">
        <v>0.43</v>
      </c>
      <c r="R2992" s="104">
        <v>0.06</v>
      </c>
    </row>
    <row r="2993" spans="1:18" ht="15" hidden="1" customHeight="1" x14ac:dyDescent="0.3">
      <c r="A2993" s="101">
        <v>2024</v>
      </c>
      <c r="B2993" s="90">
        <v>12</v>
      </c>
      <c r="C2993" s="90" t="s">
        <v>733</v>
      </c>
      <c r="D2993" s="90" t="s">
        <v>719</v>
      </c>
      <c r="E2993" s="102" t="s">
        <v>11</v>
      </c>
      <c r="F2993" s="103" t="s">
        <v>26</v>
      </c>
      <c r="G2993" s="93">
        <v>136224.85</v>
      </c>
      <c r="H2993" s="93">
        <v>245643.23</v>
      </c>
      <c r="I2993" s="93">
        <v>407822.23</v>
      </c>
      <c r="J2993" s="93">
        <v>231911.48</v>
      </c>
      <c r="K2993" s="93">
        <v>22569.64</v>
      </c>
      <c r="L2993" s="93">
        <v>1879.4</v>
      </c>
      <c r="M2993" s="93">
        <v>1046050.83</v>
      </c>
      <c r="N2993" s="95">
        <v>0.13</v>
      </c>
      <c r="O2993" s="95">
        <v>0.24</v>
      </c>
      <c r="P2993" s="95">
        <v>0.39</v>
      </c>
      <c r="Q2993" s="95">
        <v>0.22</v>
      </c>
      <c r="R2993" s="104">
        <v>0.02</v>
      </c>
    </row>
    <row r="2994" spans="1:18" ht="15" hidden="1" customHeight="1" x14ac:dyDescent="0.3">
      <c r="A2994" s="101">
        <v>2024</v>
      </c>
      <c r="B2994" s="90">
        <v>12</v>
      </c>
      <c r="C2994" s="90" t="s">
        <v>733</v>
      </c>
      <c r="D2994" s="90" t="s">
        <v>719</v>
      </c>
      <c r="E2994" s="102" t="s">
        <v>11</v>
      </c>
      <c r="F2994" s="103" t="s">
        <v>27</v>
      </c>
      <c r="G2994" s="93">
        <v>581.01</v>
      </c>
      <c r="H2994" s="93">
        <v>12455.81</v>
      </c>
      <c r="I2994" s="93">
        <v>98299.65</v>
      </c>
      <c r="J2994" s="93">
        <v>98890.72</v>
      </c>
      <c r="K2994" s="93">
        <v>6537.5</v>
      </c>
      <c r="L2994" s="93">
        <v>185213.72</v>
      </c>
      <c r="M2994" s="93">
        <v>401978.41</v>
      </c>
      <c r="N2994" s="95">
        <v>0</v>
      </c>
      <c r="O2994" s="95">
        <v>0.06</v>
      </c>
      <c r="P2994" s="95">
        <v>0.45</v>
      </c>
      <c r="Q2994" s="95">
        <v>0.46</v>
      </c>
      <c r="R2994" s="104">
        <v>0.03</v>
      </c>
    </row>
    <row r="2995" spans="1:18" ht="15" hidden="1" customHeight="1" x14ac:dyDescent="0.3">
      <c r="A2995" s="101">
        <v>2024</v>
      </c>
      <c r="B2995" s="90">
        <v>12</v>
      </c>
      <c r="C2995" s="90" t="s">
        <v>733</v>
      </c>
      <c r="D2995" s="90" t="s">
        <v>719</v>
      </c>
      <c r="E2995" s="102" t="s">
        <v>11</v>
      </c>
      <c r="F2995" s="103" t="s">
        <v>28</v>
      </c>
      <c r="G2995" s="93">
        <v>4192.1000000000004</v>
      </c>
      <c r="H2995" s="93">
        <v>30820</v>
      </c>
      <c r="I2995" s="93">
        <v>199835.82</v>
      </c>
      <c r="J2995" s="93">
        <v>132670.18</v>
      </c>
      <c r="K2995" s="93">
        <v>2151.3200000000002</v>
      </c>
      <c r="L2995" s="93">
        <v>85819.41</v>
      </c>
      <c r="M2995" s="93">
        <v>455488.83</v>
      </c>
      <c r="N2995" s="95">
        <v>0.01</v>
      </c>
      <c r="O2995" s="95">
        <v>0.08</v>
      </c>
      <c r="P2995" s="95">
        <v>0.54</v>
      </c>
      <c r="Q2995" s="95">
        <v>0.36</v>
      </c>
      <c r="R2995" s="104">
        <v>0.01</v>
      </c>
    </row>
    <row r="2996" spans="1:18" ht="15" customHeight="1" x14ac:dyDescent="0.3">
      <c r="A2996" s="101">
        <v>2024</v>
      </c>
      <c r="B2996" s="90">
        <v>12</v>
      </c>
      <c r="C2996" s="90" t="s">
        <v>733</v>
      </c>
      <c r="D2996" s="90" t="s">
        <v>719</v>
      </c>
      <c r="E2996" s="102" t="s">
        <v>11</v>
      </c>
      <c r="F2996" s="103" t="s">
        <v>29</v>
      </c>
      <c r="G2996" s="93">
        <v>2303.65</v>
      </c>
      <c r="H2996" s="93">
        <v>7238.61</v>
      </c>
      <c r="I2996" s="93">
        <v>37892.36</v>
      </c>
      <c r="J2996" s="93">
        <v>161290.31</v>
      </c>
      <c r="K2996" s="93">
        <v>85004.96</v>
      </c>
      <c r="L2996" s="93">
        <v>24379.88</v>
      </c>
      <c r="M2996" s="93">
        <v>318109.76</v>
      </c>
      <c r="N2996" s="95">
        <v>0.01</v>
      </c>
      <c r="O2996" s="95">
        <v>0.02</v>
      </c>
      <c r="P2996" s="95">
        <v>0.13</v>
      </c>
      <c r="Q2996" s="95">
        <v>0.55000000000000004</v>
      </c>
      <c r="R2996" s="104">
        <v>0.28999999999999998</v>
      </c>
    </row>
    <row r="2997" spans="1:18" ht="15" hidden="1" customHeight="1" x14ac:dyDescent="0.3">
      <c r="A2997" s="101">
        <v>2024</v>
      </c>
      <c r="B2997" s="90">
        <v>12</v>
      </c>
      <c r="C2997" s="90" t="s">
        <v>733</v>
      </c>
      <c r="D2997" s="90" t="s">
        <v>719</v>
      </c>
      <c r="E2997" s="102" t="s">
        <v>11</v>
      </c>
      <c r="F2997" s="103" t="s">
        <v>30</v>
      </c>
      <c r="G2997" s="93">
        <v>305.42</v>
      </c>
      <c r="H2997" s="93">
        <v>1650.72</v>
      </c>
      <c r="I2997" s="93">
        <v>2971.84</v>
      </c>
      <c r="J2997" s="93">
        <v>6224.34</v>
      </c>
      <c r="K2997" s="93">
        <v>3349.14</v>
      </c>
      <c r="L2997" s="93">
        <v>346205.92</v>
      </c>
      <c r="M2997" s="93">
        <v>360707.38</v>
      </c>
      <c r="N2997" s="95">
        <v>0.02</v>
      </c>
      <c r="O2997" s="95">
        <v>0.11</v>
      </c>
      <c r="P2997" s="95">
        <v>0.2</v>
      </c>
      <c r="Q2997" s="95">
        <v>0.43</v>
      </c>
      <c r="R2997" s="104">
        <v>0.23</v>
      </c>
    </row>
    <row r="2998" spans="1:18" ht="15" hidden="1" customHeight="1" x14ac:dyDescent="0.3">
      <c r="A2998" s="101">
        <v>2024</v>
      </c>
      <c r="B2998" s="90">
        <v>12</v>
      </c>
      <c r="C2998" s="90" t="s">
        <v>733</v>
      </c>
      <c r="D2998" s="90" t="s">
        <v>719</v>
      </c>
      <c r="E2998" s="102" t="s">
        <v>11</v>
      </c>
      <c r="F2998" s="103" t="s">
        <v>31</v>
      </c>
      <c r="G2998" s="93">
        <v>7741.83</v>
      </c>
      <c r="H2998" s="93">
        <v>74464.600000000006</v>
      </c>
      <c r="I2998" s="93">
        <v>70703.53</v>
      </c>
      <c r="J2998" s="93">
        <v>39765.79</v>
      </c>
      <c r="K2998" s="93">
        <v>15463.58</v>
      </c>
      <c r="L2998" s="93">
        <v>14464.07</v>
      </c>
      <c r="M2998" s="93">
        <v>222603.4</v>
      </c>
      <c r="N2998" s="95">
        <v>0.04</v>
      </c>
      <c r="O2998" s="95">
        <v>0.36</v>
      </c>
      <c r="P2998" s="95">
        <v>0.34</v>
      </c>
      <c r="Q2998" s="95">
        <v>0.19</v>
      </c>
      <c r="R2998" s="104">
        <v>7.0000000000000007E-2</v>
      </c>
    </row>
    <row r="2999" spans="1:18" ht="15" hidden="1" customHeight="1" x14ac:dyDescent="0.3">
      <c r="A2999" s="101">
        <v>2024</v>
      </c>
      <c r="B2999" s="90">
        <v>12</v>
      </c>
      <c r="C2999" s="90" t="s">
        <v>733</v>
      </c>
      <c r="D2999" s="90" t="s">
        <v>719</v>
      </c>
      <c r="E2999" s="102" t="s">
        <v>11</v>
      </c>
      <c r="F2999" s="103" t="s">
        <v>32</v>
      </c>
      <c r="G2999" s="93">
        <v>5060.6899999999996</v>
      </c>
      <c r="H2999" s="93">
        <v>64921.69</v>
      </c>
      <c r="I2999" s="93">
        <v>153617.56</v>
      </c>
      <c r="J2999" s="93">
        <v>338646.98</v>
      </c>
      <c r="K2999" s="93">
        <v>23998.11</v>
      </c>
      <c r="L2999" s="93">
        <v>253.1</v>
      </c>
      <c r="M2999" s="93">
        <v>586498.13</v>
      </c>
      <c r="N2999" s="95">
        <v>0.01</v>
      </c>
      <c r="O2999" s="95">
        <v>0.11</v>
      </c>
      <c r="P2999" s="95">
        <v>0.26</v>
      </c>
      <c r="Q2999" s="95">
        <v>0.57999999999999996</v>
      </c>
      <c r="R2999" s="104">
        <v>0.04</v>
      </c>
    </row>
    <row r="3000" spans="1:18" ht="15" hidden="1" customHeight="1" x14ac:dyDescent="0.3">
      <c r="A3000" s="101">
        <v>2024</v>
      </c>
      <c r="B3000" s="90">
        <v>12</v>
      </c>
      <c r="C3000" s="90" t="s">
        <v>733</v>
      </c>
      <c r="D3000" s="90" t="s">
        <v>719</v>
      </c>
      <c r="E3000" s="102" t="s">
        <v>11</v>
      </c>
      <c r="F3000" s="103" t="s">
        <v>33</v>
      </c>
      <c r="G3000" s="93">
        <v>96283.27</v>
      </c>
      <c r="H3000" s="93">
        <v>477526.73</v>
      </c>
      <c r="I3000" s="93">
        <v>536328.73</v>
      </c>
      <c r="J3000" s="93">
        <v>172527.5</v>
      </c>
      <c r="K3000" s="93">
        <v>26273.33</v>
      </c>
      <c r="L3000" s="93">
        <v>3626</v>
      </c>
      <c r="M3000" s="93">
        <v>1312565.57</v>
      </c>
      <c r="N3000" s="95">
        <v>7.0000000000000007E-2</v>
      </c>
      <c r="O3000" s="95">
        <v>0.36</v>
      </c>
      <c r="P3000" s="95">
        <v>0.41</v>
      </c>
      <c r="Q3000" s="95">
        <v>0.13</v>
      </c>
      <c r="R3000" s="104">
        <v>0.02</v>
      </c>
    </row>
    <row r="3001" spans="1:18" ht="15" hidden="1" customHeight="1" x14ac:dyDescent="0.3">
      <c r="A3001" s="101">
        <v>2024</v>
      </c>
      <c r="B3001" s="90">
        <v>12</v>
      </c>
      <c r="C3001" s="90" t="s">
        <v>733</v>
      </c>
      <c r="D3001" s="90" t="s">
        <v>719</v>
      </c>
      <c r="E3001" s="102" t="s">
        <v>11</v>
      </c>
      <c r="F3001" s="103" t="s">
        <v>34</v>
      </c>
      <c r="G3001" s="93">
        <v>4186.08</v>
      </c>
      <c r="H3001" s="93">
        <v>15647.37</v>
      </c>
      <c r="I3001" s="93">
        <v>154914.14000000001</v>
      </c>
      <c r="J3001" s="93">
        <v>393189.54</v>
      </c>
      <c r="K3001" s="93">
        <v>113695.86</v>
      </c>
      <c r="L3001" s="93">
        <v>4228.08</v>
      </c>
      <c r="M3001" s="93">
        <v>685861.06</v>
      </c>
      <c r="N3001" s="95">
        <v>0.01</v>
      </c>
      <c r="O3001" s="95">
        <v>0.02</v>
      </c>
      <c r="P3001" s="95">
        <v>0.23</v>
      </c>
      <c r="Q3001" s="95">
        <v>0.57999999999999996</v>
      </c>
      <c r="R3001" s="104">
        <v>0.17</v>
      </c>
    </row>
    <row r="3002" spans="1:18" ht="15" hidden="1" customHeight="1" x14ac:dyDescent="0.3">
      <c r="A3002" s="101">
        <v>2024</v>
      </c>
      <c r="B3002" s="90">
        <v>12</v>
      </c>
      <c r="C3002" s="90" t="s">
        <v>733</v>
      </c>
      <c r="D3002" s="90" t="s">
        <v>719</v>
      </c>
      <c r="E3002" s="102" t="s">
        <v>11</v>
      </c>
      <c r="F3002" s="103" t="s">
        <v>35</v>
      </c>
      <c r="G3002" s="93">
        <v>30158.1</v>
      </c>
      <c r="H3002" s="93">
        <v>111611.11</v>
      </c>
      <c r="I3002" s="93">
        <v>113033.47</v>
      </c>
      <c r="J3002" s="93">
        <v>109904.55</v>
      </c>
      <c r="K3002" s="93">
        <v>7922.28</v>
      </c>
      <c r="L3002" s="93">
        <v>68844.39</v>
      </c>
      <c r="M3002" s="93">
        <v>441473.9</v>
      </c>
      <c r="N3002" s="95">
        <v>0.08</v>
      </c>
      <c r="O3002" s="95">
        <v>0.3</v>
      </c>
      <c r="P3002" s="95">
        <v>0.3</v>
      </c>
      <c r="Q3002" s="95">
        <v>0.28999999999999998</v>
      </c>
      <c r="R3002" s="104">
        <v>0.02</v>
      </c>
    </row>
    <row r="3003" spans="1:18" ht="15" hidden="1" customHeight="1" x14ac:dyDescent="0.3">
      <c r="A3003" s="101">
        <v>2024</v>
      </c>
      <c r="B3003" s="90">
        <v>12</v>
      </c>
      <c r="C3003" s="90" t="s">
        <v>733</v>
      </c>
      <c r="D3003" s="90" t="s">
        <v>719</v>
      </c>
      <c r="E3003" s="102" t="s">
        <v>11</v>
      </c>
      <c r="F3003" s="103" t="s">
        <v>36</v>
      </c>
      <c r="G3003" s="93">
        <v>1950.13</v>
      </c>
      <c r="H3003" s="93">
        <v>10471.09</v>
      </c>
      <c r="I3003" s="93">
        <v>66707.899999999994</v>
      </c>
      <c r="J3003" s="93">
        <v>136935.44</v>
      </c>
      <c r="K3003" s="93">
        <v>9143.2800000000007</v>
      </c>
      <c r="L3003" s="93">
        <v>80877.41</v>
      </c>
      <c r="M3003" s="93">
        <v>306085.25</v>
      </c>
      <c r="N3003" s="95">
        <v>0.01</v>
      </c>
      <c r="O3003" s="95">
        <v>0.05</v>
      </c>
      <c r="P3003" s="95">
        <v>0.3</v>
      </c>
      <c r="Q3003" s="95">
        <v>0.61</v>
      </c>
      <c r="R3003" s="104">
        <v>0.04</v>
      </c>
    </row>
    <row r="3004" spans="1:18" ht="15" hidden="1" customHeight="1" x14ac:dyDescent="0.3">
      <c r="A3004" s="101">
        <v>2024</v>
      </c>
      <c r="B3004" s="90">
        <v>12</v>
      </c>
      <c r="C3004" s="90" t="s">
        <v>733</v>
      </c>
      <c r="D3004" s="90" t="s">
        <v>719</v>
      </c>
      <c r="E3004" s="102" t="s">
        <v>11</v>
      </c>
      <c r="F3004" s="103" t="s">
        <v>37</v>
      </c>
      <c r="G3004" s="93">
        <v>4131.8900000000003</v>
      </c>
      <c r="H3004" s="93">
        <v>15284.81</v>
      </c>
      <c r="I3004" s="93">
        <v>63524.65</v>
      </c>
      <c r="J3004" s="93">
        <v>169420.47</v>
      </c>
      <c r="K3004" s="93">
        <v>126386.79</v>
      </c>
      <c r="L3004" s="93">
        <v>306009.63</v>
      </c>
      <c r="M3004" s="93">
        <v>684758.24</v>
      </c>
      <c r="N3004" s="95">
        <v>0.01</v>
      </c>
      <c r="O3004" s="95">
        <v>0.04</v>
      </c>
      <c r="P3004" s="95">
        <v>0.17</v>
      </c>
      <c r="Q3004" s="95">
        <v>0.45</v>
      </c>
      <c r="R3004" s="104">
        <v>0.33</v>
      </c>
    </row>
    <row r="3005" spans="1:18" ht="15" hidden="1" customHeight="1" x14ac:dyDescent="0.3">
      <c r="A3005" s="101">
        <v>2024</v>
      </c>
      <c r="B3005" s="90">
        <v>12</v>
      </c>
      <c r="C3005" s="90" t="s">
        <v>733</v>
      </c>
      <c r="D3005" s="90" t="s">
        <v>719</v>
      </c>
      <c r="E3005" s="102" t="s">
        <v>11</v>
      </c>
      <c r="F3005" s="103" t="s">
        <v>38</v>
      </c>
      <c r="G3005" s="93">
        <v>66207.63</v>
      </c>
      <c r="H3005" s="93">
        <v>77672.08</v>
      </c>
      <c r="I3005" s="93">
        <v>213647.74</v>
      </c>
      <c r="J3005" s="93">
        <v>362912.51</v>
      </c>
      <c r="K3005" s="93">
        <v>34023.31</v>
      </c>
      <c r="L3005" s="93">
        <v>17124.439999999999</v>
      </c>
      <c r="M3005" s="93">
        <v>771587.72</v>
      </c>
      <c r="N3005" s="95">
        <v>0.09</v>
      </c>
      <c r="O3005" s="95">
        <v>0.1</v>
      </c>
      <c r="P3005" s="95">
        <v>0.28000000000000003</v>
      </c>
      <c r="Q3005" s="95">
        <v>0.48</v>
      </c>
      <c r="R3005" s="104">
        <v>0.05</v>
      </c>
    </row>
    <row r="3006" spans="1:18" ht="15" hidden="1" customHeight="1" x14ac:dyDescent="0.3">
      <c r="A3006" s="101">
        <v>2024</v>
      </c>
      <c r="B3006" s="90">
        <v>12</v>
      </c>
      <c r="C3006" s="90" t="s">
        <v>733</v>
      </c>
      <c r="D3006" s="90" t="s">
        <v>719</v>
      </c>
      <c r="E3006" s="102" t="s">
        <v>11</v>
      </c>
      <c r="F3006" s="103" t="s">
        <v>39</v>
      </c>
      <c r="G3006" s="93">
        <v>511.88</v>
      </c>
      <c r="H3006" s="93">
        <v>18285.57</v>
      </c>
      <c r="I3006" s="93">
        <v>104168.42</v>
      </c>
      <c r="J3006" s="93">
        <v>169762.52</v>
      </c>
      <c r="K3006" s="93">
        <v>22512.86</v>
      </c>
      <c r="L3006" s="93">
        <v>42329.08</v>
      </c>
      <c r="M3006" s="93">
        <v>357570.34</v>
      </c>
      <c r="N3006" s="95">
        <v>0</v>
      </c>
      <c r="O3006" s="95">
        <v>0.06</v>
      </c>
      <c r="P3006" s="95">
        <v>0.33</v>
      </c>
      <c r="Q3006" s="95">
        <v>0.54</v>
      </c>
      <c r="R3006" s="104">
        <v>7.0000000000000007E-2</v>
      </c>
    </row>
    <row r="3007" spans="1:18" ht="15" hidden="1" customHeight="1" x14ac:dyDescent="0.3">
      <c r="A3007" s="101">
        <v>2024</v>
      </c>
      <c r="B3007" s="90">
        <v>12</v>
      </c>
      <c r="C3007" s="90" t="s">
        <v>733</v>
      </c>
      <c r="D3007" s="90" t="s">
        <v>719</v>
      </c>
      <c r="E3007" s="102" t="s">
        <v>11</v>
      </c>
      <c r="F3007" s="103" t="s">
        <v>40</v>
      </c>
      <c r="G3007" s="93">
        <v>2472.36</v>
      </c>
      <c r="H3007" s="93">
        <v>13258.44</v>
      </c>
      <c r="I3007" s="93">
        <v>83743.41</v>
      </c>
      <c r="J3007" s="93">
        <v>182706.44</v>
      </c>
      <c r="K3007" s="93">
        <v>38970.129999999997</v>
      </c>
      <c r="L3007" s="93">
        <v>43244.639999999999</v>
      </c>
      <c r="M3007" s="93">
        <v>364395.41</v>
      </c>
      <c r="N3007" s="95">
        <v>0.01</v>
      </c>
      <c r="O3007" s="95">
        <v>0.04</v>
      </c>
      <c r="P3007" s="95">
        <v>0.26</v>
      </c>
      <c r="Q3007" s="95">
        <v>0.56999999999999995</v>
      </c>
      <c r="R3007" s="104">
        <v>0.12</v>
      </c>
    </row>
    <row r="3008" spans="1:18" ht="15" hidden="1" customHeight="1" x14ac:dyDescent="0.3">
      <c r="A3008" s="101">
        <v>2024</v>
      </c>
      <c r="B3008" s="90">
        <v>12</v>
      </c>
      <c r="C3008" s="90" t="s">
        <v>733</v>
      </c>
      <c r="D3008" s="90" t="s">
        <v>719</v>
      </c>
      <c r="E3008" s="102" t="s">
        <v>11</v>
      </c>
      <c r="F3008" s="103" t="s">
        <v>41</v>
      </c>
      <c r="G3008" s="93">
        <v>4007.6</v>
      </c>
      <c r="H3008" s="93">
        <v>8430.32</v>
      </c>
      <c r="I3008" s="93">
        <v>4715.8</v>
      </c>
      <c r="J3008" s="93">
        <v>1317.74</v>
      </c>
      <c r="K3008" s="93">
        <v>70.2</v>
      </c>
      <c r="L3008" s="93">
        <v>855499.13</v>
      </c>
      <c r="M3008" s="93">
        <v>874040.79</v>
      </c>
      <c r="N3008" s="95">
        <v>0.22</v>
      </c>
      <c r="O3008" s="95">
        <v>0.45</v>
      </c>
      <c r="P3008" s="95">
        <v>0.25</v>
      </c>
      <c r="Q3008" s="95">
        <v>7.0000000000000007E-2</v>
      </c>
      <c r="R3008" s="104">
        <v>0</v>
      </c>
    </row>
    <row r="3009" spans="1:18" ht="15" hidden="1" customHeight="1" x14ac:dyDescent="0.3">
      <c r="A3009" s="101">
        <v>2024</v>
      </c>
      <c r="B3009" s="90">
        <v>12</v>
      </c>
      <c r="C3009" s="90" t="s">
        <v>733</v>
      </c>
      <c r="D3009" s="90" t="s">
        <v>719</v>
      </c>
      <c r="E3009" s="102" t="s">
        <v>11</v>
      </c>
      <c r="F3009" s="103" t="s">
        <v>42</v>
      </c>
      <c r="G3009" s="93">
        <v>17433.080000000002</v>
      </c>
      <c r="H3009" s="93">
        <v>92263.8</v>
      </c>
      <c r="I3009" s="93">
        <v>229390.13</v>
      </c>
      <c r="J3009" s="93">
        <v>177250.29</v>
      </c>
      <c r="K3009" s="93">
        <v>17708.55</v>
      </c>
      <c r="L3009" s="93">
        <v>515.19000000000005</v>
      </c>
      <c r="M3009" s="93">
        <v>534561.03</v>
      </c>
      <c r="N3009" s="95">
        <v>0.03</v>
      </c>
      <c r="O3009" s="95">
        <v>0.17</v>
      </c>
      <c r="P3009" s="95">
        <v>0.43</v>
      </c>
      <c r="Q3009" s="95">
        <v>0.33</v>
      </c>
      <c r="R3009" s="104">
        <v>0.03</v>
      </c>
    </row>
    <row r="3010" spans="1:18" ht="15" hidden="1" customHeight="1" x14ac:dyDescent="0.3">
      <c r="A3010" s="101">
        <v>2024</v>
      </c>
      <c r="B3010" s="90">
        <v>12</v>
      </c>
      <c r="C3010" s="90" t="s">
        <v>733</v>
      </c>
      <c r="D3010" s="90" t="s">
        <v>719</v>
      </c>
      <c r="E3010" s="102" t="s">
        <v>11</v>
      </c>
      <c r="F3010" s="103" t="s">
        <v>43</v>
      </c>
      <c r="G3010" s="93">
        <v>4169.92</v>
      </c>
      <c r="H3010" s="93">
        <v>22089.39</v>
      </c>
      <c r="I3010" s="93">
        <v>20425</v>
      </c>
      <c r="J3010" s="93">
        <v>17779.2</v>
      </c>
      <c r="K3010" s="93">
        <v>4802.5</v>
      </c>
      <c r="L3010" s="93">
        <v>61174.92</v>
      </c>
      <c r="M3010" s="93">
        <v>130440.93</v>
      </c>
      <c r="N3010" s="95">
        <v>0.06</v>
      </c>
      <c r="O3010" s="95">
        <v>0.32</v>
      </c>
      <c r="P3010" s="95">
        <v>0.28999999999999998</v>
      </c>
      <c r="Q3010" s="95">
        <v>0.26</v>
      </c>
      <c r="R3010" s="104">
        <v>7.0000000000000007E-2</v>
      </c>
    </row>
    <row r="3011" spans="1:18" ht="15" hidden="1" customHeight="1" x14ac:dyDescent="0.3">
      <c r="A3011" s="101">
        <v>2024</v>
      </c>
      <c r="B3011" s="90">
        <v>12</v>
      </c>
      <c r="C3011" s="90" t="s">
        <v>733</v>
      </c>
      <c r="D3011" s="90" t="s">
        <v>719</v>
      </c>
      <c r="E3011" s="102" t="s">
        <v>11</v>
      </c>
      <c r="F3011" s="103" t="s">
        <v>58</v>
      </c>
      <c r="G3011" s="93">
        <v>1031.1500000000001</v>
      </c>
      <c r="H3011" s="93">
        <v>7348.76</v>
      </c>
      <c r="I3011" s="93">
        <v>60325.66</v>
      </c>
      <c r="J3011" s="93">
        <v>254536.6</v>
      </c>
      <c r="K3011" s="93">
        <v>44157.16</v>
      </c>
      <c r="L3011" s="93">
        <v>7808.27</v>
      </c>
      <c r="M3011" s="93">
        <v>375207.6</v>
      </c>
      <c r="N3011" s="95">
        <v>0</v>
      </c>
      <c r="O3011" s="95">
        <v>0.02</v>
      </c>
      <c r="P3011" s="95">
        <v>0.16</v>
      </c>
      <c r="Q3011" s="95">
        <v>0.69</v>
      </c>
      <c r="R3011" s="104">
        <v>0.12</v>
      </c>
    </row>
    <row r="3012" spans="1:18" ht="15" hidden="1" customHeight="1" x14ac:dyDescent="0.3">
      <c r="A3012" s="101">
        <v>2024</v>
      </c>
      <c r="B3012" s="90">
        <v>12</v>
      </c>
      <c r="C3012" s="90" t="s">
        <v>733</v>
      </c>
      <c r="D3012" s="90" t="s">
        <v>719</v>
      </c>
      <c r="E3012" s="102" t="s">
        <v>11</v>
      </c>
      <c r="F3012" s="103" t="s">
        <v>44</v>
      </c>
      <c r="G3012" s="93">
        <v>3334.8</v>
      </c>
      <c r="H3012" s="93">
        <v>5823.65</v>
      </c>
      <c r="I3012" s="93">
        <v>23749.84</v>
      </c>
      <c r="J3012" s="93">
        <v>122613.14</v>
      </c>
      <c r="K3012" s="93">
        <v>16149.1</v>
      </c>
      <c r="L3012" s="93">
        <v>24841.1</v>
      </c>
      <c r="M3012" s="93">
        <v>196511.63</v>
      </c>
      <c r="N3012" s="95">
        <v>0.02</v>
      </c>
      <c r="O3012" s="95">
        <v>0.03</v>
      </c>
      <c r="P3012" s="95">
        <v>0.14000000000000001</v>
      </c>
      <c r="Q3012" s="95">
        <v>0.71</v>
      </c>
      <c r="R3012" s="104">
        <v>0.09</v>
      </c>
    </row>
    <row r="3013" spans="1:18" ht="15" hidden="1" customHeight="1" x14ac:dyDescent="0.3">
      <c r="A3013" s="101">
        <v>2024</v>
      </c>
      <c r="B3013" s="90">
        <v>12</v>
      </c>
      <c r="C3013" s="90" t="s">
        <v>733</v>
      </c>
      <c r="D3013" s="90" t="s">
        <v>719</v>
      </c>
      <c r="E3013" s="102" t="s">
        <v>11</v>
      </c>
      <c r="F3013" s="103" t="s">
        <v>51</v>
      </c>
      <c r="G3013" s="93">
        <v>2094.6999999999998</v>
      </c>
      <c r="H3013" s="93">
        <v>9139.6200000000008</v>
      </c>
      <c r="I3013" s="93">
        <v>26379.91</v>
      </c>
      <c r="J3013" s="93">
        <v>106213.71</v>
      </c>
      <c r="K3013" s="93">
        <v>67016.25</v>
      </c>
      <c r="L3013" s="93">
        <v>4985.42</v>
      </c>
      <c r="M3013" s="93">
        <v>215829.61</v>
      </c>
      <c r="N3013" s="95">
        <v>0.01</v>
      </c>
      <c r="O3013" s="95">
        <v>0.04</v>
      </c>
      <c r="P3013" s="95">
        <v>0.13</v>
      </c>
      <c r="Q3013" s="95">
        <v>0.5</v>
      </c>
      <c r="R3013" s="104">
        <v>0.32</v>
      </c>
    </row>
    <row r="3014" spans="1:18" ht="15" hidden="1" customHeight="1" x14ac:dyDescent="0.3">
      <c r="A3014" s="101">
        <v>2024</v>
      </c>
      <c r="B3014" s="90">
        <v>12</v>
      </c>
      <c r="C3014" s="90" t="s">
        <v>733</v>
      </c>
      <c r="D3014" s="90" t="s">
        <v>719</v>
      </c>
      <c r="E3014" s="102" t="s">
        <v>11</v>
      </c>
      <c r="F3014" s="103" t="s">
        <v>45</v>
      </c>
      <c r="G3014" s="93">
        <v>1124.67</v>
      </c>
      <c r="H3014" s="93">
        <v>3211.69</v>
      </c>
      <c r="I3014" s="93">
        <v>9328.51</v>
      </c>
      <c r="J3014" s="93">
        <v>49932.69</v>
      </c>
      <c r="K3014" s="93">
        <v>20184.63</v>
      </c>
      <c r="L3014" s="93">
        <v>27614.91</v>
      </c>
      <c r="M3014" s="93">
        <v>111397.11</v>
      </c>
      <c r="N3014" s="95">
        <v>0.01</v>
      </c>
      <c r="O3014" s="95">
        <v>0.04</v>
      </c>
      <c r="P3014" s="95">
        <v>0.11</v>
      </c>
      <c r="Q3014" s="95">
        <v>0.6</v>
      </c>
      <c r="R3014" s="104">
        <v>0.24</v>
      </c>
    </row>
    <row r="3015" spans="1:18" ht="15" hidden="1" customHeight="1" x14ac:dyDescent="0.3">
      <c r="A3015" s="101">
        <v>2024</v>
      </c>
      <c r="B3015" s="90">
        <v>12</v>
      </c>
      <c r="C3015" s="90" t="s">
        <v>733</v>
      </c>
      <c r="D3015" s="90" t="s">
        <v>719</v>
      </c>
      <c r="E3015" s="102" t="s">
        <v>11</v>
      </c>
      <c r="F3015" s="103" t="s">
        <v>721</v>
      </c>
      <c r="G3015" s="93">
        <v>5059.47</v>
      </c>
      <c r="H3015" s="93">
        <v>52008.41</v>
      </c>
      <c r="I3015" s="93">
        <v>161703.84</v>
      </c>
      <c r="J3015" s="93">
        <v>86981.62</v>
      </c>
      <c r="K3015" s="93">
        <v>3572.95</v>
      </c>
      <c r="L3015" s="93">
        <v>589007.81999999995</v>
      </c>
      <c r="M3015" s="93">
        <v>898334.11</v>
      </c>
      <c r="N3015" s="95">
        <v>0.02</v>
      </c>
      <c r="O3015" s="95">
        <v>0.17</v>
      </c>
      <c r="P3015" s="95">
        <v>0.52</v>
      </c>
      <c r="Q3015" s="95">
        <v>0.28000000000000003</v>
      </c>
      <c r="R3015" s="104">
        <v>0.01</v>
      </c>
    </row>
    <row r="3016" spans="1:18" ht="15" hidden="1" customHeight="1" x14ac:dyDescent="0.3">
      <c r="A3016" s="101">
        <v>2024</v>
      </c>
      <c r="B3016" s="90">
        <v>12</v>
      </c>
      <c r="C3016" s="90" t="s">
        <v>733</v>
      </c>
      <c r="D3016" s="90" t="s">
        <v>719</v>
      </c>
      <c r="E3016" s="102" t="s">
        <v>11</v>
      </c>
      <c r="F3016" s="103" t="s">
        <v>46</v>
      </c>
      <c r="G3016" s="93">
        <v>5087.0200000000004</v>
      </c>
      <c r="H3016" s="93">
        <v>21969.34</v>
      </c>
      <c r="I3016" s="93">
        <v>73230.960000000006</v>
      </c>
      <c r="J3016" s="93">
        <v>38970.6</v>
      </c>
      <c r="K3016" s="93">
        <v>9353.9599999999991</v>
      </c>
      <c r="L3016" s="93">
        <v>698.27</v>
      </c>
      <c r="M3016" s="93">
        <v>149310.15</v>
      </c>
      <c r="N3016" s="95">
        <v>0.03</v>
      </c>
      <c r="O3016" s="95">
        <v>0.15</v>
      </c>
      <c r="P3016" s="95">
        <v>0.49</v>
      </c>
      <c r="Q3016" s="95">
        <v>0.26</v>
      </c>
      <c r="R3016" s="104">
        <v>0.06</v>
      </c>
    </row>
    <row r="3017" spans="1:18" ht="15" hidden="1" customHeight="1" x14ac:dyDescent="0.3">
      <c r="A3017" s="101">
        <v>2024</v>
      </c>
      <c r="B3017" s="90">
        <v>12</v>
      </c>
      <c r="C3017" s="90" t="s">
        <v>733</v>
      </c>
      <c r="D3017" s="90" t="s">
        <v>719</v>
      </c>
      <c r="E3017" s="102" t="s">
        <v>11</v>
      </c>
      <c r="F3017" s="103" t="s">
        <v>47</v>
      </c>
      <c r="G3017" s="93">
        <v>14534.2</v>
      </c>
      <c r="H3017" s="93">
        <v>56016.65</v>
      </c>
      <c r="I3017" s="93">
        <v>230526.57</v>
      </c>
      <c r="J3017" s="93">
        <v>602409.54</v>
      </c>
      <c r="K3017" s="93">
        <v>447124.39</v>
      </c>
      <c r="L3017" s="93">
        <v>50506.83</v>
      </c>
      <c r="M3017" s="93">
        <v>1401118.17</v>
      </c>
      <c r="N3017" s="95">
        <v>0.01</v>
      </c>
      <c r="O3017" s="95">
        <v>0.04</v>
      </c>
      <c r="P3017" s="95">
        <v>0.17</v>
      </c>
      <c r="Q3017" s="95">
        <v>0.45</v>
      </c>
      <c r="R3017" s="104">
        <v>0.33</v>
      </c>
    </row>
    <row r="3018" spans="1:18" ht="15" hidden="1" customHeight="1" x14ac:dyDescent="0.3">
      <c r="A3018" s="101">
        <v>2024</v>
      </c>
      <c r="B3018" s="90">
        <v>12</v>
      </c>
      <c r="C3018" s="90" t="s">
        <v>733</v>
      </c>
      <c r="D3018" s="90" t="s">
        <v>719</v>
      </c>
      <c r="E3018" s="102" t="s">
        <v>11</v>
      </c>
      <c r="F3018" s="103" t="s">
        <v>48</v>
      </c>
      <c r="G3018" s="93">
        <v>264.02</v>
      </c>
      <c r="H3018" s="93">
        <v>953.32</v>
      </c>
      <c r="I3018" s="93">
        <v>3086.35</v>
      </c>
      <c r="J3018" s="93">
        <v>70685.460000000006</v>
      </c>
      <c r="K3018" s="93">
        <v>26307.47</v>
      </c>
      <c r="L3018" s="93">
        <v>130558.76</v>
      </c>
      <c r="M3018" s="93">
        <v>231855.38</v>
      </c>
      <c r="N3018" s="95">
        <v>0</v>
      </c>
      <c r="O3018" s="95">
        <v>0.01</v>
      </c>
      <c r="P3018" s="95">
        <v>0.03</v>
      </c>
      <c r="Q3018" s="95">
        <v>0.7</v>
      </c>
      <c r="R3018" s="104">
        <v>0.26</v>
      </c>
    </row>
    <row r="3019" spans="1:18" ht="15" hidden="1" customHeight="1" x14ac:dyDescent="0.3">
      <c r="A3019" s="101">
        <v>2024</v>
      </c>
      <c r="B3019" s="90">
        <v>12</v>
      </c>
      <c r="C3019" s="90" t="s">
        <v>733</v>
      </c>
      <c r="D3019" s="90" t="s">
        <v>722</v>
      </c>
      <c r="E3019" s="102" t="s">
        <v>11</v>
      </c>
      <c r="F3019" s="103" t="s">
        <v>12</v>
      </c>
      <c r="G3019" s="93">
        <v>17831.82</v>
      </c>
      <c r="H3019" s="93">
        <v>60693.14</v>
      </c>
      <c r="I3019" s="93">
        <v>151899.96</v>
      </c>
      <c r="J3019" s="93">
        <v>141458.14000000001</v>
      </c>
      <c r="K3019" s="93">
        <v>13528.62</v>
      </c>
      <c r="L3019" s="93">
        <v>399.57</v>
      </c>
      <c r="M3019" s="93">
        <v>385811.25</v>
      </c>
      <c r="N3019" s="95">
        <v>0.05</v>
      </c>
      <c r="O3019" s="95">
        <v>0.16</v>
      </c>
      <c r="P3019" s="95">
        <v>0.39</v>
      </c>
      <c r="Q3019" s="95">
        <v>0.37</v>
      </c>
      <c r="R3019" s="104">
        <v>0.04</v>
      </c>
    </row>
    <row r="3020" spans="1:18" ht="15" hidden="1" customHeight="1" x14ac:dyDescent="0.3">
      <c r="A3020" s="101">
        <v>2024</v>
      </c>
      <c r="B3020" s="90">
        <v>12</v>
      </c>
      <c r="C3020" s="90" t="s">
        <v>733</v>
      </c>
      <c r="D3020" s="90" t="s">
        <v>722</v>
      </c>
      <c r="E3020" s="102" t="s">
        <v>11</v>
      </c>
      <c r="F3020" s="103" t="s">
        <v>26</v>
      </c>
      <c r="G3020" s="93">
        <v>184574.99</v>
      </c>
      <c r="H3020" s="93">
        <v>314305.73</v>
      </c>
      <c r="I3020" s="93">
        <v>417288.14</v>
      </c>
      <c r="J3020" s="93">
        <v>123926.03</v>
      </c>
      <c r="K3020" s="93">
        <v>6165.21</v>
      </c>
      <c r="L3020" s="93">
        <v>1888.42</v>
      </c>
      <c r="M3020" s="93">
        <v>1048148.52</v>
      </c>
      <c r="N3020" s="95">
        <v>0.18</v>
      </c>
      <c r="O3020" s="95">
        <v>0.3</v>
      </c>
      <c r="P3020" s="95">
        <v>0.4</v>
      </c>
      <c r="Q3020" s="95">
        <v>0.12</v>
      </c>
      <c r="R3020" s="104">
        <v>0.01</v>
      </c>
    </row>
    <row r="3021" spans="1:18" ht="15" hidden="1" customHeight="1" x14ac:dyDescent="0.3">
      <c r="A3021" s="101">
        <v>2024</v>
      </c>
      <c r="B3021" s="90">
        <v>12</v>
      </c>
      <c r="C3021" s="90" t="s">
        <v>733</v>
      </c>
      <c r="D3021" s="90" t="s">
        <v>722</v>
      </c>
      <c r="E3021" s="102" t="s">
        <v>11</v>
      </c>
      <c r="F3021" s="103" t="s">
        <v>27</v>
      </c>
      <c r="G3021" s="93">
        <v>2150.88</v>
      </c>
      <c r="H3021" s="93">
        <v>35629.980000000003</v>
      </c>
      <c r="I3021" s="93">
        <v>130527.46</v>
      </c>
      <c r="J3021" s="93">
        <v>46951.47</v>
      </c>
      <c r="K3021" s="93">
        <v>1328.16</v>
      </c>
      <c r="L3021" s="93">
        <v>184892.22</v>
      </c>
      <c r="M3021" s="93">
        <v>401480.17</v>
      </c>
      <c r="N3021" s="95">
        <v>0.01</v>
      </c>
      <c r="O3021" s="95">
        <v>0.16</v>
      </c>
      <c r="P3021" s="95">
        <v>0.6</v>
      </c>
      <c r="Q3021" s="95">
        <v>0.22</v>
      </c>
      <c r="R3021" s="104">
        <v>0.01</v>
      </c>
    </row>
    <row r="3022" spans="1:18" ht="15" hidden="1" customHeight="1" x14ac:dyDescent="0.3">
      <c r="A3022" s="101">
        <v>2024</v>
      </c>
      <c r="B3022" s="90">
        <v>12</v>
      </c>
      <c r="C3022" s="90" t="s">
        <v>733</v>
      </c>
      <c r="D3022" s="90" t="s">
        <v>722</v>
      </c>
      <c r="E3022" s="102" t="s">
        <v>11</v>
      </c>
      <c r="F3022" s="103" t="s">
        <v>28</v>
      </c>
      <c r="G3022" s="93">
        <v>5482.91</v>
      </c>
      <c r="H3022" s="93">
        <v>39766.97</v>
      </c>
      <c r="I3022" s="93">
        <v>229510.95</v>
      </c>
      <c r="J3022" s="93">
        <v>94252.82</v>
      </c>
      <c r="K3022" s="93">
        <v>820.97</v>
      </c>
      <c r="L3022" s="93">
        <v>85918.41</v>
      </c>
      <c r="M3022" s="93">
        <v>455753.02</v>
      </c>
      <c r="N3022" s="95">
        <v>0.01</v>
      </c>
      <c r="O3022" s="95">
        <v>0.11</v>
      </c>
      <c r="P3022" s="95">
        <v>0.62</v>
      </c>
      <c r="Q3022" s="95">
        <v>0.25</v>
      </c>
      <c r="R3022" s="104">
        <v>0</v>
      </c>
    </row>
    <row r="3023" spans="1:18" ht="15" customHeight="1" x14ac:dyDescent="0.3">
      <c r="A3023" s="101">
        <v>2024</v>
      </c>
      <c r="B3023" s="90">
        <v>12</v>
      </c>
      <c r="C3023" s="90" t="s">
        <v>733</v>
      </c>
      <c r="D3023" s="90" t="s">
        <v>722</v>
      </c>
      <c r="E3023" s="102" t="s">
        <v>11</v>
      </c>
      <c r="F3023" s="103" t="s">
        <v>29</v>
      </c>
      <c r="G3023" s="93">
        <v>3164.38</v>
      </c>
      <c r="H3023" s="93">
        <v>18536.330000000002</v>
      </c>
      <c r="I3023" s="93">
        <v>103465</v>
      </c>
      <c r="J3023" s="93">
        <v>143215.53</v>
      </c>
      <c r="K3023" s="93">
        <v>21319.55</v>
      </c>
      <c r="L3023" s="93">
        <v>10345.18</v>
      </c>
      <c r="M3023" s="93">
        <v>300045.96999999997</v>
      </c>
      <c r="N3023" s="95">
        <v>0.01</v>
      </c>
      <c r="O3023" s="95">
        <v>0.06</v>
      </c>
      <c r="P3023" s="95">
        <v>0.36</v>
      </c>
      <c r="Q3023" s="95">
        <v>0.49</v>
      </c>
      <c r="R3023" s="104">
        <v>7.0000000000000007E-2</v>
      </c>
    </row>
    <row r="3024" spans="1:18" ht="15" hidden="1" customHeight="1" x14ac:dyDescent="0.3">
      <c r="A3024" s="101">
        <v>2024</v>
      </c>
      <c r="B3024" s="90">
        <v>12</v>
      </c>
      <c r="C3024" s="90" t="s">
        <v>733</v>
      </c>
      <c r="D3024" s="90" t="s">
        <v>722</v>
      </c>
      <c r="E3024" s="102" t="s">
        <v>11</v>
      </c>
      <c r="F3024" s="103" t="s">
        <v>30</v>
      </c>
      <c r="G3024" s="93">
        <v>343.24</v>
      </c>
      <c r="H3024" s="93">
        <v>1243.72</v>
      </c>
      <c r="I3024" s="93">
        <v>2462.6</v>
      </c>
      <c r="J3024" s="93">
        <v>6807.19</v>
      </c>
      <c r="K3024" s="93">
        <v>3621.25</v>
      </c>
      <c r="L3024" s="93">
        <v>337838.82</v>
      </c>
      <c r="M3024" s="93">
        <v>352316.83</v>
      </c>
      <c r="N3024" s="95">
        <v>0.02</v>
      </c>
      <c r="O3024" s="95">
        <v>0.09</v>
      </c>
      <c r="P3024" s="95">
        <v>0.17</v>
      </c>
      <c r="Q3024" s="95">
        <v>0.47</v>
      </c>
      <c r="R3024" s="104">
        <v>0.25</v>
      </c>
    </row>
    <row r="3025" spans="1:18" ht="15" hidden="1" customHeight="1" x14ac:dyDescent="0.3">
      <c r="A3025" s="101">
        <v>2024</v>
      </c>
      <c r="B3025" s="90">
        <v>12</v>
      </c>
      <c r="C3025" s="90" t="s">
        <v>733</v>
      </c>
      <c r="D3025" s="90" t="s">
        <v>722</v>
      </c>
      <c r="E3025" s="102" t="s">
        <v>11</v>
      </c>
      <c r="F3025" s="103" t="s">
        <v>31</v>
      </c>
      <c r="G3025" s="93">
        <v>6520.81</v>
      </c>
      <c r="H3025" s="93">
        <v>89100.01</v>
      </c>
      <c r="I3025" s="93">
        <v>68366.89</v>
      </c>
      <c r="J3025" s="93">
        <v>30350.59</v>
      </c>
      <c r="K3025" s="93">
        <v>13574.43</v>
      </c>
      <c r="L3025" s="93">
        <v>18341.169999999998</v>
      </c>
      <c r="M3025" s="93">
        <v>226253.9</v>
      </c>
      <c r="N3025" s="95">
        <v>0.03</v>
      </c>
      <c r="O3025" s="95">
        <v>0.43</v>
      </c>
      <c r="P3025" s="95">
        <v>0.33</v>
      </c>
      <c r="Q3025" s="95">
        <v>0.15</v>
      </c>
      <c r="R3025" s="104">
        <v>7.0000000000000007E-2</v>
      </c>
    </row>
    <row r="3026" spans="1:18" ht="15" hidden="1" customHeight="1" x14ac:dyDescent="0.3">
      <c r="A3026" s="101">
        <v>2024</v>
      </c>
      <c r="B3026" s="90">
        <v>12</v>
      </c>
      <c r="C3026" s="90" t="s">
        <v>733</v>
      </c>
      <c r="D3026" s="90" t="s">
        <v>722</v>
      </c>
      <c r="E3026" s="102" t="s">
        <v>11</v>
      </c>
      <c r="F3026" s="103" t="s">
        <v>32</v>
      </c>
      <c r="G3026" s="93">
        <v>3404.32</v>
      </c>
      <c r="H3026" s="93">
        <v>70853.63</v>
      </c>
      <c r="I3026" s="93">
        <v>239923.88</v>
      </c>
      <c r="J3026" s="93">
        <v>268074.69</v>
      </c>
      <c r="K3026" s="93">
        <v>6342.99</v>
      </c>
      <c r="L3026" s="93">
        <v>1278.3499999999999</v>
      </c>
      <c r="M3026" s="93">
        <v>589877.87</v>
      </c>
      <c r="N3026" s="95">
        <v>0.01</v>
      </c>
      <c r="O3026" s="95">
        <v>0.12</v>
      </c>
      <c r="P3026" s="95">
        <v>0.41</v>
      </c>
      <c r="Q3026" s="95">
        <v>0.46</v>
      </c>
      <c r="R3026" s="104">
        <v>0.01</v>
      </c>
    </row>
    <row r="3027" spans="1:18" ht="15" hidden="1" customHeight="1" x14ac:dyDescent="0.3">
      <c r="A3027" s="101">
        <v>2024</v>
      </c>
      <c r="B3027" s="90">
        <v>12</v>
      </c>
      <c r="C3027" s="90" t="s">
        <v>733</v>
      </c>
      <c r="D3027" s="90" t="s">
        <v>722</v>
      </c>
      <c r="E3027" s="102" t="s">
        <v>11</v>
      </c>
      <c r="F3027" s="103" t="s">
        <v>33</v>
      </c>
      <c r="G3027" s="93">
        <v>95688.16</v>
      </c>
      <c r="H3027" s="93">
        <v>477116.9</v>
      </c>
      <c r="I3027" s="93">
        <v>634789.76</v>
      </c>
      <c r="J3027" s="93">
        <v>107339.25</v>
      </c>
      <c r="K3027" s="93">
        <v>2726.48</v>
      </c>
      <c r="L3027" s="93">
        <v>5774.34</v>
      </c>
      <c r="M3027" s="93">
        <v>1323434.8799999999</v>
      </c>
      <c r="N3027" s="95">
        <v>7.0000000000000007E-2</v>
      </c>
      <c r="O3027" s="95">
        <v>0.36</v>
      </c>
      <c r="P3027" s="95">
        <v>0.48</v>
      </c>
      <c r="Q3027" s="95">
        <v>0.08</v>
      </c>
      <c r="R3027" s="104">
        <v>0</v>
      </c>
    </row>
    <row r="3028" spans="1:18" ht="15" hidden="1" customHeight="1" x14ac:dyDescent="0.3">
      <c r="A3028" s="101">
        <v>2024</v>
      </c>
      <c r="B3028" s="90">
        <v>12</v>
      </c>
      <c r="C3028" s="90" t="s">
        <v>733</v>
      </c>
      <c r="D3028" s="90" t="s">
        <v>722</v>
      </c>
      <c r="E3028" s="102" t="s">
        <v>11</v>
      </c>
      <c r="F3028" s="103" t="s">
        <v>34</v>
      </c>
      <c r="G3028" s="93">
        <v>4023.92</v>
      </c>
      <c r="H3028" s="93">
        <v>19282.62</v>
      </c>
      <c r="I3028" s="93">
        <v>243362.08</v>
      </c>
      <c r="J3028" s="93">
        <v>372520.88</v>
      </c>
      <c r="K3028" s="93">
        <v>35915.360000000001</v>
      </c>
      <c r="L3028" s="93">
        <v>3692.93</v>
      </c>
      <c r="M3028" s="93">
        <v>678797.79</v>
      </c>
      <c r="N3028" s="95">
        <v>0.01</v>
      </c>
      <c r="O3028" s="95">
        <v>0.03</v>
      </c>
      <c r="P3028" s="95">
        <v>0.36</v>
      </c>
      <c r="Q3028" s="95">
        <v>0.55000000000000004</v>
      </c>
      <c r="R3028" s="104">
        <v>0.05</v>
      </c>
    </row>
    <row r="3029" spans="1:18" ht="15" hidden="1" customHeight="1" x14ac:dyDescent="0.3">
      <c r="A3029" s="101">
        <v>2024</v>
      </c>
      <c r="B3029" s="90">
        <v>12</v>
      </c>
      <c r="C3029" s="90" t="s">
        <v>733</v>
      </c>
      <c r="D3029" s="90" t="s">
        <v>722</v>
      </c>
      <c r="E3029" s="102" t="s">
        <v>11</v>
      </c>
      <c r="F3029" s="103" t="s">
        <v>35</v>
      </c>
      <c r="G3029" s="93">
        <v>40217.57</v>
      </c>
      <c r="H3029" s="93">
        <v>133613.63</v>
      </c>
      <c r="I3029" s="93">
        <v>110935.87</v>
      </c>
      <c r="J3029" s="93">
        <v>81566.929999999993</v>
      </c>
      <c r="K3029" s="93">
        <v>6906.93</v>
      </c>
      <c r="L3029" s="93">
        <v>68793.02</v>
      </c>
      <c r="M3029" s="93">
        <v>442033.95</v>
      </c>
      <c r="N3029" s="95">
        <v>0.11</v>
      </c>
      <c r="O3029" s="95">
        <v>0.36</v>
      </c>
      <c r="P3029" s="95">
        <v>0.3</v>
      </c>
      <c r="Q3029" s="95">
        <v>0.22</v>
      </c>
      <c r="R3029" s="104">
        <v>0.02</v>
      </c>
    </row>
    <row r="3030" spans="1:18" ht="15" hidden="1" customHeight="1" x14ac:dyDescent="0.3">
      <c r="A3030" s="101">
        <v>2024</v>
      </c>
      <c r="B3030" s="90">
        <v>12</v>
      </c>
      <c r="C3030" s="90" t="s">
        <v>733</v>
      </c>
      <c r="D3030" s="90" t="s">
        <v>722</v>
      </c>
      <c r="E3030" s="102" t="s">
        <v>11</v>
      </c>
      <c r="F3030" s="103" t="s">
        <v>36</v>
      </c>
      <c r="G3030" s="93">
        <v>5766.47</v>
      </c>
      <c r="H3030" s="93">
        <v>41855.949999999997</v>
      </c>
      <c r="I3030" s="93">
        <v>136183.48000000001</v>
      </c>
      <c r="J3030" s="93">
        <v>42014.12</v>
      </c>
      <c r="K3030" s="93">
        <v>335.97</v>
      </c>
      <c r="L3030" s="93">
        <v>98637.59</v>
      </c>
      <c r="M3030" s="93">
        <v>324793.59000000003</v>
      </c>
      <c r="N3030" s="95">
        <v>0.03</v>
      </c>
      <c r="O3030" s="95">
        <v>0.19</v>
      </c>
      <c r="P3030" s="95">
        <v>0.6</v>
      </c>
      <c r="Q3030" s="95">
        <v>0.19</v>
      </c>
      <c r="R3030" s="104">
        <v>0</v>
      </c>
    </row>
    <row r="3031" spans="1:18" ht="15" hidden="1" customHeight="1" x14ac:dyDescent="0.3">
      <c r="A3031" s="101">
        <v>2024</v>
      </c>
      <c r="B3031" s="90">
        <v>12</v>
      </c>
      <c r="C3031" s="90" t="s">
        <v>733</v>
      </c>
      <c r="D3031" s="90" t="s">
        <v>722</v>
      </c>
      <c r="E3031" s="102" t="s">
        <v>11</v>
      </c>
      <c r="F3031" s="103" t="s">
        <v>37</v>
      </c>
      <c r="G3031" s="93">
        <v>3288.29</v>
      </c>
      <c r="H3031" s="93">
        <v>19548.990000000002</v>
      </c>
      <c r="I3031" s="93">
        <v>106401.48</v>
      </c>
      <c r="J3031" s="93">
        <v>228301.18</v>
      </c>
      <c r="K3031" s="93">
        <v>24169.07</v>
      </c>
      <c r="L3031" s="93">
        <v>306029.73</v>
      </c>
      <c r="M3031" s="93">
        <v>687738.75</v>
      </c>
      <c r="N3031" s="95">
        <v>0.01</v>
      </c>
      <c r="O3031" s="95">
        <v>0.05</v>
      </c>
      <c r="P3031" s="95">
        <v>0.28000000000000003</v>
      </c>
      <c r="Q3031" s="95">
        <v>0.6</v>
      </c>
      <c r="R3031" s="104">
        <v>0.06</v>
      </c>
    </row>
    <row r="3032" spans="1:18" ht="15" hidden="1" customHeight="1" x14ac:dyDescent="0.3">
      <c r="A3032" s="101">
        <v>2024</v>
      </c>
      <c r="B3032" s="90">
        <v>12</v>
      </c>
      <c r="C3032" s="90" t="s">
        <v>733</v>
      </c>
      <c r="D3032" s="90" t="s">
        <v>722</v>
      </c>
      <c r="E3032" s="102" t="s">
        <v>11</v>
      </c>
      <c r="F3032" s="103" t="s">
        <v>38</v>
      </c>
      <c r="G3032" s="93">
        <v>70456.56</v>
      </c>
      <c r="H3032" s="93">
        <v>85265.57</v>
      </c>
      <c r="I3032" s="93">
        <v>200201.31</v>
      </c>
      <c r="J3032" s="93">
        <v>381948.97</v>
      </c>
      <c r="K3032" s="93">
        <v>25643.75</v>
      </c>
      <c r="L3032" s="93">
        <v>16779.650000000001</v>
      </c>
      <c r="M3032" s="93">
        <v>780295.82</v>
      </c>
      <c r="N3032" s="95">
        <v>0.09</v>
      </c>
      <c r="O3032" s="95">
        <v>0.11</v>
      </c>
      <c r="P3032" s="95">
        <v>0.26</v>
      </c>
      <c r="Q3032" s="95">
        <v>0.5</v>
      </c>
      <c r="R3032" s="104">
        <v>0.03</v>
      </c>
    </row>
    <row r="3033" spans="1:18" ht="15" hidden="1" customHeight="1" x14ac:dyDescent="0.3">
      <c r="A3033" s="101">
        <v>2024</v>
      </c>
      <c r="B3033" s="90">
        <v>12</v>
      </c>
      <c r="C3033" s="90" t="s">
        <v>733</v>
      </c>
      <c r="D3033" s="90" t="s">
        <v>722</v>
      </c>
      <c r="E3033" s="102" t="s">
        <v>11</v>
      </c>
      <c r="F3033" s="103" t="s">
        <v>39</v>
      </c>
      <c r="G3033" s="93">
        <v>349.91</v>
      </c>
      <c r="H3033" s="93">
        <v>30116.46</v>
      </c>
      <c r="I3033" s="93">
        <v>187580.87</v>
      </c>
      <c r="J3033" s="93">
        <v>107276.62</v>
      </c>
      <c r="K3033" s="93">
        <v>3504.74</v>
      </c>
      <c r="L3033" s="93">
        <v>41878.699999999997</v>
      </c>
      <c r="M3033" s="93">
        <v>370707.3</v>
      </c>
      <c r="N3033" s="95">
        <v>0</v>
      </c>
      <c r="O3033" s="95">
        <v>0.09</v>
      </c>
      <c r="P3033" s="95">
        <v>0.56999999999999995</v>
      </c>
      <c r="Q3033" s="95">
        <v>0.33</v>
      </c>
      <c r="R3033" s="104">
        <v>0.01</v>
      </c>
    </row>
    <row r="3034" spans="1:18" ht="15" hidden="1" customHeight="1" x14ac:dyDescent="0.3">
      <c r="A3034" s="101">
        <v>2024</v>
      </c>
      <c r="B3034" s="90">
        <v>12</v>
      </c>
      <c r="C3034" s="90" t="s">
        <v>733</v>
      </c>
      <c r="D3034" s="90" t="s">
        <v>722</v>
      </c>
      <c r="E3034" s="102" t="s">
        <v>11</v>
      </c>
      <c r="F3034" s="103" t="s">
        <v>40</v>
      </c>
      <c r="G3034" s="93">
        <v>2594.35</v>
      </c>
      <c r="H3034" s="93">
        <v>20183.099999999999</v>
      </c>
      <c r="I3034" s="93">
        <v>67983.34</v>
      </c>
      <c r="J3034" s="93">
        <v>178175.96</v>
      </c>
      <c r="K3034" s="93">
        <v>52209.43</v>
      </c>
      <c r="L3034" s="93">
        <v>43036.44</v>
      </c>
      <c r="M3034" s="93">
        <v>364182.62</v>
      </c>
      <c r="N3034" s="95">
        <v>0.01</v>
      </c>
      <c r="O3034" s="95">
        <v>0.06</v>
      </c>
      <c r="P3034" s="95">
        <v>0.21</v>
      </c>
      <c r="Q3034" s="95">
        <v>0.55000000000000004</v>
      </c>
      <c r="R3034" s="104">
        <v>0.16</v>
      </c>
    </row>
    <row r="3035" spans="1:18" ht="15" hidden="1" customHeight="1" x14ac:dyDescent="0.3">
      <c r="A3035" s="101">
        <v>2024</v>
      </c>
      <c r="B3035" s="90">
        <v>12</v>
      </c>
      <c r="C3035" s="90" t="s">
        <v>733</v>
      </c>
      <c r="D3035" s="90" t="s">
        <v>722</v>
      </c>
      <c r="E3035" s="102" t="s">
        <v>11</v>
      </c>
      <c r="F3035" s="103" t="s">
        <v>41</v>
      </c>
      <c r="G3035" s="93">
        <v>4734.74</v>
      </c>
      <c r="H3035" s="93">
        <v>10720.99</v>
      </c>
      <c r="I3035" s="93">
        <v>2520.9</v>
      </c>
      <c r="J3035" s="93">
        <v>308.05</v>
      </c>
      <c r="K3035" s="93">
        <v>15.66</v>
      </c>
      <c r="L3035" s="93">
        <v>855606.43</v>
      </c>
      <c r="M3035" s="93">
        <v>873906.76</v>
      </c>
      <c r="N3035" s="95">
        <v>0.26</v>
      </c>
      <c r="O3035" s="95">
        <v>0.59</v>
      </c>
      <c r="P3035" s="95">
        <v>0.14000000000000001</v>
      </c>
      <c r="Q3035" s="95">
        <v>0.02</v>
      </c>
      <c r="R3035" s="104">
        <v>0</v>
      </c>
    </row>
    <row r="3036" spans="1:18" ht="15" hidden="1" customHeight="1" x14ac:dyDescent="0.3">
      <c r="A3036" s="101">
        <v>2024</v>
      </c>
      <c r="B3036" s="90">
        <v>12</v>
      </c>
      <c r="C3036" s="90" t="s">
        <v>733</v>
      </c>
      <c r="D3036" s="90" t="s">
        <v>722</v>
      </c>
      <c r="E3036" s="102" t="s">
        <v>11</v>
      </c>
      <c r="F3036" s="103" t="s">
        <v>42</v>
      </c>
      <c r="G3036" s="93">
        <v>20378.150000000001</v>
      </c>
      <c r="H3036" s="93">
        <v>137426.76</v>
      </c>
      <c r="I3036" s="93">
        <v>254377.14</v>
      </c>
      <c r="J3036" s="93">
        <v>153959.85</v>
      </c>
      <c r="K3036" s="93">
        <v>19378.189999999999</v>
      </c>
      <c r="L3036" s="93">
        <v>87.35</v>
      </c>
      <c r="M3036" s="93">
        <v>585607.44999999995</v>
      </c>
      <c r="N3036" s="95">
        <v>0.03</v>
      </c>
      <c r="O3036" s="95">
        <v>0.23</v>
      </c>
      <c r="P3036" s="95">
        <v>0.43</v>
      </c>
      <c r="Q3036" s="95">
        <v>0.26</v>
      </c>
      <c r="R3036" s="104">
        <v>0.03</v>
      </c>
    </row>
    <row r="3037" spans="1:18" ht="15" hidden="1" customHeight="1" x14ac:dyDescent="0.3">
      <c r="A3037" s="101">
        <v>2024</v>
      </c>
      <c r="B3037" s="90">
        <v>12</v>
      </c>
      <c r="C3037" s="90" t="s">
        <v>733</v>
      </c>
      <c r="D3037" s="90" t="s">
        <v>722</v>
      </c>
      <c r="E3037" s="102" t="s">
        <v>11</v>
      </c>
      <c r="F3037" s="103" t="s">
        <v>43</v>
      </c>
      <c r="G3037" s="93">
        <v>6914.9</v>
      </c>
      <c r="H3037" s="93">
        <v>24514.99</v>
      </c>
      <c r="I3037" s="93">
        <v>19536.060000000001</v>
      </c>
      <c r="J3037" s="93">
        <v>15528.63</v>
      </c>
      <c r="K3037" s="93">
        <v>3091.6</v>
      </c>
      <c r="L3037" s="93">
        <v>61091.41</v>
      </c>
      <c r="M3037" s="93">
        <v>130677.58</v>
      </c>
      <c r="N3037" s="95">
        <v>0.1</v>
      </c>
      <c r="O3037" s="95">
        <v>0.35</v>
      </c>
      <c r="P3037" s="95">
        <v>0.28000000000000003</v>
      </c>
      <c r="Q3037" s="95">
        <v>0.22</v>
      </c>
      <c r="R3037" s="104">
        <v>0.04</v>
      </c>
    </row>
    <row r="3038" spans="1:18" ht="15" hidden="1" customHeight="1" x14ac:dyDescent="0.3">
      <c r="A3038" s="101">
        <v>2024</v>
      </c>
      <c r="B3038" s="90">
        <v>12</v>
      </c>
      <c r="C3038" s="90" t="s">
        <v>733</v>
      </c>
      <c r="D3038" s="90" t="s">
        <v>722</v>
      </c>
      <c r="E3038" s="102" t="s">
        <v>11</v>
      </c>
      <c r="F3038" s="103" t="s">
        <v>58</v>
      </c>
      <c r="G3038" s="93">
        <v>1681.57</v>
      </c>
      <c r="H3038" s="93">
        <v>17863.57</v>
      </c>
      <c r="I3038" s="93">
        <v>66791.009999999995</v>
      </c>
      <c r="J3038" s="93">
        <v>211391.83</v>
      </c>
      <c r="K3038" s="93">
        <v>69666.7</v>
      </c>
      <c r="L3038" s="93">
        <v>2217.39</v>
      </c>
      <c r="M3038" s="93">
        <v>369612.07</v>
      </c>
      <c r="N3038" s="95">
        <v>0</v>
      </c>
      <c r="O3038" s="95">
        <v>0.05</v>
      </c>
      <c r="P3038" s="95">
        <v>0.18</v>
      </c>
      <c r="Q3038" s="95">
        <v>0.57999999999999996</v>
      </c>
      <c r="R3038" s="104">
        <v>0.19</v>
      </c>
    </row>
    <row r="3039" spans="1:18" ht="15" hidden="1" customHeight="1" x14ac:dyDescent="0.3">
      <c r="A3039" s="101">
        <v>2024</v>
      </c>
      <c r="B3039" s="90">
        <v>12</v>
      </c>
      <c r="C3039" s="90" t="s">
        <v>733</v>
      </c>
      <c r="D3039" s="90" t="s">
        <v>722</v>
      </c>
      <c r="E3039" s="102" t="s">
        <v>11</v>
      </c>
      <c r="F3039" s="103" t="s">
        <v>44</v>
      </c>
      <c r="G3039" s="93">
        <v>5633.5</v>
      </c>
      <c r="H3039" s="93">
        <v>8744.7000000000007</v>
      </c>
      <c r="I3039" s="93">
        <v>76946.740000000005</v>
      </c>
      <c r="J3039" s="93">
        <v>81686.44</v>
      </c>
      <c r="K3039" s="93">
        <v>2118.15</v>
      </c>
      <c r="L3039" s="93">
        <v>25112.39</v>
      </c>
      <c r="M3039" s="93">
        <v>200241.93</v>
      </c>
      <c r="N3039" s="95">
        <v>0.03</v>
      </c>
      <c r="O3039" s="95">
        <v>0.05</v>
      </c>
      <c r="P3039" s="95">
        <v>0.44</v>
      </c>
      <c r="Q3039" s="95">
        <v>0.47</v>
      </c>
      <c r="R3039" s="104">
        <v>0.01</v>
      </c>
    </row>
    <row r="3040" spans="1:18" ht="15" hidden="1" customHeight="1" x14ac:dyDescent="0.3">
      <c r="A3040" s="101">
        <v>2024</v>
      </c>
      <c r="B3040" s="90">
        <v>12</v>
      </c>
      <c r="C3040" s="90" t="s">
        <v>733</v>
      </c>
      <c r="D3040" s="90" t="s">
        <v>722</v>
      </c>
      <c r="E3040" s="102" t="s">
        <v>11</v>
      </c>
      <c r="F3040" s="103" t="s">
        <v>51</v>
      </c>
      <c r="G3040" s="93">
        <v>3098.3</v>
      </c>
      <c r="H3040" s="93">
        <v>11148.96</v>
      </c>
      <c r="I3040" s="93">
        <v>38603.519999999997</v>
      </c>
      <c r="J3040" s="93">
        <v>114896.34</v>
      </c>
      <c r="K3040" s="93">
        <v>43047.78</v>
      </c>
      <c r="L3040" s="93">
        <v>4932.18</v>
      </c>
      <c r="M3040" s="93">
        <v>215727.08</v>
      </c>
      <c r="N3040" s="95">
        <v>0.01</v>
      </c>
      <c r="O3040" s="95">
        <v>0.05</v>
      </c>
      <c r="P3040" s="95">
        <v>0.18</v>
      </c>
      <c r="Q3040" s="95">
        <v>0.55000000000000004</v>
      </c>
      <c r="R3040" s="104">
        <v>0.2</v>
      </c>
    </row>
    <row r="3041" spans="1:18" ht="15" hidden="1" customHeight="1" x14ac:dyDescent="0.3">
      <c r="A3041" s="101">
        <v>2024</v>
      </c>
      <c r="B3041" s="90">
        <v>12</v>
      </c>
      <c r="C3041" s="90" t="s">
        <v>733</v>
      </c>
      <c r="D3041" s="90" t="s">
        <v>722</v>
      </c>
      <c r="E3041" s="102" t="s">
        <v>11</v>
      </c>
      <c r="F3041" s="103" t="s">
        <v>45</v>
      </c>
      <c r="G3041" s="93">
        <v>1526.11</v>
      </c>
      <c r="H3041" s="93">
        <v>5338.65</v>
      </c>
      <c r="I3041" s="93">
        <v>23363.3</v>
      </c>
      <c r="J3041" s="93">
        <v>48407.22</v>
      </c>
      <c r="K3041" s="93">
        <v>5810.05</v>
      </c>
      <c r="L3041" s="93">
        <v>32586.58</v>
      </c>
      <c r="M3041" s="93">
        <v>117031.92</v>
      </c>
      <c r="N3041" s="95">
        <v>0.02</v>
      </c>
      <c r="O3041" s="95">
        <v>0.06</v>
      </c>
      <c r="P3041" s="95">
        <v>0.28000000000000003</v>
      </c>
      <c r="Q3041" s="95">
        <v>0.56999999999999995</v>
      </c>
      <c r="R3041" s="104">
        <v>7.0000000000000007E-2</v>
      </c>
    </row>
    <row r="3042" spans="1:18" ht="15" hidden="1" customHeight="1" x14ac:dyDescent="0.3">
      <c r="A3042" s="101">
        <v>2024</v>
      </c>
      <c r="B3042" s="90">
        <v>12</v>
      </c>
      <c r="C3042" s="90" t="s">
        <v>733</v>
      </c>
      <c r="D3042" s="90" t="s">
        <v>722</v>
      </c>
      <c r="E3042" s="102" t="s">
        <v>11</v>
      </c>
      <c r="F3042" s="103" t="s">
        <v>721</v>
      </c>
      <c r="G3042" s="93">
        <v>9313.59</v>
      </c>
      <c r="H3042" s="93">
        <v>62881.43</v>
      </c>
      <c r="I3042" s="93">
        <v>168286.74</v>
      </c>
      <c r="J3042" s="93">
        <v>65528.5</v>
      </c>
      <c r="K3042" s="93">
        <v>3316.04</v>
      </c>
      <c r="L3042" s="93">
        <v>589086.84</v>
      </c>
      <c r="M3042" s="93">
        <v>898413.13</v>
      </c>
      <c r="N3042" s="95">
        <v>0.03</v>
      </c>
      <c r="O3042" s="95">
        <v>0.2</v>
      </c>
      <c r="P3042" s="95">
        <v>0.54</v>
      </c>
      <c r="Q3042" s="95">
        <v>0.21</v>
      </c>
      <c r="R3042" s="104">
        <v>0.01</v>
      </c>
    </row>
    <row r="3043" spans="1:18" ht="15" hidden="1" customHeight="1" x14ac:dyDescent="0.3">
      <c r="A3043" s="101">
        <v>2024</v>
      </c>
      <c r="B3043" s="90">
        <v>12</v>
      </c>
      <c r="C3043" s="90" t="s">
        <v>733</v>
      </c>
      <c r="D3043" s="90" t="s">
        <v>722</v>
      </c>
      <c r="E3043" s="102" t="s">
        <v>11</v>
      </c>
      <c r="F3043" s="103" t="s">
        <v>46</v>
      </c>
      <c r="G3043" s="93">
        <v>6363.77</v>
      </c>
      <c r="H3043" s="93">
        <v>31327.81</v>
      </c>
      <c r="I3043" s="93">
        <v>76633.56</v>
      </c>
      <c r="J3043" s="93">
        <v>25175.97</v>
      </c>
      <c r="K3043" s="93">
        <v>9206.31</v>
      </c>
      <c r="L3043" s="93">
        <v>10269.379999999999</v>
      </c>
      <c r="M3043" s="93">
        <v>158976.79</v>
      </c>
      <c r="N3043" s="95">
        <v>0.04</v>
      </c>
      <c r="O3043" s="95">
        <v>0.21</v>
      </c>
      <c r="P3043" s="95">
        <v>0.52</v>
      </c>
      <c r="Q3043" s="95">
        <v>0.17</v>
      </c>
      <c r="R3043" s="104">
        <v>0.06</v>
      </c>
    </row>
    <row r="3044" spans="1:18" ht="15" hidden="1" customHeight="1" x14ac:dyDescent="0.3">
      <c r="A3044" s="101">
        <v>2024</v>
      </c>
      <c r="B3044" s="90">
        <v>12</v>
      </c>
      <c r="C3044" s="90" t="s">
        <v>733</v>
      </c>
      <c r="D3044" s="90" t="s">
        <v>722</v>
      </c>
      <c r="E3044" s="102" t="s">
        <v>11</v>
      </c>
      <c r="F3044" s="103" t="s">
        <v>47</v>
      </c>
      <c r="G3044" s="93">
        <v>9571.5</v>
      </c>
      <c r="H3044" s="93">
        <v>39376.04</v>
      </c>
      <c r="I3044" s="93">
        <v>149740.62</v>
      </c>
      <c r="J3044" s="93">
        <v>533586.76</v>
      </c>
      <c r="K3044" s="93">
        <v>608307.54</v>
      </c>
      <c r="L3044" s="93">
        <v>50285.35</v>
      </c>
      <c r="M3044" s="93">
        <v>1390867.82</v>
      </c>
      <c r="N3044" s="95">
        <v>0.01</v>
      </c>
      <c r="O3044" s="95">
        <v>0.03</v>
      </c>
      <c r="P3044" s="95">
        <v>0.11</v>
      </c>
      <c r="Q3044" s="95">
        <v>0.4</v>
      </c>
      <c r="R3044" s="104">
        <v>0.45</v>
      </c>
    </row>
    <row r="3045" spans="1:18" ht="15" hidden="1" customHeight="1" x14ac:dyDescent="0.3">
      <c r="A3045" s="101">
        <v>2024</v>
      </c>
      <c r="B3045" s="90">
        <v>12</v>
      </c>
      <c r="C3045" s="90" t="s">
        <v>733</v>
      </c>
      <c r="D3045" s="90" t="s">
        <v>722</v>
      </c>
      <c r="E3045" s="102" t="s">
        <v>11</v>
      </c>
      <c r="F3045" s="103" t="s">
        <v>48</v>
      </c>
      <c r="G3045" s="93">
        <v>631.76</v>
      </c>
      <c r="H3045" s="93">
        <v>1403.86</v>
      </c>
      <c r="I3045" s="93">
        <v>10792.97</v>
      </c>
      <c r="J3045" s="93">
        <v>82423.47</v>
      </c>
      <c r="K3045" s="93">
        <v>6151.49</v>
      </c>
      <c r="L3045" s="93">
        <v>90211.98</v>
      </c>
      <c r="M3045" s="93">
        <v>191615.53</v>
      </c>
      <c r="N3045" s="95">
        <v>0.01</v>
      </c>
      <c r="O3045" s="95">
        <v>0.01</v>
      </c>
      <c r="P3045" s="95">
        <v>0.11</v>
      </c>
      <c r="Q3045" s="95">
        <v>0.81</v>
      </c>
      <c r="R3045" s="104">
        <v>0.06</v>
      </c>
    </row>
    <row r="3046" spans="1:18" ht="15" hidden="1" customHeight="1" x14ac:dyDescent="0.3">
      <c r="A3046" s="101">
        <v>2025</v>
      </c>
      <c r="B3046" s="90">
        <v>1</v>
      </c>
      <c r="C3046" s="90" t="s">
        <v>718</v>
      </c>
      <c r="D3046" s="90" t="s">
        <v>719</v>
      </c>
      <c r="E3046" s="102" t="s">
        <v>11</v>
      </c>
      <c r="F3046" s="103" t="s">
        <v>12</v>
      </c>
      <c r="G3046" s="93">
        <v>26852.01</v>
      </c>
      <c r="H3046" s="93">
        <v>128105.05</v>
      </c>
      <c r="I3046" s="93">
        <v>203090.88</v>
      </c>
      <c r="J3046" s="93">
        <v>26767.31</v>
      </c>
      <c r="K3046" s="93">
        <v>838.5</v>
      </c>
      <c r="L3046" s="93">
        <v>674.61</v>
      </c>
      <c r="M3046" s="93">
        <v>386328.35</v>
      </c>
      <c r="N3046" s="95">
        <v>7.0000000000000007E-2</v>
      </c>
      <c r="O3046" s="95">
        <v>0.33</v>
      </c>
      <c r="P3046" s="95">
        <v>0.53</v>
      </c>
      <c r="Q3046" s="95">
        <v>7.0000000000000007E-2</v>
      </c>
      <c r="R3046" s="104">
        <v>0</v>
      </c>
    </row>
    <row r="3047" spans="1:18" ht="15" hidden="1" customHeight="1" x14ac:dyDescent="0.3">
      <c r="A3047" s="101">
        <v>2025</v>
      </c>
      <c r="B3047" s="90">
        <v>1</v>
      </c>
      <c r="C3047" s="90" t="s">
        <v>718</v>
      </c>
      <c r="D3047" s="90" t="s">
        <v>719</v>
      </c>
      <c r="E3047" s="102" t="s">
        <v>11</v>
      </c>
      <c r="F3047" s="103" t="s">
        <v>26</v>
      </c>
      <c r="G3047" s="93">
        <v>374687.54</v>
      </c>
      <c r="H3047" s="93">
        <v>493515.95</v>
      </c>
      <c r="I3047" s="93">
        <v>161480.56</v>
      </c>
      <c r="J3047" s="93">
        <v>15852.71</v>
      </c>
      <c r="K3047" s="93">
        <v>577.15</v>
      </c>
      <c r="L3047" s="93">
        <v>944.31</v>
      </c>
      <c r="M3047" s="93">
        <v>1047058.22</v>
      </c>
      <c r="N3047" s="95">
        <v>0.36</v>
      </c>
      <c r="O3047" s="95">
        <v>0.47</v>
      </c>
      <c r="P3047" s="95">
        <v>0.15</v>
      </c>
      <c r="Q3047" s="95">
        <v>0.02</v>
      </c>
      <c r="R3047" s="104">
        <v>0</v>
      </c>
    </row>
    <row r="3048" spans="1:18" ht="15" hidden="1" customHeight="1" x14ac:dyDescent="0.3">
      <c r="A3048" s="101">
        <v>2025</v>
      </c>
      <c r="B3048" s="90">
        <v>1</v>
      </c>
      <c r="C3048" s="90" t="s">
        <v>718</v>
      </c>
      <c r="D3048" s="90" t="s">
        <v>719</v>
      </c>
      <c r="E3048" s="102" t="s">
        <v>11</v>
      </c>
      <c r="F3048" s="103" t="s">
        <v>27</v>
      </c>
      <c r="G3048" s="93">
        <v>3050.94</v>
      </c>
      <c r="H3048" s="93">
        <v>66885.53</v>
      </c>
      <c r="I3048" s="93">
        <v>106240.9</v>
      </c>
      <c r="J3048" s="93">
        <v>37918.050000000003</v>
      </c>
      <c r="K3048" s="93">
        <v>1300.92</v>
      </c>
      <c r="L3048" s="93">
        <v>185324.97</v>
      </c>
      <c r="M3048" s="93">
        <v>400721.31</v>
      </c>
      <c r="N3048" s="95">
        <v>0.01</v>
      </c>
      <c r="O3048" s="95">
        <v>0.31</v>
      </c>
      <c r="P3048" s="95">
        <v>0.49</v>
      </c>
      <c r="Q3048" s="95">
        <v>0.18</v>
      </c>
      <c r="R3048" s="104">
        <v>0.01</v>
      </c>
    </row>
    <row r="3049" spans="1:18" ht="15" hidden="1" customHeight="1" x14ac:dyDescent="0.3">
      <c r="A3049" s="101">
        <v>2025</v>
      </c>
      <c r="B3049" s="90">
        <v>1</v>
      </c>
      <c r="C3049" s="90" t="s">
        <v>718</v>
      </c>
      <c r="D3049" s="90" t="s">
        <v>719</v>
      </c>
      <c r="E3049" s="102" t="s">
        <v>11</v>
      </c>
      <c r="F3049" s="103" t="s">
        <v>28</v>
      </c>
      <c r="G3049" s="93">
        <v>8061.6</v>
      </c>
      <c r="H3049" s="93">
        <v>152044.12</v>
      </c>
      <c r="I3049" s="93">
        <v>203731.39</v>
      </c>
      <c r="J3049" s="93">
        <v>5959.97</v>
      </c>
      <c r="K3049" s="93">
        <v>32.86</v>
      </c>
      <c r="L3049" s="93">
        <v>85552.73</v>
      </c>
      <c r="M3049" s="93">
        <v>455382.66</v>
      </c>
      <c r="N3049" s="95">
        <v>0.02</v>
      </c>
      <c r="O3049" s="95">
        <v>0.41</v>
      </c>
      <c r="P3049" s="95">
        <v>0.55000000000000004</v>
      </c>
      <c r="Q3049" s="95">
        <v>0.02</v>
      </c>
      <c r="R3049" s="104">
        <v>0</v>
      </c>
    </row>
    <row r="3050" spans="1:18" ht="15" customHeight="1" x14ac:dyDescent="0.3">
      <c r="A3050" s="101">
        <v>2025</v>
      </c>
      <c r="B3050" s="90">
        <v>1</v>
      </c>
      <c r="C3050" s="90" t="s">
        <v>718</v>
      </c>
      <c r="D3050" s="90" t="s">
        <v>719</v>
      </c>
      <c r="E3050" s="102" t="s">
        <v>11</v>
      </c>
      <c r="F3050" s="103" t="s">
        <v>29</v>
      </c>
      <c r="G3050" s="93">
        <v>7617.98</v>
      </c>
      <c r="H3050" s="93">
        <v>51299.4</v>
      </c>
      <c r="I3050" s="93">
        <v>143216.35999999999</v>
      </c>
      <c r="J3050" s="93">
        <v>80465.070000000007</v>
      </c>
      <c r="K3050" s="93">
        <v>2383.67</v>
      </c>
      <c r="L3050" s="93">
        <v>53611.85</v>
      </c>
      <c r="M3050" s="93">
        <v>338594.33</v>
      </c>
      <c r="N3050" s="95">
        <v>0.03</v>
      </c>
      <c r="O3050" s="95">
        <v>0.18</v>
      </c>
      <c r="P3050" s="95">
        <v>0.5</v>
      </c>
      <c r="Q3050" s="95">
        <v>0.28000000000000003</v>
      </c>
      <c r="R3050" s="104">
        <v>0.01</v>
      </c>
    </row>
    <row r="3051" spans="1:18" ht="15" hidden="1" customHeight="1" x14ac:dyDescent="0.3">
      <c r="A3051" s="101">
        <v>2025</v>
      </c>
      <c r="B3051" s="90">
        <v>1</v>
      </c>
      <c r="C3051" s="90" t="s">
        <v>718</v>
      </c>
      <c r="D3051" s="90" t="s">
        <v>719</v>
      </c>
      <c r="E3051" s="102" t="s">
        <v>11</v>
      </c>
      <c r="F3051" s="103" t="s">
        <v>30</v>
      </c>
      <c r="G3051" s="93">
        <v>418.77</v>
      </c>
      <c r="H3051" s="93">
        <v>2797.42</v>
      </c>
      <c r="I3051" s="93">
        <v>7897.61</v>
      </c>
      <c r="J3051" s="93">
        <v>3435.52</v>
      </c>
      <c r="K3051" s="93">
        <v>204.23</v>
      </c>
      <c r="L3051" s="93">
        <v>353760.22</v>
      </c>
      <c r="M3051" s="93">
        <v>368513.77</v>
      </c>
      <c r="N3051" s="95">
        <v>0.03</v>
      </c>
      <c r="O3051" s="95">
        <v>0.19</v>
      </c>
      <c r="P3051" s="95">
        <v>0.54</v>
      </c>
      <c r="Q3051" s="95">
        <v>0.23</v>
      </c>
      <c r="R3051" s="104">
        <v>0.01</v>
      </c>
    </row>
    <row r="3052" spans="1:18" ht="15" hidden="1" customHeight="1" x14ac:dyDescent="0.3">
      <c r="A3052" s="101">
        <v>2025</v>
      </c>
      <c r="B3052" s="90">
        <v>1</v>
      </c>
      <c r="C3052" s="90" t="s">
        <v>718</v>
      </c>
      <c r="D3052" s="90" t="s">
        <v>719</v>
      </c>
      <c r="E3052" s="102" t="s">
        <v>11</v>
      </c>
      <c r="F3052" s="103" t="s">
        <v>31</v>
      </c>
      <c r="G3052" s="93">
        <v>17443.54</v>
      </c>
      <c r="H3052" s="93">
        <v>112460.84</v>
      </c>
      <c r="I3052" s="93">
        <v>52553.279999999999</v>
      </c>
      <c r="J3052" s="93">
        <v>21179.11</v>
      </c>
      <c r="K3052" s="93">
        <v>4280.51</v>
      </c>
      <c r="L3052" s="93">
        <v>18412.330000000002</v>
      </c>
      <c r="M3052" s="93">
        <v>226329.62</v>
      </c>
      <c r="N3052" s="95">
        <v>0.08</v>
      </c>
      <c r="O3052" s="95">
        <v>0.54</v>
      </c>
      <c r="P3052" s="95">
        <v>0.25</v>
      </c>
      <c r="Q3052" s="95">
        <v>0.1</v>
      </c>
      <c r="R3052" s="104">
        <v>0.02</v>
      </c>
    </row>
    <row r="3053" spans="1:18" ht="15" hidden="1" customHeight="1" x14ac:dyDescent="0.3">
      <c r="A3053" s="101">
        <v>2025</v>
      </c>
      <c r="B3053" s="90">
        <v>1</v>
      </c>
      <c r="C3053" s="90" t="s">
        <v>718</v>
      </c>
      <c r="D3053" s="90" t="s">
        <v>719</v>
      </c>
      <c r="E3053" s="102" t="s">
        <v>11</v>
      </c>
      <c r="F3053" s="103" t="s">
        <v>32</v>
      </c>
      <c r="G3053" s="93">
        <v>36692.339999999997</v>
      </c>
      <c r="H3053" s="93">
        <v>238180.24</v>
      </c>
      <c r="I3053" s="93">
        <v>275537.31</v>
      </c>
      <c r="J3053" s="93">
        <v>28772.42</v>
      </c>
      <c r="K3053" s="93">
        <v>229.22</v>
      </c>
      <c r="L3053" s="93">
        <v>3130.98</v>
      </c>
      <c r="M3053" s="93">
        <v>582542.51</v>
      </c>
      <c r="N3053" s="95">
        <v>0.06</v>
      </c>
      <c r="O3053" s="95">
        <v>0.41</v>
      </c>
      <c r="P3053" s="95">
        <v>0.48</v>
      </c>
      <c r="Q3053" s="95">
        <v>0.05</v>
      </c>
      <c r="R3053" s="104">
        <v>0</v>
      </c>
    </row>
    <row r="3054" spans="1:18" ht="15" hidden="1" customHeight="1" x14ac:dyDescent="0.3">
      <c r="A3054" s="101">
        <v>2025</v>
      </c>
      <c r="B3054" s="90">
        <v>1</v>
      </c>
      <c r="C3054" s="90" t="s">
        <v>718</v>
      </c>
      <c r="D3054" s="90" t="s">
        <v>719</v>
      </c>
      <c r="E3054" s="102" t="s">
        <v>11</v>
      </c>
      <c r="F3054" s="103" t="s">
        <v>33</v>
      </c>
      <c r="G3054" s="93">
        <v>246974.17</v>
      </c>
      <c r="H3054" s="93">
        <v>618143.30000000005</v>
      </c>
      <c r="I3054" s="93">
        <v>389099.82</v>
      </c>
      <c r="J3054" s="93">
        <v>62540.54</v>
      </c>
      <c r="K3054" s="93">
        <v>873.88</v>
      </c>
      <c r="L3054" s="93">
        <v>14883.54</v>
      </c>
      <c r="M3054" s="93">
        <v>1332515.25</v>
      </c>
      <c r="N3054" s="95">
        <v>0.19</v>
      </c>
      <c r="O3054" s="95">
        <v>0.47</v>
      </c>
      <c r="P3054" s="95">
        <v>0.3</v>
      </c>
      <c r="Q3054" s="95">
        <v>0.05</v>
      </c>
      <c r="R3054" s="104">
        <v>0</v>
      </c>
    </row>
    <row r="3055" spans="1:18" ht="15" hidden="1" customHeight="1" x14ac:dyDescent="0.3">
      <c r="A3055" s="101">
        <v>2025</v>
      </c>
      <c r="B3055" s="90">
        <v>1</v>
      </c>
      <c r="C3055" s="90" t="s">
        <v>718</v>
      </c>
      <c r="D3055" s="90" t="s">
        <v>719</v>
      </c>
      <c r="E3055" s="102" t="s">
        <v>11</v>
      </c>
      <c r="F3055" s="103" t="s">
        <v>34</v>
      </c>
      <c r="G3055" s="93">
        <v>16869.78</v>
      </c>
      <c r="H3055" s="93">
        <v>193162.04</v>
      </c>
      <c r="I3055" s="93">
        <v>362467.12</v>
      </c>
      <c r="J3055" s="93">
        <v>90607.5</v>
      </c>
      <c r="K3055" s="93">
        <v>1503.87</v>
      </c>
      <c r="L3055" s="93">
        <v>4045.05</v>
      </c>
      <c r="M3055" s="93">
        <v>668655.35</v>
      </c>
      <c r="N3055" s="95">
        <v>0.03</v>
      </c>
      <c r="O3055" s="95">
        <v>0.28999999999999998</v>
      </c>
      <c r="P3055" s="95">
        <v>0.55000000000000004</v>
      </c>
      <c r="Q3055" s="95">
        <v>0.14000000000000001</v>
      </c>
      <c r="R3055" s="104">
        <v>0</v>
      </c>
    </row>
    <row r="3056" spans="1:18" ht="15" hidden="1" customHeight="1" x14ac:dyDescent="0.3">
      <c r="A3056" s="101">
        <v>2025</v>
      </c>
      <c r="B3056" s="90">
        <v>1</v>
      </c>
      <c r="C3056" s="90" t="s">
        <v>718</v>
      </c>
      <c r="D3056" s="90" t="s">
        <v>719</v>
      </c>
      <c r="E3056" s="102" t="s">
        <v>11</v>
      </c>
      <c r="F3056" s="103" t="s">
        <v>35</v>
      </c>
      <c r="G3056" s="93">
        <v>37061.78</v>
      </c>
      <c r="H3056" s="93">
        <v>182385.32</v>
      </c>
      <c r="I3056" s="93">
        <v>139206.24</v>
      </c>
      <c r="J3056" s="93">
        <v>14263.16</v>
      </c>
      <c r="K3056" s="93">
        <v>366.56</v>
      </c>
      <c r="L3056" s="93">
        <v>68420.58</v>
      </c>
      <c r="M3056" s="93">
        <v>441703.63</v>
      </c>
      <c r="N3056" s="95">
        <v>0.1</v>
      </c>
      <c r="O3056" s="95">
        <v>0.49</v>
      </c>
      <c r="P3056" s="95">
        <v>0.37</v>
      </c>
      <c r="Q3056" s="95">
        <v>0.04</v>
      </c>
      <c r="R3056" s="104">
        <v>0</v>
      </c>
    </row>
    <row r="3057" spans="1:18" ht="15" hidden="1" customHeight="1" x14ac:dyDescent="0.3">
      <c r="A3057" s="101">
        <v>2025</v>
      </c>
      <c r="B3057" s="90">
        <v>1</v>
      </c>
      <c r="C3057" s="90" t="s">
        <v>718</v>
      </c>
      <c r="D3057" s="90" t="s">
        <v>719</v>
      </c>
      <c r="E3057" s="102" t="s">
        <v>11</v>
      </c>
      <c r="F3057" s="103" t="s">
        <v>36</v>
      </c>
      <c r="G3057" s="93">
        <v>8582.31</v>
      </c>
      <c r="H3057" s="93">
        <v>93097.24</v>
      </c>
      <c r="I3057" s="93">
        <v>117433.87</v>
      </c>
      <c r="J3057" s="93">
        <v>6955.19</v>
      </c>
      <c r="K3057" s="93">
        <v>66.209999999999994</v>
      </c>
      <c r="L3057" s="93">
        <v>72900.34</v>
      </c>
      <c r="M3057" s="93">
        <v>299035.15000000002</v>
      </c>
      <c r="N3057" s="95">
        <v>0.04</v>
      </c>
      <c r="O3057" s="95">
        <v>0.41</v>
      </c>
      <c r="P3057" s="95">
        <v>0.52</v>
      </c>
      <c r="Q3057" s="95">
        <v>0.03</v>
      </c>
      <c r="R3057" s="104">
        <v>0</v>
      </c>
    </row>
    <row r="3058" spans="1:18" ht="15" hidden="1" customHeight="1" x14ac:dyDescent="0.3">
      <c r="A3058" s="101">
        <v>2025</v>
      </c>
      <c r="B3058" s="90">
        <v>1</v>
      </c>
      <c r="C3058" s="90" t="s">
        <v>718</v>
      </c>
      <c r="D3058" s="90" t="s">
        <v>719</v>
      </c>
      <c r="E3058" s="102" t="s">
        <v>11</v>
      </c>
      <c r="F3058" s="103" t="s">
        <v>37</v>
      </c>
      <c r="G3058" s="93">
        <v>8098.13</v>
      </c>
      <c r="H3058" s="93">
        <v>62403.15</v>
      </c>
      <c r="I3058" s="93">
        <v>204818.26</v>
      </c>
      <c r="J3058" s="93">
        <v>103038.42</v>
      </c>
      <c r="K3058" s="93">
        <v>2338.6999999999998</v>
      </c>
      <c r="L3058" s="93">
        <v>305643.32</v>
      </c>
      <c r="M3058" s="93">
        <v>686339.98</v>
      </c>
      <c r="N3058" s="95">
        <v>0.02</v>
      </c>
      <c r="O3058" s="95">
        <v>0.16</v>
      </c>
      <c r="P3058" s="95">
        <v>0.54</v>
      </c>
      <c r="Q3058" s="95">
        <v>0.27</v>
      </c>
      <c r="R3058" s="104">
        <v>0.01</v>
      </c>
    </row>
    <row r="3059" spans="1:18" ht="15" hidden="1" customHeight="1" x14ac:dyDescent="0.3">
      <c r="A3059" s="101">
        <v>2025</v>
      </c>
      <c r="B3059" s="90">
        <v>1</v>
      </c>
      <c r="C3059" s="90" t="s">
        <v>718</v>
      </c>
      <c r="D3059" s="90" t="s">
        <v>719</v>
      </c>
      <c r="E3059" s="102" t="s">
        <v>11</v>
      </c>
      <c r="F3059" s="103" t="s">
        <v>720</v>
      </c>
      <c r="G3059" s="93">
        <v>87662.17</v>
      </c>
      <c r="H3059" s="93">
        <v>329005.02</v>
      </c>
      <c r="I3059" s="93">
        <v>313486.69</v>
      </c>
      <c r="J3059" s="93">
        <v>25987.54</v>
      </c>
      <c r="K3059" s="93">
        <v>1544.2</v>
      </c>
      <c r="L3059" s="93">
        <v>15830.12</v>
      </c>
      <c r="M3059" s="93">
        <v>773515.73</v>
      </c>
      <c r="N3059" s="95">
        <v>0.12</v>
      </c>
      <c r="O3059" s="95">
        <v>0.43</v>
      </c>
      <c r="P3059" s="95">
        <v>0.41</v>
      </c>
      <c r="Q3059" s="95">
        <v>0.03</v>
      </c>
      <c r="R3059" s="104">
        <v>0</v>
      </c>
    </row>
    <row r="3060" spans="1:18" ht="15" hidden="1" customHeight="1" x14ac:dyDescent="0.3">
      <c r="A3060" s="101">
        <v>2025</v>
      </c>
      <c r="B3060" s="90">
        <v>1</v>
      </c>
      <c r="C3060" s="90" t="s">
        <v>718</v>
      </c>
      <c r="D3060" s="90" t="s">
        <v>719</v>
      </c>
      <c r="E3060" s="102" t="s">
        <v>11</v>
      </c>
      <c r="F3060" s="103" t="s">
        <v>39</v>
      </c>
      <c r="G3060" s="93">
        <v>5299.83</v>
      </c>
      <c r="H3060" s="93">
        <v>111399.16</v>
      </c>
      <c r="I3060" s="93">
        <v>162203.47</v>
      </c>
      <c r="J3060" s="93">
        <v>15491.38</v>
      </c>
      <c r="K3060" s="93">
        <v>128.72999999999999</v>
      </c>
      <c r="L3060" s="93">
        <v>41692.36</v>
      </c>
      <c r="M3060" s="93">
        <v>336214.93</v>
      </c>
      <c r="N3060" s="95">
        <v>0.02</v>
      </c>
      <c r="O3060" s="95">
        <v>0.38</v>
      </c>
      <c r="P3060" s="95">
        <v>0.55000000000000004</v>
      </c>
      <c r="Q3060" s="95">
        <v>0.05</v>
      </c>
      <c r="R3060" s="104">
        <v>0</v>
      </c>
    </row>
    <row r="3061" spans="1:18" ht="15" hidden="1" customHeight="1" x14ac:dyDescent="0.3">
      <c r="A3061" s="101">
        <v>2025</v>
      </c>
      <c r="B3061" s="90">
        <v>1</v>
      </c>
      <c r="C3061" s="90" t="s">
        <v>718</v>
      </c>
      <c r="D3061" s="90" t="s">
        <v>719</v>
      </c>
      <c r="E3061" s="102" t="s">
        <v>11</v>
      </c>
      <c r="F3061" s="103" t="s">
        <v>40</v>
      </c>
      <c r="G3061" s="93">
        <v>4821.88</v>
      </c>
      <c r="H3061" s="93">
        <v>55328.38</v>
      </c>
      <c r="I3061" s="93">
        <v>190850.43</v>
      </c>
      <c r="J3061" s="93">
        <v>67800.710000000006</v>
      </c>
      <c r="K3061" s="93">
        <v>2419.2800000000002</v>
      </c>
      <c r="L3061" s="93">
        <v>42446.22</v>
      </c>
      <c r="M3061" s="93">
        <v>363666.9</v>
      </c>
      <c r="N3061" s="95">
        <v>0.02</v>
      </c>
      <c r="O3061" s="95">
        <v>0.17</v>
      </c>
      <c r="P3061" s="95">
        <v>0.59</v>
      </c>
      <c r="Q3061" s="95">
        <v>0.21</v>
      </c>
      <c r="R3061" s="104">
        <v>0.01</v>
      </c>
    </row>
    <row r="3062" spans="1:18" ht="15" hidden="1" customHeight="1" x14ac:dyDescent="0.3">
      <c r="A3062" s="101">
        <v>2025</v>
      </c>
      <c r="B3062" s="90">
        <v>1</v>
      </c>
      <c r="C3062" s="90" t="s">
        <v>718</v>
      </c>
      <c r="D3062" s="90" t="s">
        <v>719</v>
      </c>
      <c r="E3062" s="102" t="s">
        <v>11</v>
      </c>
      <c r="F3062" s="103" t="s">
        <v>41</v>
      </c>
      <c r="G3062" s="93">
        <v>5106.17</v>
      </c>
      <c r="H3062" s="93">
        <v>11697.17</v>
      </c>
      <c r="I3062" s="93">
        <v>1759.02</v>
      </c>
      <c r="J3062" s="93">
        <v>147.57</v>
      </c>
      <c r="K3062" s="93">
        <v>4.4000000000000004</v>
      </c>
      <c r="L3062" s="93">
        <v>854799.45</v>
      </c>
      <c r="M3062" s="93">
        <v>873513.78</v>
      </c>
      <c r="N3062" s="95">
        <v>0.27</v>
      </c>
      <c r="O3062" s="95">
        <v>0.63</v>
      </c>
      <c r="P3062" s="95">
        <v>0.09</v>
      </c>
      <c r="Q3062" s="95">
        <v>0.01</v>
      </c>
      <c r="R3062" s="104">
        <v>0</v>
      </c>
    </row>
    <row r="3063" spans="1:18" ht="15" hidden="1" customHeight="1" x14ac:dyDescent="0.3">
      <c r="A3063" s="101">
        <v>2025</v>
      </c>
      <c r="B3063" s="90">
        <v>1</v>
      </c>
      <c r="C3063" s="90" t="s">
        <v>718</v>
      </c>
      <c r="D3063" s="90" t="s">
        <v>719</v>
      </c>
      <c r="E3063" s="102" t="s">
        <v>11</v>
      </c>
      <c r="F3063" s="103" t="s">
        <v>42</v>
      </c>
      <c r="G3063" s="93">
        <v>95762.02</v>
      </c>
      <c r="H3063" s="93">
        <v>224477.23</v>
      </c>
      <c r="I3063" s="93">
        <v>204525.96</v>
      </c>
      <c r="J3063" s="93">
        <v>34465.629999999997</v>
      </c>
      <c r="K3063" s="93">
        <v>1665.34</v>
      </c>
      <c r="L3063" s="93">
        <v>496.46</v>
      </c>
      <c r="M3063" s="93">
        <v>561392.64000000001</v>
      </c>
      <c r="N3063" s="95">
        <v>0.17</v>
      </c>
      <c r="O3063" s="95">
        <v>0.4</v>
      </c>
      <c r="P3063" s="95">
        <v>0.36</v>
      </c>
      <c r="Q3063" s="95">
        <v>0.06</v>
      </c>
      <c r="R3063" s="104">
        <v>0</v>
      </c>
    </row>
    <row r="3064" spans="1:18" ht="15" hidden="1" customHeight="1" x14ac:dyDescent="0.3">
      <c r="A3064" s="101">
        <v>2025</v>
      </c>
      <c r="B3064" s="90">
        <v>1</v>
      </c>
      <c r="C3064" s="90" t="s">
        <v>718</v>
      </c>
      <c r="D3064" s="90" t="s">
        <v>719</v>
      </c>
      <c r="E3064" s="102" t="s">
        <v>11</v>
      </c>
      <c r="F3064" s="103" t="s">
        <v>43</v>
      </c>
      <c r="G3064" s="93">
        <v>15638.63</v>
      </c>
      <c r="H3064" s="93">
        <v>26012.080000000002</v>
      </c>
      <c r="I3064" s="93">
        <v>19290.310000000001</v>
      </c>
      <c r="J3064" s="93">
        <v>9072.7199999999993</v>
      </c>
      <c r="K3064" s="93">
        <v>189.75</v>
      </c>
      <c r="L3064" s="93">
        <v>60626.95</v>
      </c>
      <c r="M3064" s="93">
        <v>130830.44</v>
      </c>
      <c r="N3064" s="95">
        <v>0.22</v>
      </c>
      <c r="O3064" s="95">
        <v>0.37</v>
      </c>
      <c r="P3064" s="95">
        <v>0.27</v>
      </c>
      <c r="Q3064" s="95">
        <v>0.13</v>
      </c>
      <c r="R3064" s="104">
        <v>0</v>
      </c>
    </row>
    <row r="3065" spans="1:18" ht="15" hidden="1" customHeight="1" x14ac:dyDescent="0.3">
      <c r="A3065" s="101">
        <v>2025</v>
      </c>
      <c r="B3065" s="90">
        <v>1</v>
      </c>
      <c r="C3065" s="90" t="s">
        <v>718</v>
      </c>
      <c r="D3065" s="90" t="s">
        <v>719</v>
      </c>
      <c r="E3065" s="102" t="s">
        <v>11</v>
      </c>
      <c r="F3065" s="103" t="s">
        <v>58</v>
      </c>
      <c r="G3065" s="93">
        <v>6753.37</v>
      </c>
      <c r="H3065" s="93">
        <v>59266.38</v>
      </c>
      <c r="I3065" s="93">
        <v>228051.58</v>
      </c>
      <c r="J3065" s="93">
        <v>72473.41</v>
      </c>
      <c r="K3065" s="93">
        <v>859.26</v>
      </c>
      <c r="L3065" s="93">
        <v>3419.73</v>
      </c>
      <c r="M3065" s="93">
        <v>370823.72</v>
      </c>
      <c r="N3065" s="95">
        <v>0.02</v>
      </c>
      <c r="O3065" s="95">
        <v>0.16</v>
      </c>
      <c r="P3065" s="95">
        <v>0.62</v>
      </c>
      <c r="Q3065" s="95">
        <v>0.2</v>
      </c>
      <c r="R3065" s="104">
        <v>0</v>
      </c>
    </row>
    <row r="3066" spans="1:18" ht="15" hidden="1" customHeight="1" x14ac:dyDescent="0.3">
      <c r="A3066" s="101">
        <v>2025</v>
      </c>
      <c r="B3066" s="90">
        <v>1</v>
      </c>
      <c r="C3066" s="90" t="s">
        <v>718</v>
      </c>
      <c r="D3066" s="90" t="s">
        <v>719</v>
      </c>
      <c r="E3066" s="102" t="s">
        <v>11</v>
      </c>
      <c r="F3066" s="103" t="s">
        <v>44</v>
      </c>
      <c r="G3066" s="93">
        <v>4489.8599999999997</v>
      </c>
      <c r="H3066" s="93">
        <v>23934.61</v>
      </c>
      <c r="I3066" s="93">
        <v>104483.81</v>
      </c>
      <c r="J3066" s="93">
        <v>44641.17</v>
      </c>
      <c r="K3066" s="93">
        <v>1267.3</v>
      </c>
      <c r="L3066" s="93">
        <v>27940.02</v>
      </c>
      <c r="M3066" s="93">
        <v>206756.78</v>
      </c>
      <c r="N3066" s="95">
        <v>0.03</v>
      </c>
      <c r="O3066" s="95">
        <v>0.13</v>
      </c>
      <c r="P3066" s="95">
        <v>0.57999999999999996</v>
      </c>
      <c r="Q3066" s="95">
        <v>0.25</v>
      </c>
      <c r="R3066" s="104">
        <v>0.01</v>
      </c>
    </row>
    <row r="3067" spans="1:18" ht="15" hidden="1" customHeight="1" x14ac:dyDescent="0.3">
      <c r="A3067" s="101">
        <v>2025</v>
      </c>
      <c r="B3067" s="90">
        <v>1</v>
      </c>
      <c r="C3067" s="90" t="s">
        <v>718</v>
      </c>
      <c r="D3067" s="90" t="s">
        <v>719</v>
      </c>
      <c r="E3067" s="102" t="s">
        <v>11</v>
      </c>
      <c r="F3067" s="103" t="s">
        <v>51</v>
      </c>
      <c r="G3067" s="93">
        <v>1182.99</v>
      </c>
      <c r="H3067" s="93">
        <v>8468.0300000000007</v>
      </c>
      <c r="I3067" s="93">
        <v>53925.31</v>
      </c>
      <c r="J3067" s="93">
        <v>95783.93</v>
      </c>
      <c r="K3067" s="93">
        <v>51019.62</v>
      </c>
      <c r="L3067" s="93">
        <v>4765.74</v>
      </c>
      <c r="M3067" s="93">
        <v>215145.62</v>
      </c>
      <c r="N3067" s="95">
        <v>0.01</v>
      </c>
      <c r="O3067" s="95">
        <v>0.04</v>
      </c>
      <c r="P3067" s="95">
        <v>0.26</v>
      </c>
      <c r="Q3067" s="95">
        <v>0.46</v>
      </c>
      <c r="R3067" s="104">
        <v>0.24</v>
      </c>
    </row>
    <row r="3068" spans="1:18" ht="15" hidden="1" customHeight="1" x14ac:dyDescent="0.3">
      <c r="A3068" s="101">
        <v>2025</v>
      </c>
      <c r="B3068" s="90">
        <v>1</v>
      </c>
      <c r="C3068" s="90" t="s">
        <v>718</v>
      </c>
      <c r="D3068" s="90" t="s">
        <v>719</v>
      </c>
      <c r="E3068" s="102" t="s">
        <v>11</v>
      </c>
      <c r="F3068" s="103" t="s">
        <v>45</v>
      </c>
      <c r="G3068" s="93">
        <v>3579.04</v>
      </c>
      <c r="H3068" s="93">
        <v>20571.04</v>
      </c>
      <c r="I3068" s="93">
        <v>45474.67</v>
      </c>
      <c r="J3068" s="93">
        <v>15593.23</v>
      </c>
      <c r="K3068" s="93">
        <v>532.52</v>
      </c>
      <c r="L3068" s="93">
        <v>26955.05</v>
      </c>
      <c r="M3068" s="93">
        <v>112705.56</v>
      </c>
      <c r="N3068" s="95">
        <v>0.04</v>
      </c>
      <c r="O3068" s="95">
        <v>0.24</v>
      </c>
      <c r="P3068" s="95">
        <v>0.53</v>
      </c>
      <c r="Q3068" s="95">
        <v>0.18</v>
      </c>
      <c r="R3068" s="104">
        <v>0.01</v>
      </c>
    </row>
    <row r="3069" spans="1:18" ht="15" hidden="1" customHeight="1" x14ac:dyDescent="0.3">
      <c r="A3069" s="101">
        <v>2025</v>
      </c>
      <c r="B3069" s="90">
        <v>1</v>
      </c>
      <c r="C3069" s="90" t="s">
        <v>718</v>
      </c>
      <c r="D3069" s="90" t="s">
        <v>719</v>
      </c>
      <c r="E3069" s="102" t="s">
        <v>11</v>
      </c>
      <c r="F3069" s="103" t="s">
        <v>721</v>
      </c>
      <c r="G3069" s="93">
        <v>18549.23</v>
      </c>
      <c r="H3069" s="93">
        <v>134793.13</v>
      </c>
      <c r="I3069" s="93">
        <v>141877.56</v>
      </c>
      <c r="J3069" s="93">
        <v>13699.56</v>
      </c>
      <c r="K3069" s="93">
        <v>406.82</v>
      </c>
      <c r="L3069" s="93">
        <v>586702.98</v>
      </c>
      <c r="M3069" s="93">
        <v>896029.27</v>
      </c>
      <c r="N3069" s="95">
        <v>0.06</v>
      </c>
      <c r="O3069" s="95">
        <v>0.44</v>
      </c>
      <c r="P3069" s="95">
        <v>0.46</v>
      </c>
      <c r="Q3069" s="95">
        <v>0.04</v>
      </c>
      <c r="R3069" s="104">
        <v>0</v>
      </c>
    </row>
    <row r="3070" spans="1:18" ht="15" hidden="1" customHeight="1" x14ac:dyDescent="0.3">
      <c r="A3070" s="101">
        <v>2025</v>
      </c>
      <c r="B3070" s="90">
        <v>1</v>
      </c>
      <c r="C3070" s="90" t="s">
        <v>718</v>
      </c>
      <c r="D3070" s="90" t="s">
        <v>719</v>
      </c>
      <c r="E3070" s="102" t="s">
        <v>11</v>
      </c>
      <c r="F3070" s="103" t="s">
        <v>46</v>
      </c>
      <c r="G3070" s="93">
        <v>3361.93</v>
      </c>
      <c r="H3070" s="93">
        <v>29707.77</v>
      </c>
      <c r="I3070" s="93">
        <v>70860.97</v>
      </c>
      <c r="J3070" s="93">
        <v>34041.449999999997</v>
      </c>
      <c r="K3070" s="93">
        <v>10423.41</v>
      </c>
      <c r="L3070" s="93">
        <v>112219.61</v>
      </c>
      <c r="M3070" s="93">
        <v>260615.13</v>
      </c>
      <c r="N3070" s="95">
        <v>0.02</v>
      </c>
      <c r="O3070" s="95">
        <v>0.2</v>
      </c>
      <c r="P3070" s="95">
        <v>0.48</v>
      </c>
      <c r="Q3070" s="95">
        <v>0.23</v>
      </c>
      <c r="R3070" s="104">
        <v>7.0000000000000007E-2</v>
      </c>
    </row>
    <row r="3071" spans="1:18" ht="15" hidden="1" customHeight="1" x14ac:dyDescent="0.3">
      <c r="A3071" s="101">
        <v>2025</v>
      </c>
      <c r="B3071" s="90">
        <v>1</v>
      </c>
      <c r="C3071" s="90" t="s">
        <v>718</v>
      </c>
      <c r="D3071" s="90" t="s">
        <v>719</v>
      </c>
      <c r="E3071" s="102" t="s">
        <v>11</v>
      </c>
      <c r="F3071" s="103" t="s">
        <v>47</v>
      </c>
      <c r="G3071" s="93">
        <v>14967.94</v>
      </c>
      <c r="H3071" s="93">
        <v>41307.96</v>
      </c>
      <c r="I3071" s="93">
        <v>116183.66</v>
      </c>
      <c r="J3071" s="93">
        <v>347972.9</v>
      </c>
      <c r="K3071" s="93">
        <v>833246.38</v>
      </c>
      <c r="L3071" s="93">
        <v>50137.31</v>
      </c>
      <c r="M3071" s="93">
        <v>1403816.16</v>
      </c>
      <c r="N3071" s="95">
        <v>0.01</v>
      </c>
      <c r="O3071" s="95">
        <v>0.03</v>
      </c>
      <c r="P3071" s="95">
        <v>0.09</v>
      </c>
      <c r="Q3071" s="95">
        <v>0.26</v>
      </c>
      <c r="R3071" s="104">
        <v>0.62</v>
      </c>
    </row>
    <row r="3072" spans="1:18" ht="15" hidden="1" customHeight="1" x14ac:dyDescent="0.3">
      <c r="A3072" s="101">
        <v>2025</v>
      </c>
      <c r="B3072" s="90">
        <v>1</v>
      </c>
      <c r="C3072" s="90" t="s">
        <v>718</v>
      </c>
      <c r="D3072" s="90" t="s">
        <v>719</v>
      </c>
      <c r="E3072" s="102" t="s">
        <v>11</v>
      </c>
      <c r="F3072" s="103" t="s">
        <v>48</v>
      </c>
      <c r="G3072" s="93">
        <v>866.19</v>
      </c>
      <c r="H3072" s="93">
        <v>9983.19</v>
      </c>
      <c r="I3072" s="93">
        <v>76911.95</v>
      </c>
      <c r="J3072" s="93">
        <v>14120.26</v>
      </c>
      <c r="K3072" s="93">
        <v>33</v>
      </c>
      <c r="L3072" s="93">
        <v>55599.25</v>
      </c>
      <c r="M3072" s="93">
        <v>157513.82999999999</v>
      </c>
      <c r="N3072" s="95">
        <v>0.01</v>
      </c>
      <c r="O3072" s="95">
        <v>0.1</v>
      </c>
      <c r="P3072" s="95">
        <v>0.75</v>
      </c>
      <c r="Q3072" s="95">
        <v>0.14000000000000001</v>
      </c>
      <c r="R3072" s="104">
        <v>0</v>
      </c>
    </row>
    <row r="3073" spans="1:18" ht="15" hidden="1" customHeight="1" x14ac:dyDescent="0.3">
      <c r="A3073" s="101">
        <v>2025</v>
      </c>
      <c r="B3073" s="90">
        <v>1</v>
      </c>
      <c r="C3073" s="90" t="s">
        <v>718</v>
      </c>
      <c r="D3073" s="90" t="s">
        <v>722</v>
      </c>
      <c r="E3073" s="102" t="s">
        <v>11</v>
      </c>
      <c r="F3073" s="103" t="s">
        <v>12</v>
      </c>
      <c r="G3073" s="93">
        <v>14269.66</v>
      </c>
      <c r="H3073" s="93">
        <v>46081.599999999999</v>
      </c>
      <c r="I3073" s="93">
        <v>187266.8</v>
      </c>
      <c r="J3073" s="93">
        <v>133169.32</v>
      </c>
      <c r="K3073" s="93">
        <v>4260.67</v>
      </c>
      <c r="L3073" s="93">
        <v>382.92</v>
      </c>
      <c r="M3073" s="93">
        <v>385430.96</v>
      </c>
      <c r="N3073" s="95">
        <v>0.04</v>
      </c>
      <c r="O3073" s="95">
        <v>0.12</v>
      </c>
      <c r="P3073" s="95">
        <v>0.49</v>
      </c>
      <c r="Q3073" s="95">
        <v>0.35</v>
      </c>
      <c r="R3073" s="104">
        <v>0.01</v>
      </c>
    </row>
    <row r="3074" spans="1:18" ht="15" hidden="1" customHeight="1" x14ac:dyDescent="0.3">
      <c r="A3074" s="101">
        <v>2025</v>
      </c>
      <c r="B3074" s="90">
        <v>1</v>
      </c>
      <c r="C3074" s="90" t="s">
        <v>718</v>
      </c>
      <c r="D3074" s="90" t="s">
        <v>722</v>
      </c>
      <c r="E3074" s="102" t="s">
        <v>11</v>
      </c>
      <c r="F3074" s="103" t="s">
        <v>26</v>
      </c>
      <c r="G3074" s="93">
        <v>138116.53</v>
      </c>
      <c r="H3074" s="93">
        <v>377865.4</v>
      </c>
      <c r="I3074" s="93">
        <v>431947.04</v>
      </c>
      <c r="J3074" s="93">
        <v>95066.21</v>
      </c>
      <c r="K3074" s="93">
        <v>2046.92</v>
      </c>
      <c r="L3074" s="93">
        <v>25408.61</v>
      </c>
      <c r="M3074" s="93">
        <v>1070450.71</v>
      </c>
      <c r="N3074" s="95">
        <v>0.13</v>
      </c>
      <c r="O3074" s="95">
        <v>0.36</v>
      </c>
      <c r="P3074" s="95">
        <v>0.41</v>
      </c>
      <c r="Q3074" s="95">
        <v>0.09</v>
      </c>
      <c r="R3074" s="104">
        <v>0</v>
      </c>
    </row>
    <row r="3075" spans="1:18" ht="15" hidden="1" customHeight="1" x14ac:dyDescent="0.3">
      <c r="A3075" s="101">
        <v>2025</v>
      </c>
      <c r="B3075" s="90">
        <v>1</v>
      </c>
      <c r="C3075" s="90" t="s">
        <v>718</v>
      </c>
      <c r="D3075" s="90" t="s">
        <v>722</v>
      </c>
      <c r="E3075" s="102" t="s">
        <v>11</v>
      </c>
      <c r="F3075" s="103" t="s">
        <v>27</v>
      </c>
      <c r="G3075" s="93">
        <v>509.01</v>
      </c>
      <c r="H3075" s="93">
        <v>16454.96</v>
      </c>
      <c r="I3075" s="93">
        <v>104137.57</v>
      </c>
      <c r="J3075" s="93">
        <v>95774.01</v>
      </c>
      <c r="K3075" s="93">
        <v>4153.5600000000004</v>
      </c>
      <c r="L3075" s="93">
        <v>185080.83</v>
      </c>
      <c r="M3075" s="93">
        <v>406109.95</v>
      </c>
      <c r="N3075" s="95">
        <v>0</v>
      </c>
      <c r="O3075" s="95">
        <v>7.0000000000000007E-2</v>
      </c>
      <c r="P3075" s="95">
        <v>0.47</v>
      </c>
      <c r="Q3075" s="95">
        <v>0.43</v>
      </c>
      <c r="R3075" s="104">
        <v>0.02</v>
      </c>
    </row>
    <row r="3076" spans="1:18" ht="15" hidden="1" customHeight="1" x14ac:dyDescent="0.3">
      <c r="A3076" s="101">
        <v>2025</v>
      </c>
      <c r="B3076" s="90">
        <v>1</v>
      </c>
      <c r="C3076" s="90" t="s">
        <v>718</v>
      </c>
      <c r="D3076" s="90" t="s">
        <v>722</v>
      </c>
      <c r="E3076" s="102" t="s">
        <v>11</v>
      </c>
      <c r="F3076" s="103" t="s">
        <v>28</v>
      </c>
      <c r="G3076" s="93">
        <v>2151.0700000000002</v>
      </c>
      <c r="H3076" s="93">
        <v>25990.99</v>
      </c>
      <c r="I3076" s="93">
        <v>244973.41</v>
      </c>
      <c r="J3076" s="93">
        <v>96272.37</v>
      </c>
      <c r="K3076" s="93">
        <v>441.12</v>
      </c>
      <c r="L3076" s="93">
        <v>85451.09</v>
      </c>
      <c r="M3076" s="93">
        <v>455280.05</v>
      </c>
      <c r="N3076" s="95">
        <v>0.01</v>
      </c>
      <c r="O3076" s="95">
        <v>7.0000000000000007E-2</v>
      </c>
      <c r="P3076" s="95">
        <v>0.66</v>
      </c>
      <c r="Q3076" s="95">
        <v>0.26</v>
      </c>
      <c r="R3076" s="104">
        <v>0</v>
      </c>
    </row>
    <row r="3077" spans="1:18" ht="15" customHeight="1" x14ac:dyDescent="0.3">
      <c r="A3077" s="101">
        <v>2025</v>
      </c>
      <c r="B3077" s="90">
        <v>1</v>
      </c>
      <c r="C3077" s="90" t="s">
        <v>718</v>
      </c>
      <c r="D3077" s="90" t="s">
        <v>722</v>
      </c>
      <c r="E3077" s="102" t="s">
        <v>11</v>
      </c>
      <c r="F3077" s="103" t="s">
        <v>29</v>
      </c>
      <c r="G3077" s="93">
        <v>4339.79</v>
      </c>
      <c r="H3077" s="93">
        <v>16423.54</v>
      </c>
      <c r="I3077" s="93">
        <v>98384.45</v>
      </c>
      <c r="J3077" s="93">
        <v>165215.72</v>
      </c>
      <c r="K3077" s="93">
        <v>17884.75</v>
      </c>
      <c r="L3077" s="93">
        <v>18541.939999999999</v>
      </c>
      <c r="M3077" s="93">
        <v>320790.2</v>
      </c>
      <c r="N3077" s="95">
        <v>0.01</v>
      </c>
      <c r="O3077" s="95">
        <v>0.05</v>
      </c>
      <c r="P3077" s="95">
        <v>0.33</v>
      </c>
      <c r="Q3077" s="95">
        <v>0.55000000000000004</v>
      </c>
      <c r="R3077" s="104">
        <v>0.06</v>
      </c>
    </row>
    <row r="3078" spans="1:18" ht="15" hidden="1" customHeight="1" x14ac:dyDescent="0.3">
      <c r="A3078" s="101">
        <v>2025</v>
      </c>
      <c r="B3078" s="90">
        <v>1</v>
      </c>
      <c r="C3078" s="90" t="s">
        <v>718</v>
      </c>
      <c r="D3078" s="90" t="s">
        <v>722</v>
      </c>
      <c r="E3078" s="102" t="s">
        <v>11</v>
      </c>
      <c r="F3078" s="103" t="s">
        <v>30</v>
      </c>
      <c r="G3078" s="93">
        <v>1969.54</v>
      </c>
      <c r="H3078" s="93">
        <v>6338.84</v>
      </c>
      <c r="I3078" s="93">
        <v>5009.6400000000003</v>
      </c>
      <c r="J3078" s="93">
        <v>1606.06</v>
      </c>
      <c r="K3078" s="93">
        <v>45.01</v>
      </c>
      <c r="L3078" s="93">
        <v>287217.42</v>
      </c>
      <c r="M3078" s="93">
        <v>302186.52</v>
      </c>
      <c r="N3078" s="95">
        <v>0.13</v>
      </c>
      <c r="O3078" s="95">
        <v>0.42</v>
      </c>
      <c r="P3078" s="95">
        <v>0.33</v>
      </c>
      <c r="Q3078" s="95">
        <v>0.11</v>
      </c>
      <c r="R3078" s="104">
        <v>0</v>
      </c>
    </row>
    <row r="3079" spans="1:18" ht="15" hidden="1" customHeight="1" x14ac:dyDescent="0.3">
      <c r="A3079" s="101">
        <v>2025</v>
      </c>
      <c r="B3079" s="90">
        <v>1</v>
      </c>
      <c r="C3079" s="90" t="s">
        <v>718</v>
      </c>
      <c r="D3079" s="90" t="s">
        <v>722</v>
      </c>
      <c r="E3079" s="102" t="s">
        <v>11</v>
      </c>
      <c r="F3079" s="103" t="s">
        <v>31</v>
      </c>
      <c r="G3079" s="93">
        <v>11532.01</v>
      </c>
      <c r="H3079" s="93">
        <v>76891.77</v>
      </c>
      <c r="I3079" s="93">
        <v>66381.83</v>
      </c>
      <c r="J3079" s="93">
        <v>43739.98</v>
      </c>
      <c r="K3079" s="93">
        <v>9894.7099999999991</v>
      </c>
      <c r="L3079" s="93">
        <v>18413.82</v>
      </c>
      <c r="M3079" s="93">
        <v>226854.14</v>
      </c>
      <c r="N3079" s="95">
        <v>0.06</v>
      </c>
      <c r="O3079" s="95">
        <v>0.37</v>
      </c>
      <c r="P3079" s="95">
        <v>0.32</v>
      </c>
      <c r="Q3079" s="95">
        <v>0.21</v>
      </c>
      <c r="R3079" s="104">
        <v>0.05</v>
      </c>
    </row>
    <row r="3080" spans="1:18" ht="15" hidden="1" customHeight="1" x14ac:dyDescent="0.3">
      <c r="A3080" s="101">
        <v>2025</v>
      </c>
      <c r="B3080" s="90">
        <v>1</v>
      </c>
      <c r="C3080" s="90" t="s">
        <v>718</v>
      </c>
      <c r="D3080" s="90" t="s">
        <v>722</v>
      </c>
      <c r="E3080" s="102" t="s">
        <v>11</v>
      </c>
      <c r="F3080" s="103" t="s">
        <v>32</v>
      </c>
      <c r="G3080" s="93">
        <v>12266.77</v>
      </c>
      <c r="H3080" s="93">
        <v>124352.52</v>
      </c>
      <c r="I3080" s="93">
        <v>358498.45</v>
      </c>
      <c r="J3080" s="93">
        <v>92084.41</v>
      </c>
      <c r="K3080" s="93">
        <v>1772.32</v>
      </c>
      <c r="L3080" s="93">
        <v>0</v>
      </c>
      <c r="M3080" s="93">
        <v>588974.47</v>
      </c>
      <c r="N3080" s="95">
        <v>0.02</v>
      </c>
      <c r="O3080" s="95">
        <v>0.21</v>
      </c>
      <c r="P3080" s="95">
        <v>0.61</v>
      </c>
      <c r="Q3080" s="95">
        <v>0.16</v>
      </c>
      <c r="R3080" s="104">
        <v>0</v>
      </c>
    </row>
    <row r="3081" spans="1:18" ht="15" hidden="1" customHeight="1" x14ac:dyDescent="0.3">
      <c r="A3081" s="101">
        <v>2025</v>
      </c>
      <c r="B3081" s="90">
        <v>1</v>
      </c>
      <c r="C3081" s="90" t="s">
        <v>718</v>
      </c>
      <c r="D3081" s="90" t="s">
        <v>722</v>
      </c>
      <c r="E3081" s="102" t="s">
        <v>11</v>
      </c>
      <c r="F3081" s="103" t="s">
        <v>33</v>
      </c>
      <c r="G3081" s="93">
        <v>136043.26999999999</v>
      </c>
      <c r="H3081" s="93">
        <v>583768.81000000006</v>
      </c>
      <c r="I3081" s="93">
        <v>489637.96</v>
      </c>
      <c r="J3081" s="93">
        <v>105408.1</v>
      </c>
      <c r="K3081" s="93">
        <v>2153.5</v>
      </c>
      <c r="L3081" s="93">
        <v>8585.7800000000007</v>
      </c>
      <c r="M3081" s="93">
        <v>1325597.42</v>
      </c>
      <c r="N3081" s="95">
        <v>0.1</v>
      </c>
      <c r="O3081" s="95">
        <v>0.44</v>
      </c>
      <c r="P3081" s="95">
        <v>0.37</v>
      </c>
      <c r="Q3081" s="95">
        <v>0.08</v>
      </c>
      <c r="R3081" s="104">
        <v>0</v>
      </c>
    </row>
    <row r="3082" spans="1:18" ht="15" hidden="1" customHeight="1" x14ac:dyDescent="0.3">
      <c r="A3082" s="101">
        <v>2025</v>
      </c>
      <c r="B3082" s="90">
        <v>1</v>
      </c>
      <c r="C3082" s="90" t="s">
        <v>718</v>
      </c>
      <c r="D3082" s="90" t="s">
        <v>722</v>
      </c>
      <c r="E3082" s="102" t="s">
        <v>11</v>
      </c>
      <c r="F3082" s="103" t="s">
        <v>34</v>
      </c>
      <c r="G3082" s="93">
        <v>5949.59</v>
      </c>
      <c r="H3082" s="93">
        <v>36379.54</v>
      </c>
      <c r="I3082" s="93">
        <v>293077.71000000002</v>
      </c>
      <c r="J3082" s="93">
        <v>339828.35</v>
      </c>
      <c r="K3082" s="93">
        <v>11333.47</v>
      </c>
      <c r="L3082" s="93">
        <v>3668.78</v>
      </c>
      <c r="M3082" s="93">
        <v>690237.45</v>
      </c>
      <c r="N3082" s="95">
        <v>0.01</v>
      </c>
      <c r="O3082" s="95">
        <v>0.05</v>
      </c>
      <c r="P3082" s="95">
        <v>0.43</v>
      </c>
      <c r="Q3082" s="95">
        <v>0.49</v>
      </c>
      <c r="R3082" s="104">
        <v>0.02</v>
      </c>
    </row>
    <row r="3083" spans="1:18" ht="15" hidden="1" customHeight="1" x14ac:dyDescent="0.3">
      <c r="A3083" s="101">
        <v>2025</v>
      </c>
      <c r="B3083" s="90">
        <v>1</v>
      </c>
      <c r="C3083" s="90" t="s">
        <v>718</v>
      </c>
      <c r="D3083" s="90" t="s">
        <v>722</v>
      </c>
      <c r="E3083" s="102" t="s">
        <v>11</v>
      </c>
      <c r="F3083" s="103" t="s">
        <v>35</v>
      </c>
      <c r="G3083" s="93">
        <v>20258.91</v>
      </c>
      <c r="H3083" s="93">
        <v>86390.7</v>
      </c>
      <c r="I3083" s="93">
        <v>184764.66</v>
      </c>
      <c r="J3083" s="93">
        <v>77740.259999999995</v>
      </c>
      <c r="K3083" s="93">
        <v>2452.0300000000002</v>
      </c>
      <c r="L3083" s="93">
        <v>68089.27</v>
      </c>
      <c r="M3083" s="93">
        <v>439695.83</v>
      </c>
      <c r="N3083" s="95">
        <v>0.05</v>
      </c>
      <c r="O3083" s="95">
        <v>0.23</v>
      </c>
      <c r="P3083" s="95">
        <v>0.5</v>
      </c>
      <c r="Q3083" s="95">
        <v>0.21</v>
      </c>
      <c r="R3083" s="104">
        <v>0.01</v>
      </c>
    </row>
    <row r="3084" spans="1:18" ht="15" hidden="1" customHeight="1" x14ac:dyDescent="0.3">
      <c r="A3084" s="101">
        <v>2025</v>
      </c>
      <c r="B3084" s="90">
        <v>1</v>
      </c>
      <c r="C3084" s="90" t="s">
        <v>718</v>
      </c>
      <c r="D3084" s="90" t="s">
        <v>722</v>
      </c>
      <c r="E3084" s="102" t="s">
        <v>11</v>
      </c>
      <c r="F3084" s="103" t="s">
        <v>36</v>
      </c>
      <c r="G3084" s="93">
        <v>3029.68</v>
      </c>
      <c r="H3084" s="93">
        <v>15083.78</v>
      </c>
      <c r="I3084" s="93">
        <v>113482.07</v>
      </c>
      <c r="J3084" s="93">
        <v>93148.37</v>
      </c>
      <c r="K3084" s="93">
        <v>1253.58</v>
      </c>
      <c r="L3084" s="93">
        <v>68923.899999999994</v>
      </c>
      <c r="M3084" s="93">
        <v>294921.37</v>
      </c>
      <c r="N3084" s="95">
        <v>0.01</v>
      </c>
      <c r="O3084" s="95">
        <v>7.0000000000000007E-2</v>
      </c>
      <c r="P3084" s="95">
        <v>0.5</v>
      </c>
      <c r="Q3084" s="95">
        <v>0.41</v>
      </c>
      <c r="R3084" s="104">
        <v>0.01</v>
      </c>
    </row>
    <row r="3085" spans="1:18" ht="15" hidden="1" customHeight="1" x14ac:dyDescent="0.3">
      <c r="A3085" s="101">
        <v>2025</v>
      </c>
      <c r="B3085" s="90">
        <v>1</v>
      </c>
      <c r="C3085" s="90" t="s">
        <v>718</v>
      </c>
      <c r="D3085" s="90" t="s">
        <v>722</v>
      </c>
      <c r="E3085" s="102" t="s">
        <v>11</v>
      </c>
      <c r="F3085" s="103" t="s">
        <v>37</v>
      </c>
      <c r="G3085" s="93">
        <v>6208.12</v>
      </c>
      <c r="H3085" s="93">
        <v>47531.49</v>
      </c>
      <c r="I3085" s="93">
        <v>168447.02</v>
      </c>
      <c r="J3085" s="93">
        <v>152477.51</v>
      </c>
      <c r="K3085" s="93">
        <v>6816.15</v>
      </c>
      <c r="L3085" s="93">
        <v>305175</v>
      </c>
      <c r="M3085" s="93">
        <v>686655.29</v>
      </c>
      <c r="N3085" s="95">
        <v>0.02</v>
      </c>
      <c r="O3085" s="95">
        <v>0.12</v>
      </c>
      <c r="P3085" s="95">
        <v>0.44</v>
      </c>
      <c r="Q3085" s="95">
        <v>0.4</v>
      </c>
      <c r="R3085" s="104">
        <v>0.02</v>
      </c>
    </row>
    <row r="3086" spans="1:18" ht="15" hidden="1" customHeight="1" x14ac:dyDescent="0.3">
      <c r="A3086" s="101">
        <v>2025</v>
      </c>
      <c r="B3086" s="90">
        <v>1</v>
      </c>
      <c r="C3086" s="90" t="s">
        <v>718</v>
      </c>
      <c r="D3086" s="90" t="s">
        <v>722</v>
      </c>
      <c r="E3086" s="102" t="s">
        <v>11</v>
      </c>
      <c r="F3086" s="103" t="s">
        <v>720</v>
      </c>
      <c r="G3086" s="93">
        <v>43460.800000000003</v>
      </c>
      <c r="H3086" s="93">
        <v>133027.89000000001</v>
      </c>
      <c r="I3086" s="93">
        <v>350849.67</v>
      </c>
      <c r="J3086" s="93">
        <v>225932.89</v>
      </c>
      <c r="K3086" s="93">
        <v>4211.1000000000004</v>
      </c>
      <c r="L3086" s="93">
        <v>16800.7</v>
      </c>
      <c r="M3086" s="93">
        <v>774283.06</v>
      </c>
      <c r="N3086" s="95">
        <v>0.06</v>
      </c>
      <c r="O3086" s="95">
        <v>0.18</v>
      </c>
      <c r="P3086" s="95">
        <v>0.46</v>
      </c>
      <c r="Q3086" s="95">
        <v>0.3</v>
      </c>
      <c r="R3086" s="104">
        <v>0.01</v>
      </c>
    </row>
    <row r="3087" spans="1:18" ht="15" hidden="1" customHeight="1" x14ac:dyDescent="0.3">
      <c r="A3087" s="101">
        <v>2025</v>
      </c>
      <c r="B3087" s="90">
        <v>1</v>
      </c>
      <c r="C3087" s="90" t="s">
        <v>718</v>
      </c>
      <c r="D3087" s="90" t="s">
        <v>722</v>
      </c>
      <c r="E3087" s="102" t="s">
        <v>11</v>
      </c>
      <c r="F3087" s="103" t="s">
        <v>39</v>
      </c>
      <c r="G3087" s="93">
        <v>956.42</v>
      </c>
      <c r="H3087" s="93">
        <v>58194.67</v>
      </c>
      <c r="I3087" s="93">
        <v>219328.05</v>
      </c>
      <c r="J3087" s="93">
        <v>44468.480000000003</v>
      </c>
      <c r="K3087" s="93">
        <v>2038.98</v>
      </c>
      <c r="L3087" s="93">
        <v>41461.620000000003</v>
      </c>
      <c r="M3087" s="93">
        <v>366448.22</v>
      </c>
      <c r="N3087" s="95">
        <v>0</v>
      </c>
      <c r="O3087" s="95">
        <v>0.18</v>
      </c>
      <c r="P3087" s="95">
        <v>0.67</v>
      </c>
      <c r="Q3087" s="95">
        <v>0.14000000000000001</v>
      </c>
      <c r="R3087" s="104">
        <v>0.01</v>
      </c>
    </row>
    <row r="3088" spans="1:18" ht="15" hidden="1" customHeight="1" x14ac:dyDescent="0.3">
      <c r="A3088" s="101">
        <v>2025</v>
      </c>
      <c r="B3088" s="90">
        <v>1</v>
      </c>
      <c r="C3088" s="90" t="s">
        <v>718</v>
      </c>
      <c r="D3088" s="90" t="s">
        <v>722</v>
      </c>
      <c r="E3088" s="102" t="s">
        <v>11</v>
      </c>
      <c r="F3088" s="103" t="s">
        <v>40</v>
      </c>
      <c r="G3088" s="93">
        <v>6188.07</v>
      </c>
      <c r="H3088" s="93">
        <v>28729.69</v>
      </c>
      <c r="I3088" s="93">
        <v>139351.67999999999</v>
      </c>
      <c r="J3088" s="93">
        <v>140671.73000000001</v>
      </c>
      <c r="K3088" s="93">
        <v>6251.52</v>
      </c>
      <c r="L3088" s="93">
        <v>41909.230000000003</v>
      </c>
      <c r="M3088" s="93">
        <v>363101.93</v>
      </c>
      <c r="N3088" s="95">
        <v>0.02</v>
      </c>
      <c r="O3088" s="95">
        <v>0.09</v>
      </c>
      <c r="P3088" s="95">
        <v>0.43</v>
      </c>
      <c r="Q3088" s="95">
        <v>0.44</v>
      </c>
      <c r="R3088" s="104">
        <v>0.02</v>
      </c>
    </row>
    <row r="3089" spans="1:18" ht="15" hidden="1" customHeight="1" x14ac:dyDescent="0.3">
      <c r="A3089" s="101">
        <v>2025</v>
      </c>
      <c r="B3089" s="90">
        <v>1</v>
      </c>
      <c r="C3089" s="90" t="s">
        <v>718</v>
      </c>
      <c r="D3089" s="90" t="s">
        <v>722</v>
      </c>
      <c r="E3089" s="102" t="s">
        <v>11</v>
      </c>
      <c r="F3089" s="103" t="s">
        <v>41</v>
      </c>
      <c r="G3089" s="93">
        <v>10699.13</v>
      </c>
      <c r="H3089" s="93">
        <v>6485.95</v>
      </c>
      <c r="I3089" s="93">
        <v>1301.8499999999999</v>
      </c>
      <c r="J3089" s="93">
        <v>142.41</v>
      </c>
      <c r="K3089" s="93">
        <v>4.4000000000000004</v>
      </c>
      <c r="L3089" s="93">
        <v>854452.49</v>
      </c>
      <c r="M3089" s="93">
        <v>873086.23</v>
      </c>
      <c r="N3089" s="95">
        <v>0.56999999999999995</v>
      </c>
      <c r="O3089" s="95">
        <v>0.35</v>
      </c>
      <c r="P3089" s="95">
        <v>7.0000000000000007E-2</v>
      </c>
      <c r="Q3089" s="95">
        <v>0.01</v>
      </c>
      <c r="R3089" s="104">
        <v>0</v>
      </c>
    </row>
    <row r="3090" spans="1:18" ht="15" hidden="1" customHeight="1" x14ac:dyDescent="0.3">
      <c r="A3090" s="101">
        <v>2025</v>
      </c>
      <c r="B3090" s="90">
        <v>1</v>
      </c>
      <c r="C3090" s="90" t="s">
        <v>718</v>
      </c>
      <c r="D3090" s="90" t="s">
        <v>722</v>
      </c>
      <c r="E3090" s="102" t="s">
        <v>11</v>
      </c>
      <c r="F3090" s="103" t="s">
        <v>42</v>
      </c>
      <c r="G3090" s="93">
        <v>6684.87</v>
      </c>
      <c r="H3090" s="93">
        <v>80558.820000000007</v>
      </c>
      <c r="I3090" s="93">
        <v>220541.82</v>
      </c>
      <c r="J3090" s="93">
        <v>243591.19</v>
      </c>
      <c r="K3090" s="93">
        <v>36187.61</v>
      </c>
      <c r="L3090" s="93">
        <v>0</v>
      </c>
      <c r="M3090" s="93">
        <v>587564.31000000006</v>
      </c>
      <c r="N3090" s="95">
        <v>0.01</v>
      </c>
      <c r="O3090" s="95">
        <v>0.14000000000000001</v>
      </c>
      <c r="P3090" s="95">
        <v>0.38</v>
      </c>
      <c r="Q3090" s="95">
        <v>0.41</v>
      </c>
      <c r="R3090" s="104">
        <v>0.06</v>
      </c>
    </row>
    <row r="3091" spans="1:18" ht="15" hidden="1" customHeight="1" x14ac:dyDescent="0.3">
      <c r="A3091" s="101">
        <v>2025</v>
      </c>
      <c r="B3091" s="90">
        <v>1</v>
      </c>
      <c r="C3091" s="90" t="s">
        <v>718</v>
      </c>
      <c r="D3091" s="90" t="s">
        <v>722</v>
      </c>
      <c r="E3091" s="102" t="s">
        <v>11</v>
      </c>
      <c r="F3091" s="103" t="s">
        <v>43</v>
      </c>
      <c r="G3091" s="93">
        <v>7615.14</v>
      </c>
      <c r="H3091" s="93">
        <v>17432.16</v>
      </c>
      <c r="I3091" s="93">
        <v>23983.47</v>
      </c>
      <c r="J3091" s="93">
        <v>19211.560000000001</v>
      </c>
      <c r="K3091" s="93">
        <v>1098.8800000000001</v>
      </c>
      <c r="L3091" s="93">
        <v>59975.08</v>
      </c>
      <c r="M3091" s="93">
        <v>129316.29</v>
      </c>
      <c r="N3091" s="95">
        <v>0.11</v>
      </c>
      <c r="O3091" s="95">
        <v>0.25</v>
      </c>
      <c r="P3091" s="95">
        <v>0.35</v>
      </c>
      <c r="Q3091" s="95">
        <v>0.28000000000000003</v>
      </c>
      <c r="R3091" s="104">
        <v>0.02</v>
      </c>
    </row>
    <row r="3092" spans="1:18" ht="15" hidden="1" customHeight="1" x14ac:dyDescent="0.3">
      <c r="A3092" s="101">
        <v>2025</v>
      </c>
      <c r="B3092" s="90">
        <v>1</v>
      </c>
      <c r="C3092" s="90" t="s">
        <v>718</v>
      </c>
      <c r="D3092" s="90" t="s">
        <v>722</v>
      </c>
      <c r="E3092" s="102" t="s">
        <v>11</v>
      </c>
      <c r="F3092" s="103" t="s">
        <v>58</v>
      </c>
      <c r="G3092" s="93">
        <v>1199.18</v>
      </c>
      <c r="H3092" s="93">
        <v>16193.13</v>
      </c>
      <c r="I3092" s="93">
        <v>116329.99</v>
      </c>
      <c r="J3092" s="93">
        <v>226627.18</v>
      </c>
      <c r="K3092" s="93">
        <v>7045.19</v>
      </c>
      <c r="L3092" s="93">
        <v>2915.76</v>
      </c>
      <c r="M3092" s="93">
        <v>370310.44</v>
      </c>
      <c r="N3092" s="95">
        <v>0</v>
      </c>
      <c r="O3092" s="95">
        <v>0.04</v>
      </c>
      <c r="P3092" s="95">
        <v>0.32</v>
      </c>
      <c r="Q3092" s="95">
        <v>0.62</v>
      </c>
      <c r="R3092" s="104">
        <v>0.02</v>
      </c>
    </row>
    <row r="3093" spans="1:18" ht="15" hidden="1" customHeight="1" x14ac:dyDescent="0.3">
      <c r="A3093" s="101">
        <v>2025</v>
      </c>
      <c r="B3093" s="90">
        <v>1</v>
      </c>
      <c r="C3093" s="90" t="s">
        <v>718</v>
      </c>
      <c r="D3093" s="90" t="s">
        <v>722</v>
      </c>
      <c r="E3093" s="102" t="s">
        <v>11</v>
      </c>
      <c r="F3093" s="103" t="s">
        <v>44</v>
      </c>
      <c r="G3093" s="93">
        <v>1891.78</v>
      </c>
      <c r="H3093" s="93">
        <v>8305.41</v>
      </c>
      <c r="I3093" s="93">
        <v>50506.74</v>
      </c>
      <c r="J3093" s="93">
        <v>113170.39</v>
      </c>
      <c r="K3093" s="93">
        <v>5233.9799999999996</v>
      </c>
      <c r="L3093" s="93">
        <v>22815.81</v>
      </c>
      <c r="M3093" s="93">
        <v>201924.12</v>
      </c>
      <c r="N3093" s="95">
        <v>0.01</v>
      </c>
      <c r="O3093" s="95">
        <v>0.05</v>
      </c>
      <c r="P3093" s="95">
        <v>0.28000000000000003</v>
      </c>
      <c r="Q3093" s="95">
        <v>0.63</v>
      </c>
      <c r="R3093" s="104">
        <v>0.03</v>
      </c>
    </row>
    <row r="3094" spans="1:18" ht="15" hidden="1" customHeight="1" x14ac:dyDescent="0.3">
      <c r="A3094" s="101">
        <v>2025</v>
      </c>
      <c r="B3094" s="90">
        <v>1</v>
      </c>
      <c r="C3094" s="90" t="s">
        <v>718</v>
      </c>
      <c r="D3094" s="90" t="s">
        <v>722</v>
      </c>
      <c r="E3094" s="102" t="s">
        <v>11</v>
      </c>
      <c r="F3094" s="103" t="s">
        <v>51</v>
      </c>
      <c r="G3094" s="93">
        <v>1272.94</v>
      </c>
      <c r="H3094" s="93">
        <v>4575.29</v>
      </c>
      <c r="I3094" s="93">
        <v>38020.69</v>
      </c>
      <c r="J3094" s="93">
        <v>93463.63</v>
      </c>
      <c r="K3094" s="93">
        <v>73695.27</v>
      </c>
      <c r="L3094" s="93">
        <v>4509.13</v>
      </c>
      <c r="M3094" s="93">
        <v>215536.96</v>
      </c>
      <c r="N3094" s="95">
        <v>0.01</v>
      </c>
      <c r="O3094" s="95">
        <v>0.02</v>
      </c>
      <c r="P3094" s="95">
        <v>0.18</v>
      </c>
      <c r="Q3094" s="95">
        <v>0.44</v>
      </c>
      <c r="R3094" s="104">
        <v>0.35</v>
      </c>
    </row>
    <row r="3095" spans="1:18" ht="15" hidden="1" customHeight="1" x14ac:dyDescent="0.3">
      <c r="A3095" s="101">
        <v>2025</v>
      </c>
      <c r="B3095" s="90">
        <v>1</v>
      </c>
      <c r="C3095" s="90" t="s">
        <v>718</v>
      </c>
      <c r="D3095" s="90" t="s">
        <v>722</v>
      </c>
      <c r="E3095" s="102" t="s">
        <v>11</v>
      </c>
      <c r="F3095" s="103" t="s">
        <v>45</v>
      </c>
      <c r="G3095" s="93">
        <v>1486.95</v>
      </c>
      <c r="H3095" s="93">
        <v>6348.23</v>
      </c>
      <c r="I3095" s="93">
        <v>30248.46</v>
      </c>
      <c r="J3095" s="93">
        <v>43721.93</v>
      </c>
      <c r="K3095" s="93">
        <v>2970.85</v>
      </c>
      <c r="L3095" s="93">
        <v>26667.57</v>
      </c>
      <c r="M3095" s="93">
        <v>111444</v>
      </c>
      <c r="N3095" s="95">
        <v>0.02</v>
      </c>
      <c r="O3095" s="95">
        <v>7.0000000000000007E-2</v>
      </c>
      <c r="P3095" s="95">
        <v>0.36</v>
      </c>
      <c r="Q3095" s="95">
        <v>0.52</v>
      </c>
      <c r="R3095" s="104">
        <v>0.04</v>
      </c>
    </row>
    <row r="3096" spans="1:18" ht="15" hidden="1" customHeight="1" x14ac:dyDescent="0.3">
      <c r="A3096" s="101">
        <v>2025</v>
      </c>
      <c r="B3096" s="90">
        <v>1</v>
      </c>
      <c r="C3096" s="90" t="s">
        <v>718</v>
      </c>
      <c r="D3096" s="90" t="s">
        <v>722</v>
      </c>
      <c r="E3096" s="102" t="s">
        <v>11</v>
      </c>
      <c r="F3096" s="103" t="s">
        <v>721</v>
      </c>
      <c r="G3096" s="93">
        <v>2994.07</v>
      </c>
      <c r="H3096" s="93">
        <v>49943.28</v>
      </c>
      <c r="I3096" s="93">
        <v>171512.31</v>
      </c>
      <c r="J3096" s="93">
        <v>81709.47</v>
      </c>
      <c r="K3096" s="93">
        <v>3167.17</v>
      </c>
      <c r="L3096" s="93">
        <v>587949.85</v>
      </c>
      <c r="M3096" s="93">
        <v>897276.15</v>
      </c>
      <c r="N3096" s="95">
        <v>0.01</v>
      </c>
      <c r="O3096" s="95">
        <v>0.16</v>
      </c>
      <c r="P3096" s="95">
        <v>0.55000000000000004</v>
      </c>
      <c r="Q3096" s="95">
        <v>0.26</v>
      </c>
      <c r="R3096" s="104">
        <v>0.01</v>
      </c>
    </row>
    <row r="3097" spans="1:18" ht="15" hidden="1" customHeight="1" x14ac:dyDescent="0.3">
      <c r="A3097" s="101">
        <v>2025</v>
      </c>
      <c r="B3097" s="90">
        <v>1</v>
      </c>
      <c r="C3097" s="90" t="s">
        <v>718</v>
      </c>
      <c r="D3097" s="90" t="s">
        <v>722</v>
      </c>
      <c r="E3097" s="102" t="s">
        <v>11</v>
      </c>
      <c r="F3097" s="103" t="s">
        <v>46</v>
      </c>
      <c r="G3097" s="93">
        <v>1853.25</v>
      </c>
      <c r="H3097" s="93">
        <v>11842.64</v>
      </c>
      <c r="I3097" s="93">
        <v>44954.28</v>
      </c>
      <c r="J3097" s="93">
        <v>58074.9</v>
      </c>
      <c r="K3097" s="93">
        <v>32002.05</v>
      </c>
      <c r="L3097" s="93">
        <v>14999.74</v>
      </c>
      <c r="M3097" s="93">
        <v>163726.85999999999</v>
      </c>
      <c r="N3097" s="95">
        <v>0.01</v>
      </c>
      <c r="O3097" s="95">
        <v>0.08</v>
      </c>
      <c r="P3097" s="95">
        <v>0.3</v>
      </c>
      <c r="Q3097" s="95">
        <v>0.39</v>
      </c>
      <c r="R3097" s="104">
        <v>0.22</v>
      </c>
    </row>
    <row r="3098" spans="1:18" ht="15" hidden="1" customHeight="1" x14ac:dyDescent="0.3">
      <c r="A3098" s="101">
        <v>2025</v>
      </c>
      <c r="B3098" s="90">
        <v>1</v>
      </c>
      <c r="C3098" s="90" t="s">
        <v>718</v>
      </c>
      <c r="D3098" s="90" t="s">
        <v>722</v>
      </c>
      <c r="E3098" s="102" t="s">
        <v>11</v>
      </c>
      <c r="F3098" s="103" t="s">
        <v>47</v>
      </c>
      <c r="G3098" s="93">
        <v>15091.43</v>
      </c>
      <c r="H3098" s="93">
        <v>43362.49</v>
      </c>
      <c r="I3098" s="93">
        <v>132204.5</v>
      </c>
      <c r="J3098" s="93">
        <v>377421.69</v>
      </c>
      <c r="K3098" s="93">
        <v>791485.18</v>
      </c>
      <c r="L3098" s="93">
        <v>50341.36</v>
      </c>
      <c r="M3098" s="93">
        <v>1409906.64</v>
      </c>
      <c r="N3098" s="95">
        <v>0.01</v>
      </c>
      <c r="O3098" s="95">
        <v>0.03</v>
      </c>
      <c r="P3098" s="95">
        <v>0.1</v>
      </c>
      <c r="Q3098" s="95">
        <v>0.28000000000000003</v>
      </c>
      <c r="R3098" s="104">
        <v>0.57999999999999996</v>
      </c>
    </row>
    <row r="3099" spans="1:18" ht="15" hidden="1" customHeight="1" x14ac:dyDescent="0.3">
      <c r="A3099" s="101">
        <v>2025</v>
      </c>
      <c r="B3099" s="90">
        <v>1</v>
      </c>
      <c r="C3099" s="90" t="s">
        <v>718</v>
      </c>
      <c r="D3099" s="90" t="s">
        <v>722</v>
      </c>
      <c r="E3099" s="102" t="s">
        <v>11</v>
      </c>
      <c r="F3099" s="103" t="s">
        <v>48</v>
      </c>
      <c r="G3099" s="93">
        <v>402.55</v>
      </c>
      <c r="H3099" s="93">
        <v>3274.62</v>
      </c>
      <c r="I3099" s="93">
        <v>64298.55</v>
      </c>
      <c r="J3099" s="93">
        <v>33426.449999999997</v>
      </c>
      <c r="K3099" s="93">
        <v>344.38</v>
      </c>
      <c r="L3099" s="93">
        <v>34759.9</v>
      </c>
      <c r="M3099" s="93">
        <v>136506.45000000001</v>
      </c>
      <c r="N3099" s="95">
        <v>0</v>
      </c>
      <c r="O3099" s="95">
        <v>0.03</v>
      </c>
      <c r="P3099" s="95">
        <v>0.63</v>
      </c>
      <c r="Q3099" s="95">
        <v>0.33</v>
      </c>
      <c r="R3099" s="104">
        <v>0</v>
      </c>
    </row>
    <row r="3100" spans="1:18" ht="15" hidden="1" customHeight="1" x14ac:dyDescent="0.3">
      <c r="A3100" s="101">
        <v>2025</v>
      </c>
      <c r="B3100" s="90">
        <v>2</v>
      </c>
      <c r="C3100" s="90" t="s">
        <v>723</v>
      </c>
      <c r="D3100" s="90" t="s">
        <v>719</v>
      </c>
      <c r="E3100" s="102" t="s">
        <v>11</v>
      </c>
      <c r="F3100" s="103" t="s">
        <v>12</v>
      </c>
      <c r="G3100" s="93">
        <v>11779.66</v>
      </c>
      <c r="H3100" s="93">
        <v>40382.300000000003</v>
      </c>
      <c r="I3100" s="93">
        <v>167955.74</v>
      </c>
      <c r="J3100" s="93">
        <v>153077.93</v>
      </c>
      <c r="K3100" s="93">
        <v>4413.07</v>
      </c>
      <c r="L3100" s="93">
        <v>91.57</v>
      </c>
      <c r="M3100" s="93">
        <v>377700.26</v>
      </c>
      <c r="N3100" s="95">
        <v>0.03</v>
      </c>
      <c r="O3100" s="95">
        <v>0.11</v>
      </c>
      <c r="P3100" s="95">
        <v>0.44</v>
      </c>
      <c r="Q3100" s="95">
        <v>0.41</v>
      </c>
      <c r="R3100" s="104">
        <v>0.01</v>
      </c>
    </row>
    <row r="3101" spans="1:18" ht="15" hidden="1" customHeight="1" x14ac:dyDescent="0.3">
      <c r="A3101" s="101">
        <v>2025</v>
      </c>
      <c r="B3101" s="90">
        <v>2</v>
      </c>
      <c r="C3101" s="90" t="s">
        <v>723</v>
      </c>
      <c r="D3101" s="90" t="s">
        <v>719</v>
      </c>
      <c r="E3101" s="102" t="s">
        <v>11</v>
      </c>
      <c r="F3101" s="103" t="s">
        <v>26</v>
      </c>
      <c r="G3101" s="93">
        <v>105067.18</v>
      </c>
      <c r="H3101" s="93">
        <v>394698.26</v>
      </c>
      <c r="I3101" s="93">
        <v>442507.72</v>
      </c>
      <c r="J3101" s="93">
        <v>99369.8</v>
      </c>
      <c r="K3101" s="93">
        <v>3575.96</v>
      </c>
      <c r="L3101" s="93">
        <v>3001.71</v>
      </c>
      <c r="M3101" s="93">
        <v>1048220.63</v>
      </c>
      <c r="N3101" s="95">
        <v>0.1</v>
      </c>
      <c r="O3101" s="95">
        <v>0.38</v>
      </c>
      <c r="P3101" s="95">
        <v>0.42</v>
      </c>
      <c r="Q3101" s="95">
        <v>0.1</v>
      </c>
      <c r="R3101" s="104">
        <v>0</v>
      </c>
    </row>
    <row r="3102" spans="1:18" ht="15" hidden="1" customHeight="1" x14ac:dyDescent="0.3">
      <c r="A3102" s="101">
        <v>2025</v>
      </c>
      <c r="B3102" s="90">
        <v>2</v>
      </c>
      <c r="C3102" s="90" t="s">
        <v>723</v>
      </c>
      <c r="D3102" s="90" t="s">
        <v>719</v>
      </c>
      <c r="E3102" s="102" t="s">
        <v>11</v>
      </c>
      <c r="F3102" s="103" t="s">
        <v>27</v>
      </c>
      <c r="G3102" s="93">
        <v>880.7</v>
      </c>
      <c r="H3102" s="93">
        <v>36643.11</v>
      </c>
      <c r="I3102" s="93">
        <v>139003.76999999999</v>
      </c>
      <c r="J3102" s="93">
        <v>37764.370000000003</v>
      </c>
      <c r="K3102" s="93">
        <v>726.79</v>
      </c>
      <c r="L3102" s="93">
        <v>184823.67999999999</v>
      </c>
      <c r="M3102" s="93">
        <v>399842.43</v>
      </c>
      <c r="N3102" s="95">
        <v>0</v>
      </c>
      <c r="O3102" s="95">
        <v>0.17</v>
      </c>
      <c r="P3102" s="95">
        <v>0.65</v>
      </c>
      <c r="Q3102" s="95">
        <v>0.18</v>
      </c>
      <c r="R3102" s="104">
        <v>0</v>
      </c>
    </row>
    <row r="3103" spans="1:18" ht="15" hidden="1" customHeight="1" x14ac:dyDescent="0.3">
      <c r="A3103" s="101">
        <v>2025</v>
      </c>
      <c r="B3103" s="90">
        <v>2</v>
      </c>
      <c r="C3103" s="90" t="s">
        <v>723</v>
      </c>
      <c r="D3103" s="90" t="s">
        <v>719</v>
      </c>
      <c r="E3103" s="102" t="s">
        <v>11</v>
      </c>
      <c r="F3103" s="103" t="s">
        <v>28</v>
      </c>
      <c r="G3103" s="93">
        <v>4936.99</v>
      </c>
      <c r="H3103" s="93">
        <v>56840.39</v>
      </c>
      <c r="I3103" s="93">
        <v>277111.09999999998</v>
      </c>
      <c r="J3103" s="93">
        <v>30520.21</v>
      </c>
      <c r="K3103" s="93">
        <v>429.66</v>
      </c>
      <c r="L3103" s="93">
        <v>85528.58</v>
      </c>
      <c r="M3103" s="93">
        <v>455366.93</v>
      </c>
      <c r="N3103" s="95">
        <v>0.01</v>
      </c>
      <c r="O3103" s="95">
        <v>0.15</v>
      </c>
      <c r="P3103" s="95">
        <v>0.75</v>
      </c>
      <c r="Q3103" s="95">
        <v>0.08</v>
      </c>
      <c r="R3103" s="104">
        <v>0</v>
      </c>
    </row>
    <row r="3104" spans="1:18" ht="15" customHeight="1" x14ac:dyDescent="0.3">
      <c r="A3104" s="101">
        <v>2025</v>
      </c>
      <c r="B3104" s="90">
        <v>2</v>
      </c>
      <c r="C3104" s="90" t="s">
        <v>723</v>
      </c>
      <c r="D3104" s="90" t="s">
        <v>719</v>
      </c>
      <c r="E3104" s="102" t="s">
        <v>11</v>
      </c>
      <c r="F3104" s="103" t="s">
        <v>29</v>
      </c>
      <c r="G3104" s="93">
        <v>3760.85</v>
      </c>
      <c r="H3104" s="93">
        <v>20297.54</v>
      </c>
      <c r="I3104" s="93">
        <v>104088.57</v>
      </c>
      <c r="J3104" s="93">
        <v>151505.18</v>
      </c>
      <c r="K3104" s="93">
        <v>9870.91</v>
      </c>
      <c r="L3104" s="93">
        <v>12594.94</v>
      </c>
      <c r="M3104" s="93">
        <v>302118.01</v>
      </c>
      <c r="N3104" s="95">
        <v>0.01</v>
      </c>
      <c r="O3104" s="95">
        <v>7.0000000000000007E-2</v>
      </c>
      <c r="P3104" s="95">
        <v>0.36</v>
      </c>
      <c r="Q3104" s="95">
        <v>0.52</v>
      </c>
      <c r="R3104" s="104">
        <v>0.03</v>
      </c>
    </row>
    <row r="3105" spans="1:18" ht="15" hidden="1" customHeight="1" x14ac:dyDescent="0.3">
      <c r="A3105" s="101">
        <v>2025</v>
      </c>
      <c r="B3105" s="90">
        <v>2</v>
      </c>
      <c r="C3105" s="90" t="s">
        <v>723</v>
      </c>
      <c r="D3105" s="90" t="s">
        <v>719</v>
      </c>
      <c r="E3105" s="102" t="s">
        <v>11</v>
      </c>
      <c r="F3105" s="103" t="s">
        <v>30</v>
      </c>
      <c r="G3105" s="93">
        <v>4890.1899999999996</v>
      </c>
      <c r="H3105" s="93">
        <v>5773.13</v>
      </c>
      <c r="I3105" s="93">
        <v>3329.64</v>
      </c>
      <c r="J3105" s="93">
        <v>1134.04</v>
      </c>
      <c r="K3105" s="93">
        <v>26.99</v>
      </c>
      <c r="L3105" s="93">
        <v>285810.15000000002</v>
      </c>
      <c r="M3105" s="93">
        <v>300964.13</v>
      </c>
      <c r="N3105" s="95">
        <v>0.32</v>
      </c>
      <c r="O3105" s="95">
        <v>0.38</v>
      </c>
      <c r="P3105" s="95">
        <v>0.22</v>
      </c>
      <c r="Q3105" s="95">
        <v>7.0000000000000007E-2</v>
      </c>
      <c r="R3105" s="104">
        <v>0</v>
      </c>
    </row>
    <row r="3106" spans="1:18" ht="15" hidden="1" customHeight="1" x14ac:dyDescent="0.3">
      <c r="A3106" s="101">
        <v>2025</v>
      </c>
      <c r="B3106" s="90">
        <v>2</v>
      </c>
      <c r="C3106" s="90" t="s">
        <v>723</v>
      </c>
      <c r="D3106" s="90" t="s">
        <v>719</v>
      </c>
      <c r="E3106" s="102" t="s">
        <v>11</v>
      </c>
      <c r="F3106" s="103" t="s">
        <v>31</v>
      </c>
      <c r="G3106" s="93">
        <v>3162.56</v>
      </c>
      <c r="H3106" s="93">
        <v>42497.66</v>
      </c>
      <c r="I3106" s="93">
        <v>77045.570000000007</v>
      </c>
      <c r="J3106" s="93">
        <v>65826.91</v>
      </c>
      <c r="K3106" s="93">
        <v>19361.91</v>
      </c>
      <c r="L3106" s="93">
        <v>20665.2</v>
      </c>
      <c r="M3106" s="93">
        <v>228559.82</v>
      </c>
      <c r="N3106" s="95">
        <v>0.02</v>
      </c>
      <c r="O3106" s="95">
        <v>0.2</v>
      </c>
      <c r="P3106" s="95">
        <v>0.37</v>
      </c>
      <c r="Q3106" s="95">
        <v>0.32</v>
      </c>
      <c r="R3106" s="104">
        <v>0.09</v>
      </c>
    </row>
    <row r="3107" spans="1:18" ht="15" hidden="1" customHeight="1" x14ac:dyDescent="0.3">
      <c r="A3107" s="101">
        <v>2025</v>
      </c>
      <c r="B3107" s="90">
        <v>2</v>
      </c>
      <c r="C3107" s="90" t="s">
        <v>723</v>
      </c>
      <c r="D3107" s="90" t="s">
        <v>719</v>
      </c>
      <c r="E3107" s="102" t="s">
        <v>11</v>
      </c>
      <c r="F3107" s="103" t="s">
        <v>32</v>
      </c>
      <c r="G3107" s="93">
        <v>55849.599999999999</v>
      </c>
      <c r="H3107" s="93">
        <v>274731.76</v>
      </c>
      <c r="I3107" s="93">
        <v>214133.82</v>
      </c>
      <c r="J3107" s="93">
        <v>17630.88</v>
      </c>
      <c r="K3107" s="93">
        <v>1503.99</v>
      </c>
      <c r="L3107" s="93">
        <v>0</v>
      </c>
      <c r="M3107" s="93">
        <v>563850.05000000005</v>
      </c>
      <c r="N3107" s="95">
        <v>0.1</v>
      </c>
      <c r="O3107" s="95">
        <v>0.49</v>
      </c>
      <c r="P3107" s="95">
        <v>0.38</v>
      </c>
      <c r="Q3107" s="95">
        <v>0.03</v>
      </c>
      <c r="R3107" s="104">
        <v>0</v>
      </c>
    </row>
    <row r="3108" spans="1:18" ht="15" hidden="1" customHeight="1" x14ac:dyDescent="0.3">
      <c r="A3108" s="101">
        <v>2025</v>
      </c>
      <c r="B3108" s="90">
        <v>2</v>
      </c>
      <c r="C3108" s="90" t="s">
        <v>723</v>
      </c>
      <c r="D3108" s="90" t="s">
        <v>719</v>
      </c>
      <c r="E3108" s="102" t="s">
        <v>11</v>
      </c>
      <c r="F3108" s="103" t="s">
        <v>33</v>
      </c>
      <c r="G3108" s="93">
        <v>127353.22</v>
      </c>
      <c r="H3108" s="93">
        <v>565810.34</v>
      </c>
      <c r="I3108" s="93">
        <v>497071.1</v>
      </c>
      <c r="J3108" s="93">
        <v>123646.52</v>
      </c>
      <c r="K3108" s="93">
        <v>3439.06</v>
      </c>
      <c r="L3108" s="93">
        <v>5262.61</v>
      </c>
      <c r="M3108" s="93">
        <v>1322582.8500000001</v>
      </c>
      <c r="N3108" s="95">
        <v>0.1</v>
      </c>
      <c r="O3108" s="95">
        <v>0.43</v>
      </c>
      <c r="P3108" s="95">
        <v>0.38</v>
      </c>
      <c r="Q3108" s="95">
        <v>0.09</v>
      </c>
      <c r="R3108" s="104">
        <v>0</v>
      </c>
    </row>
    <row r="3109" spans="1:18" ht="15" hidden="1" customHeight="1" x14ac:dyDescent="0.3">
      <c r="A3109" s="101">
        <v>2025</v>
      </c>
      <c r="B3109" s="90">
        <v>2</v>
      </c>
      <c r="C3109" s="90" t="s">
        <v>723</v>
      </c>
      <c r="D3109" s="90" t="s">
        <v>719</v>
      </c>
      <c r="E3109" s="102" t="s">
        <v>11</v>
      </c>
      <c r="F3109" s="103" t="s">
        <v>34</v>
      </c>
      <c r="G3109" s="93">
        <v>6783.86</v>
      </c>
      <c r="H3109" s="93">
        <v>53095.57</v>
      </c>
      <c r="I3109" s="93">
        <v>381731.92</v>
      </c>
      <c r="J3109" s="93">
        <v>227774.07999999999</v>
      </c>
      <c r="K3109" s="93">
        <v>8111.78</v>
      </c>
      <c r="L3109" s="93">
        <v>3708.06</v>
      </c>
      <c r="M3109" s="93">
        <v>681205.27</v>
      </c>
      <c r="N3109" s="95">
        <v>0.01</v>
      </c>
      <c r="O3109" s="95">
        <v>0.08</v>
      </c>
      <c r="P3109" s="95">
        <v>0.56000000000000005</v>
      </c>
      <c r="Q3109" s="95">
        <v>0.34</v>
      </c>
      <c r="R3109" s="104">
        <v>0.01</v>
      </c>
    </row>
    <row r="3110" spans="1:18" ht="15" hidden="1" customHeight="1" x14ac:dyDescent="0.3">
      <c r="A3110" s="101">
        <v>2025</v>
      </c>
      <c r="B3110" s="90">
        <v>2</v>
      </c>
      <c r="C3110" s="90" t="s">
        <v>723</v>
      </c>
      <c r="D3110" s="90" t="s">
        <v>719</v>
      </c>
      <c r="E3110" s="102" t="s">
        <v>11</v>
      </c>
      <c r="F3110" s="103" t="s">
        <v>35</v>
      </c>
      <c r="G3110" s="93">
        <v>11319.34</v>
      </c>
      <c r="H3110" s="93">
        <v>44479.13</v>
      </c>
      <c r="I3110" s="93">
        <v>161735.72</v>
      </c>
      <c r="J3110" s="93">
        <v>140845.73000000001</v>
      </c>
      <c r="K3110" s="93">
        <v>10705.82</v>
      </c>
      <c r="L3110" s="93">
        <v>68326.84</v>
      </c>
      <c r="M3110" s="93">
        <v>437412.57</v>
      </c>
      <c r="N3110" s="95">
        <v>0.03</v>
      </c>
      <c r="O3110" s="95">
        <v>0.12</v>
      </c>
      <c r="P3110" s="95">
        <v>0.44</v>
      </c>
      <c r="Q3110" s="95">
        <v>0.38</v>
      </c>
      <c r="R3110" s="104">
        <v>0.03</v>
      </c>
    </row>
    <row r="3111" spans="1:18" ht="15" hidden="1" customHeight="1" x14ac:dyDescent="0.3">
      <c r="A3111" s="101">
        <v>2025</v>
      </c>
      <c r="B3111" s="90">
        <v>2</v>
      </c>
      <c r="C3111" s="90" t="s">
        <v>723</v>
      </c>
      <c r="D3111" s="90" t="s">
        <v>719</v>
      </c>
      <c r="E3111" s="102" t="s">
        <v>11</v>
      </c>
      <c r="F3111" s="103" t="s">
        <v>36</v>
      </c>
      <c r="G3111" s="93">
        <v>5862.38</v>
      </c>
      <c r="H3111" s="93">
        <v>54606.38</v>
      </c>
      <c r="I3111" s="93">
        <v>131887.84</v>
      </c>
      <c r="J3111" s="93">
        <v>33674.959999999999</v>
      </c>
      <c r="K3111" s="93">
        <v>174.74</v>
      </c>
      <c r="L3111" s="93">
        <v>69922.149999999994</v>
      </c>
      <c r="M3111" s="93">
        <v>296128.46000000002</v>
      </c>
      <c r="N3111" s="95">
        <v>0.03</v>
      </c>
      <c r="O3111" s="95">
        <v>0.24</v>
      </c>
      <c r="P3111" s="95">
        <v>0.57999999999999996</v>
      </c>
      <c r="Q3111" s="95">
        <v>0.15</v>
      </c>
      <c r="R3111" s="104">
        <v>0</v>
      </c>
    </row>
    <row r="3112" spans="1:18" ht="15" hidden="1" customHeight="1" x14ac:dyDescent="0.3">
      <c r="A3112" s="101">
        <v>2025</v>
      </c>
      <c r="B3112" s="90">
        <v>2</v>
      </c>
      <c r="C3112" s="90" t="s">
        <v>723</v>
      </c>
      <c r="D3112" s="90" t="s">
        <v>719</v>
      </c>
      <c r="E3112" s="102" t="s">
        <v>11</v>
      </c>
      <c r="F3112" s="103" t="s">
        <v>37</v>
      </c>
      <c r="G3112" s="93">
        <v>13088.64</v>
      </c>
      <c r="H3112" s="93">
        <v>80334.899999999994</v>
      </c>
      <c r="I3112" s="93">
        <v>204425.65</v>
      </c>
      <c r="J3112" s="93">
        <v>79078.679999999993</v>
      </c>
      <c r="K3112" s="93">
        <v>2786.98</v>
      </c>
      <c r="L3112" s="93">
        <v>305160.71999999997</v>
      </c>
      <c r="M3112" s="93">
        <v>684875.57</v>
      </c>
      <c r="N3112" s="95">
        <v>0.03</v>
      </c>
      <c r="O3112" s="95">
        <v>0.21</v>
      </c>
      <c r="P3112" s="95">
        <v>0.54</v>
      </c>
      <c r="Q3112" s="95">
        <v>0.21</v>
      </c>
      <c r="R3112" s="104">
        <v>0.01</v>
      </c>
    </row>
    <row r="3113" spans="1:18" ht="15" hidden="1" customHeight="1" x14ac:dyDescent="0.3">
      <c r="A3113" s="101">
        <v>2025</v>
      </c>
      <c r="B3113" s="90">
        <v>2</v>
      </c>
      <c r="C3113" s="90" t="s">
        <v>723</v>
      </c>
      <c r="D3113" s="90" t="s">
        <v>719</v>
      </c>
      <c r="E3113" s="102" t="s">
        <v>11</v>
      </c>
      <c r="F3113" s="103" t="s">
        <v>720</v>
      </c>
      <c r="G3113" s="93">
        <v>38510.089999999997</v>
      </c>
      <c r="H3113" s="93">
        <v>165674.54</v>
      </c>
      <c r="I3113" s="93">
        <v>408055.82</v>
      </c>
      <c r="J3113" s="93">
        <v>117570.87</v>
      </c>
      <c r="K3113" s="93">
        <v>11241.57</v>
      </c>
      <c r="L3113" s="93">
        <v>18696.78</v>
      </c>
      <c r="M3113" s="93">
        <v>759749.67</v>
      </c>
      <c r="N3113" s="95">
        <v>0.05</v>
      </c>
      <c r="O3113" s="95">
        <v>0.22</v>
      </c>
      <c r="P3113" s="95">
        <v>0.55000000000000004</v>
      </c>
      <c r="Q3113" s="95">
        <v>0.16</v>
      </c>
      <c r="R3113" s="104">
        <v>0.02</v>
      </c>
    </row>
    <row r="3114" spans="1:18" ht="15" hidden="1" customHeight="1" x14ac:dyDescent="0.3">
      <c r="A3114" s="101">
        <v>2025</v>
      </c>
      <c r="B3114" s="90">
        <v>2</v>
      </c>
      <c r="C3114" s="90" t="s">
        <v>723</v>
      </c>
      <c r="D3114" s="90" t="s">
        <v>719</v>
      </c>
      <c r="E3114" s="102" t="s">
        <v>11</v>
      </c>
      <c r="F3114" s="103" t="s">
        <v>39</v>
      </c>
      <c r="G3114" s="93">
        <v>6785.45</v>
      </c>
      <c r="H3114" s="93">
        <v>115563.05</v>
      </c>
      <c r="I3114" s="93">
        <v>150503.66</v>
      </c>
      <c r="J3114" s="93">
        <v>24596.75</v>
      </c>
      <c r="K3114" s="93">
        <v>979.73</v>
      </c>
      <c r="L3114" s="93">
        <v>40458.71</v>
      </c>
      <c r="M3114" s="93">
        <v>338887.35</v>
      </c>
      <c r="N3114" s="95">
        <v>0.02</v>
      </c>
      <c r="O3114" s="95">
        <v>0.39</v>
      </c>
      <c r="P3114" s="95">
        <v>0.5</v>
      </c>
      <c r="Q3114" s="95">
        <v>0.08</v>
      </c>
      <c r="R3114" s="104">
        <v>0</v>
      </c>
    </row>
    <row r="3115" spans="1:18" ht="15" hidden="1" customHeight="1" x14ac:dyDescent="0.3">
      <c r="A3115" s="101">
        <v>2025</v>
      </c>
      <c r="B3115" s="90">
        <v>2</v>
      </c>
      <c r="C3115" s="90" t="s">
        <v>723</v>
      </c>
      <c r="D3115" s="90" t="s">
        <v>719</v>
      </c>
      <c r="E3115" s="102" t="s">
        <v>11</v>
      </c>
      <c r="F3115" s="103" t="s">
        <v>40</v>
      </c>
      <c r="G3115" s="93">
        <v>6497.79</v>
      </c>
      <c r="H3115" s="93">
        <v>23925.919999999998</v>
      </c>
      <c r="I3115" s="93">
        <v>111554.25</v>
      </c>
      <c r="J3115" s="93">
        <v>157719.47</v>
      </c>
      <c r="K3115" s="93">
        <v>15560.06</v>
      </c>
      <c r="L3115" s="93">
        <v>41701.58</v>
      </c>
      <c r="M3115" s="93">
        <v>356959.07</v>
      </c>
      <c r="N3115" s="95">
        <v>0.02</v>
      </c>
      <c r="O3115" s="95">
        <v>0.08</v>
      </c>
      <c r="P3115" s="95">
        <v>0.35</v>
      </c>
      <c r="Q3115" s="95">
        <v>0.5</v>
      </c>
      <c r="R3115" s="104">
        <v>0.05</v>
      </c>
    </row>
    <row r="3116" spans="1:18" ht="15" hidden="1" customHeight="1" x14ac:dyDescent="0.3">
      <c r="A3116" s="101">
        <v>2025</v>
      </c>
      <c r="B3116" s="90">
        <v>2</v>
      </c>
      <c r="C3116" s="90" t="s">
        <v>723</v>
      </c>
      <c r="D3116" s="90" t="s">
        <v>719</v>
      </c>
      <c r="E3116" s="102" t="s">
        <v>11</v>
      </c>
      <c r="F3116" s="103" t="s">
        <v>41</v>
      </c>
      <c r="G3116" s="93">
        <v>1700.29</v>
      </c>
      <c r="H3116" s="93">
        <v>9491.43</v>
      </c>
      <c r="I3116" s="93">
        <v>6417.06</v>
      </c>
      <c r="J3116" s="93">
        <v>963.85</v>
      </c>
      <c r="K3116" s="93">
        <v>30.84</v>
      </c>
      <c r="L3116" s="93">
        <v>853346.6</v>
      </c>
      <c r="M3116" s="93">
        <v>871950.07</v>
      </c>
      <c r="N3116" s="95">
        <v>0.09</v>
      </c>
      <c r="O3116" s="95">
        <v>0.51</v>
      </c>
      <c r="P3116" s="95">
        <v>0.34</v>
      </c>
      <c r="Q3116" s="95">
        <v>0.05</v>
      </c>
      <c r="R3116" s="104">
        <v>0</v>
      </c>
    </row>
    <row r="3117" spans="1:18" ht="15" hidden="1" customHeight="1" x14ac:dyDescent="0.3">
      <c r="A3117" s="101">
        <v>2025</v>
      </c>
      <c r="B3117" s="90">
        <v>2</v>
      </c>
      <c r="C3117" s="90" t="s">
        <v>723</v>
      </c>
      <c r="D3117" s="90" t="s">
        <v>719</v>
      </c>
      <c r="E3117" s="102" t="s">
        <v>11</v>
      </c>
      <c r="F3117" s="103" t="s">
        <v>42</v>
      </c>
      <c r="G3117" s="93">
        <v>24325.95</v>
      </c>
      <c r="H3117" s="93">
        <v>122925.84</v>
      </c>
      <c r="I3117" s="93">
        <v>159827.35999999999</v>
      </c>
      <c r="J3117" s="93">
        <v>217431.07</v>
      </c>
      <c r="K3117" s="93">
        <v>18480.61</v>
      </c>
      <c r="L3117" s="93">
        <v>3900.18</v>
      </c>
      <c r="M3117" s="93">
        <v>546891.01</v>
      </c>
      <c r="N3117" s="95">
        <v>0.04</v>
      </c>
      <c r="O3117" s="95">
        <v>0.23</v>
      </c>
      <c r="P3117" s="95">
        <v>0.28999999999999998</v>
      </c>
      <c r="Q3117" s="95">
        <v>0.4</v>
      </c>
      <c r="R3117" s="104">
        <v>0.03</v>
      </c>
    </row>
    <row r="3118" spans="1:18" ht="15" hidden="1" customHeight="1" x14ac:dyDescent="0.3">
      <c r="A3118" s="101">
        <v>2025</v>
      </c>
      <c r="B3118" s="90">
        <v>2</v>
      </c>
      <c r="C3118" s="90" t="s">
        <v>723</v>
      </c>
      <c r="D3118" s="90" t="s">
        <v>719</v>
      </c>
      <c r="E3118" s="102" t="s">
        <v>11</v>
      </c>
      <c r="F3118" s="103" t="s">
        <v>43</v>
      </c>
      <c r="G3118" s="93">
        <v>2520.6799999999998</v>
      </c>
      <c r="H3118" s="93">
        <v>10633.07</v>
      </c>
      <c r="I3118" s="93">
        <v>25263.96</v>
      </c>
      <c r="J3118" s="93">
        <v>26137.99</v>
      </c>
      <c r="K3118" s="93">
        <v>4258.3</v>
      </c>
      <c r="L3118" s="93">
        <v>60296.85</v>
      </c>
      <c r="M3118" s="93">
        <v>129110.85</v>
      </c>
      <c r="N3118" s="95">
        <v>0.04</v>
      </c>
      <c r="O3118" s="95">
        <v>0.15</v>
      </c>
      <c r="P3118" s="95">
        <v>0.37</v>
      </c>
      <c r="Q3118" s="95">
        <v>0.38</v>
      </c>
      <c r="R3118" s="104">
        <v>0.06</v>
      </c>
    </row>
    <row r="3119" spans="1:18" ht="15" hidden="1" customHeight="1" x14ac:dyDescent="0.3">
      <c r="A3119" s="101">
        <v>2025</v>
      </c>
      <c r="B3119" s="90">
        <v>2</v>
      </c>
      <c r="C3119" s="90" t="s">
        <v>723</v>
      </c>
      <c r="D3119" s="90" t="s">
        <v>719</v>
      </c>
      <c r="E3119" s="102" t="s">
        <v>11</v>
      </c>
      <c r="F3119" s="103" t="s">
        <v>58</v>
      </c>
      <c r="G3119" s="93">
        <v>833.45</v>
      </c>
      <c r="H3119" s="93">
        <v>13030.38</v>
      </c>
      <c r="I3119" s="93">
        <v>114986.25</v>
      </c>
      <c r="J3119" s="93">
        <v>216329.60000000001</v>
      </c>
      <c r="K3119" s="93">
        <v>22173.1</v>
      </c>
      <c r="L3119" s="93">
        <v>3214.09</v>
      </c>
      <c r="M3119" s="93">
        <v>370566.88</v>
      </c>
      <c r="N3119" s="95">
        <v>0</v>
      </c>
      <c r="O3119" s="95">
        <v>0.04</v>
      </c>
      <c r="P3119" s="95">
        <v>0.31</v>
      </c>
      <c r="Q3119" s="95">
        <v>0.59</v>
      </c>
      <c r="R3119" s="104">
        <v>0.06</v>
      </c>
    </row>
    <row r="3120" spans="1:18" ht="15" hidden="1" customHeight="1" x14ac:dyDescent="0.3">
      <c r="A3120" s="101">
        <v>2025</v>
      </c>
      <c r="B3120" s="90">
        <v>2</v>
      </c>
      <c r="C3120" s="90" t="s">
        <v>723</v>
      </c>
      <c r="D3120" s="90" t="s">
        <v>719</v>
      </c>
      <c r="E3120" s="102" t="s">
        <v>11</v>
      </c>
      <c r="F3120" s="103" t="s">
        <v>44</v>
      </c>
      <c r="G3120" s="93">
        <v>4214.21</v>
      </c>
      <c r="H3120" s="93">
        <v>12728.7</v>
      </c>
      <c r="I3120" s="93">
        <v>78177.600000000006</v>
      </c>
      <c r="J3120" s="93">
        <v>82707</v>
      </c>
      <c r="K3120" s="93">
        <v>1474.89</v>
      </c>
      <c r="L3120" s="93">
        <v>18187.53</v>
      </c>
      <c r="M3120" s="93">
        <v>197489.93</v>
      </c>
      <c r="N3120" s="95">
        <v>0.02</v>
      </c>
      <c r="O3120" s="95">
        <v>7.0000000000000007E-2</v>
      </c>
      <c r="P3120" s="95">
        <v>0.44</v>
      </c>
      <c r="Q3120" s="95">
        <v>0.46</v>
      </c>
      <c r="R3120" s="104">
        <v>0.01</v>
      </c>
    </row>
    <row r="3121" spans="1:18" ht="15" hidden="1" customHeight="1" x14ac:dyDescent="0.3">
      <c r="A3121" s="101">
        <v>2025</v>
      </c>
      <c r="B3121" s="90">
        <v>2</v>
      </c>
      <c r="C3121" s="90" t="s">
        <v>723</v>
      </c>
      <c r="D3121" s="90" t="s">
        <v>719</v>
      </c>
      <c r="E3121" s="102" t="s">
        <v>11</v>
      </c>
      <c r="F3121" s="103" t="s">
        <v>51</v>
      </c>
      <c r="G3121" s="93">
        <v>1940.52</v>
      </c>
      <c r="H3121" s="93">
        <v>10593.34</v>
      </c>
      <c r="I3121" s="93">
        <v>61086.8</v>
      </c>
      <c r="J3121" s="93">
        <v>99094.71</v>
      </c>
      <c r="K3121" s="93">
        <v>38169.39</v>
      </c>
      <c r="L3121" s="93">
        <v>4504.5</v>
      </c>
      <c r="M3121" s="93">
        <v>215389.26</v>
      </c>
      <c r="N3121" s="95">
        <v>0.01</v>
      </c>
      <c r="O3121" s="95">
        <v>0.05</v>
      </c>
      <c r="P3121" s="95">
        <v>0.28999999999999998</v>
      </c>
      <c r="Q3121" s="95">
        <v>0.47</v>
      </c>
      <c r="R3121" s="104">
        <v>0.18</v>
      </c>
    </row>
    <row r="3122" spans="1:18" ht="15" hidden="1" customHeight="1" x14ac:dyDescent="0.3">
      <c r="A3122" s="101">
        <v>2025</v>
      </c>
      <c r="B3122" s="90">
        <v>2</v>
      </c>
      <c r="C3122" s="90" t="s">
        <v>723</v>
      </c>
      <c r="D3122" s="90" t="s">
        <v>719</v>
      </c>
      <c r="E3122" s="102" t="s">
        <v>11</v>
      </c>
      <c r="F3122" s="103" t="s">
        <v>45</v>
      </c>
      <c r="G3122" s="93">
        <v>1676.11</v>
      </c>
      <c r="H3122" s="93">
        <v>6176.99</v>
      </c>
      <c r="I3122" s="93">
        <v>32124.54</v>
      </c>
      <c r="J3122" s="93">
        <v>42317.98</v>
      </c>
      <c r="K3122" s="93">
        <v>2555.56</v>
      </c>
      <c r="L3122" s="93">
        <v>26089.63</v>
      </c>
      <c r="M3122" s="93">
        <v>110940.8</v>
      </c>
      <c r="N3122" s="95">
        <v>0.02</v>
      </c>
      <c r="O3122" s="95">
        <v>7.0000000000000007E-2</v>
      </c>
      <c r="P3122" s="95">
        <v>0.38</v>
      </c>
      <c r="Q3122" s="95">
        <v>0.5</v>
      </c>
      <c r="R3122" s="104">
        <v>0.03</v>
      </c>
    </row>
    <row r="3123" spans="1:18" ht="15" hidden="1" customHeight="1" x14ac:dyDescent="0.3">
      <c r="A3123" s="101">
        <v>2025</v>
      </c>
      <c r="B3123" s="90">
        <v>2</v>
      </c>
      <c r="C3123" s="90" t="s">
        <v>723</v>
      </c>
      <c r="D3123" s="90" t="s">
        <v>719</v>
      </c>
      <c r="E3123" s="102" t="s">
        <v>11</v>
      </c>
      <c r="F3123" s="103" t="s">
        <v>721</v>
      </c>
      <c r="G3123" s="93">
        <v>6270.46</v>
      </c>
      <c r="H3123" s="93">
        <v>61950.37</v>
      </c>
      <c r="I3123" s="93">
        <v>159918.76</v>
      </c>
      <c r="J3123" s="93">
        <v>76825.11</v>
      </c>
      <c r="K3123" s="93">
        <v>4361.59</v>
      </c>
      <c r="L3123" s="93">
        <v>587640.98</v>
      </c>
      <c r="M3123" s="93">
        <v>896967.27</v>
      </c>
      <c r="N3123" s="95">
        <v>0.02</v>
      </c>
      <c r="O3123" s="95">
        <v>0.2</v>
      </c>
      <c r="P3123" s="95">
        <v>0.52</v>
      </c>
      <c r="Q3123" s="95">
        <v>0.25</v>
      </c>
      <c r="R3123" s="104">
        <v>0.01</v>
      </c>
    </row>
    <row r="3124" spans="1:18" ht="15" hidden="1" customHeight="1" x14ac:dyDescent="0.3">
      <c r="A3124" s="101">
        <v>2025</v>
      </c>
      <c r="B3124" s="90">
        <v>2</v>
      </c>
      <c r="C3124" s="90" t="s">
        <v>723</v>
      </c>
      <c r="D3124" s="90" t="s">
        <v>719</v>
      </c>
      <c r="E3124" s="102" t="s">
        <v>11</v>
      </c>
      <c r="F3124" s="103" t="s">
        <v>46</v>
      </c>
      <c r="G3124" s="93">
        <v>3558.61</v>
      </c>
      <c r="H3124" s="93">
        <v>31586.15</v>
      </c>
      <c r="I3124" s="93">
        <v>67003.78</v>
      </c>
      <c r="J3124" s="93">
        <v>38051.56</v>
      </c>
      <c r="K3124" s="93">
        <v>8523.2900000000009</v>
      </c>
      <c r="L3124" s="93">
        <v>7652.43</v>
      </c>
      <c r="M3124" s="93">
        <v>156375.79999999999</v>
      </c>
      <c r="N3124" s="95">
        <v>0.02</v>
      </c>
      <c r="O3124" s="95">
        <v>0.21</v>
      </c>
      <c r="P3124" s="95">
        <v>0.45</v>
      </c>
      <c r="Q3124" s="95">
        <v>0.26</v>
      </c>
      <c r="R3124" s="104">
        <v>0.06</v>
      </c>
    </row>
    <row r="3125" spans="1:18" ht="15" hidden="1" customHeight="1" x14ac:dyDescent="0.3">
      <c r="A3125" s="101">
        <v>2025</v>
      </c>
      <c r="B3125" s="90">
        <v>2</v>
      </c>
      <c r="C3125" s="90" t="s">
        <v>723</v>
      </c>
      <c r="D3125" s="90" t="s">
        <v>719</v>
      </c>
      <c r="E3125" s="102" t="s">
        <v>11</v>
      </c>
      <c r="F3125" s="103" t="s">
        <v>47</v>
      </c>
      <c r="G3125" s="93">
        <v>17796.89</v>
      </c>
      <c r="H3125" s="93">
        <v>46453.62</v>
      </c>
      <c r="I3125" s="93">
        <v>169720.19</v>
      </c>
      <c r="J3125" s="93">
        <v>444655.07</v>
      </c>
      <c r="K3125" s="93">
        <v>694182.55</v>
      </c>
      <c r="L3125" s="93">
        <v>50763</v>
      </c>
      <c r="M3125" s="93">
        <v>1423571.32</v>
      </c>
      <c r="N3125" s="95">
        <v>0.01</v>
      </c>
      <c r="O3125" s="95">
        <v>0.03</v>
      </c>
      <c r="P3125" s="95">
        <v>0.12</v>
      </c>
      <c r="Q3125" s="95">
        <v>0.32</v>
      </c>
      <c r="R3125" s="104">
        <v>0.51</v>
      </c>
    </row>
    <row r="3126" spans="1:18" ht="15" hidden="1" customHeight="1" x14ac:dyDescent="0.3">
      <c r="A3126" s="101">
        <v>2025</v>
      </c>
      <c r="B3126" s="90">
        <v>2</v>
      </c>
      <c r="C3126" s="90" t="s">
        <v>723</v>
      </c>
      <c r="D3126" s="90" t="s">
        <v>719</v>
      </c>
      <c r="E3126" s="102" t="s">
        <v>11</v>
      </c>
      <c r="F3126" s="103" t="s">
        <v>48</v>
      </c>
      <c r="G3126" s="93">
        <v>1131.8</v>
      </c>
      <c r="H3126" s="93">
        <v>21489.24</v>
      </c>
      <c r="I3126" s="93">
        <v>66365.17</v>
      </c>
      <c r="J3126" s="93">
        <v>12684.75</v>
      </c>
      <c r="K3126" s="93">
        <v>128.43</v>
      </c>
      <c r="L3126" s="93">
        <v>28809.38</v>
      </c>
      <c r="M3126" s="93">
        <v>130608.77</v>
      </c>
      <c r="N3126" s="95">
        <v>0.01</v>
      </c>
      <c r="O3126" s="95">
        <v>0.21</v>
      </c>
      <c r="P3126" s="95">
        <v>0.65</v>
      </c>
      <c r="Q3126" s="95">
        <v>0.12</v>
      </c>
      <c r="R3126" s="104">
        <v>0</v>
      </c>
    </row>
    <row r="3127" spans="1:18" ht="15" hidden="1" customHeight="1" x14ac:dyDescent="0.3">
      <c r="A3127" s="101">
        <v>2025</v>
      </c>
      <c r="B3127" s="90">
        <v>2</v>
      </c>
      <c r="C3127" s="90" t="s">
        <v>723</v>
      </c>
      <c r="D3127" s="90" t="s">
        <v>722</v>
      </c>
      <c r="E3127" s="102" t="s">
        <v>11</v>
      </c>
      <c r="F3127" s="103" t="s">
        <v>12</v>
      </c>
      <c r="G3127" s="93">
        <v>25503.67</v>
      </c>
      <c r="H3127" s="93">
        <v>76750.78</v>
      </c>
      <c r="I3127" s="93">
        <v>160751.85999999999</v>
      </c>
      <c r="J3127" s="93">
        <v>115565.85</v>
      </c>
      <c r="K3127" s="93">
        <v>6809.84</v>
      </c>
      <c r="L3127" s="93">
        <v>391.46</v>
      </c>
      <c r="M3127" s="93">
        <v>385773.46</v>
      </c>
      <c r="N3127" s="95">
        <v>7.0000000000000007E-2</v>
      </c>
      <c r="O3127" s="95">
        <v>0.2</v>
      </c>
      <c r="P3127" s="95">
        <v>0.42</v>
      </c>
      <c r="Q3127" s="95">
        <v>0.3</v>
      </c>
      <c r="R3127" s="104">
        <v>0.02</v>
      </c>
    </row>
    <row r="3128" spans="1:18" ht="15" hidden="1" customHeight="1" x14ac:dyDescent="0.3">
      <c r="A3128" s="101">
        <v>2025</v>
      </c>
      <c r="B3128" s="90">
        <v>2</v>
      </c>
      <c r="C3128" s="90" t="s">
        <v>723</v>
      </c>
      <c r="D3128" s="90" t="s">
        <v>722</v>
      </c>
      <c r="E3128" s="102" t="s">
        <v>11</v>
      </c>
      <c r="F3128" s="103" t="s">
        <v>26</v>
      </c>
      <c r="G3128" s="93">
        <v>198747.33</v>
      </c>
      <c r="H3128" s="93">
        <v>411522.59</v>
      </c>
      <c r="I3128" s="93">
        <v>308731.98</v>
      </c>
      <c r="J3128" s="93">
        <v>120631.23</v>
      </c>
      <c r="K3128" s="93">
        <v>5023.3</v>
      </c>
      <c r="L3128" s="93">
        <v>3884.7</v>
      </c>
      <c r="M3128" s="93">
        <v>1048541.13</v>
      </c>
      <c r="N3128" s="95">
        <v>0.19</v>
      </c>
      <c r="O3128" s="95">
        <v>0.39</v>
      </c>
      <c r="P3128" s="95">
        <v>0.3</v>
      </c>
      <c r="Q3128" s="95">
        <v>0.12</v>
      </c>
      <c r="R3128" s="104">
        <v>0</v>
      </c>
    </row>
    <row r="3129" spans="1:18" ht="15" hidden="1" customHeight="1" x14ac:dyDescent="0.3">
      <c r="A3129" s="101">
        <v>2025</v>
      </c>
      <c r="B3129" s="90">
        <v>2</v>
      </c>
      <c r="C3129" s="90" t="s">
        <v>723</v>
      </c>
      <c r="D3129" s="90" t="s">
        <v>722</v>
      </c>
      <c r="E3129" s="102" t="s">
        <v>11</v>
      </c>
      <c r="F3129" s="103" t="s">
        <v>27</v>
      </c>
      <c r="G3129" s="93">
        <v>4525.88</v>
      </c>
      <c r="H3129" s="93">
        <v>89916.74</v>
      </c>
      <c r="I3129" s="93">
        <v>106092.38</v>
      </c>
      <c r="J3129" s="93">
        <v>14762.22</v>
      </c>
      <c r="K3129" s="93">
        <v>806.24</v>
      </c>
      <c r="L3129" s="93">
        <v>184036.66</v>
      </c>
      <c r="M3129" s="93">
        <v>400140.11</v>
      </c>
      <c r="N3129" s="95">
        <v>0.02</v>
      </c>
      <c r="O3129" s="95">
        <v>0.42</v>
      </c>
      <c r="P3129" s="95">
        <v>0.49</v>
      </c>
      <c r="Q3129" s="95">
        <v>7.0000000000000007E-2</v>
      </c>
      <c r="R3129" s="104">
        <v>0</v>
      </c>
    </row>
    <row r="3130" spans="1:18" ht="15" hidden="1" customHeight="1" x14ac:dyDescent="0.3">
      <c r="A3130" s="101">
        <v>2025</v>
      </c>
      <c r="B3130" s="90">
        <v>2</v>
      </c>
      <c r="C3130" s="90" t="s">
        <v>723</v>
      </c>
      <c r="D3130" s="90" t="s">
        <v>722</v>
      </c>
      <c r="E3130" s="102" t="s">
        <v>11</v>
      </c>
      <c r="F3130" s="103" t="s">
        <v>28</v>
      </c>
      <c r="G3130" s="93">
        <v>15584.78</v>
      </c>
      <c r="H3130" s="93">
        <v>81928.649999999994</v>
      </c>
      <c r="I3130" s="93">
        <v>217529.89</v>
      </c>
      <c r="J3130" s="93">
        <v>54250.16</v>
      </c>
      <c r="K3130" s="93">
        <v>563.59</v>
      </c>
      <c r="L3130" s="93">
        <v>86289.16</v>
      </c>
      <c r="M3130" s="93">
        <v>456146.23</v>
      </c>
      <c r="N3130" s="95">
        <v>0.04</v>
      </c>
      <c r="O3130" s="95">
        <v>0.22</v>
      </c>
      <c r="P3130" s="95">
        <v>0.59</v>
      </c>
      <c r="Q3130" s="95">
        <v>0.15</v>
      </c>
      <c r="R3130" s="104">
        <v>0</v>
      </c>
    </row>
    <row r="3131" spans="1:18" ht="15" customHeight="1" x14ac:dyDescent="0.3">
      <c r="A3131" s="101">
        <v>2025</v>
      </c>
      <c r="B3131" s="90">
        <v>2</v>
      </c>
      <c r="C3131" s="90" t="s">
        <v>723</v>
      </c>
      <c r="D3131" s="90" t="s">
        <v>722</v>
      </c>
      <c r="E3131" s="102" t="s">
        <v>11</v>
      </c>
      <c r="F3131" s="103" t="s">
        <v>29</v>
      </c>
      <c r="G3131" s="93">
        <v>4971</v>
      </c>
      <c r="H3131" s="93">
        <v>16709.87</v>
      </c>
      <c r="I3131" s="93">
        <v>60675.06</v>
      </c>
      <c r="J3131" s="93">
        <v>154973.14000000001</v>
      </c>
      <c r="K3131" s="93">
        <v>59250.35</v>
      </c>
      <c r="L3131" s="93">
        <v>8652.69</v>
      </c>
      <c r="M3131" s="93">
        <v>305232.12</v>
      </c>
      <c r="N3131" s="95">
        <v>0.02</v>
      </c>
      <c r="O3131" s="95">
        <v>0.06</v>
      </c>
      <c r="P3131" s="95">
        <v>0.2</v>
      </c>
      <c r="Q3131" s="95">
        <v>0.52</v>
      </c>
      <c r="R3131" s="104">
        <v>0.2</v>
      </c>
    </row>
    <row r="3132" spans="1:18" ht="15" hidden="1" customHeight="1" x14ac:dyDescent="0.3">
      <c r="A3132" s="101">
        <v>2025</v>
      </c>
      <c r="B3132" s="90">
        <v>2</v>
      </c>
      <c r="C3132" s="90" t="s">
        <v>723</v>
      </c>
      <c r="D3132" s="90" t="s">
        <v>722</v>
      </c>
      <c r="E3132" s="102" t="s">
        <v>11</v>
      </c>
      <c r="F3132" s="103" t="s">
        <v>30</v>
      </c>
      <c r="G3132" s="93">
        <v>463.07</v>
      </c>
      <c r="H3132" s="93">
        <v>1941.98</v>
      </c>
      <c r="I3132" s="93">
        <v>5957.36</v>
      </c>
      <c r="J3132" s="93">
        <v>5598.52</v>
      </c>
      <c r="K3132" s="93">
        <v>714.83</v>
      </c>
      <c r="L3132" s="93">
        <v>281563.61</v>
      </c>
      <c r="M3132" s="93">
        <v>296239.37</v>
      </c>
      <c r="N3132" s="95">
        <v>0.03</v>
      </c>
      <c r="O3132" s="95">
        <v>0.13</v>
      </c>
      <c r="P3132" s="95">
        <v>0.41</v>
      </c>
      <c r="Q3132" s="95">
        <v>0.38</v>
      </c>
      <c r="R3132" s="104">
        <v>0.05</v>
      </c>
    </row>
    <row r="3133" spans="1:18" ht="15" hidden="1" customHeight="1" x14ac:dyDescent="0.3">
      <c r="A3133" s="101">
        <v>2025</v>
      </c>
      <c r="B3133" s="90">
        <v>2</v>
      </c>
      <c r="C3133" s="90" t="s">
        <v>723</v>
      </c>
      <c r="D3133" s="90" t="s">
        <v>722</v>
      </c>
      <c r="E3133" s="102" t="s">
        <v>11</v>
      </c>
      <c r="F3133" s="103" t="s">
        <v>31</v>
      </c>
      <c r="G3133" s="93">
        <v>5084.47</v>
      </c>
      <c r="H3133" s="93">
        <v>58006.32</v>
      </c>
      <c r="I3133" s="93">
        <v>83987.28</v>
      </c>
      <c r="J3133" s="93">
        <v>46049.16</v>
      </c>
      <c r="K3133" s="93">
        <v>14783.53</v>
      </c>
      <c r="L3133" s="93">
        <v>18821.78</v>
      </c>
      <c r="M3133" s="93">
        <v>226732.55</v>
      </c>
      <c r="N3133" s="95">
        <v>0.02</v>
      </c>
      <c r="O3133" s="95">
        <v>0.28000000000000003</v>
      </c>
      <c r="P3133" s="95">
        <v>0.4</v>
      </c>
      <c r="Q3133" s="95">
        <v>0.22</v>
      </c>
      <c r="R3133" s="104">
        <v>7.0000000000000007E-2</v>
      </c>
    </row>
    <row r="3134" spans="1:18" ht="15" hidden="1" customHeight="1" x14ac:dyDescent="0.3">
      <c r="A3134" s="101">
        <v>2025</v>
      </c>
      <c r="B3134" s="90">
        <v>2</v>
      </c>
      <c r="C3134" s="90" t="s">
        <v>723</v>
      </c>
      <c r="D3134" s="90" t="s">
        <v>722</v>
      </c>
      <c r="E3134" s="102" t="s">
        <v>11</v>
      </c>
      <c r="F3134" s="103" t="s">
        <v>32</v>
      </c>
      <c r="G3134" s="93">
        <v>48008.94</v>
      </c>
      <c r="H3134" s="93">
        <v>178641.72</v>
      </c>
      <c r="I3134" s="93">
        <v>282188.03000000003</v>
      </c>
      <c r="J3134" s="93">
        <v>79313.84</v>
      </c>
      <c r="K3134" s="93">
        <v>1045.1500000000001</v>
      </c>
      <c r="L3134" s="93">
        <v>0</v>
      </c>
      <c r="M3134" s="93">
        <v>589197.67000000004</v>
      </c>
      <c r="N3134" s="95">
        <v>0.08</v>
      </c>
      <c r="O3134" s="95">
        <v>0.3</v>
      </c>
      <c r="P3134" s="95">
        <v>0.48</v>
      </c>
      <c r="Q3134" s="95">
        <v>0.13</v>
      </c>
      <c r="R3134" s="104">
        <v>0</v>
      </c>
    </row>
    <row r="3135" spans="1:18" ht="15" hidden="1" customHeight="1" x14ac:dyDescent="0.3">
      <c r="A3135" s="101">
        <v>2025</v>
      </c>
      <c r="B3135" s="90">
        <v>2</v>
      </c>
      <c r="C3135" s="90" t="s">
        <v>723</v>
      </c>
      <c r="D3135" s="90" t="s">
        <v>722</v>
      </c>
      <c r="E3135" s="102" t="s">
        <v>11</v>
      </c>
      <c r="F3135" s="103" t="s">
        <v>33</v>
      </c>
      <c r="G3135" s="93">
        <v>78077.179999999993</v>
      </c>
      <c r="H3135" s="93">
        <v>396414.28</v>
      </c>
      <c r="I3135" s="93">
        <v>630248.72</v>
      </c>
      <c r="J3135" s="93">
        <v>189696.71</v>
      </c>
      <c r="K3135" s="93">
        <v>22499.47</v>
      </c>
      <c r="L3135" s="93">
        <v>7918.15</v>
      </c>
      <c r="M3135" s="93">
        <v>1324854.5</v>
      </c>
      <c r="N3135" s="95">
        <v>0.06</v>
      </c>
      <c r="O3135" s="95">
        <v>0.3</v>
      </c>
      <c r="P3135" s="95">
        <v>0.48</v>
      </c>
      <c r="Q3135" s="95">
        <v>0.14000000000000001</v>
      </c>
      <c r="R3135" s="104">
        <v>0.02</v>
      </c>
    </row>
    <row r="3136" spans="1:18" ht="15" hidden="1" customHeight="1" x14ac:dyDescent="0.3">
      <c r="A3136" s="101">
        <v>2025</v>
      </c>
      <c r="B3136" s="90">
        <v>2</v>
      </c>
      <c r="C3136" s="90" t="s">
        <v>723</v>
      </c>
      <c r="D3136" s="90" t="s">
        <v>722</v>
      </c>
      <c r="E3136" s="102" t="s">
        <v>11</v>
      </c>
      <c r="F3136" s="103" t="s">
        <v>34</v>
      </c>
      <c r="G3136" s="93">
        <v>16598.64</v>
      </c>
      <c r="H3136" s="93">
        <v>94726.67</v>
      </c>
      <c r="I3136" s="93">
        <v>277814.09999999998</v>
      </c>
      <c r="J3136" s="93">
        <v>259926.58</v>
      </c>
      <c r="K3136" s="93">
        <v>24592.84</v>
      </c>
      <c r="L3136" s="93">
        <v>4216.7700000000004</v>
      </c>
      <c r="M3136" s="93">
        <v>677875.59</v>
      </c>
      <c r="N3136" s="95">
        <v>0.02</v>
      </c>
      <c r="O3136" s="95">
        <v>0.14000000000000001</v>
      </c>
      <c r="P3136" s="95">
        <v>0.41</v>
      </c>
      <c r="Q3136" s="95">
        <v>0.39</v>
      </c>
      <c r="R3136" s="104">
        <v>0.04</v>
      </c>
    </row>
    <row r="3137" spans="1:18" ht="15" hidden="1" customHeight="1" x14ac:dyDescent="0.3">
      <c r="A3137" s="101">
        <v>2025</v>
      </c>
      <c r="B3137" s="90">
        <v>2</v>
      </c>
      <c r="C3137" s="90" t="s">
        <v>723</v>
      </c>
      <c r="D3137" s="90" t="s">
        <v>722</v>
      </c>
      <c r="E3137" s="102" t="s">
        <v>11</v>
      </c>
      <c r="F3137" s="103" t="s">
        <v>35</v>
      </c>
      <c r="G3137" s="93">
        <v>13228.05</v>
      </c>
      <c r="H3137" s="93">
        <v>42081.49</v>
      </c>
      <c r="I3137" s="93">
        <v>130700.79</v>
      </c>
      <c r="J3137" s="93">
        <v>168702.77</v>
      </c>
      <c r="K3137" s="93">
        <v>14025.27</v>
      </c>
      <c r="L3137" s="93">
        <v>67791.44</v>
      </c>
      <c r="M3137" s="93">
        <v>436529.81</v>
      </c>
      <c r="N3137" s="95">
        <v>0.04</v>
      </c>
      <c r="O3137" s="95">
        <v>0.11</v>
      </c>
      <c r="P3137" s="95">
        <v>0.35</v>
      </c>
      <c r="Q3137" s="95">
        <v>0.46</v>
      </c>
      <c r="R3137" s="104">
        <v>0.04</v>
      </c>
    </row>
    <row r="3138" spans="1:18" ht="15" hidden="1" customHeight="1" x14ac:dyDescent="0.3">
      <c r="A3138" s="101">
        <v>2025</v>
      </c>
      <c r="B3138" s="90">
        <v>2</v>
      </c>
      <c r="C3138" s="90" t="s">
        <v>723</v>
      </c>
      <c r="D3138" s="90" t="s">
        <v>722</v>
      </c>
      <c r="E3138" s="102" t="s">
        <v>11</v>
      </c>
      <c r="F3138" s="103" t="s">
        <v>36</v>
      </c>
      <c r="G3138" s="93">
        <v>14604.36</v>
      </c>
      <c r="H3138" s="93">
        <v>54318</v>
      </c>
      <c r="I3138" s="93">
        <v>109007.92</v>
      </c>
      <c r="J3138" s="93">
        <v>47124.43</v>
      </c>
      <c r="K3138" s="93">
        <v>1164.55</v>
      </c>
      <c r="L3138" s="93">
        <v>73032.960000000006</v>
      </c>
      <c r="M3138" s="93">
        <v>299252.21999999997</v>
      </c>
      <c r="N3138" s="95">
        <v>0.06</v>
      </c>
      <c r="O3138" s="95">
        <v>0.24</v>
      </c>
      <c r="P3138" s="95">
        <v>0.48</v>
      </c>
      <c r="Q3138" s="95">
        <v>0.21</v>
      </c>
      <c r="R3138" s="104">
        <v>0.01</v>
      </c>
    </row>
    <row r="3139" spans="1:18" ht="15" hidden="1" customHeight="1" x14ac:dyDescent="0.3">
      <c r="A3139" s="101">
        <v>2025</v>
      </c>
      <c r="B3139" s="90">
        <v>2</v>
      </c>
      <c r="C3139" s="90" t="s">
        <v>723</v>
      </c>
      <c r="D3139" s="90" t="s">
        <v>722</v>
      </c>
      <c r="E3139" s="102" t="s">
        <v>11</v>
      </c>
      <c r="F3139" s="103" t="s">
        <v>37</v>
      </c>
      <c r="G3139" s="93">
        <v>25742.44</v>
      </c>
      <c r="H3139" s="93">
        <v>57872.04</v>
      </c>
      <c r="I3139" s="93">
        <v>116340.38</v>
      </c>
      <c r="J3139" s="93">
        <v>151840.79</v>
      </c>
      <c r="K3139" s="93">
        <v>29032.720000000001</v>
      </c>
      <c r="L3139" s="93">
        <v>306267.48</v>
      </c>
      <c r="M3139" s="93">
        <v>687095.85</v>
      </c>
      <c r="N3139" s="95">
        <v>7.0000000000000007E-2</v>
      </c>
      <c r="O3139" s="95">
        <v>0.15</v>
      </c>
      <c r="P3139" s="95">
        <v>0.31</v>
      </c>
      <c r="Q3139" s="95">
        <v>0.4</v>
      </c>
      <c r="R3139" s="104">
        <v>0.08</v>
      </c>
    </row>
    <row r="3140" spans="1:18" ht="15" hidden="1" customHeight="1" x14ac:dyDescent="0.3">
      <c r="A3140" s="101">
        <v>2025</v>
      </c>
      <c r="B3140" s="90">
        <v>2</v>
      </c>
      <c r="C3140" s="90" t="s">
        <v>723</v>
      </c>
      <c r="D3140" s="90" t="s">
        <v>722</v>
      </c>
      <c r="E3140" s="102" t="s">
        <v>11</v>
      </c>
      <c r="F3140" s="103" t="s">
        <v>720</v>
      </c>
      <c r="G3140" s="93">
        <v>41086.69</v>
      </c>
      <c r="H3140" s="93">
        <v>105326.79</v>
      </c>
      <c r="I3140" s="93">
        <v>268110.31</v>
      </c>
      <c r="J3140" s="93">
        <v>301602.13</v>
      </c>
      <c r="K3140" s="93">
        <v>37040.33</v>
      </c>
      <c r="L3140" s="93">
        <v>19215.259999999998</v>
      </c>
      <c r="M3140" s="93">
        <v>772381.51</v>
      </c>
      <c r="N3140" s="95">
        <v>0.05</v>
      </c>
      <c r="O3140" s="95">
        <v>0.14000000000000001</v>
      </c>
      <c r="P3140" s="95">
        <v>0.36</v>
      </c>
      <c r="Q3140" s="95">
        <v>0.4</v>
      </c>
      <c r="R3140" s="104">
        <v>0.05</v>
      </c>
    </row>
    <row r="3141" spans="1:18" ht="15" hidden="1" customHeight="1" x14ac:dyDescent="0.3">
      <c r="A3141" s="101">
        <v>2025</v>
      </c>
      <c r="B3141" s="90">
        <v>2</v>
      </c>
      <c r="C3141" s="90" t="s">
        <v>723</v>
      </c>
      <c r="D3141" s="90" t="s">
        <v>722</v>
      </c>
      <c r="E3141" s="102" t="s">
        <v>11</v>
      </c>
      <c r="F3141" s="103" t="s">
        <v>39</v>
      </c>
      <c r="G3141" s="93">
        <v>39917.160000000003</v>
      </c>
      <c r="H3141" s="93">
        <v>147838.59</v>
      </c>
      <c r="I3141" s="93">
        <v>102803.39</v>
      </c>
      <c r="J3141" s="93">
        <v>14859.99</v>
      </c>
      <c r="K3141" s="93">
        <v>560.16</v>
      </c>
      <c r="L3141" s="93">
        <v>44220.46</v>
      </c>
      <c r="M3141" s="93">
        <v>350199.75</v>
      </c>
      <c r="N3141" s="95">
        <v>0.13</v>
      </c>
      <c r="O3141" s="95">
        <v>0.48</v>
      </c>
      <c r="P3141" s="95">
        <v>0.34</v>
      </c>
      <c r="Q3141" s="95">
        <v>0.05</v>
      </c>
      <c r="R3141" s="104">
        <v>0</v>
      </c>
    </row>
    <row r="3142" spans="1:18" ht="15" hidden="1" customHeight="1" x14ac:dyDescent="0.3">
      <c r="A3142" s="101">
        <v>2025</v>
      </c>
      <c r="B3142" s="90">
        <v>2</v>
      </c>
      <c r="C3142" s="90" t="s">
        <v>723</v>
      </c>
      <c r="D3142" s="90" t="s">
        <v>722</v>
      </c>
      <c r="E3142" s="102" t="s">
        <v>11</v>
      </c>
      <c r="F3142" s="103" t="s">
        <v>40</v>
      </c>
      <c r="G3142" s="93">
        <v>8294.36</v>
      </c>
      <c r="H3142" s="93">
        <v>44974.82</v>
      </c>
      <c r="I3142" s="93">
        <v>133978.10999999999</v>
      </c>
      <c r="J3142" s="93">
        <v>112717.73</v>
      </c>
      <c r="K3142" s="93">
        <v>21279.78</v>
      </c>
      <c r="L3142" s="93">
        <v>41365.410000000003</v>
      </c>
      <c r="M3142" s="93">
        <v>362610.22</v>
      </c>
      <c r="N3142" s="95">
        <v>0.03</v>
      </c>
      <c r="O3142" s="95">
        <v>0.14000000000000001</v>
      </c>
      <c r="P3142" s="95">
        <v>0.42</v>
      </c>
      <c r="Q3142" s="95">
        <v>0.35</v>
      </c>
      <c r="R3142" s="104">
        <v>7.0000000000000007E-2</v>
      </c>
    </row>
    <row r="3143" spans="1:18" ht="15" hidden="1" customHeight="1" x14ac:dyDescent="0.3">
      <c r="A3143" s="101">
        <v>2025</v>
      </c>
      <c r="B3143" s="90">
        <v>2</v>
      </c>
      <c r="C3143" s="90" t="s">
        <v>723</v>
      </c>
      <c r="D3143" s="90" t="s">
        <v>722</v>
      </c>
      <c r="E3143" s="102" t="s">
        <v>11</v>
      </c>
      <c r="F3143" s="103" t="s">
        <v>41</v>
      </c>
      <c r="G3143" s="93">
        <v>323.44</v>
      </c>
      <c r="H3143" s="93">
        <v>4370.78</v>
      </c>
      <c r="I3143" s="93">
        <v>6509.74</v>
      </c>
      <c r="J3143" s="93">
        <v>5633.2</v>
      </c>
      <c r="K3143" s="93">
        <v>865.86</v>
      </c>
      <c r="L3143" s="93">
        <v>855132.19</v>
      </c>
      <c r="M3143" s="93">
        <v>872835.21</v>
      </c>
      <c r="N3143" s="95">
        <v>0.02</v>
      </c>
      <c r="O3143" s="95">
        <v>0.25</v>
      </c>
      <c r="P3143" s="95">
        <v>0.37</v>
      </c>
      <c r="Q3143" s="95">
        <v>0.32</v>
      </c>
      <c r="R3143" s="104">
        <v>0.05</v>
      </c>
    </row>
    <row r="3144" spans="1:18" ht="15" hidden="1" customHeight="1" x14ac:dyDescent="0.3">
      <c r="A3144" s="101">
        <v>2025</v>
      </c>
      <c r="B3144" s="90">
        <v>2</v>
      </c>
      <c r="C3144" s="90" t="s">
        <v>723</v>
      </c>
      <c r="D3144" s="90" t="s">
        <v>722</v>
      </c>
      <c r="E3144" s="102" t="s">
        <v>11</v>
      </c>
      <c r="F3144" s="103" t="s">
        <v>42</v>
      </c>
      <c r="G3144" s="93">
        <v>21519.69</v>
      </c>
      <c r="H3144" s="93">
        <v>178304.94</v>
      </c>
      <c r="I3144" s="93">
        <v>192687.58</v>
      </c>
      <c r="J3144" s="93">
        <v>134663.01999999999</v>
      </c>
      <c r="K3144" s="93">
        <v>29967.73</v>
      </c>
      <c r="L3144" s="93">
        <v>0</v>
      </c>
      <c r="M3144" s="93">
        <v>557142.97</v>
      </c>
      <c r="N3144" s="95">
        <v>0.04</v>
      </c>
      <c r="O3144" s="95">
        <v>0.32</v>
      </c>
      <c r="P3144" s="95">
        <v>0.35</v>
      </c>
      <c r="Q3144" s="95">
        <v>0.24</v>
      </c>
      <c r="R3144" s="104">
        <v>0.05</v>
      </c>
    </row>
    <row r="3145" spans="1:18" ht="15" hidden="1" customHeight="1" x14ac:dyDescent="0.3">
      <c r="A3145" s="101">
        <v>2025</v>
      </c>
      <c r="B3145" s="90">
        <v>2</v>
      </c>
      <c r="C3145" s="90" t="s">
        <v>723</v>
      </c>
      <c r="D3145" s="90" t="s">
        <v>722</v>
      </c>
      <c r="E3145" s="102" t="s">
        <v>11</v>
      </c>
      <c r="F3145" s="103" t="s">
        <v>43</v>
      </c>
      <c r="G3145" s="93">
        <v>2157.63</v>
      </c>
      <c r="H3145" s="93">
        <v>12593.85</v>
      </c>
      <c r="I3145" s="93">
        <v>22973.29</v>
      </c>
      <c r="J3145" s="93">
        <v>22649.06</v>
      </c>
      <c r="K3145" s="93">
        <v>3220.6</v>
      </c>
      <c r="L3145" s="93">
        <v>61282.2</v>
      </c>
      <c r="M3145" s="93">
        <v>124876.63</v>
      </c>
      <c r="N3145" s="95">
        <v>0.03</v>
      </c>
      <c r="O3145" s="95">
        <v>0.2</v>
      </c>
      <c r="P3145" s="95">
        <v>0.36</v>
      </c>
      <c r="Q3145" s="95">
        <v>0.36</v>
      </c>
      <c r="R3145" s="104">
        <v>0.05</v>
      </c>
    </row>
    <row r="3146" spans="1:18" ht="15" hidden="1" customHeight="1" x14ac:dyDescent="0.3">
      <c r="A3146" s="101">
        <v>2025</v>
      </c>
      <c r="B3146" s="90">
        <v>2</v>
      </c>
      <c r="C3146" s="90" t="s">
        <v>723</v>
      </c>
      <c r="D3146" s="90" t="s">
        <v>722</v>
      </c>
      <c r="E3146" s="102" t="s">
        <v>11</v>
      </c>
      <c r="F3146" s="103" t="s">
        <v>58</v>
      </c>
      <c r="G3146" s="93">
        <v>4944.75</v>
      </c>
      <c r="H3146" s="93">
        <v>36081.21</v>
      </c>
      <c r="I3146" s="93">
        <v>104899.39</v>
      </c>
      <c r="J3146" s="93">
        <v>170045.03</v>
      </c>
      <c r="K3146" s="93">
        <v>51387.07</v>
      </c>
      <c r="L3146" s="93">
        <v>4527.92</v>
      </c>
      <c r="M3146" s="93">
        <v>371885.36</v>
      </c>
      <c r="N3146" s="95">
        <v>0.01</v>
      </c>
      <c r="O3146" s="95">
        <v>0.1</v>
      </c>
      <c r="P3146" s="95">
        <v>0.28999999999999998</v>
      </c>
      <c r="Q3146" s="95">
        <v>0.46</v>
      </c>
      <c r="R3146" s="104">
        <v>0.14000000000000001</v>
      </c>
    </row>
    <row r="3147" spans="1:18" ht="15" hidden="1" customHeight="1" x14ac:dyDescent="0.3">
      <c r="A3147" s="101">
        <v>2025</v>
      </c>
      <c r="B3147" s="90">
        <v>2</v>
      </c>
      <c r="C3147" s="90" t="s">
        <v>723</v>
      </c>
      <c r="D3147" s="90" t="s">
        <v>722</v>
      </c>
      <c r="E3147" s="102" t="s">
        <v>11</v>
      </c>
      <c r="F3147" s="103" t="s">
        <v>44</v>
      </c>
      <c r="G3147" s="93">
        <v>4035.59</v>
      </c>
      <c r="H3147" s="93">
        <v>8821.25</v>
      </c>
      <c r="I3147" s="93">
        <v>42229.78</v>
      </c>
      <c r="J3147" s="93">
        <v>105132.18</v>
      </c>
      <c r="K3147" s="93">
        <v>16471.849999999999</v>
      </c>
      <c r="L3147" s="93">
        <v>27593.360000000001</v>
      </c>
      <c r="M3147" s="93">
        <v>204284</v>
      </c>
      <c r="N3147" s="95">
        <v>0.02</v>
      </c>
      <c r="O3147" s="95">
        <v>0.05</v>
      </c>
      <c r="P3147" s="95">
        <v>0.24</v>
      </c>
      <c r="Q3147" s="95">
        <v>0.6</v>
      </c>
      <c r="R3147" s="104">
        <v>0.09</v>
      </c>
    </row>
    <row r="3148" spans="1:18" ht="15" hidden="1" customHeight="1" x14ac:dyDescent="0.3">
      <c r="A3148" s="101">
        <v>2025</v>
      </c>
      <c r="B3148" s="90">
        <v>2</v>
      </c>
      <c r="C3148" s="90" t="s">
        <v>723</v>
      </c>
      <c r="D3148" s="90" t="s">
        <v>722</v>
      </c>
      <c r="E3148" s="102" t="s">
        <v>11</v>
      </c>
      <c r="F3148" s="103" t="s">
        <v>51</v>
      </c>
      <c r="G3148" s="93">
        <v>3076.57</v>
      </c>
      <c r="H3148" s="93">
        <v>14729.33</v>
      </c>
      <c r="I3148" s="93">
        <v>61982.41</v>
      </c>
      <c r="J3148" s="93">
        <v>83426.22</v>
      </c>
      <c r="K3148" s="93">
        <v>46008.56</v>
      </c>
      <c r="L3148" s="93">
        <v>4383.72</v>
      </c>
      <c r="M3148" s="93">
        <v>213606.81</v>
      </c>
      <c r="N3148" s="95">
        <v>0.01</v>
      </c>
      <c r="O3148" s="95">
        <v>7.0000000000000007E-2</v>
      </c>
      <c r="P3148" s="95">
        <v>0.3</v>
      </c>
      <c r="Q3148" s="95">
        <v>0.4</v>
      </c>
      <c r="R3148" s="104">
        <v>0.22</v>
      </c>
    </row>
    <row r="3149" spans="1:18" ht="15" hidden="1" customHeight="1" x14ac:dyDescent="0.3">
      <c r="A3149" s="101">
        <v>2025</v>
      </c>
      <c r="B3149" s="90">
        <v>2</v>
      </c>
      <c r="C3149" s="90" t="s">
        <v>723</v>
      </c>
      <c r="D3149" s="90" t="s">
        <v>722</v>
      </c>
      <c r="E3149" s="102" t="s">
        <v>11</v>
      </c>
      <c r="F3149" s="103" t="s">
        <v>45</v>
      </c>
      <c r="G3149" s="93">
        <v>1800.84</v>
      </c>
      <c r="H3149" s="93">
        <v>5694.26</v>
      </c>
      <c r="I3149" s="93">
        <v>21030.89</v>
      </c>
      <c r="J3149" s="93">
        <v>45646.36</v>
      </c>
      <c r="K3149" s="93">
        <v>10356.66</v>
      </c>
      <c r="L3149" s="93">
        <v>45725.760000000002</v>
      </c>
      <c r="M3149" s="93">
        <v>130254.77</v>
      </c>
      <c r="N3149" s="95">
        <v>0.02</v>
      </c>
      <c r="O3149" s="95">
        <v>7.0000000000000007E-2</v>
      </c>
      <c r="P3149" s="95">
        <v>0.25</v>
      </c>
      <c r="Q3149" s="95">
        <v>0.54</v>
      </c>
      <c r="R3149" s="104">
        <v>0.12</v>
      </c>
    </row>
    <row r="3150" spans="1:18" ht="15" hidden="1" customHeight="1" x14ac:dyDescent="0.3">
      <c r="A3150" s="101">
        <v>2025</v>
      </c>
      <c r="B3150" s="90">
        <v>2</v>
      </c>
      <c r="C3150" s="90" t="s">
        <v>723</v>
      </c>
      <c r="D3150" s="90" t="s">
        <v>722</v>
      </c>
      <c r="E3150" s="102" t="s">
        <v>11</v>
      </c>
      <c r="F3150" s="103" t="s">
        <v>721</v>
      </c>
      <c r="G3150" s="93">
        <v>15332.27</v>
      </c>
      <c r="H3150" s="93">
        <v>59968.66</v>
      </c>
      <c r="I3150" s="93">
        <v>144534.26999999999</v>
      </c>
      <c r="J3150" s="93">
        <v>85969.99</v>
      </c>
      <c r="K3150" s="93">
        <v>3521.1</v>
      </c>
      <c r="L3150" s="93">
        <v>590003.41</v>
      </c>
      <c r="M3150" s="93">
        <v>899329.7</v>
      </c>
      <c r="N3150" s="95">
        <v>0.05</v>
      </c>
      <c r="O3150" s="95">
        <v>0.19</v>
      </c>
      <c r="P3150" s="95">
        <v>0.47</v>
      </c>
      <c r="Q3150" s="95">
        <v>0.28000000000000003</v>
      </c>
      <c r="R3150" s="104">
        <v>0.01</v>
      </c>
    </row>
    <row r="3151" spans="1:18" ht="15" hidden="1" customHeight="1" x14ac:dyDescent="0.3">
      <c r="A3151" s="101">
        <v>2025</v>
      </c>
      <c r="B3151" s="90">
        <v>2</v>
      </c>
      <c r="C3151" s="90" t="s">
        <v>723</v>
      </c>
      <c r="D3151" s="90" t="s">
        <v>722</v>
      </c>
      <c r="E3151" s="102" t="s">
        <v>11</v>
      </c>
      <c r="F3151" s="103" t="s">
        <v>46</v>
      </c>
      <c r="G3151" s="93">
        <v>3750.15</v>
      </c>
      <c r="H3151" s="93">
        <v>31094.34</v>
      </c>
      <c r="I3151" s="93">
        <v>68072.87</v>
      </c>
      <c r="J3151" s="93">
        <v>33888.58</v>
      </c>
      <c r="K3151" s="93">
        <v>10890.6</v>
      </c>
      <c r="L3151" s="93">
        <v>6893.88</v>
      </c>
      <c r="M3151" s="93">
        <v>154590.43</v>
      </c>
      <c r="N3151" s="95">
        <v>0.03</v>
      </c>
      <c r="O3151" s="95">
        <v>0.21</v>
      </c>
      <c r="P3151" s="95">
        <v>0.46</v>
      </c>
      <c r="Q3151" s="95">
        <v>0.23</v>
      </c>
      <c r="R3151" s="104">
        <v>7.0000000000000007E-2</v>
      </c>
    </row>
    <row r="3152" spans="1:18" ht="15" hidden="1" customHeight="1" x14ac:dyDescent="0.3">
      <c r="A3152" s="101">
        <v>2025</v>
      </c>
      <c r="B3152" s="90">
        <v>2</v>
      </c>
      <c r="C3152" s="90" t="s">
        <v>723</v>
      </c>
      <c r="D3152" s="90" t="s">
        <v>722</v>
      </c>
      <c r="E3152" s="102" t="s">
        <v>11</v>
      </c>
      <c r="F3152" s="103" t="s">
        <v>47</v>
      </c>
      <c r="G3152" s="93">
        <v>13139.89</v>
      </c>
      <c r="H3152" s="93">
        <v>49281.98</v>
      </c>
      <c r="I3152" s="93">
        <v>203881.01</v>
      </c>
      <c r="J3152" s="93">
        <v>452540.13</v>
      </c>
      <c r="K3152" s="93">
        <v>657783.87</v>
      </c>
      <c r="L3152" s="93">
        <v>50730.37</v>
      </c>
      <c r="M3152" s="93">
        <v>1427357.26</v>
      </c>
      <c r="N3152" s="95">
        <v>0.01</v>
      </c>
      <c r="O3152" s="95">
        <v>0.04</v>
      </c>
      <c r="P3152" s="95">
        <v>0.15</v>
      </c>
      <c r="Q3152" s="95">
        <v>0.33</v>
      </c>
      <c r="R3152" s="104">
        <v>0.48</v>
      </c>
    </row>
    <row r="3153" spans="1:18" ht="15" hidden="1" customHeight="1" x14ac:dyDescent="0.3">
      <c r="A3153" s="101">
        <v>2025</v>
      </c>
      <c r="B3153" s="90">
        <v>2</v>
      </c>
      <c r="C3153" s="90" t="s">
        <v>723</v>
      </c>
      <c r="D3153" s="90" t="s">
        <v>722</v>
      </c>
      <c r="E3153" s="102" t="s">
        <v>11</v>
      </c>
      <c r="F3153" s="103" t="s">
        <v>48</v>
      </c>
      <c r="G3153" s="93">
        <v>2034.78</v>
      </c>
      <c r="H3153" s="93">
        <v>17271.349999999999</v>
      </c>
      <c r="I3153" s="93">
        <v>64885.38</v>
      </c>
      <c r="J3153" s="93">
        <v>17409.169999999998</v>
      </c>
      <c r="K3153" s="93">
        <v>171.86</v>
      </c>
      <c r="L3153" s="93">
        <v>20312.95</v>
      </c>
      <c r="M3153" s="93">
        <v>122085.49</v>
      </c>
      <c r="N3153" s="95">
        <v>0.02</v>
      </c>
      <c r="O3153" s="95">
        <v>0.17</v>
      </c>
      <c r="P3153" s="95">
        <v>0.64</v>
      </c>
      <c r="Q3153" s="95">
        <v>0.17</v>
      </c>
      <c r="R3153" s="104">
        <v>0</v>
      </c>
    </row>
    <row r="3154" spans="1:18" ht="15" hidden="1" customHeight="1" x14ac:dyDescent="0.3">
      <c r="A3154" s="101">
        <v>2025</v>
      </c>
      <c r="B3154" s="90">
        <v>3</v>
      </c>
      <c r="C3154" s="90" t="s">
        <v>724</v>
      </c>
      <c r="D3154" s="90" t="s">
        <v>719</v>
      </c>
      <c r="E3154" s="102" t="s">
        <v>11</v>
      </c>
      <c r="F3154" s="103" t="s">
        <v>12</v>
      </c>
      <c r="G3154" s="93">
        <v>7866.22</v>
      </c>
      <c r="H3154" s="93">
        <v>22373.360000000001</v>
      </c>
      <c r="I3154" s="93">
        <v>121195.13</v>
      </c>
      <c r="J3154" s="93">
        <v>216825.4</v>
      </c>
      <c r="K3154" s="93">
        <v>16861.09</v>
      </c>
      <c r="L3154" s="93">
        <v>216.55</v>
      </c>
      <c r="M3154" s="93">
        <v>385337.75</v>
      </c>
      <c r="N3154" s="95">
        <v>0.02</v>
      </c>
      <c r="O3154" s="95">
        <v>0.06</v>
      </c>
      <c r="P3154" s="95">
        <v>0.31</v>
      </c>
      <c r="Q3154" s="95">
        <v>0.56000000000000005</v>
      </c>
      <c r="R3154" s="104">
        <v>0.04</v>
      </c>
    </row>
    <row r="3155" spans="1:18" ht="15" hidden="1" customHeight="1" x14ac:dyDescent="0.3">
      <c r="A3155" s="101">
        <v>2025</v>
      </c>
      <c r="B3155" s="90">
        <v>3</v>
      </c>
      <c r="C3155" s="90" t="s">
        <v>724</v>
      </c>
      <c r="D3155" s="90" t="s">
        <v>719</v>
      </c>
      <c r="E3155" s="102" t="s">
        <v>11</v>
      </c>
      <c r="F3155" s="103" t="s">
        <v>26</v>
      </c>
      <c r="G3155" s="93">
        <v>206453.03</v>
      </c>
      <c r="H3155" s="93">
        <v>297651.40000000002</v>
      </c>
      <c r="I3155" s="93">
        <v>432852.78</v>
      </c>
      <c r="J3155" s="93">
        <v>108071.25</v>
      </c>
      <c r="K3155" s="93">
        <v>1628.58</v>
      </c>
      <c r="L3155" s="93">
        <v>1309.71</v>
      </c>
      <c r="M3155" s="93">
        <v>1047966.74</v>
      </c>
      <c r="N3155" s="95">
        <v>0.2</v>
      </c>
      <c r="O3155" s="95">
        <v>0.28000000000000003</v>
      </c>
      <c r="P3155" s="95">
        <v>0.41</v>
      </c>
      <c r="Q3155" s="95">
        <v>0.1</v>
      </c>
      <c r="R3155" s="104">
        <v>0</v>
      </c>
    </row>
    <row r="3156" spans="1:18" ht="15" hidden="1" customHeight="1" x14ac:dyDescent="0.3">
      <c r="A3156" s="101">
        <v>2025</v>
      </c>
      <c r="B3156" s="90">
        <v>3</v>
      </c>
      <c r="C3156" s="90" t="s">
        <v>724</v>
      </c>
      <c r="D3156" s="90" t="s">
        <v>719</v>
      </c>
      <c r="E3156" s="102" t="s">
        <v>11</v>
      </c>
      <c r="F3156" s="103" t="s">
        <v>27</v>
      </c>
      <c r="G3156" s="93">
        <v>365.02</v>
      </c>
      <c r="H3156" s="93">
        <v>13553.74</v>
      </c>
      <c r="I3156" s="93">
        <v>97546.87</v>
      </c>
      <c r="J3156" s="93">
        <v>94693.13</v>
      </c>
      <c r="K3156" s="93">
        <v>7163.7</v>
      </c>
      <c r="L3156" s="93">
        <v>185097.64</v>
      </c>
      <c r="M3156" s="93">
        <v>398420.1</v>
      </c>
      <c r="N3156" s="95">
        <v>0</v>
      </c>
      <c r="O3156" s="95">
        <v>0.06</v>
      </c>
      <c r="P3156" s="95">
        <v>0.46</v>
      </c>
      <c r="Q3156" s="95">
        <v>0.44</v>
      </c>
      <c r="R3156" s="104">
        <v>0.03</v>
      </c>
    </row>
    <row r="3157" spans="1:18" ht="15" hidden="1" customHeight="1" x14ac:dyDescent="0.3">
      <c r="A3157" s="101">
        <v>2025</v>
      </c>
      <c r="B3157" s="90">
        <v>3</v>
      </c>
      <c r="C3157" s="90" t="s">
        <v>724</v>
      </c>
      <c r="D3157" s="90" t="s">
        <v>719</v>
      </c>
      <c r="E3157" s="102" t="s">
        <v>11</v>
      </c>
      <c r="F3157" s="103" t="s">
        <v>28</v>
      </c>
      <c r="G3157" s="93">
        <v>3635.95</v>
      </c>
      <c r="H3157" s="93">
        <v>16820.93</v>
      </c>
      <c r="I3157" s="93">
        <v>161986.5</v>
      </c>
      <c r="J3157" s="93">
        <v>180780.71</v>
      </c>
      <c r="K3157" s="93">
        <v>6595.48</v>
      </c>
      <c r="L3157" s="93">
        <v>86267.520000000004</v>
      </c>
      <c r="M3157" s="93">
        <v>456087.09</v>
      </c>
      <c r="N3157" s="95">
        <v>0.01</v>
      </c>
      <c r="O3157" s="95">
        <v>0.05</v>
      </c>
      <c r="P3157" s="95">
        <v>0.44</v>
      </c>
      <c r="Q3157" s="95">
        <v>0.49</v>
      </c>
      <c r="R3157" s="104">
        <v>0.02</v>
      </c>
    </row>
    <row r="3158" spans="1:18" ht="15" customHeight="1" x14ac:dyDescent="0.3">
      <c r="A3158" s="101">
        <v>2025</v>
      </c>
      <c r="B3158" s="90">
        <v>3</v>
      </c>
      <c r="C3158" s="90" t="s">
        <v>724</v>
      </c>
      <c r="D3158" s="90" t="s">
        <v>719</v>
      </c>
      <c r="E3158" s="102" t="s">
        <v>11</v>
      </c>
      <c r="F3158" s="103" t="s">
        <v>29</v>
      </c>
      <c r="G3158" s="93">
        <v>4837.18</v>
      </c>
      <c r="H3158" s="93">
        <v>18536.740000000002</v>
      </c>
      <c r="I3158" s="93">
        <v>53476.14</v>
      </c>
      <c r="J3158" s="93">
        <v>125392.73</v>
      </c>
      <c r="K3158" s="93">
        <v>80400.259999999995</v>
      </c>
      <c r="L3158" s="93">
        <v>34057.56</v>
      </c>
      <c r="M3158" s="93">
        <v>316700.59999999998</v>
      </c>
      <c r="N3158" s="95">
        <v>0.02</v>
      </c>
      <c r="O3158" s="95">
        <v>7.0000000000000007E-2</v>
      </c>
      <c r="P3158" s="95">
        <v>0.19</v>
      </c>
      <c r="Q3158" s="95">
        <v>0.44</v>
      </c>
      <c r="R3158" s="104">
        <v>0.28000000000000003</v>
      </c>
    </row>
    <row r="3159" spans="1:18" ht="15" hidden="1" customHeight="1" x14ac:dyDescent="0.3">
      <c r="A3159" s="101">
        <v>2025</v>
      </c>
      <c r="B3159" s="90">
        <v>3</v>
      </c>
      <c r="C3159" s="90" t="s">
        <v>724</v>
      </c>
      <c r="D3159" s="90" t="s">
        <v>719</v>
      </c>
      <c r="E3159" s="102" t="s">
        <v>11</v>
      </c>
      <c r="F3159" s="103" t="s">
        <v>30</v>
      </c>
      <c r="G3159" s="93">
        <v>187.11</v>
      </c>
      <c r="H3159" s="93">
        <v>796.15</v>
      </c>
      <c r="I3159" s="93">
        <v>3244.97</v>
      </c>
      <c r="J3159" s="93">
        <v>7981.13</v>
      </c>
      <c r="K3159" s="93">
        <v>1779.03</v>
      </c>
      <c r="L3159" s="93">
        <v>294815.90999999997</v>
      </c>
      <c r="M3159" s="93">
        <v>308804.3</v>
      </c>
      <c r="N3159" s="95">
        <v>0.01</v>
      </c>
      <c r="O3159" s="95">
        <v>0.06</v>
      </c>
      <c r="P3159" s="95">
        <v>0.23</v>
      </c>
      <c r="Q3159" s="95">
        <v>0.56999999999999995</v>
      </c>
      <c r="R3159" s="104">
        <v>0.13</v>
      </c>
    </row>
    <row r="3160" spans="1:18" ht="15" hidden="1" customHeight="1" x14ac:dyDescent="0.3">
      <c r="A3160" s="101">
        <v>2025</v>
      </c>
      <c r="B3160" s="90">
        <v>3</v>
      </c>
      <c r="C3160" s="90" t="s">
        <v>724</v>
      </c>
      <c r="D3160" s="90" t="s">
        <v>719</v>
      </c>
      <c r="E3160" s="102" t="s">
        <v>11</v>
      </c>
      <c r="F3160" s="103" t="s">
        <v>31</v>
      </c>
      <c r="G3160" s="93">
        <v>5583.63</v>
      </c>
      <c r="H3160" s="93">
        <v>39815.620000000003</v>
      </c>
      <c r="I3160" s="93">
        <v>72890.14</v>
      </c>
      <c r="J3160" s="93">
        <v>67818.09</v>
      </c>
      <c r="K3160" s="93">
        <v>22130.41</v>
      </c>
      <c r="L3160" s="93">
        <v>28269.13</v>
      </c>
      <c r="M3160" s="93">
        <v>236507.02</v>
      </c>
      <c r="N3160" s="95">
        <v>0.03</v>
      </c>
      <c r="O3160" s="95">
        <v>0.19</v>
      </c>
      <c r="P3160" s="95">
        <v>0.35</v>
      </c>
      <c r="Q3160" s="95">
        <v>0.33</v>
      </c>
      <c r="R3160" s="104">
        <v>0.11</v>
      </c>
    </row>
    <row r="3161" spans="1:18" ht="15" hidden="1" customHeight="1" x14ac:dyDescent="0.3">
      <c r="A3161" s="101">
        <v>2025</v>
      </c>
      <c r="B3161" s="90">
        <v>3</v>
      </c>
      <c r="C3161" s="90" t="s">
        <v>724</v>
      </c>
      <c r="D3161" s="90" t="s">
        <v>719</v>
      </c>
      <c r="E3161" s="102" t="s">
        <v>11</v>
      </c>
      <c r="F3161" s="103" t="s">
        <v>32</v>
      </c>
      <c r="G3161" s="93">
        <v>56220.7</v>
      </c>
      <c r="H3161" s="93">
        <v>132548.94</v>
      </c>
      <c r="I3161" s="93">
        <v>220403.96</v>
      </c>
      <c r="J3161" s="93">
        <v>147281.31</v>
      </c>
      <c r="K3161" s="93">
        <v>5371.8</v>
      </c>
      <c r="L3161" s="93">
        <v>131.37</v>
      </c>
      <c r="M3161" s="93">
        <v>561958.07999999996</v>
      </c>
      <c r="N3161" s="95">
        <v>0.1</v>
      </c>
      <c r="O3161" s="95">
        <v>0.24</v>
      </c>
      <c r="P3161" s="95">
        <v>0.39</v>
      </c>
      <c r="Q3161" s="95">
        <v>0.26</v>
      </c>
      <c r="R3161" s="104">
        <v>0.01</v>
      </c>
    </row>
    <row r="3162" spans="1:18" ht="15" hidden="1" customHeight="1" x14ac:dyDescent="0.3">
      <c r="A3162" s="101">
        <v>2025</v>
      </c>
      <c r="B3162" s="90">
        <v>3</v>
      </c>
      <c r="C3162" s="90" t="s">
        <v>724</v>
      </c>
      <c r="D3162" s="90" t="s">
        <v>719</v>
      </c>
      <c r="E3162" s="102" t="s">
        <v>11</v>
      </c>
      <c r="F3162" s="103" t="s">
        <v>33</v>
      </c>
      <c r="G3162" s="93">
        <v>84016.51</v>
      </c>
      <c r="H3162" s="93">
        <v>226988.9</v>
      </c>
      <c r="I3162" s="93">
        <v>589209.94999999995</v>
      </c>
      <c r="J3162" s="93">
        <v>391431.64</v>
      </c>
      <c r="K3162" s="93">
        <v>25564.880000000001</v>
      </c>
      <c r="L3162" s="93">
        <v>9929.0499999999993</v>
      </c>
      <c r="M3162" s="93">
        <v>1327140.93</v>
      </c>
      <c r="N3162" s="95">
        <v>0.06</v>
      </c>
      <c r="O3162" s="95">
        <v>0.17</v>
      </c>
      <c r="P3162" s="95">
        <v>0.45</v>
      </c>
      <c r="Q3162" s="95">
        <v>0.3</v>
      </c>
      <c r="R3162" s="104">
        <v>0.02</v>
      </c>
    </row>
    <row r="3163" spans="1:18" ht="15" hidden="1" customHeight="1" x14ac:dyDescent="0.3">
      <c r="A3163" s="101">
        <v>2025</v>
      </c>
      <c r="B3163" s="90">
        <v>3</v>
      </c>
      <c r="C3163" s="90" t="s">
        <v>724</v>
      </c>
      <c r="D3163" s="90" t="s">
        <v>719</v>
      </c>
      <c r="E3163" s="102" t="s">
        <v>11</v>
      </c>
      <c r="F3163" s="103" t="s">
        <v>34</v>
      </c>
      <c r="G3163" s="93">
        <v>13959.55</v>
      </c>
      <c r="H3163" s="93">
        <v>74453.8</v>
      </c>
      <c r="I3163" s="93">
        <v>259381.33</v>
      </c>
      <c r="J3163" s="93">
        <v>267235.81</v>
      </c>
      <c r="K3163" s="93">
        <v>45737.46</v>
      </c>
      <c r="L3163" s="93">
        <v>4012.36</v>
      </c>
      <c r="M3163" s="93">
        <v>664780.31000000006</v>
      </c>
      <c r="N3163" s="95">
        <v>0.02</v>
      </c>
      <c r="O3163" s="95">
        <v>0.11</v>
      </c>
      <c r="P3163" s="95">
        <v>0.39</v>
      </c>
      <c r="Q3163" s="95">
        <v>0.4</v>
      </c>
      <c r="R3163" s="104">
        <v>7.0000000000000007E-2</v>
      </c>
    </row>
    <row r="3164" spans="1:18" ht="15" hidden="1" customHeight="1" x14ac:dyDescent="0.3">
      <c r="A3164" s="101">
        <v>2025</v>
      </c>
      <c r="B3164" s="90">
        <v>3</v>
      </c>
      <c r="C3164" s="90" t="s">
        <v>724</v>
      </c>
      <c r="D3164" s="90" t="s">
        <v>719</v>
      </c>
      <c r="E3164" s="102" t="s">
        <v>11</v>
      </c>
      <c r="F3164" s="103" t="s">
        <v>35</v>
      </c>
      <c r="G3164" s="93">
        <v>7109.02</v>
      </c>
      <c r="H3164" s="93">
        <v>19094.14</v>
      </c>
      <c r="I3164" s="93">
        <v>97987</v>
      </c>
      <c r="J3164" s="93">
        <v>223662.54</v>
      </c>
      <c r="K3164" s="93">
        <v>20978.080000000002</v>
      </c>
      <c r="L3164" s="93">
        <v>68574.070000000007</v>
      </c>
      <c r="M3164" s="93">
        <v>437404.86</v>
      </c>
      <c r="N3164" s="95">
        <v>0.02</v>
      </c>
      <c r="O3164" s="95">
        <v>0.05</v>
      </c>
      <c r="P3164" s="95">
        <v>0.27</v>
      </c>
      <c r="Q3164" s="95">
        <v>0.61</v>
      </c>
      <c r="R3164" s="104">
        <v>0.06</v>
      </c>
    </row>
    <row r="3165" spans="1:18" ht="15" hidden="1" customHeight="1" x14ac:dyDescent="0.3">
      <c r="A3165" s="101">
        <v>2025</v>
      </c>
      <c r="B3165" s="90">
        <v>3</v>
      </c>
      <c r="C3165" s="90" t="s">
        <v>724</v>
      </c>
      <c r="D3165" s="90" t="s">
        <v>719</v>
      </c>
      <c r="E3165" s="102" t="s">
        <v>11</v>
      </c>
      <c r="F3165" s="103" t="s">
        <v>36</v>
      </c>
      <c r="G3165" s="93">
        <v>16134.34</v>
      </c>
      <c r="H3165" s="93">
        <v>51598.73</v>
      </c>
      <c r="I3165" s="93">
        <v>105649.74</v>
      </c>
      <c r="J3165" s="93">
        <v>52305.57</v>
      </c>
      <c r="K3165" s="93">
        <v>721.02</v>
      </c>
      <c r="L3165" s="93">
        <v>71417.72</v>
      </c>
      <c r="M3165" s="93">
        <v>297827.12</v>
      </c>
      <c r="N3165" s="95">
        <v>7.0000000000000007E-2</v>
      </c>
      <c r="O3165" s="95">
        <v>0.23</v>
      </c>
      <c r="P3165" s="95">
        <v>0.47</v>
      </c>
      <c r="Q3165" s="95">
        <v>0.23</v>
      </c>
      <c r="R3165" s="104">
        <v>0</v>
      </c>
    </row>
    <row r="3166" spans="1:18" ht="15" hidden="1" customHeight="1" x14ac:dyDescent="0.3">
      <c r="A3166" s="101">
        <v>2025</v>
      </c>
      <c r="B3166" s="90">
        <v>3</v>
      </c>
      <c r="C3166" s="90" t="s">
        <v>724</v>
      </c>
      <c r="D3166" s="90" t="s">
        <v>719</v>
      </c>
      <c r="E3166" s="102" t="s">
        <v>11</v>
      </c>
      <c r="F3166" s="103" t="s">
        <v>37</v>
      </c>
      <c r="G3166" s="93">
        <v>21743.77</v>
      </c>
      <c r="H3166" s="93">
        <v>69960.61</v>
      </c>
      <c r="I3166" s="93">
        <v>125847.35</v>
      </c>
      <c r="J3166" s="93">
        <v>129822.32</v>
      </c>
      <c r="K3166" s="93">
        <v>29770.53</v>
      </c>
      <c r="L3166" s="93">
        <v>307152.84000000003</v>
      </c>
      <c r="M3166" s="93">
        <v>684297.42</v>
      </c>
      <c r="N3166" s="95">
        <v>0.06</v>
      </c>
      <c r="O3166" s="95">
        <v>0.19</v>
      </c>
      <c r="P3166" s="95">
        <v>0.33</v>
      </c>
      <c r="Q3166" s="95">
        <v>0.34</v>
      </c>
      <c r="R3166" s="104">
        <v>0.08</v>
      </c>
    </row>
    <row r="3167" spans="1:18" ht="15" hidden="1" customHeight="1" x14ac:dyDescent="0.3">
      <c r="A3167" s="101">
        <v>2025</v>
      </c>
      <c r="B3167" s="90">
        <v>3</v>
      </c>
      <c r="C3167" s="90" t="s">
        <v>724</v>
      </c>
      <c r="D3167" s="90" t="s">
        <v>719</v>
      </c>
      <c r="E3167" s="102" t="s">
        <v>11</v>
      </c>
      <c r="F3167" s="103" t="s">
        <v>720</v>
      </c>
      <c r="G3167" s="93">
        <v>81233.47</v>
      </c>
      <c r="H3167" s="93">
        <v>132679.4</v>
      </c>
      <c r="I3167" s="93">
        <v>218233.34</v>
      </c>
      <c r="J3167" s="93">
        <v>273329.39</v>
      </c>
      <c r="K3167" s="93">
        <v>28556.67</v>
      </c>
      <c r="L3167" s="93">
        <v>18174.759999999998</v>
      </c>
      <c r="M3167" s="93">
        <v>752207.04</v>
      </c>
      <c r="N3167" s="95">
        <v>0.11</v>
      </c>
      <c r="O3167" s="95">
        <v>0.18</v>
      </c>
      <c r="P3167" s="95">
        <v>0.3</v>
      </c>
      <c r="Q3167" s="95">
        <v>0.37</v>
      </c>
      <c r="R3167" s="104">
        <v>0.04</v>
      </c>
    </row>
    <row r="3168" spans="1:18" ht="15" hidden="1" customHeight="1" x14ac:dyDescent="0.3">
      <c r="A3168" s="101">
        <v>2025</v>
      </c>
      <c r="B3168" s="90">
        <v>3</v>
      </c>
      <c r="C3168" s="90" t="s">
        <v>724</v>
      </c>
      <c r="D3168" s="90" t="s">
        <v>719</v>
      </c>
      <c r="E3168" s="102" t="s">
        <v>11</v>
      </c>
      <c r="F3168" s="103" t="s">
        <v>39</v>
      </c>
      <c r="G3168" s="93">
        <v>15764.07</v>
      </c>
      <c r="H3168" s="93">
        <v>103321.81</v>
      </c>
      <c r="I3168" s="93">
        <v>112132.02</v>
      </c>
      <c r="J3168" s="93">
        <v>57505.11</v>
      </c>
      <c r="K3168" s="93">
        <v>7399.15</v>
      </c>
      <c r="L3168" s="93">
        <v>42332.42</v>
      </c>
      <c r="M3168" s="93">
        <v>338454.58</v>
      </c>
      <c r="N3168" s="95">
        <v>0.05</v>
      </c>
      <c r="O3168" s="95">
        <v>0.35</v>
      </c>
      <c r="P3168" s="95">
        <v>0.38</v>
      </c>
      <c r="Q3168" s="95">
        <v>0.19</v>
      </c>
      <c r="R3168" s="104">
        <v>0.02</v>
      </c>
    </row>
    <row r="3169" spans="1:18" ht="15" hidden="1" customHeight="1" x14ac:dyDescent="0.3">
      <c r="A3169" s="101">
        <v>2025</v>
      </c>
      <c r="B3169" s="90">
        <v>3</v>
      </c>
      <c r="C3169" s="90" t="s">
        <v>724</v>
      </c>
      <c r="D3169" s="90" t="s">
        <v>719</v>
      </c>
      <c r="E3169" s="102" t="s">
        <v>11</v>
      </c>
      <c r="F3169" s="103" t="s">
        <v>40</v>
      </c>
      <c r="G3169" s="93">
        <v>3181.4</v>
      </c>
      <c r="H3169" s="93">
        <v>7866.08</v>
      </c>
      <c r="I3169" s="93">
        <v>62441.98</v>
      </c>
      <c r="J3169" s="93">
        <v>195011.78</v>
      </c>
      <c r="K3169" s="93">
        <v>52690.54</v>
      </c>
      <c r="L3169" s="93">
        <v>41268.97</v>
      </c>
      <c r="M3169" s="93">
        <v>362460.76</v>
      </c>
      <c r="N3169" s="95">
        <v>0.01</v>
      </c>
      <c r="O3169" s="95">
        <v>0.02</v>
      </c>
      <c r="P3169" s="95">
        <v>0.19</v>
      </c>
      <c r="Q3169" s="95">
        <v>0.61</v>
      </c>
      <c r="R3169" s="104">
        <v>0.16</v>
      </c>
    </row>
    <row r="3170" spans="1:18" ht="15" hidden="1" customHeight="1" x14ac:dyDescent="0.3">
      <c r="A3170" s="101">
        <v>2025</v>
      </c>
      <c r="B3170" s="90">
        <v>3</v>
      </c>
      <c r="C3170" s="90" t="s">
        <v>724</v>
      </c>
      <c r="D3170" s="90" t="s">
        <v>719</v>
      </c>
      <c r="E3170" s="102" t="s">
        <v>11</v>
      </c>
      <c r="F3170" s="103" t="s">
        <v>41</v>
      </c>
      <c r="G3170" s="93">
        <v>219.56</v>
      </c>
      <c r="H3170" s="93">
        <v>4324.5200000000004</v>
      </c>
      <c r="I3170" s="93">
        <v>7869.82</v>
      </c>
      <c r="J3170" s="93">
        <v>5592.61</v>
      </c>
      <c r="K3170" s="93">
        <v>523.80999999999995</v>
      </c>
      <c r="L3170" s="93">
        <v>856693.64</v>
      </c>
      <c r="M3170" s="93">
        <v>875223.95</v>
      </c>
      <c r="N3170" s="95">
        <v>0.01</v>
      </c>
      <c r="O3170" s="95">
        <v>0.23</v>
      </c>
      <c r="P3170" s="95">
        <v>0.42</v>
      </c>
      <c r="Q3170" s="95">
        <v>0.3</v>
      </c>
      <c r="R3170" s="104">
        <v>0.03</v>
      </c>
    </row>
    <row r="3171" spans="1:18" ht="15" hidden="1" customHeight="1" x14ac:dyDescent="0.3">
      <c r="A3171" s="101">
        <v>2025</v>
      </c>
      <c r="B3171" s="90">
        <v>3</v>
      </c>
      <c r="C3171" s="90" t="s">
        <v>724</v>
      </c>
      <c r="D3171" s="90" t="s">
        <v>719</v>
      </c>
      <c r="E3171" s="102" t="s">
        <v>11</v>
      </c>
      <c r="F3171" s="103" t="s">
        <v>42</v>
      </c>
      <c r="G3171" s="93">
        <v>36156.449999999997</v>
      </c>
      <c r="H3171" s="93">
        <v>108711.8</v>
      </c>
      <c r="I3171" s="93">
        <v>61698.02</v>
      </c>
      <c r="J3171" s="93">
        <v>186945.02</v>
      </c>
      <c r="K3171" s="93">
        <v>137307.19</v>
      </c>
      <c r="L3171" s="93">
        <v>1301.0899999999999</v>
      </c>
      <c r="M3171" s="93">
        <v>532119.56000000006</v>
      </c>
      <c r="N3171" s="95">
        <v>7.0000000000000007E-2</v>
      </c>
      <c r="O3171" s="95">
        <v>0.2</v>
      </c>
      <c r="P3171" s="95">
        <v>0.12</v>
      </c>
      <c r="Q3171" s="95">
        <v>0.35</v>
      </c>
      <c r="R3171" s="104">
        <v>0.26</v>
      </c>
    </row>
    <row r="3172" spans="1:18" ht="15" hidden="1" customHeight="1" x14ac:dyDescent="0.3">
      <c r="A3172" s="101">
        <v>2025</v>
      </c>
      <c r="B3172" s="90">
        <v>3</v>
      </c>
      <c r="C3172" s="90" t="s">
        <v>724</v>
      </c>
      <c r="D3172" s="90" t="s">
        <v>719</v>
      </c>
      <c r="E3172" s="102" t="s">
        <v>11</v>
      </c>
      <c r="F3172" s="103" t="s">
        <v>43</v>
      </c>
      <c r="G3172" s="93">
        <v>3103.89</v>
      </c>
      <c r="H3172" s="93">
        <v>10901.86</v>
      </c>
      <c r="I3172" s="93">
        <v>15835.62</v>
      </c>
      <c r="J3172" s="93">
        <v>29807.119999999999</v>
      </c>
      <c r="K3172" s="93">
        <v>8857.26</v>
      </c>
      <c r="L3172" s="93">
        <v>62212.84</v>
      </c>
      <c r="M3172" s="93">
        <v>130718.58</v>
      </c>
      <c r="N3172" s="95">
        <v>0.05</v>
      </c>
      <c r="O3172" s="95">
        <v>0.16</v>
      </c>
      <c r="P3172" s="95">
        <v>0.23</v>
      </c>
      <c r="Q3172" s="95">
        <v>0.44</v>
      </c>
      <c r="R3172" s="104">
        <v>0.13</v>
      </c>
    </row>
    <row r="3173" spans="1:18" ht="15" hidden="1" customHeight="1" x14ac:dyDescent="0.3">
      <c r="A3173" s="101">
        <v>2025</v>
      </c>
      <c r="B3173" s="90">
        <v>3</v>
      </c>
      <c r="C3173" s="90" t="s">
        <v>724</v>
      </c>
      <c r="D3173" s="90" t="s">
        <v>719</v>
      </c>
      <c r="E3173" s="102" t="s">
        <v>11</v>
      </c>
      <c r="F3173" s="103" t="s">
        <v>58</v>
      </c>
      <c r="G3173" s="93">
        <v>437.79</v>
      </c>
      <c r="H3173" s="93">
        <v>895.04</v>
      </c>
      <c r="I3173" s="93">
        <v>10170.25</v>
      </c>
      <c r="J3173" s="93">
        <v>150612.51</v>
      </c>
      <c r="K3173" s="93">
        <v>205241.86</v>
      </c>
      <c r="L3173" s="93">
        <v>5022.1499999999996</v>
      </c>
      <c r="M3173" s="93">
        <v>372379.6</v>
      </c>
      <c r="N3173" s="95">
        <v>0</v>
      </c>
      <c r="O3173" s="95">
        <v>0</v>
      </c>
      <c r="P3173" s="95">
        <v>0.03</v>
      </c>
      <c r="Q3173" s="95">
        <v>0.41</v>
      </c>
      <c r="R3173" s="104">
        <v>0.56000000000000005</v>
      </c>
    </row>
    <row r="3174" spans="1:18" ht="15" hidden="1" customHeight="1" x14ac:dyDescent="0.3">
      <c r="A3174" s="101">
        <v>2025</v>
      </c>
      <c r="B3174" s="90">
        <v>3</v>
      </c>
      <c r="C3174" s="90" t="s">
        <v>724</v>
      </c>
      <c r="D3174" s="90" t="s">
        <v>719</v>
      </c>
      <c r="E3174" s="102" t="s">
        <v>11</v>
      </c>
      <c r="F3174" s="103" t="s">
        <v>44</v>
      </c>
      <c r="G3174" s="93">
        <v>6866.93</v>
      </c>
      <c r="H3174" s="93">
        <v>19697.72</v>
      </c>
      <c r="I3174" s="93">
        <v>54906.49</v>
      </c>
      <c r="J3174" s="93">
        <v>74531.240000000005</v>
      </c>
      <c r="K3174" s="93">
        <v>15344.47</v>
      </c>
      <c r="L3174" s="93">
        <v>34732.53</v>
      </c>
      <c r="M3174" s="93">
        <v>206079.38</v>
      </c>
      <c r="N3174" s="95">
        <v>0.04</v>
      </c>
      <c r="O3174" s="95">
        <v>0.11</v>
      </c>
      <c r="P3174" s="95">
        <v>0.32</v>
      </c>
      <c r="Q3174" s="95">
        <v>0.43</v>
      </c>
      <c r="R3174" s="104">
        <v>0.09</v>
      </c>
    </row>
    <row r="3175" spans="1:18" ht="15" hidden="1" customHeight="1" x14ac:dyDescent="0.3">
      <c r="A3175" s="101">
        <v>2025</v>
      </c>
      <c r="B3175" s="90">
        <v>3</v>
      </c>
      <c r="C3175" s="90" t="s">
        <v>724</v>
      </c>
      <c r="D3175" s="90" t="s">
        <v>719</v>
      </c>
      <c r="E3175" s="102" t="s">
        <v>11</v>
      </c>
      <c r="F3175" s="103" t="s">
        <v>51</v>
      </c>
      <c r="G3175" s="93">
        <v>2319.4299999999998</v>
      </c>
      <c r="H3175" s="93">
        <v>9578.5499999999993</v>
      </c>
      <c r="I3175" s="93">
        <v>52674.5</v>
      </c>
      <c r="J3175" s="93">
        <v>100635.19</v>
      </c>
      <c r="K3175" s="93">
        <v>45262.05</v>
      </c>
      <c r="L3175" s="93">
        <v>4345.6400000000003</v>
      </c>
      <c r="M3175" s="93">
        <v>214815.35999999999</v>
      </c>
      <c r="N3175" s="95">
        <v>0.01</v>
      </c>
      <c r="O3175" s="95">
        <v>0.05</v>
      </c>
      <c r="P3175" s="95">
        <v>0.25</v>
      </c>
      <c r="Q3175" s="95">
        <v>0.48</v>
      </c>
      <c r="R3175" s="104">
        <v>0.22</v>
      </c>
    </row>
    <row r="3176" spans="1:18" ht="15" hidden="1" customHeight="1" x14ac:dyDescent="0.3">
      <c r="A3176" s="101">
        <v>2025</v>
      </c>
      <c r="B3176" s="90">
        <v>3</v>
      </c>
      <c r="C3176" s="90" t="s">
        <v>724</v>
      </c>
      <c r="D3176" s="90" t="s">
        <v>719</v>
      </c>
      <c r="E3176" s="102" t="s">
        <v>11</v>
      </c>
      <c r="F3176" s="103" t="s">
        <v>45</v>
      </c>
      <c r="G3176" s="93">
        <v>1422.61</v>
      </c>
      <c r="H3176" s="93">
        <v>4360.6099999999997</v>
      </c>
      <c r="I3176" s="93">
        <v>13861.25</v>
      </c>
      <c r="J3176" s="93">
        <v>39560.57</v>
      </c>
      <c r="K3176" s="93">
        <v>25172.5</v>
      </c>
      <c r="L3176" s="93">
        <v>27208.07</v>
      </c>
      <c r="M3176" s="93">
        <v>111585.61</v>
      </c>
      <c r="N3176" s="95">
        <v>0.02</v>
      </c>
      <c r="O3176" s="95">
        <v>0.05</v>
      </c>
      <c r="P3176" s="95">
        <v>0.16</v>
      </c>
      <c r="Q3176" s="95">
        <v>0.47</v>
      </c>
      <c r="R3176" s="104">
        <v>0.3</v>
      </c>
    </row>
    <row r="3177" spans="1:18" ht="15" hidden="1" customHeight="1" x14ac:dyDescent="0.3">
      <c r="A3177" s="101">
        <v>2025</v>
      </c>
      <c r="B3177" s="90">
        <v>3</v>
      </c>
      <c r="C3177" s="90" t="s">
        <v>724</v>
      </c>
      <c r="D3177" s="90" t="s">
        <v>719</v>
      </c>
      <c r="E3177" s="102" t="s">
        <v>11</v>
      </c>
      <c r="F3177" s="103" t="s">
        <v>721</v>
      </c>
      <c r="G3177" s="93">
        <v>1137.17</v>
      </c>
      <c r="H3177" s="93">
        <v>11847.51</v>
      </c>
      <c r="I3177" s="93">
        <v>66104.63</v>
      </c>
      <c r="J3177" s="93">
        <v>173671.18</v>
      </c>
      <c r="K3177" s="93">
        <v>56565.8</v>
      </c>
      <c r="L3177" s="93">
        <v>589046.85</v>
      </c>
      <c r="M3177" s="93">
        <v>898373.14</v>
      </c>
      <c r="N3177" s="95">
        <v>0</v>
      </c>
      <c r="O3177" s="95">
        <v>0.04</v>
      </c>
      <c r="P3177" s="95">
        <v>0.21</v>
      </c>
      <c r="Q3177" s="95">
        <v>0.56000000000000005</v>
      </c>
      <c r="R3177" s="104">
        <v>0.18</v>
      </c>
    </row>
    <row r="3178" spans="1:18" ht="15" hidden="1" customHeight="1" x14ac:dyDescent="0.3">
      <c r="A3178" s="101">
        <v>2025</v>
      </c>
      <c r="B3178" s="90">
        <v>3</v>
      </c>
      <c r="C3178" s="90" t="s">
        <v>724</v>
      </c>
      <c r="D3178" s="90" t="s">
        <v>719</v>
      </c>
      <c r="E3178" s="102" t="s">
        <v>11</v>
      </c>
      <c r="F3178" s="103" t="s">
        <v>46</v>
      </c>
      <c r="G3178" s="93">
        <v>2964.76</v>
      </c>
      <c r="H3178" s="93">
        <v>14671.35</v>
      </c>
      <c r="I3178" s="93">
        <v>43754.51</v>
      </c>
      <c r="J3178" s="93">
        <v>71447.11</v>
      </c>
      <c r="K3178" s="93">
        <v>15204.5</v>
      </c>
      <c r="L3178" s="93">
        <v>30909.94</v>
      </c>
      <c r="M3178" s="93">
        <v>178952.17</v>
      </c>
      <c r="N3178" s="95">
        <v>0.02</v>
      </c>
      <c r="O3178" s="95">
        <v>0.1</v>
      </c>
      <c r="P3178" s="95">
        <v>0.3</v>
      </c>
      <c r="Q3178" s="95">
        <v>0.48</v>
      </c>
      <c r="R3178" s="104">
        <v>0.1</v>
      </c>
    </row>
    <row r="3179" spans="1:18" ht="15" hidden="1" customHeight="1" x14ac:dyDescent="0.3">
      <c r="A3179" s="101">
        <v>2025</v>
      </c>
      <c r="B3179" s="90">
        <v>3</v>
      </c>
      <c r="C3179" s="90" t="s">
        <v>724</v>
      </c>
      <c r="D3179" s="90" t="s">
        <v>719</v>
      </c>
      <c r="E3179" s="102" t="s">
        <v>11</v>
      </c>
      <c r="F3179" s="103" t="s">
        <v>47</v>
      </c>
      <c r="G3179" s="93">
        <v>30725.75</v>
      </c>
      <c r="H3179" s="93">
        <v>92384.22</v>
      </c>
      <c r="I3179" s="93">
        <v>289327.84000000003</v>
      </c>
      <c r="J3179" s="93">
        <v>514433.69</v>
      </c>
      <c r="K3179" s="93">
        <v>440634.13</v>
      </c>
      <c r="L3179" s="93">
        <v>50241.07</v>
      </c>
      <c r="M3179" s="93">
        <v>1417746.7</v>
      </c>
      <c r="N3179" s="95">
        <v>0.02</v>
      </c>
      <c r="O3179" s="95">
        <v>7.0000000000000007E-2</v>
      </c>
      <c r="P3179" s="95">
        <v>0.21</v>
      </c>
      <c r="Q3179" s="95">
        <v>0.38</v>
      </c>
      <c r="R3179" s="104">
        <v>0.32</v>
      </c>
    </row>
    <row r="3180" spans="1:18" ht="15" hidden="1" customHeight="1" x14ac:dyDescent="0.3">
      <c r="A3180" s="101">
        <v>2025</v>
      </c>
      <c r="B3180" s="90">
        <v>3</v>
      </c>
      <c r="C3180" s="90" t="s">
        <v>724</v>
      </c>
      <c r="D3180" s="90" t="s">
        <v>719</v>
      </c>
      <c r="E3180" s="102" t="s">
        <v>11</v>
      </c>
      <c r="F3180" s="103" t="s">
        <v>48</v>
      </c>
      <c r="G3180" s="93">
        <v>491.7</v>
      </c>
      <c r="H3180" s="93">
        <v>1614.23</v>
      </c>
      <c r="I3180" s="93">
        <v>15667.93</v>
      </c>
      <c r="J3180" s="93">
        <v>64152.62</v>
      </c>
      <c r="K3180" s="93">
        <v>19508.650000000001</v>
      </c>
      <c r="L3180" s="93">
        <v>23315.73</v>
      </c>
      <c r="M3180" s="93">
        <v>124750.87</v>
      </c>
      <c r="N3180" s="95">
        <v>0</v>
      </c>
      <c r="O3180" s="95">
        <v>0.02</v>
      </c>
      <c r="P3180" s="95">
        <v>0.15</v>
      </c>
      <c r="Q3180" s="95">
        <v>0.63</v>
      </c>
      <c r="R3180" s="104">
        <v>0.19</v>
      </c>
    </row>
    <row r="3181" spans="1:18" ht="15" hidden="1" customHeight="1" x14ac:dyDescent="0.3">
      <c r="A3181" s="101">
        <v>2025</v>
      </c>
      <c r="B3181" s="90">
        <v>3</v>
      </c>
      <c r="C3181" s="90" t="s">
        <v>724</v>
      </c>
      <c r="D3181" s="90" t="s">
        <v>722</v>
      </c>
      <c r="E3181" s="102" t="s">
        <v>11</v>
      </c>
      <c r="F3181" s="103" t="s">
        <v>12</v>
      </c>
      <c r="G3181" s="93">
        <v>2019.83</v>
      </c>
      <c r="H3181" s="93">
        <v>14516.19</v>
      </c>
      <c r="I3181" s="93">
        <v>36407.31</v>
      </c>
      <c r="J3181" s="93">
        <v>28396.57</v>
      </c>
      <c r="K3181" s="93">
        <v>12597.02</v>
      </c>
      <c r="L3181" s="93">
        <v>382.92</v>
      </c>
      <c r="M3181" s="93">
        <v>94319.84</v>
      </c>
      <c r="N3181" s="95">
        <v>0.02</v>
      </c>
      <c r="O3181" s="95">
        <v>0.15</v>
      </c>
      <c r="P3181" s="95">
        <v>0.39</v>
      </c>
      <c r="Q3181" s="95">
        <v>0.3</v>
      </c>
      <c r="R3181" s="104">
        <v>0.13</v>
      </c>
    </row>
    <row r="3182" spans="1:18" ht="15" hidden="1" customHeight="1" x14ac:dyDescent="0.3">
      <c r="A3182" s="101">
        <v>2025</v>
      </c>
      <c r="B3182" s="90">
        <v>3</v>
      </c>
      <c r="C3182" s="90" t="s">
        <v>724</v>
      </c>
      <c r="D3182" s="90" t="s">
        <v>722</v>
      </c>
      <c r="E3182" s="102" t="s">
        <v>11</v>
      </c>
      <c r="F3182" s="103" t="s">
        <v>26</v>
      </c>
      <c r="G3182" s="93">
        <v>525.38</v>
      </c>
      <c r="H3182" s="93">
        <v>1353.52</v>
      </c>
      <c r="I3182" s="93">
        <v>4674.5200000000004</v>
      </c>
      <c r="J3182" s="93">
        <v>13217.86</v>
      </c>
      <c r="K3182" s="93">
        <v>4913.74</v>
      </c>
      <c r="L3182" s="93">
        <v>3479.07</v>
      </c>
      <c r="M3182" s="93">
        <v>28164.1</v>
      </c>
      <c r="N3182" s="95">
        <v>0.02</v>
      </c>
      <c r="O3182" s="95">
        <v>0.05</v>
      </c>
      <c r="P3182" s="95">
        <v>0.19</v>
      </c>
      <c r="Q3182" s="95">
        <v>0.54</v>
      </c>
      <c r="R3182" s="104">
        <v>0.2</v>
      </c>
    </row>
    <row r="3183" spans="1:18" ht="15" hidden="1" customHeight="1" x14ac:dyDescent="0.3">
      <c r="A3183" s="101">
        <v>2025</v>
      </c>
      <c r="B3183" s="90">
        <v>3</v>
      </c>
      <c r="C3183" s="90" t="s">
        <v>724</v>
      </c>
      <c r="D3183" s="90" t="s">
        <v>722</v>
      </c>
      <c r="E3183" s="102" t="s">
        <v>11</v>
      </c>
      <c r="F3183" s="103" t="s">
        <v>27</v>
      </c>
      <c r="G3183" s="93">
        <v>11496.39</v>
      </c>
      <c r="H3183" s="93">
        <v>38339.699999999997</v>
      </c>
      <c r="I3183" s="93">
        <v>53512.74</v>
      </c>
      <c r="J3183" s="93">
        <v>111014.95</v>
      </c>
      <c r="K3183" s="93">
        <v>82734.679999999993</v>
      </c>
      <c r="L3183" s="93">
        <v>185423.35</v>
      </c>
      <c r="M3183" s="93">
        <v>482521.8</v>
      </c>
      <c r="N3183" s="95">
        <v>0.04</v>
      </c>
      <c r="O3183" s="95">
        <v>0.13</v>
      </c>
      <c r="P3183" s="95">
        <v>0.18</v>
      </c>
      <c r="Q3183" s="95">
        <v>0.37</v>
      </c>
      <c r="R3183" s="104">
        <v>0.28000000000000003</v>
      </c>
    </row>
    <row r="3184" spans="1:18" ht="15" hidden="1" customHeight="1" x14ac:dyDescent="0.3">
      <c r="A3184" s="101">
        <v>2025</v>
      </c>
      <c r="B3184" s="90">
        <v>3</v>
      </c>
      <c r="C3184" s="90" t="s">
        <v>724</v>
      </c>
      <c r="D3184" s="90" t="s">
        <v>722</v>
      </c>
      <c r="E3184" s="102" t="s">
        <v>11</v>
      </c>
      <c r="F3184" s="103" t="s">
        <v>28</v>
      </c>
      <c r="G3184" s="93">
        <v>12753.35</v>
      </c>
      <c r="H3184" s="93">
        <v>113431.83</v>
      </c>
      <c r="I3184" s="93">
        <v>312011.01</v>
      </c>
      <c r="J3184" s="93">
        <v>330405.64</v>
      </c>
      <c r="K3184" s="93">
        <v>97950.83</v>
      </c>
      <c r="L3184" s="93">
        <v>86347.29</v>
      </c>
      <c r="M3184" s="93">
        <v>952899.95</v>
      </c>
      <c r="N3184" s="95">
        <v>0.01</v>
      </c>
      <c r="O3184" s="95">
        <v>0.13</v>
      </c>
      <c r="P3184" s="95">
        <v>0.36</v>
      </c>
      <c r="Q3184" s="95">
        <v>0.38</v>
      </c>
      <c r="R3184" s="104">
        <v>0.11</v>
      </c>
    </row>
    <row r="3185" spans="1:18" ht="15" customHeight="1" x14ac:dyDescent="0.3">
      <c r="A3185" s="101">
        <v>2025</v>
      </c>
      <c r="B3185" s="90">
        <v>3</v>
      </c>
      <c r="C3185" s="90" t="s">
        <v>724</v>
      </c>
      <c r="D3185" s="90" t="s">
        <v>722</v>
      </c>
      <c r="E3185" s="102" t="s">
        <v>11</v>
      </c>
      <c r="F3185" s="103" t="s">
        <v>29</v>
      </c>
      <c r="G3185" s="93">
        <v>2151.71</v>
      </c>
      <c r="H3185" s="93">
        <v>2524.3200000000002</v>
      </c>
      <c r="I3185" s="93">
        <v>17809.16</v>
      </c>
      <c r="J3185" s="93">
        <v>35557.519999999997</v>
      </c>
      <c r="K3185" s="93">
        <v>6545.99</v>
      </c>
      <c r="L3185" s="93">
        <v>31362.63</v>
      </c>
      <c r="M3185" s="93">
        <v>95951.33</v>
      </c>
      <c r="N3185" s="95">
        <v>0.03</v>
      </c>
      <c r="O3185" s="95">
        <v>0.04</v>
      </c>
      <c r="P3185" s="95">
        <v>0.28000000000000003</v>
      </c>
      <c r="Q3185" s="95">
        <v>0.55000000000000004</v>
      </c>
      <c r="R3185" s="104">
        <v>0.1</v>
      </c>
    </row>
    <row r="3186" spans="1:18" ht="15" hidden="1" customHeight="1" x14ac:dyDescent="0.3">
      <c r="A3186" s="101">
        <v>2025</v>
      </c>
      <c r="B3186" s="90">
        <v>3</v>
      </c>
      <c r="C3186" s="90" t="s">
        <v>724</v>
      </c>
      <c r="D3186" s="90" t="s">
        <v>722</v>
      </c>
      <c r="E3186" s="102" t="s">
        <v>11</v>
      </c>
      <c r="F3186" s="103" t="s">
        <v>30</v>
      </c>
      <c r="G3186" s="93">
        <v>7915.29</v>
      </c>
      <c r="H3186" s="93">
        <v>15956.22</v>
      </c>
      <c r="I3186" s="93">
        <v>64748.24</v>
      </c>
      <c r="J3186" s="93">
        <v>138481.03</v>
      </c>
      <c r="K3186" s="93">
        <v>33462.559999999998</v>
      </c>
      <c r="L3186" s="93">
        <v>295350.09999999998</v>
      </c>
      <c r="M3186" s="93">
        <v>555913.44999999995</v>
      </c>
      <c r="N3186" s="95">
        <v>0.03</v>
      </c>
      <c r="O3186" s="95">
        <v>0.06</v>
      </c>
      <c r="P3186" s="95">
        <v>0.25</v>
      </c>
      <c r="Q3186" s="95">
        <v>0.53</v>
      </c>
      <c r="R3186" s="104">
        <v>0.13</v>
      </c>
    </row>
    <row r="3187" spans="1:18" ht="15" hidden="1" customHeight="1" x14ac:dyDescent="0.3">
      <c r="A3187" s="101">
        <v>2025</v>
      </c>
      <c r="B3187" s="90">
        <v>3</v>
      </c>
      <c r="C3187" s="90" t="s">
        <v>724</v>
      </c>
      <c r="D3187" s="90" t="s">
        <v>722</v>
      </c>
      <c r="E3187" s="102" t="s">
        <v>11</v>
      </c>
      <c r="F3187" s="103" t="s">
        <v>31</v>
      </c>
      <c r="G3187" s="93">
        <v>10554.89</v>
      </c>
      <c r="H3187" s="93">
        <v>76730.83</v>
      </c>
      <c r="I3187" s="93">
        <v>349629.28</v>
      </c>
      <c r="J3187" s="93">
        <v>648928.5</v>
      </c>
      <c r="K3187" s="93">
        <v>238758.63</v>
      </c>
      <c r="L3187" s="93">
        <v>53285.58</v>
      </c>
      <c r="M3187" s="93">
        <v>1377887.72</v>
      </c>
      <c r="N3187" s="95">
        <v>0.01</v>
      </c>
      <c r="O3187" s="95">
        <v>0.06</v>
      </c>
      <c r="P3187" s="95">
        <v>0.26</v>
      </c>
      <c r="Q3187" s="95">
        <v>0.49</v>
      </c>
      <c r="R3187" s="104">
        <v>0.18</v>
      </c>
    </row>
    <row r="3188" spans="1:18" ht="15" hidden="1" customHeight="1" x14ac:dyDescent="0.3">
      <c r="A3188" s="101">
        <v>2025</v>
      </c>
      <c r="B3188" s="90">
        <v>3</v>
      </c>
      <c r="C3188" s="90" t="s">
        <v>724</v>
      </c>
      <c r="D3188" s="90" t="s">
        <v>722</v>
      </c>
      <c r="E3188" s="102" t="s">
        <v>11</v>
      </c>
      <c r="F3188" s="103" t="s">
        <v>32</v>
      </c>
      <c r="G3188" s="93">
        <v>4365.74</v>
      </c>
      <c r="H3188" s="93">
        <v>48697.32</v>
      </c>
      <c r="I3188" s="93">
        <v>173256.87</v>
      </c>
      <c r="J3188" s="93">
        <v>288203.21000000002</v>
      </c>
      <c r="K3188" s="93">
        <v>202340.32</v>
      </c>
      <c r="L3188" s="93">
        <v>5307.21</v>
      </c>
      <c r="M3188" s="93">
        <v>722170.66</v>
      </c>
      <c r="N3188" s="95">
        <v>0.01</v>
      </c>
      <c r="O3188" s="95">
        <v>7.0000000000000007E-2</v>
      </c>
      <c r="P3188" s="95">
        <v>0.24</v>
      </c>
      <c r="Q3188" s="95">
        <v>0.4</v>
      </c>
      <c r="R3188" s="104">
        <v>0.28000000000000003</v>
      </c>
    </row>
    <row r="3189" spans="1:18" ht="15" hidden="1" customHeight="1" x14ac:dyDescent="0.3">
      <c r="A3189" s="101">
        <v>2025</v>
      </c>
      <c r="B3189" s="90">
        <v>3</v>
      </c>
      <c r="C3189" s="90" t="s">
        <v>724</v>
      </c>
      <c r="D3189" s="90" t="s">
        <v>722</v>
      </c>
      <c r="E3189" s="102" t="s">
        <v>11</v>
      </c>
      <c r="F3189" s="103" t="s">
        <v>33</v>
      </c>
      <c r="G3189" s="93">
        <v>1352.56</v>
      </c>
      <c r="H3189" s="93">
        <v>10054.61</v>
      </c>
      <c r="I3189" s="93">
        <v>20277.04</v>
      </c>
      <c r="J3189" s="93">
        <v>46750.55</v>
      </c>
      <c r="K3189" s="93">
        <v>33643.51</v>
      </c>
      <c r="L3189" s="93">
        <v>10394.57</v>
      </c>
      <c r="M3189" s="93">
        <v>122472.84</v>
      </c>
      <c r="N3189" s="95">
        <v>0.01</v>
      </c>
      <c r="O3189" s="95">
        <v>0.09</v>
      </c>
      <c r="P3189" s="95">
        <v>0.18</v>
      </c>
      <c r="Q3189" s="95">
        <v>0.42</v>
      </c>
      <c r="R3189" s="104">
        <v>0.3</v>
      </c>
    </row>
    <row r="3190" spans="1:18" ht="15" hidden="1" customHeight="1" x14ac:dyDescent="0.3">
      <c r="A3190" s="101">
        <v>2025</v>
      </c>
      <c r="B3190" s="90">
        <v>3</v>
      </c>
      <c r="C3190" s="90" t="s">
        <v>724</v>
      </c>
      <c r="D3190" s="90" t="s">
        <v>722</v>
      </c>
      <c r="E3190" s="102" t="s">
        <v>11</v>
      </c>
      <c r="F3190" s="103" t="s">
        <v>34</v>
      </c>
      <c r="G3190" s="93">
        <v>218.13</v>
      </c>
      <c r="H3190" s="93">
        <v>2863.96</v>
      </c>
      <c r="I3190" s="93">
        <v>5873.19</v>
      </c>
      <c r="J3190" s="93">
        <v>7952.29</v>
      </c>
      <c r="K3190" s="93">
        <v>1249.6600000000001</v>
      </c>
      <c r="L3190" s="93">
        <v>3835.32</v>
      </c>
      <c r="M3190" s="93">
        <v>21992.55</v>
      </c>
      <c r="N3190" s="95">
        <v>0.01</v>
      </c>
      <c r="O3190" s="95">
        <v>0.16</v>
      </c>
      <c r="P3190" s="95">
        <v>0.32</v>
      </c>
      <c r="Q3190" s="95">
        <v>0.44</v>
      </c>
      <c r="R3190" s="104">
        <v>7.0000000000000007E-2</v>
      </c>
    </row>
    <row r="3191" spans="1:18" ht="15" hidden="1" customHeight="1" x14ac:dyDescent="0.3">
      <c r="A3191" s="101">
        <v>2025</v>
      </c>
      <c r="B3191" s="90">
        <v>3</v>
      </c>
      <c r="C3191" s="90" t="s">
        <v>724</v>
      </c>
      <c r="D3191" s="90" t="s">
        <v>722</v>
      </c>
      <c r="E3191" s="102" t="s">
        <v>11</v>
      </c>
      <c r="F3191" s="103" t="s">
        <v>35</v>
      </c>
      <c r="G3191" s="93">
        <v>1356.95</v>
      </c>
      <c r="H3191" s="93">
        <v>5430.44</v>
      </c>
      <c r="I3191" s="93">
        <v>14284.19</v>
      </c>
      <c r="J3191" s="93">
        <v>45990.14</v>
      </c>
      <c r="K3191" s="93">
        <v>33443.58</v>
      </c>
      <c r="L3191" s="93">
        <v>69074.78</v>
      </c>
      <c r="M3191" s="93">
        <v>169580.08</v>
      </c>
      <c r="N3191" s="95">
        <v>0.01</v>
      </c>
      <c r="O3191" s="95">
        <v>0.05</v>
      </c>
      <c r="P3191" s="95">
        <v>0.14000000000000001</v>
      </c>
      <c r="Q3191" s="95">
        <v>0.46</v>
      </c>
      <c r="R3191" s="104">
        <v>0.33</v>
      </c>
    </row>
    <row r="3192" spans="1:18" ht="15" hidden="1" customHeight="1" x14ac:dyDescent="0.3">
      <c r="A3192" s="101">
        <v>2025</v>
      </c>
      <c r="B3192" s="90">
        <v>3</v>
      </c>
      <c r="C3192" s="90" t="s">
        <v>724</v>
      </c>
      <c r="D3192" s="90" t="s">
        <v>722</v>
      </c>
      <c r="E3192" s="102" t="s">
        <v>11</v>
      </c>
      <c r="F3192" s="103" t="s">
        <v>36</v>
      </c>
      <c r="G3192" s="93">
        <v>5731.06</v>
      </c>
      <c r="H3192" s="93">
        <v>34927.42</v>
      </c>
      <c r="I3192" s="93">
        <v>60683.360000000001</v>
      </c>
      <c r="J3192" s="93">
        <v>124584.16</v>
      </c>
      <c r="K3192" s="93">
        <v>112525.54</v>
      </c>
      <c r="L3192" s="93">
        <v>72061.03</v>
      </c>
      <c r="M3192" s="93">
        <v>410512.56</v>
      </c>
      <c r="N3192" s="95">
        <v>0.02</v>
      </c>
      <c r="O3192" s="95">
        <v>0.1</v>
      </c>
      <c r="P3192" s="95">
        <v>0.18</v>
      </c>
      <c r="Q3192" s="95">
        <v>0.37</v>
      </c>
      <c r="R3192" s="104">
        <v>0.33</v>
      </c>
    </row>
    <row r="3193" spans="1:18" ht="15" hidden="1" customHeight="1" x14ac:dyDescent="0.3">
      <c r="A3193" s="101">
        <v>2025</v>
      </c>
      <c r="B3193" s="90">
        <v>3</v>
      </c>
      <c r="C3193" s="90" t="s">
        <v>724</v>
      </c>
      <c r="D3193" s="90" t="s">
        <v>722</v>
      </c>
      <c r="E3193" s="102" t="s">
        <v>11</v>
      </c>
      <c r="F3193" s="103" t="s">
        <v>37</v>
      </c>
      <c r="G3193" s="93">
        <v>127.96</v>
      </c>
      <c r="H3193" s="93">
        <v>1490.7</v>
      </c>
      <c r="I3193" s="93">
        <v>2154.67</v>
      </c>
      <c r="J3193" s="93">
        <v>958.83</v>
      </c>
      <c r="K3193" s="93">
        <v>82.04</v>
      </c>
      <c r="L3193" s="93">
        <v>306744.59000000003</v>
      </c>
      <c r="M3193" s="93">
        <v>311558.78999999998</v>
      </c>
      <c r="N3193" s="95">
        <v>0.03</v>
      </c>
      <c r="O3193" s="95">
        <v>0.31</v>
      </c>
      <c r="P3193" s="95">
        <v>0.45</v>
      </c>
      <c r="Q3193" s="95">
        <v>0.2</v>
      </c>
      <c r="R3193" s="104">
        <v>0.02</v>
      </c>
    </row>
    <row r="3194" spans="1:18" ht="15" hidden="1" customHeight="1" x14ac:dyDescent="0.3">
      <c r="A3194" s="101">
        <v>2025</v>
      </c>
      <c r="B3194" s="90">
        <v>3</v>
      </c>
      <c r="C3194" s="90" t="s">
        <v>724</v>
      </c>
      <c r="D3194" s="90" t="s">
        <v>722</v>
      </c>
      <c r="E3194" s="102" t="s">
        <v>11</v>
      </c>
      <c r="F3194" s="103" t="s">
        <v>720</v>
      </c>
      <c r="G3194" s="93">
        <v>2591.33</v>
      </c>
      <c r="H3194" s="93">
        <v>11009.82</v>
      </c>
      <c r="I3194" s="93">
        <v>27901.13</v>
      </c>
      <c r="J3194" s="93">
        <v>48727.46</v>
      </c>
      <c r="K3194" s="93">
        <v>37182.36</v>
      </c>
      <c r="L3194" s="93">
        <v>20249.560000000001</v>
      </c>
      <c r="M3194" s="93">
        <v>147661.65</v>
      </c>
      <c r="N3194" s="95">
        <v>0.02</v>
      </c>
      <c r="O3194" s="95">
        <v>0.09</v>
      </c>
      <c r="P3194" s="95">
        <v>0.22</v>
      </c>
      <c r="Q3194" s="95">
        <v>0.38</v>
      </c>
      <c r="R3194" s="104">
        <v>0.28999999999999998</v>
      </c>
    </row>
    <row r="3195" spans="1:18" ht="15" hidden="1" customHeight="1" x14ac:dyDescent="0.3">
      <c r="A3195" s="101">
        <v>2025</v>
      </c>
      <c r="B3195" s="90">
        <v>3</v>
      </c>
      <c r="C3195" s="90" t="s">
        <v>724</v>
      </c>
      <c r="D3195" s="90" t="s">
        <v>722</v>
      </c>
      <c r="E3195" s="102" t="s">
        <v>11</v>
      </c>
      <c r="F3195" s="103" t="s">
        <v>39</v>
      </c>
      <c r="G3195" s="93">
        <v>89229.55</v>
      </c>
      <c r="H3195" s="93">
        <v>548158.5</v>
      </c>
      <c r="I3195" s="93">
        <v>1032234.16</v>
      </c>
      <c r="J3195" s="93">
        <v>517629.33</v>
      </c>
      <c r="K3195" s="93">
        <v>118051.45</v>
      </c>
      <c r="L3195" s="93">
        <v>42908.04</v>
      </c>
      <c r="M3195" s="93">
        <v>2348211.0299999998</v>
      </c>
      <c r="N3195" s="95">
        <v>0.04</v>
      </c>
      <c r="O3195" s="95">
        <v>0.24</v>
      </c>
      <c r="P3195" s="95">
        <v>0.45</v>
      </c>
      <c r="Q3195" s="95">
        <v>0.22</v>
      </c>
      <c r="R3195" s="104">
        <v>0.05</v>
      </c>
    </row>
    <row r="3196" spans="1:18" ht="15" hidden="1" customHeight="1" x14ac:dyDescent="0.3">
      <c r="A3196" s="101">
        <v>2025</v>
      </c>
      <c r="B3196" s="90">
        <v>3</v>
      </c>
      <c r="C3196" s="90" t="s">
        <v>724</v>
      </c>
      <c r="D3196" s="90" t="s">
        <v>722</v>
      </c>
      <c r="E3196" s="102" t="s">
        <v>11</v>
      </c>
      <c r="F3196" s="103" t="s">
        <v>40</v>
      </c>
      <c r="G3196" s="93">
        <v>3725.93</v>
      </c>
      <c r="H3196" s="93">
        <v>16656.34</v>
      </c>
      <c r="I3196" s="93">
        <v>61119.19</v>
      </c>
      <c r="J3196" s="93">
        <v>138518.47</v>
      </c>
      <c r="K3196" s="93">
        <v>80506.23</v>
      </c>
      <c r="L3196" s="93">
        <v>42263.43</v>
      </c>
      <c r="M3196" s="93">
        <v>342789.6</v>
      </c>
      <c r="N3196" s="95">
        <v>0.01</v>
      </c>
      <c r="O3196" s="95">
        <v>0.06</v>
      </c>
      <c r="P3196" s="95">
        <v>0.2</v>
      </c>
      <c r="Q3196" s="95">
        <v>0.46</v>
      </c>
      <c r="R3196" s="104">
        <v>0.27</v>
      </c>
    </row>
    <row r="3197" spans="1:18" ht="15" hidden="1" customHeight="1" x14ac:dyDescent="0.3">
      <c r="A3197" s="101">
        <v>2025</v>
      </c>
      <c r="B3197" s="90">
        <v>3</v>
      </c>
      <c r="C3197" s="90" t="s">
        <v>724</v>
      </c>
      <c r="D3197" s="90" t="s">
        <v>722</v>
      </c>
      <c r="E3197" s="102" t="s">
        <v>11</v>
      </c>
      <c r="F3197" s="103" t="s">
        <v>41</v>
      </c>
      <c r="G3197" s="93">
        <v>202568.59</v>
      </c>
      <c r="H3197" s="93">
        <v>255244.48</v>
      </c>
      <c r="I3197" s="93">
        <v>203697.74</v>
      </c>
      <c r="J3197" s="93">
        <v>79092.479999999996</v>
      </c>
      <c r="K3197" s="93">
        <v>4087.75</v>
      </c>
      <c r="L3197" s="93">
        <v>856979.26</v>
      </c>
      <c r="M3197" s="93">
        <v>1601670.3</v>
      </c>
      <c r="N3197" s="95">
        <v>0.27</v>
      </c>
      <c r="O3197" s="95">
        <v>0.34</v>
      </c>
      <c r="P3197" s="95">
        <v>0.27</v>
      </c>
      <c r="Q3197" s="95">
        <v>0.11</v>
      </c>
      <c r="R3197" s="104">
        <v>0.01</v>
      </c>
    </row>
    <row r="3198" spans="1:18" ht="15" hidden="1" customHeight="1" x14ac:dyDescent="0.3">
      <c r="A3198" s="101">
        <v>2025</v>
      </c>
      <c r="B3198" s="90">
        <v>3</v>
      </c>
      <c r="C3198" s="90" t="s">
        <v>724</v>
      </c>
      <c r="D3198" s="90" t="s">
        <v>722</v>
      </c>
      <c r="E3198" s="102" t="s">
        <v>11</v>
      </c>
      <c r="F3198" s="103" t="s">
        <v>42</v>
      </c>
      <c r="G3198" s="93">
        <v>4207.29</v>
      </c>
      <c r="H3198" s="93">
        <v>29359.27</v>
      </c>
      <c r="I3198" s="93">
        <v>174305.94</v>
      </c>
      <c r="J3198" s="93">
        <v>370547.87</v>
      </c>
      <c r="K3198" s="93">
        <v>56311.87</v>
      </c>
      <c r="L3198" s="93">
        <v>349.95</v>
      </c>
      <c r="M3198" s="93">
        <v>635082.18999999994</v>
      </c>
      <c r="N3198" s="95">
        <v>0.01</v>
      </c>
      <c r="O3198" s="95">
        <v>0.05</v>
      </c>
      <c r="P3198" s="95">
        <v>0.27</v>
      </c>
      <c r="Q3198" s="95">
        <v>0.57999999999999996</v>
      </c>
      <c r="R3198" s="104">
        <v>0.09</v>
      </c>
    </row>
    <row r="3199" spans="1:18" ht="15" hidden="1" customHeight="1" x14ac:dyDescent="0.3">
      <c r="A3199" s="101">
        <v>2025</v>
      </c>
      <c r="B3199" s="90">
        <v>3</v>
      </c>
      <c r="C3199" s="90" t="s">
        <v>724</v>
      </c>
      <c r="D3199" s="90" t="s">
        <v>722</v>
      </c>
      <c r="E3199" s="102" t="s">
        <v>11</v>
      </c>
      <c r="F3199" s="103" t="s">
        <v>43</v>
      </c>
      <c r="G3199" s="93">
        <v>27174.63</v>
      </c>
      <c r="H3199" s="93">
        <v>58002.76</v>
      </c>
      <c r="I3199" s="93">
        <v>116746.89</v>
      </c>
      <c r="J3199" s="93">
        <v>51455.68</v>
      </c>
      <c r="K3199" s="93">
        <v>2694.82</v>
      </c>
      <c r="L3199" s="93">
        <v>62151.69</v>
      </c>
      <c r="M3199" s="93">
        <v>318226.46999999997</v>
      </c>
      <c r="N3199" s="95">
        <v>0.11</v>
      </c>
      <c r="O3199" s="95">
        <v>0.23</v>
      </c>
      <c r="P3199" s="95">
        <v>0.46</v>
      </c>
      <c r="Q3199" s="95">
        <v>0.2</v>
      </c>
      <c r="R3199" s="104">
        <v>0.01</v>
      </c>
    </row>
    <row r="3200" spans="1:18" ht="15" hidden="1" customHeight="1" x14ac:dyDescent="0.3">
      <c r="A3200" s="101">
        <v>2025</v>
      </c>
      <c r="B3200" s="90">
        <v>3</v>
      </c>
      <c r="C3200" s="90" t="s">
        <v>724</v>
      </c>
      <c r="D3200" s="90" t="s">
        <v>722</v>
      </c>
      <c r="E3200" s="102" t="s">
        <v>11</v>
      </c>
      <c r="F3200" s="103" t="s">
        <v>58</v>
      </c>
      <c r="G3200" s="93">
        <v>4567.5</v>
      </c>
      <c r="H3200" s="93">
        <v>17327.77</v>
      </c>
      <c r="I3200" s="93">
        <v>25375.39</v>
      </c>
      <c r="J3200" s="93">
        <v>57451.5</v>
      </c>
      <c r="K3200" s="93">
        <v>45021.22</v>
      </c>
      <c r="L3200" s="93">
        <v>3408.02</v>
      </c>
      <c r="M3200" s="93">
        <v>153151.4</v>
      </c>
      <c r="N3200" s="95">
        <v>0.03</v>
      </c>
      <c r="O3200" s="95">
        <v>0.12</v>
      </c>
      <c r="P3200" s="95">
        <v>0.17</v>
      </c>
      <c r="Q3200" s="95">
        <v>0.38</v>
      </c>
      <c r="R3200" s="104">
        <v>0.3</v>
      </c>
    </row>
    <row r="3201" spans="1:18" ht="15" hidden="1" customHeight="1" x14ac:dyDescent="0.3">
      <c r="A3201" s="101">
        <v>2025</v>
      </c>
      <c r="B3201" s="90">
        <v>3</v>
      </c>
      <c r="C3201" s="90" t="s">
        <v>724</v>
      </c>
      <c r="D3201" s="90" t="s">
        <v>722</v>
      </c>
      <c r="E3201" s="102" t="s">
        <v>11</v>
      </c>
      <c r="F3201" s="103" t="s">
        <v>44</v>
      </c>
      <c r="G3201" s="93">
        <v>2108.7600000000002</v>
      </c>
      <c r="H3201" s="93">
        <v>3704.21</v>
      </c>
      <c r="I3201" s="93">
        <v>11417.13</v>
      </c>
      <c r="J3201" s="93">
        <v>39135.35</v>
      </c>
      <c r="K3201" s="93">
        <v>34632.94</v>
      </c>
      <c r="L3201" s="93">
        <v>20600.38</v>
      </c>
      <c r="M3201" s="93">
        <v>111598.75</v>
      </c>
      <c r="N3201" s="95">
        <v>0.02</v>
      </c>
      <c r="O3201" s="95">
        <v>0.04</v>
      </c>
      <c r="P3201" s="95">
        <v>0.13</v>
      </c>
      <c r="Q3201" s="95">
        <v>0.43</v>
      </c>
      <c r="R3201" s="104">
        <v>0.38</v>
      </c>
    </row>
    <row r="3202" spans="1:18" ht="15" hidden="1" customHeight="1" x14ac:dyDescent="0.3">
      <c r="A3202" s="101">
        <v>2025</v>
      </c>
      <c r="B3202" s="90">
        <v>3</v>
      </c>
      <c r="C3202" s="90" t="s">
        <v>724</v>
      </c>
      <c r="D3202" s="90" t="s">
        <v>722</v>
      </c>
      <c r="E3202" s="102" t="s">
        <v>11</v>
      </c>
      <c r="F3202" s="103" t="s">
        <v>51</v>
      </c>
      <c r="G3202" s="93">
        <v>526.26</v>
      </c>
      <c r="H3202" s="93">
        <v>2737.81</v>
      </c>
      <c r="I3202" s="93">
        <v>4193.58</v>
      </c>
      <c r="J3202" s="93">
        <v>1683.37</v>
      </c>
      <c r="K3202" s="93">
        <v>263.11</v>
      </c>
      <c r="L3202" s="93">
        <v>4651.29</v>
      </c>
      <c r="M3202" s="93">
        <v>14055.43</v>
      </c>
      <c r="N3202" s="95">
        <v>0.06</v>
      </c>
      <c r="O3202" s="95">
        <v>0.28999999999999998</v>
      </c>
      <c r="P3202" s="95">
        <v>0.45</v>
      </c>
      <c r="Q3202" s="95">
        <v>0.18</v>
      </c>
      <c r="R3202" s="104">
        <v>0.03</v>
      </c>
    </row>
    <row r="3203" spans="1:18" ht="15" hidden="1" customHeight="1" x14ac:dyDescent="0.3">
      <c r="A3203" s="101">
        <v>2025</v>
      </c>
      <c r="B3203" s="90">
        <v>3</v>
      </c>
      <c r="C3203" s="90" t="s">
        <v>724</v>
      </c>
      <c r="D3203" s="90" t="s">
        <v>722</v>
      </c>
      <c r="E3203" s="102" t="s">
        <v>11</v>
      </c>
      <c r="F3203" s="103" t="s">
        <v>45</v>
      </c>
      <c r="G3203" s="93">
        <v>163.82</v>
      </c>
      <c r="H3203" s="93">
        <v>1015.41</v>
      </c>
      <c r="I3203" s="93">
        <v>4296.04</v>
      </c>
      <c r="J3203" s="93">
        <v>11521.62</v>
      </c>
      <c r="K3203" s="93">
        <v>7784.57</v>
      </c>
      <c r="L3203" s="93">
        <v>27956.47</v>
      </c>
      <c r="M3203" s="93">
        <v>52737.919999999998</v>
      </c>
      <c r="N3203" s="95">
        <v>0.01</v>
      </c>
      <c r="O3203" s="95">
        <v>0.04</v>
      </c>
      <c r="P3203" s="95">
        <v>0.17</v>
      </c>
      <c r="Q3203" s="95">
        <v>0.46</v>
      </c>
      <c r="R3203" s="104">
        <v>0.31</v>
      </c>
    </row>
    <row r="3204" spans="1:18" ht="15" hidden="1" customHeight="1" x14ac:dyDescent="0.3">
      <c r="A3204" s="101">
        <v>2025</v>
      </c>
      <c r="B3204" s="90">
        <v>3</v>
      </c>
      <c r="C3204" s="90" t="s">
        <v>724</v>
      </c>
      <c r="D3204" s="90" t="s">
        <v>722</v>
      </c>
      <c r="E3204" s="102" t="s">
        <v>11</v>
      </c>
      <c r="F3204" s="103" t="s">
        <v>721</v>
      </c>
      <c r="G3204" s="93">
        <v>1097.43</v>
      </c>
      <c r="H3204" s="93">
        <v>5115.8500000000004</v>
      </c>
      <c r="I3204" s="93">
        <v>7755.86</v>
      </c>
      <c r="J3204" s="93">
        <v>12330.97</v>
      </c>
      <c r="K3204" s="93">
        <v>9175.41</v>
      </c>
      <c r="L3204" s="93">
        <v>590700.17000000004</v>
      </c>
      <c r="M3204" s="93">
        <v>626175.68999999994</v>
      </c>
      <c r="N3204" s="95">
        <v>0.03</v>
      </c>
      <c r="O3204" s="95">
        <v>0.14000000000000001</v>
      </c>
      <c r="P3204" s="95">
        <v>0.22</v>
      </c>
      <c r="Q3204" s="95">
        <v>0.35</v>
      </c>
      <c r="R3204" s="104">
        <v>0.26</v>
      </c>
    </row>
    <row r="3205" spans="1:18" ht="15" hidden="1" customHeight="1" x14ac:dyDescent="0.3">
      <c r="A3205" s="101">
        <v>2025</v>
      </c>
      <c r="B3205" s="90">
        <v>3</v>
      </c>
      <c r="C3205" s="90" t="s">
        <v>724</v>
      </c>
      <c r="D3205" s="90" t="s">
        <v>722</v>
      </c>
      <c r="E3205" s="102" t="s">
        <v>11</v>
      </c>
      <c r="F3205" s="103" t="s">
        <v>46</v>
      </c>
      <c r="G3205" s="93">
        <v>3077.35</v>
      </c>
      <c r="H3205" s="93">
        <v>16165.56</v>
      </c>
      <c r="I3205" s="93">
        <v>26178.37</v>
      </c>
      <c r="J3205" s="93">
        <v>6948.55</v>
      </c>
      <c r="K3205" s="93">
        <v>956.55</v>
      </c>
      <c r="L3205" s="93">
        <v>9307.15</v>
      </c>
      <c r="M3205" s="93">
        <v>62633.52</v>
      </c>
      <c r="N3205" s="95">
        <v>0.06</v>
      </c>
      <c r="O3205" s="95">
        <v>0.3</v>
      </c>
      <c r="P3205" s="95">
        <v>0.49</v>
      </c>
      <c r="Q3205" s="95">
        <v>0.13</v>
      </c>
      <c r="R3205" s="104">
        <v>0.02</v>
      </c>
    </row>
    <row r="3206" spans="1:18" ht="15" hidden="1" customHeight="1" x14ac:dyDescent="0.3">
      <c r="A3206" s="101">
        <v>2025</v>
      </c>
      <c r="B3206" s="90">
        <v>3</v>
      </c>
      <c r="C3206" s="90" t="s">
        <v>724</v>
      </c>
      <c r="D3206" s="90" t="s">
        <v>722</v>
      </c>
      <c r="E3206" s="102" t="s">
        <v>11</v>
      </c>
      <c r="F3206" s="103" t="s">
        <v>47</v>
      </c>
      <c r="G3206" s="93">
        <v>23807.61</v>
      </c>
      <c r="H3206" s="93">
        <v>91203.06</v>
      </c>
      <c r="I3206" s="93">
        <v>92358.36</v>
      </c>
      <c r="J3206" s="93">
        <v>44014.720000000001</v>
      </c>
      <c r="K3206" s="93">
        <v>12292.65</v>
      </c>
      <c r="L3206" s="93">
        <v>50583.85</v>
      </c>
      <c r="M3206" s="93">
        <v>314260.25</v>
      </c>
      <c r="N3206" s="95">
        <v>0.09</v>
      </c>
      <c r="O3206" s="95">
        <v>0.35</v>
      </c>
      <c r="P3206" s="95">
        <v>0.35</v>
      </c>
      <c r="Q3206" s="95">
        <v>0.17</v>
      </c>
      <c r="R3206" s="104">
        <v>0.05</v>
      </c>
    </row>
    <row r="3207" spans="1:18" ht="15" hidden="1" customHeight="1" x14ac:dyDescent="0.3">
      <c r="A3207" s="101">
        <v>2025</v>
      </c>
      <c r="B3207" s="90">
        <v>3</v>
      </c>
      <c r="C3207" s="90" t="s">
        <v>724</v>
      </c>
      <c r="D3207" s="90" t="s">
        <v>722</v>
      </c>
      <c r="E3207" s="102" t="s">
        <v>11</v>
      </c>
      <c r="F3207" s="103" t="s">
        <v>48</v>
      </c>
      <c r="G3207" s="93">
        <v>7612.16</v>
      </c>
      <c r="H3207" s="93">
        <v>11077.53</v>
      </c>
      <c r="I3207" s="93">
        <v>15473.4</v>
      </c>
      <c r="J3207" s="93">
        <v>8310.99</v>
      </c>
      <c r="K3207" s="93">
        <v>323.33</v>
      </c>
      <c r="L3207" s="93">
        <v>108952.41</v>
      </c>
      <c r="M3207" s="93">
        <v>151749.81</v>
      </c>
      <c r="N3207" s="95">
        <v>0.18</v>
      </c>
      <c r="O3207" s="95">
        <v>0.26</v>
      </c>
      <c r="P3207" s="95">
        <v>0.36</v>
      </c>
      <c r="Q3207" s="95">
        <v>0.19</v>
      </c>
      <c r="R3207" s="104">
        <v>0.01</v>
      </c>
    </row>
    <row r="3208" spans="1:18" ht="15" hidden="1" customHeight="1" x14ac:dyDescent="0.3">
      <c r="A3208" s="101">
        <v>2025</v>
      </c>
      <c r="B3208" s="90">
        <v>4</v>
      </c>
      <c r="C3208" s="90" t="s">
        <v>725</v>
      </c>
      <c r="D3208" s="90" t="s">
        <v>719</v>
      </c>
      <c r="E3208" s="102" t="s">
        <v>11</v>
      </c>
      <c r="F3208" s="103" t="s">
        <v>12</v>
      </c>
      <c r="G3208" s="93">
        <v>11093.89</v>
      </c>
      <c r="H3208" s="93">
        <v>35798.080000000002</v>
      </c>
      <c r="I3208" s="93">
        <v>133617.66</v>
      </c>
      <c r="J3208" s="93">
        <v>138675.91</v>
      </c>
      <c r="K3208" s="93">
        <v>14828.86</v>
      </c>
      <c r="L3208" s="93">
        <v>1320.17</v>
      </c>
      <c r="M3208" s="93">
        <v>335334.58</v>
      </c>
      <c r="N3208" s="95">
        <v>0.03</v>
      </c>
      <c r="O3208" s="95">
        <v>0.11</v>
      </c>
      <c r="P3208" s="95">
        <v>0.4</v>
      </c>
      <c r="Q3208" s="95">
        <v>0.42</v>
      </c>
      <c r="R3208" s="104">
        <v>0.04</v>
      </c>
    </row>
    <row r="3209" spans="1:18" ht="15" hidden="1" customHeight="1" x14ac:dyDescent="0.3">
      <c r="A3209" s="101">
        <v>2025</v>
      </c>
      <c r="B3209" s="90">
        <v>4</v>
      </c>
      <c r="C3209" s="90" t="s">
        <v>725</v>
      </c>
      <c r="D3209" s="90" t="s">
        <v>719</v>
      </c>
      <c r="E3209" s="102" t="s">
        <v>11</v>
      </c>
      <c r="F3209" s="103" t="s">
        <v>26</v>
      </c>
      <c r="G3209" s="93">
        <v>177796.3</v>
      </c>
      <c r="H3209" s="93">
        <v>398813.4</v>
      </c>
      <c r="I3209" s="93">
        <v>356699.56</v>
      </c>
      <c r="J3209" s="93">
        <v>92841.88</v>
      </c>
      <c r="K3209" s="93">
        <v>3873.8</v>
      </c>
      <c r="L3209" s="93">
        <v>4898.1400000000003</v>
      </c>
      <c r="M3209" s="93">
        <v>1034923.08</v>
      </c>
      <c r="N3209" s="95">
        <v>0.17</v>
      </c>
      <c r="O3209" s="95">
        <v>0.39</v>
      </c>
      <c r="P3209" s="95">
        <v>0.35</v>
      </c>
      <c r="Q3209" s="95">
        <v>0.09</v>
      </c>
      <c r="R3209" s="104">
        <v>0</v>
      </c>
    </row>
    <row r="3210" spans="1:18" ht="15" hidden="1" customHeight="1" x14ac:dyDescent="0.3">
      <c r="A3210" s="101">
        <v>2025</v>
      </c>
      <c r="B3210" s="90">
        <v>4</v>
      </c>
      <c r="C3210" s="90" t="s">
        <v>725</v>
      </c>
      <c r="D3210" s="90" t="s">
        <v>719</v>
      </c>
      <c r="E3210" s="102" t="s">
        <v>11</v>
      </c>
      <c r="F3210" s="103" t="s">
        <v>27</v>
      </c>
      <c r="G3210" s="93">
        <v>537.28</v>
      </c>
      <c r="H3210" s="93">
        <v>4429.22</v>
      </c>
      <c r="I3210" s="93">
        <v>51054.55</v>
      </c>
      <c r="J3210" s="93">
        <v>132792.85</v>
      </c>
      <c r="K3210" s="93">
        <v>19384.55</v>
      </c>
      <c r="L3210" s="93">
        <v>185781.42</v>
      </c>
      <c r="M3210" s="93">
        <v>393979.85</v>
      </c>
      <c r="N3210" s="95">
        <v>0</v>
      </c>
      <c r="O3210" s="95">
        <v>0.02</v>
      </c>
      <c r="P3210" s="95">
        <v>0.25</v>
      </c>
      <c r="Q3210" s="95">
        <v>0.64</v>
      </c>
      <c r="R3210" s="104">
        <v>0.09</v>
      </c>
    </row>
    <row r="3211" spans="1:18" ht="15" hidden="1" customHeight="1" x14ac:dyDescent="0.3">
      <c r="A3211" s="101">
        <v>2025</v>
      </c>
      <c r="B3211" s="90">
        <v>4</v>
      </c>
      <c r="C3211" s="90" t="s">
        <v>725</v>
      </c>
      <c r="D3211" s="90" t="s">
        <v>719</v>
      </c>
      <c r="E3211" s="102" t="s">
        <v>11</v>
      </c>
      <c r="F3211" s="103" t="s">
        <v>28</v>
      </c>
      <c r="G3211" s="93">
        <v>4635.2299999999996</v>
      </c>
      <c r="H3211" s="93">
        <v>13710.32</v>
      </c>
      <c r="I3211" s="93">
        <v>79339.81</v>
      </c>
      <c r="J3211" s="93">
        <v>212377.96</v>
      </c>
      <c r="K3211" s="93">
        <v>21150.51</v>
      </c>
      <c r="L3211" s="93">
        <v>86069.57</v>
      </c>
      <c r="M3211" s="93">
        <v>417283.4</v>
      </c>
      <c r="N3211" s="95">
        <v>0.01</v>
      </c>
      <c r="O3211" s="95">
        <v>0.04</v>
      </c>
      <c r="P3211" s="95">
        <v>0.24</v>
      </c>
      <c r="Q3211" s="95">
        <v>0.64</v>
      </c>
      <c r="R3211" s="104">
        <v>0.06</v>
      </c>
    </row>
    <row r="3212" spans="1:18" ht="15" customHeight="1" x14ac:dyDescent="0.3">
      <c r="A3212" s="101">
        <v>2025</v>
      </c>
      <c r="B3212" s="90">
        <v>4</v>
      </c>
      <c r="C3212" s="90" t="s">
        <v>725</v>
      </c>
      <c r="D3212" s="90" t="s">
        <v>719</v>
      </c>
      <c r="E3212" s="102" t="s">
        <v>11</v>
      </c>
      <c r="F3212" s="103" t="s">
        <v>29</v>
      </c>
      <c r="G3212" s="93">
        <v>4142.87</v>
      </c>
      <c r="H3212" s="93">
        <v>14023.09</v>
      </c>
      <c r="I3212" s="93">
        <v>51251.19</v>
      </c>
      <c r="J3212" s="93">
        <v>161120.14000000001</v>
      </c>
      <c r="K3212" s="93">
        <v>44239.41</v>
      </c>
      <c r="L3212" s="93">
        <v>14835.35</v>
      </c>
      <c r="M3212" s="93">
        <v>289612.05</v>
      </c>
      <c r="N3212" s="95">
        <v>0.02</v>
      </c>
      <c r="O3212" s="95">
        <v>0.05</v>
      </c>
      <c r="P3212" s="95">
        <v>0.19</v>
      </c>
      <c r="Q3212" s="95">
        <v>0.59</v>
      </c>
      <c r="R3212" s="104">
        <v>0.16</v>
      </c>
    </row>
    <row r="3213" spans="1:18" ht="15" hidden="1" customHeight="1" x14ac:dyDescent="0.3">
      <c r="A3213" s="101">
        <v>2025</v>
      </c>
      <c r="B3213" s="90">
        <v>4</v>
      </c>
      <c r="C3213" s="90" t="s">
        <v>725</v>
      </c>
      <c r="D3213" s="90" t="s">
        <v>719</v>
      </c>
      <c r="E3213" s="102" t="s">
        <v>11</v>
      </c>
      <c r="F3213" s="103" t="s">
        <v>30</v>
      </c>
      <c r="G3213" s="93">
        <v>337.2</v>
      </c>
      <c r="H3213" s="93">
        <v>1522.34</v>
      </c>
      <c r="I3213" s="93">
        <v>3946.17</v>
      </c>
      <c r="J3213" s="93">
        <v>6702.37</v>
      </c>
      <c r="K3213" s="93">
        <v>1951.13</v>
      </c>
      <c r="L3213" s="93">
        <v>313688.51</v>
      </c>
      <c r="M3213" s="93">
        <v>328147.71999999997</v>
      </c>
      <c r="N3213" s="95">
        <v>0.02</v>
      </c>
      <c r="O3213" s="95">
        <v>0.11</v>
      </c>
      <c r="P3213" s="95">
        <v>0.27</v>
      </c>
      <c r="Q3213" s="95">
        <v>0.46</v>
      </c>
      <c r="R3213" s="104">
        <v>0.13</v>
      </c>
    </row>
    <row r="3214" spans="1:18" ht="15" hidden="1" customHeight="1" x14ac:dyDescent="0.3">
      <c r="A3214" s="101">
        <v>2025</v>
      </c>
      <c r="B3214" s="90">
        <v>4</v>
      </c>
      <c r="C3214" s="90" t="s">
        <v>725</v>
      </c>
      <c r="D3214" s="90" t="s">
        <v>719</v>
      </c>
      <c r="E3214" s="102" t="s">
        <v>11</v>
      </c>
      <c r="F3214" s="103" t="s">
        <v>31</v>
      </c>
      <c r="G3214" s="93">
        <v>5254.69</v>
      </c>
      <c r="H3214" s="93">
        <v>42199.13</v>
      </c>
      <c r="I3214" s="93">
        <v>70964.44</v>
      </c>
      <c r="J3214" s="93">
        <v>67263.56</v>
      </c>
      <c r="K3214" s="93">
        <v>22834.79</v>
      </c>
      <c r="L3214" s="93">
        <v>24073.05</v>
      </c>
      <c r="M3214" s="93">
        <v>232589.68</v>
      </c>
      <c r="N3214" s="95">
        <v>0.03</v>
      </c>
      <c r="O3214" s="95">
        <v>0.2</v>
      </c>
      <c r="P3214" s="95">
        <v>0.34</v>
      </c>
      <c r="Q3214" s="95">
        <v>0.32</v>
      </c>
      <c r="R3214" s="104">
        <v>0.11</v>
      </c>
    </row>
    <row r="3215" spans="1:18" ht="15" hidden="1" customHeight="1" x14ac:dyDescent="0.3">
      <c r="A3215" s="101">
        <v>2025</v>
      </c>
      <c r="B3215" s="90">
        <v>4</v>
      </c>
      <c r="C3215" s="90" t="s">
        <v>725</v>
      </c>
      <c r="D3215" s="90" t="s">
        <v>719</v>
      </c>
      <c r="E3215" s="102" t="s">
        <v>11</v>
      </c>
      <c r="F3215" s="103" t="s">
        <v>32</v>
      </c>
      <c r="G3215" s="93">
        <v>5219.1499999999996</v>
      </c>
      <c r="H3215" s="93">
        <v>36851.599999999999</v>
      </c>
      <c r="I3215" s="93">
        <v>170635.24</v>
      </c>
      <c r="J3215" s="93">
        <v>285561.3</v>
      </c>
      <c r="K3215" s="93">
        <v>75911.75</v>
      </c>
      <c r="L3215" s="93">
        <v>1528.22</v>
      </c>
      <c r="M3215" s="93">
        <v>575707.26</v>
      </c>
      <c r="N3215" s="95">
        <v>0.01</v>
      </c>
      <c r="O3215" s="95">
        <v>0.06</v>
      </c>
      <c r="P3215" s="95">
        <v>0.3</v>
      </c>
      <c r="Q3215" s="95">
        <v>0.5</v>
      </c>
      <c r="R3215" s="104">
        <v>0.13</v>
      </c>
    </row>
    <row r="3216" spans="1:18" ht="15" hidden="1" customHeight="1" x14ac:dyDescent="0.3">
      <c r="A3216" s="101">
        <v>2025</v>
      </c>
      <c r="B3216" s="90">
        <v>4</v>
      </c>
      <c r="C3216" s="90" t="s">
        <v>725</v>
      </c>
      <c r="D3216" s="90" t="s">
        <v>719</v>
      </c>
      <c r="E3216" s="102" t="s">
        <v>11</v>
      </c>
      <c r="F3216" s="103" t="s">
        <v>33</v>
      </c>
      <c r="G3216" s="93">
        <v>249366.52</v>
      </c>
      <c r="H3216" s="93">
        <v>696146.93</v>
      </c>
      <c r="I3216" s="93">
        <v>326456.43</v>
      </c>
      <c r="J3216" s="93">
        <v>36123.64</v>
      </c>
      <c r="K3216" s="93">
        <v>1153.3699999999999</v>
      </c>
      <c r="L3216" s="93">
        <v>11323.94</v>
      </c>
      <c r="M3216" s="93">
        <v>1320570.8400000001</v>
      </c>
      <c r="N3216" s="95">
        <v>0.19</v>
      </c>
      <c r="O3216" s="95">
        <v>0.53</v>
      </c>
      <c r="P3216" s="95">
        <v>0.25</v>
      </c>
      <c r="Q3216" s="95">
        <v>0.03</v>
      </c>
      <c r="R3216" s="104">
        <v>0</v>
      </c>
    </row>
    <row r="3217" spans="1:18" ht="15" hidden="1" customHeight="1" x14ac:dyDescent="0.3">
      <c r="A3217" s="101">
        <v>2025</v>
      </c>
      <c r="B3217" s="90">
        <v>4</v>
      </c>
      <c r="C3217" s="90" t="s">
        <v>725</v>
      </c>
      <c r="D3217" s="90" t="s">
        <v>719</v>
      </c>
      <c r="E3217" s="102" t="s">
        <v>11</v>
      </c>
      <c r="F3217" s="103" t="s">
        <v>34</v>
      </c>
      <c r="G3217" s="93">
        <v>15397.43</v>
      </c>
      <c r="H3217" s="93">
        <v>59839.53</v>
      </c>
      <c r="I3217" s="93">
        <v>262419.71000000002</v>
      </c>
      <c r="J3217" s="93">
        <v>283281.32</v>
      </c>
      <c r="K3217" s="93">
        <v>32648.98</v>
      </c>
      <c r="L3217" s="93">
        <v>4000.97</v>
      </c>
      <c r="M3217" s="93">
        <v>657587.94999999995</v>
      </c>
      <c r="N3217" s="95">
        <v>0.02</v>
      </c>
      <c r="O3217" s="95">
        <v>0.09</v>
      </c>
      <c r="P3217" s="95">
        <v>0.4</v>
      </c>
      <c r="Q3217" s="95">
        <v>0.43</v>
      </c>
      <c r="R3217" s="104">
        <v>0.05</v>
      </c>
    </row>
    <row r="3218" spans="1:18" ht="15" hidden="1" customHeight="1" x14ac:dyDescent="0.3">
      <c r="A3218" s="101">
        <v>2025</v>
      </c>
      <c r="B3218" s="90">
        <v>4</v>
      </c>
      <c r="C3218" s="90" t="s">
        <v>725</v>
      </c>
      <c r="D3218" s="90" t="s">
        <v>719</v>
      </c>
      <c r="E3218" s="102" t="s">
        <v>11</v>
      </c>
      <c r="F3218" s="103" t="s">
        <v>35</v>
      </c>
      <c r="G3218" s="93">
        <v>13661.94</v>
      </c>
      <c r="H3218" s="93">
        <v>51475.28</v>
      </c>
      <c r="I3218" s="93">
        <v>119216.93</v>
      </c>
      <c r="J3218" s="93">
        <v>163996.26999999999</v>
      </c>
      <c r="K3218" s="93">
        <v>18423.419999999998</v>
      </c>
      <c r="L3218" s="93">
        <v>69258.490000000005</v>
      </c>
      <c r="M3218" s="93">
        <v>436032.34</v>
      </c>
      <c r="N3218" s="95">
        <v>0.04</v>
      </c>
      <c r="O3218" s="95">
        <v>0.14000000000000001</v>
      </c>
      <c r="P3218" s="95">
        <v>0.33</v>
      </c>
      <c r="Q3218" s="95">
        <v>0.45</v>
      </c>
      <c r="R3218" s="104">
        <v>0.05</v>
      </c>
    </row>
    <row r="3219" spans="1:18" ht="15" hidden="1" customHeight="1" x14ac:dyDescent="0.3">
      <c r="A3219" s="101">
        <v>2025</v>
      </c>
      <c r="B3219" s="90">
        <v>4</v>
      </c>
      <c r="C3219" s="90" t="s">
        <v>725</v>
      </c>
      <c r="D3219" s="90" t="s">
        <v>719</v>
      </c>
      <c r="E3219" s="102" t="s">
        <v>11</v>
      </c>
      <c r="F3219" s="103" t="s">
        <v>36</v>
      </c>
      <c r="G3219" s="93">
        <v>6236.77</v>
      </c>
      <c r="H3219" s="93">
        <v>32100.11</v>
      </c>
      <c r="I3219" s="93">
        <v>114680.09</v>
      </c>
      <c r="J3219" s="93">
        <v>70714.86</v>
      </c>
      <c r="K3219" s="93">
        <v>2355.5300000000002</v>
      </c>
      <c r="L3219" s="93">
        <v>75245.36</v>
      </c>
      <c r="M3219" s="93">
        <v>301332.73</v>
      </c>
      <c r="N3219" s="95">
        <v>0.03</v>
      </c>
      <c r="O3219" s="95">
        <v>0.14000000000000001</v>
      </c>
      <c r="P3219" s="95">
        <v>0.51</v>
      </c>
      <c r="Q3219" s="95">
        <v>0.31</v>
      </c>
      <c r="R3219" s="104">
        <v>0.01</v>
      </c>
    </row>
    <row r="3220" spans="1:18" ht="15" hidden="1" customHeight="1" x14ac:dyDescent="0.3">
      <c r="A3220" s="101">
        <v>2025</v>
      </c>
      <c r="B3220" s="90">
        <v>4</v>
      </c>
      <c r="C3220" s="90" t="s">
        <v>725</v>
      </c>
      <c r="D3220" s="90" t="s">
        <v>719</v>
      </c>
      <c r="E3220" s="102" t="s">
        <v>11</v>
      </c>
      <c r="F3220" s="103" t="s">
        <v>37</v>
      </c>
      <c r="G3220" s="93">
        <v>12863.87</v>
      </c>
      <c r="H3220" s="93">
        <v>60346.7</v>
      </c>
      <c r="I3220" s="93">
        <v>137603.97</v>
      </c>
      <c r="J3220" s="93">
        <v>136553.5</v>
      </c>
      <c r="K3220" s="93">
        <v>27403.94</v>
      </c>
      <c r="L3220" s="93">
        <v>306249.96000000002</v>
      </c>
      <c r="M3220" s="93">
        <v>681021.94</v>
      </c>
      <c r="N3220" s="95">
        <v>0.03</v>
      </c>
      <c r="O3220" s="95">
        <v>0.16</v>
      </c>
      <c r="P3220" s="95">
        <v>0.37</v>
      </c>
      <c r="Q3220" s="95">
        <v>0.36</v>
      </c>
      <c r="R3220" s="104">
        <v>7.0000000000000007E-2</v>
      </c>
    </row>
    <row r="3221" spans="1:18" ht="15" hidden="1" customHeight="1" x14ac:dyDescent="0.3">
      <c r="A3221" s="101">
        <v>2025</v>
      </c>
      <c r="B3221" s="90">
        <v>4</v>
      </c>
      <c r="C3221" s="90" t="s">
        <v>725</v>
      </c>
      <c r="D3221" s="90" t="s">
        <v>719</v>
      </c>
      <c r="E3221" s="102" t="s">
        <v>11</v>
      </c>
      <c r="F3221" s="103" t="s">
        <v>38</v>
      </c>
      <c r="G3221" s="93">
        <v>37158.129999999997</v>
      </c>
      <c r="H3221" s="93">
        <v>89435.62</v>
      </c>
      <c r="I3221" s="93">
        <v>252533.64</v>
      </c>
      <c r="J3221" s="93">
        <v>319554.34000000003</v>
      </c>
      <c r="K3221" s="93">
        <v>27639.59</v>
      </c>
      <c r="L3221" s="93">
        <v>17973.02</v>
      </c>
      <c r="M3221" s="93">
        <v>744294.34</v>
      </c>
      <c r="N3221" s="95">
        <v>0.05</v>
      </c>
      <c r="O3221" s="95">
        <v>0.12</v>
      </c>
      <c r="P3221" s="95">
        <v>0.35</v>
      </c>
      <c r="Q3221" s="95">
        <v>0.44</v>
      </c>
      <c r="R3221" s="104">
        <v>0.04</v>
      </c>
    </row>
    <row r="3222" spans="1:18" ht="15" hidden="1" customHeight="1" x14ac:dyDescent="0.3">
      <c r="A3222" s="101">
        <v>2025</v>
      </c>
      <c r="B3222" s="90">
        <v>4</v>
      </c>
      <c r="C3222" s="90" t="s">
        <v>725</v>
      </c>
      <c r="D3222" s="90" t="s">
        <v>719</v>
      </c>
      <c r="E3222" s="102" t="s">
        <v>11</v>
      </c>
      <c r="F3222" s="103" t="s">
        <v>39</v>
      </c>
      <c r="G3222" s="93">
        <v>4188.8100000000004</v>
      </c>
      <c r="H3222" s="93">
        <v>33921.82</v>
      </c>
      <c r="I3222" s="93">
        <v>156253.9</v>
      </c>
      <c r="J3222" s="93">
        <v>107247.09</v>
      </c>
      <c r="K3222" s="93">
        <v>7823.35</v>
      </c>
      <c r="L3222" s="93">
        <v>43393.97</v>
      </c>
      <c r="M3222" s="93">
        <v>352828.95</v>
      </c>
      <c r="N3222" s="95">
        <v>0.01</v>
      </c>
      <c r="O3222" s="95">
        <v>0.11</v>
      </c>
      <c r="P3222" s="95">
        <v>0.5</v>
      </c>
      <c r="Q3222" s="95">
        <v>0.35</v>
      </c>
      <c r="R3222" s="104">
        <v>0.03</v>
      </c>
    </row>
    <row r="3223" spans="1:18" ht="15" hidden="1" customHeight="1" x14ac:dyDescent="0.3">
      <c r="A3223" s="101">
        <v>2025</v>
      </c>
      <c r="B3223" s="90">
        <v>4</v>
      </c>
      <c r="C3223" s="90" t="s">
        <v>725</v>
      </c>
      <c r="D3223" s="90" t="s">
        <v>719</v>
      </c>
      <c r="E3223" s="102" t="s">
        <v>11</v>
      </c>
      <c r="F3223" s="103" t="s">
        <v>40</v>
      </c>
      <c r="G3223" s="93">
        <v>3193.96</v>
      </c>
      <c r="H3223" s="93">
        <v>11601.24</v>
      </c>
      <c r="I3223" s="93">
        <v>84850.06</v>
      </c>
      <c r="J3223" s="93">
        <v>176336.72</v>
      </c>
      <c r="K3223" s="93">
        <v>19521.02</v>
      </c>
      <c r="L3223" s="93">
        <v>42914.5</v>
      </c>
      <c r="M3223" s="93">
        <v>338417.5</v>
      </c>
      <c r="N3223" s="95">
        <v>0.01</v>
      </c>
      <c r="O3223" s="95">
        <v>0.04</v>
      </c>
      <c r="P3223" s="95">
        <v>0.28999999999999998</v>
      </c>
      <c r="Q3223" s="95">
        <v>0.6</v>
      </c>
      <c r="R3223" s="104">
        <v>7.0000000000000007E-2</v>
      </c>
    </row>
    <row r="3224" spans="1:18" ht="15" hidden="1" customHeight="1" x14ac:dyDescent="0.3">
      <c r="A3224" s="101">
        <v>2025</v>
      </c>
      <c r="B3224" s="90">
        <v>4</v>
      </c>
      <c r="C3224" s="90" t="s">
        <v>725</v>
      </c>
      <c r="D3224" s="90" t="s">
        <v>719</v>
      </c>
      <c r="E3224" s="102" t="s">
        <v>11</v>
      </c>
      <c r="F3224" s="103" t="s">
        <v>41</v>
      </c>
      <c r="G3224" s="93">
        <v>979.04</v>
      </c>
      <c r="H3224" s="93">
        <v>5568.01</v>
      </c>
      <c r="I3224" s="93">
        <v>6062.15</v>
      </c>
      <c r="J3224" s="93">
        <v>3729.33</v>
      </c>
      <c r="K3224" s="93">
        <v>740.21</v>
      </c>
      <c r="L3224" s="93">
        <v>856921.68</v>
      </c>
      <c r="M3224" s="93">
        <v>874000.42</v>
      </c>
      <c r="N3224" s="95">
        <v>0.06</v>
      </c>
      <c r="O3224" s="95">
        <v>0.33</v>
      </c>
      <c r="P3224" s="95">
        <v>0.35</v>
      </c>
      <c r="Q3224" s="95">
        <v>0.22</v>
      </c>
      <c r="R3224" s="104">
        <v>0.04</v>
      </c>
    </row>
    <row r="3225" spans="1:18" ht="15" hidden="1" customHeight="1" x14ac:dyDescent="0.3">
      <c r="A3225" s="101">
        <v>2025</v>
      </c>
      <c r="B3225" s="90">
        <v>4</v>
      </c>
      <c r="C3225" s="90" t="s">
        <v>725</v>
      </c>
      <c r="D3225" s="90" t="s">
        <v>719</v>
      </c>
      <c r="E3225" s="102" t="s">
        <v>11</v>
      </c>
      <c r="F3225" s="103" t="s">
        <v>42</v>
      </c>
      <c r="G3225" s="93">
        <v>11301.27</v>
      </c>
      <c r="H3225" s="93">
        <v>30609.42</v>
      </c>
      <c r="I3225" s="93">
        <v>150614.20000000001</v>
      </c>
      <c r="J3225" s="93">
        <v>170073.99</v>
      </c>
      <c r="K3225" s="93">
        <v>104585.57</v>
      </c>
      <c r="L3225" s="93">
        <v>2416.1</v>
      </c>
      <c r="M3225" s="93">
        <v>469600.56</v>
      </c>
      <c r="N3225" s="95">
        <v>0.02</v>
      </c>
      <c r="O3225" s="95">
        <v>7.0000000000000007E-2</v>
      </c>
      <c r="P3225" s="95">
        <v>0.32</v>
      </c>
      <c r="Q3225" s="95">
        <v>0.36</v>
      </c>
      <c r="R3225" s="104">
        <v>0.22</v>
      </c>
    </row>
    <row r="3226" spans="1:18" ht="15" hidden="1" customHeight="1" x14ac:dyDescent="0.3">
      <c r="A3226" s="101">
        <v>2025</v>
      </c>
      <c r="B3226" s="90">
        <v>4</v>
      </c>
      <c r="C3226" s="90" t="s">
        <v>725</v>
      </c>
      <c r="D3226" s="90" t="s">
        <v>719</v>
      </c>
      <c r="E3226" s="102" t="s">
        <v>11</v>
      </c>
      <c r="F3226" s="103" t="s">
        <v>43</v>
      </c>
      <c r="G3226" s="93">
        <v>1590.11</v>
      </c>
      <c r="H3226" s="93">
        <v>11939.13</v>
      </c>
      <c r="I3226" s="93">
        <v>21583.58</v>
      </c>
      <c r="J3226" s="93">
        <v>23983.49</v>
      </c>
      <c r="K3226" s="93">
        <v>9494.31</v>
      </c>
      <c r="L3226" s="93">
        <v>61808.4</v>
      </c>
      <c r="M3226" s="93">
        <v>130399.02</v>
      </c>
      <c r="N3226" s="95">
        <v>0.02</v>
      </c>
      <c r="O3226" s="95">
        <v>0.17</v>
      </c>
      <c r="P3226" s="95">
        <v>0.31</v>
      </c>
      <c r="Q3226" s="95">
        <v>0.35</v>
      </c>
      <c r="R3226" s="104">
        <v>0.14000000000000001</v>
      </c>
    </row>
    <row r="3227" spans="1:18" ht="15" hidden="1" customHeight="1" x14ac:dyDescent="0.3">
      <c r="A3227" s="101">
        <v>2025</v>
      </c>
      <c r="B3227" s="90">
        <v>4</v>
      </c>
      <c r="C3227" s="90" t="s">
        <v>725</v>
      </c>
      <c r="D3227" s="90" t="s">
        <v>719</v>
      </c>
      <c r="E3227" s="102" t="s">
        <v>11</v>
      </c>
      <c r="F3227" s="103" t="s">
        <v>58</v>
      </c>
      <c r="G3227" s="93">
        <v>1048.99</v>
      </c>
      <c r="H3227" s="93">
        <v>5060.5</v>
      </c>
      <c r="I3227" s="93">
        <v>36041.199999999997</v>
      </c>
      <c r="J3227" s="93">
        <v>158019.01999999999</v>
      </c>
      <c r="K3227" s="93">
        <v>93206.399999999994</v>
      </c>
      <c r="L3227" s="93">
        <v>7546.29</v>
      </c>
      <c r="M3227" s="93">
        <v>300922.40999999997</v>
      </c>
      <c r="N3227" s="95">
        <v>0</v>
      </c>
      <c r="O3227" s="95">
        <v>0.02</v>
      </c>
      <c r="P3227" s="95">
        <v>0.12</v>
      </c>
      <c r="Q3227" s="95">
        <v>0.54</v>
      </c>
      <c r="R3227" s="104">
        <v>0.32</v>
      </c>
    </row>
    <row r="3228" spans="1:18" ht="15" hidden="1" customHeight="1" x14ac:dyDescent="0.3">
      <c r="A3228" s="101">
        <v>2025</v>
      </c>
      <c r="B3228" s="90">
        <v>4</v>
      </c>
      <c r="C3228" s="90" t="s">
        <v>725</v>
      </c>
      <c r="D3228" s="90" t="s">
        <v>719</v>
      </c>
      <c r="E3228" s="102" t="s">
        <v>11</v>
      </c>
      <c r="F3228" s="103" t="s">
        <v>44</v>
      </c>
      <c r="G3228" s="93">
        <v>3496.28</v>
      </c>
      <c r="H3228" s="93">
        <v>10323.200000000001</v>
      </c>
      <c r="I3228" s="93">
        <v>52629.75</v>
      </c>
      <c r="J3228" s="93">
        <v>93257.67</v>
      </c>
      <c r="K3228" s="93">
        <v>10726.55</v>
      </c>
      <c r="L3228" s="93">
        <v>19672.169999999998</v>
      </c>
      <c r="M3228" s="93">
        <v>190105.62</v>
      </c>
      <c r="N3228" s="95">
        <v>0.02</v>
      </c>
      <c r="O3228" s="95">
        <v>0.06</v>
      </c>
      <c r="P3228" s="95">
        <v>0.31</v>
      </c>
      <c r="Q3228" s="95">
        <v>0.55000000000000004</v>
      </c>
      <c r="R3228" s="104">
        <v>0.06</v>
      </c>
    </row>
    <row r="3229" spans="1:18" ht="15" hidden="1" customHeight="1" x14ac:dyDescent="0.3">
      <c r="A3229" s="101">
        <v>2025</v>
      </c>
      <c r="B3229" s="90">
        <v>4</v>
      </c>
      <c r="C3229" s="90" t="s">
        <v>725</v>
      </c>
      <c r="D3229" s="90" t="s">
        <v>719</v>
      </c>
      <c r="E3229" s="102" t="s">
        <v>11</v>
      </c>
      <c r="F3229" s="103" t="s">
        <v>51</v>
      </c>
      <c r="G3229" s="93">
        <v>1887.87</v>
      </c>
      <c r="H3229" s="93">
        <v>18139.2</v>
      </c>
      <c r="I3229" s="93">
        <v>67087.89</v>
      </c>
      <c r="J3229" s="93">
        <v>79824.14</v>
      </c>
      <c r="K3229" s="93">
        <v>36579.85</v>
      </c>
      <c r="L3229" s="93">
        <v>4938.99</v>
      </c>
      <c r="M3229" s="93">
        <v>208457.94</v>
      </c>
      <c r="N3229" s="95">
        <v>0.01</v>
      </c>
      <c r="O3229" s="95">
        <v>0.09</v>
      </c>
      <c r="P3229" s="95">
        <v>0.33</v>
      </c>
      <c r="Q3229" s="95">
        <v>0.39</v>
      </c>
      <c r="R3229" s="104">
        <v>0.18</v>
      </c>
    </row>
    <row r="3230" spans="1:18" ht="15" hidden="1" customHeight="1" x14ac:dyDescent="0.3">
      <c r="A3230" s="101">
        <v>2025</v>
      </c>
      <c r="B3230" s="90">
        <v>4</v>
      </c>
      <c r="C3230" s="90" t="s">
        <v>725</v>
      </c>
      <c r="D3230" s="90" t="s">
        <v>719</v>
      </c>
      <c r="E3230" s="102" t="s">
        <v>11</v>
      </c>
      <c r="F3230" s="103" t="s">
        <v>45</v>
      </c>
      <c r="G3230" s="93">
        <v>2820.53</v>
      </c>
      <c r="H3230" s="93">
        <v>6946.78</v>
      </c>
      <c r="I3230" s="93">
        <v>21454.03</v>
      </c>
      <c r="J3230" s="93">
        <v>44369.69</v>
      </c>
      <c r="K3230" s="93">
        <v>8520.4599999999991</v>
      </c>
      <c r="L3230" s="93">
        <v>27796.91</v>
      </c>
      <c r="M3230" s="93">
        <v>111908.41</v>
      </c>
      <c r="N3230" s="95">
        <v>0.03</v>
      </c>
      <c r="O3230" s="95">
        <v>0.08</v>
      </c>
      <c r="P3230" s="95">
        <v>0.26</v>
      </c>
      <c r="Q3230" s="95">
        <v>0.53</v>
      </c>
      <c r="R3230" s="104">
        <v>0.1</v>
      </c>
    </row>
    <row r="3231" spans="1:18" ht="15" hidden="1" customHeight="1" x14ac:dyDescent="0.3">
      <c r="A3231" s="101">
        <v>2025</v>
      </c>
      <c r="B3231" s="90">
        <v>4</v>
      </c>
      <c r="C3231" s="90" t="s">
        <v>725</v>
      </c>
      <c r="D3231" s="90" t="s">
        <v>719</v>
      </c>
      <c r="E3231" s="102" t="s">
        <v>11</v>
      </c>
      <c r="F3231" s="103" t="s">
        <v>721</v>
      </c>
      <c r="G3231" s="93">
        <v>2309.5100000000002</v>
      </c>
      <c r="H3231" s="93">
        <v>12381.7</v>
      </c>
      <c r="I3231" s="93">
        <v>61922.94</v>
      </c>
      <c r="J3231" s="93">
        <v>118219.68</v>
      </c>
      <c r="K3231" s="93">
        <v>40133.839999999997</v>
      </c>
      <c r="L3231" s="93">
        <v>627025.72</v>
      </c>
      <c r="M3231" s="93">
        <v>861993.37</v>
      </c>
      <c r="N3231" s="95">
        <v>0.01</v>
      </c>
      <c r="O3231" s="95">
        <v>0.05</v>
      </c>
      <c r="P3231" s="95">
        <v>0.26</v>
      </c>
      <c r="Q3231" s="95">
        <v>0.5</v>
      </c>
      <c r="R3231" s="104">
        <v>0.17</v>
      </c>
    </row>
    <row r="3232" spans="1:18" ht="15" hidden="1" customHeight="1" x14ac:dyDescent="0.3">
      <c r="A3232" s="101">
        <v>2025</v>
      </c>
      <c r="B3232" s="90">
        <v>4</v>
      </c>
      <c r="C3232" s="90" t="s">
        <v>725</v>
      </c>
      <c r="D3232" s="90" t="s">
        <v>719</v>
      </c>
      <c r="E3232" s="102" t="s">
        <v>11</v>
      </c>
      <c r="F3232" s="103" t="s">
        <v>46</v>
      </c>
      <c r="G3232" s="93">
        <v>4418.37</v>
      </c>
      <c r="H3232" s="93">
        <v>23162.89</v>
      </c>
      <c r="I3232" s="93">
        <v>51450.12</v>
      </c>
      <c r="J3232" s="93">
        <v>48511.96</v>
      </c>
      <c r="K3232" s="93">
        <v>14926.85</v>
      </c>
      <c r="L3232" s="93">
        <v>15879.03</v>
      </c>
      <c r="M3232" s="93">
        <v>158349.22</v>
      </c>
      <c r="N3232" s="95">
        <v>0.03</v>
      </c>
      <c r="O3232" s="95">
        <v>0.16</v>
      </c>
      <c r="P3232" s="95">
        <v>0.36</v>
      </c>
      <c r="Q3232" s="95">
        <v>0.34</v>
      </c>
      <c r="R3232" s="104">
        <v>0.1</v>
      </c>
    </row>
    <row r="3233" spans="1:18" ht="15" hidden="1" customHeight="1" x14ac:dyDescent="0.3">
      <c r="A3233" s="101">
        <v>2025</v>
      </c>
      <c r="B3233" s="90">
        <v>4</v>
      </c>
      <c r="C3233" s="90" t="s">
        <v>725</v>
      </c>
      <c r="D3233" s="90" t="s">
        <v>719</v>
      </c>
      <c r="E3233" s="102" t="s">
        <v>11</v>
      </c>
      <c r="F3233" s="103" t="s">
        <v>47</v>
      </c>
      <c r="G3233" s="93">
        <v>13396.34</v>
      </c>
      <c r="H3233" s="93">
        <v>41925.879999999997</v>
      </c>
      <c r="I3233" s="93">
        <v>149516.69</v>
      </c>
      <c r="J3233" s="93">
        <v>310910.36</v>
      </c>
      <c r="K3233" s="93">
        <v>833706.59</v>
      </c>
      <c r="L3233" s="93">
        <v>49958.400000000001</v>
      </c>
      <c r="M3233" s="93">
        <v>1399414.26</v>
      </c>
      <c r="N3233" s="95">
        <v>0.01</v>
      </c>
      <c r="O3233" s="95">
        <v>0.03</v>
      </c>
      <c r="P3233" s="95">
        <v>0.11</v>
      </c>
      <c r="Q3233" s="95">
        <v>0.23</v>
      </c>
      <c r="R3233" s="104">
        <v>0.62</v>
      </c>
    </row>
    <row r="3234" spans="1:18" ht="15" hidden="1" customHeight="1" x14ac:dyDescent="0.3">
      <c r="A3234" s="101">
        <v>2025</v>
      </c>
      <c r="B3234" s="90">
        <v>4</v>
      </c>
      <c r="C3234" s="90" t="s">
        <v>725</v>
      </c>
      <c r="D3234" s="90" t="s">
        <v>719</v>
      </c>
      <c r="E3234" s="102" t="s">
        <v>11</v>
      </c>
      <c r="F3234" s="103" t="s">
        <v>48</v>
      </c>
      <c r="G3234" s="93">
        <v>264.32</v>
      </c>
      <c r="H3234" s="93">
        <v>1665.7</v>
      </c>
      <c r="I3234" s="93">
        <v>23323.7</v>
      </c>
      <c r="J3234" s="93">
        <v>64230.71</v>
      </c>
      <c r="K3234" s="93">
        <v>10817.5</v>
      </c>
      <c r="L3234" s="93">
        <v>86603.22</v>
      </c>
      <c r="M3234" s="93">
        <v>186905.15</v>
      </c>
      <c r="N3234" s="95">
        <v>0</v>
      </c>
      <c r="O3234" s="95">
        <v>0.02</v>
      </c>
      <c r="P3234" s="95">
        <v>0.23</v>
      </c>
      <c r="Q3234" s="95">
        <v>0.64</v>
      </c>
      <c r="R3234" s="104">
        <v>0.11</v>
      </c>
    </row>
    <row r="3235" spans="1:18" ht="15" hidden="1" customHeight="1" x14ac:dyDescent="0.3">
      <c r="A3235" s="101">
        <v>2025</v>
      </c>
      <c r="B3235" s="90">
        <v>4</v>
      </c>
      <c r="C3235" s="90" t="s">
        <v>725</v>
      </c>
      <c r="D3235" s="90" t="s">
        <v>722</v>
      </c>
      <c r="E3235" s="102" t="s">
        <v>11</v>
      </c>
      <c r="F3235" s="103" t="s">
        <v>12</v>
      </c>
      <c r="G3235" s="93">
        <v>16103</v>
      </c>
      <c r="H3235" s="93">
        <v>49832</v>
      </c>
      <c r="I3235" s="93">
        <v>152128</v>
      </c>
      <c r="J3235" s="93">
        <v>153723</v>
      </c>
      <c r="K3235" s="93">
        <v>9046</v>
      </c>
      <c r="L3235" s="93">
        <v>3800.96</v>
      </c>
      <c r="M3235" s="93">
        <v>384632.38</v>
      </c>
      <c r="N3235" s="95">
        <v>0.04</v>
      </c>
      <c r="O3235" s="95">
        <v>0.13</v>
      </c>
      <c r="P3235" s="95">
        <v>0.4</v>
      </c>
      <c r="Q3235" s="95">
        <v>0.4</v>
      </c>
      <c r="R3235" s="104">
        <v>0.02</v>
      </c>
    </row>
    <row r="3236" spans="1:18" ht="15" hidden="1" customHeight="1" x14ac:dyDescent="0.3">
      <c r="A3236" s="101">
        <v>2025</v>
      </c>
      <c r="B3236" s="90">
        <v>4</v>
      </c>
      <c r="C3236" s="90" t="s">
        <v>725</v>
      </c>
      <c r="D3236" s="90" t="s">
        <v>722</v>
      </c>
      <c r="E3236" s="102" t="s">
        <v>11</v>
      </c>
      <c r="F3236" s="103" t="s">
        <v>26</v>
      </c>
      <c r="G3236" s="93">
        <v>177872</v>
      </c>
      <c r="H3236" s="93">
        <v>319115</v>
      </c>
      <c r="I3236" s="93">
        <v>412707</v>
      </c>
      <c r="J3236" s="93">
        <v>119519</v>
      </c>
      <c r="K3236" s="93">
        <v>6358</v>
      </c>
      <c r="L3236" s="93">
        <v>8385.09</v>
      </c>
      <c r="M3236" s="93">
        <v>1043955.58</v>
      </c>
      <c r="N3236" s="95">
        <v>0.17</v>
      </c>
      <c r="O3236" s="95">
        <v>0.31</v>
      </c>
      <c r="P3236" s="95">
        <v>0.4</v>
      </c>
      <c r="Q3236" s="95">
        <v>0.12</v>
      </c>
      <c r="R3236" s="104">
        <v>0.01</v>
      </c>
    </row>
    <row r="3237" spans="1:18" ht="15" hidden="1" customHeight="1" x14ac:dyDescent="0.3">
      <c r="A3237" s="101">
        <v>2025</v>
      </c>
      <c r="B3237" s="90">
        <v>4</v>
      </c>
      <c r="C3237" s="90" t="s">
        <v>725</v>
      </c>
      <c r="D3237" s="90" t="s">
        <v>722</v>
      </c>
      <c r="E3237" s="102" t="s">
        <v>11</v>
      </c>
      <c r="F3237" s="103" t="s">
        <v>27</v>
      </c>
      <c r="G3237" s="93">
        <v>266</v>
      </c>
      <c r="H3237" s="93">
        <v>2584</v>
      </c>
      <c r="I3237" s="93">
        <v>22183</v>
      </c>
      <c r="J3237" s="93">
        <v>122763</v>
      </c>
      <c r="K3237" s="93">
        <v>75100</v>
      </c>
      <c r="L3237" s="93">
        <v>185793.98</v>
      </c>
      <c r="M3237" s="93">
        <v>408689.18</v>
      </c>
      <c r="N3237" s="95">
        <v>0</v>
      </c>
      <c r="O3237" s="95">
        <v>0.01</v>
      </c>
      <c r="P3237" s="95">
        <v>0.1</v>
      </c>
      <c r="Q3237" s="95">
        <v>0.55000000000000004</v>
      </c>
      <c r="R3237" s="104">
        <v>0.34</v>
      </c>
    </row>
    <row r="3238" spans="1:18" ht="15" hidden="1" customHeight="1" x14ac:dyDescent="0.3">
      <c r="A3238" s="101">
        <v>2025</v>
      </c>
      <c r="B3238" s="90">
        <v>4</v>
      </c>
      <c r="C3238" s="90" t="s">
        <v>725</v>
      </c>
      <c r="D3238" s="90" t="s">
        <v>722</v>
      </c>
      <c r="E3238" s="102" t="s">
        <v>11</v>
      </c>
      <c r="F3238" s="103" t="s">
        <v>28</v>
      </c>
      <c r="G3238" s="93">
        <v>3539</v>
      </c>
      <c r="H3238" s="93">
        <v>8723</v>
      </c>
      <c r="I3238" s="93">
        <v>47171</v>
      </c>
      <c r="J3238" s="93">
        <v>209045</v>
      </c>
      <c r="K3238" s="93">
        <v>98734</v>
      </c>
      <c r="L3238" s="93">
        <v>86124.13</v>
      </c>
      <c r="M3238" s="93">
        <v>453335.99</v>
      </c>
      <c r="N3238" s="95">
        <v>0.01</v>
      </c>
      <c r="O3238" s="95">
        <v>0.02</v>
      </c>
      <c r="P3238" s="95">
        <v>0.13</v>
      </c>
      <c r="Q3238" s="95">
        <v>0.56999999999999995</v>
      </c>
      <c r="R3238" s="104">
        <v>0.27</v>
      </c>
    </row>
    <row r="3239" spans="1:18" ht="15" customHeight="1" x14ac:dyDescent="0.3">
      <c r="A3239" s="101">
        <v>2025</v>
      </c>
      <c r="B3239" s="90">
        <v>4</v>
      </c>
      <c r="C3239" s="90" t="s">
        <v>725</v>
      </c>
      <c r="D3239" s="90" t="s">
        <v>722</v>
      </c>
      <c r="E3239" s="102" t="s">
        <v>11</v>
      </c>
      <c r="F3239" s="103" t="s">
        <v>29</v>
      </c>
      <c r="G3239" s="93">
        <v>6056</v>
      </c>
      <c r="H3239" s="93">
        <v>19768</v>
      </c>
      <c r="I3239" s="93">
        <v>66956</v>
      </c>
      <c r="J3239" s="93">
        <v>144413</v>
      </c>
      <c r="K3239" s="93">
        <v>34994</v>
      </c>
      <c r="L3239" s="93">
        <v>28245.96</v>
      </c>
      <c r="M3239" s="93">
        <v>300433.09999999998</v>
      </c>
      <c r="N3239" s="95">
        <v>0.02</v>
      </c>
      <c r="O3239" s="95">
        <v>7.0000000000000007E-2</v>
      </c>
      <c r="P3239" s="95">
        <v>0.25</v>
      </c>
      <c r="Q3239" s="95">
        <v>0.53</v>
      </c>
      <c r="R3239" s="104">
        <v>0.13</v>
      </c>
    </row>
    <row r="3240" spans="1:18" ht="15" hidden="1" customHeight="1" x14ac:dyDescent="0.3">
      <c r="A3240" s="101">
        <v>2025</v>
      </c>
      <c r="B3240" s="90">
        <v>4</v>
      </c>
      <c r="C3240" s="90" t="s">
        <v>725</v>
      </c>
      <c r="D3240" s="90" t="s">
        <v>722</v>
      </c>
      <c r="E3240" s="102" t="s">
        <v>11</v>
      </c>
      <c r="F3240" s="103" t="s">
        <v>30</v>
      </c>
      <c r="G3240" s="93">
        <v>569</v>
      </c>
      <c r="H3240" s="93">
        <v>1041</v>
      </c>
      <c r="I3240" s="93">
        <v>3042</v>
      </c>
      <c r="J3240" s="93">
        <v>3914</v>
      </c>
      <c r="K3240" s="93">
        <v>1122</v>
      </c>
      <c r="L3240" s="93">
        <v>416976.12</v>
      </c>
      <c r="M3240" s="93">
        <v>426663.79</v>
      </c>
      <c r="N3240" s="95">
        <v>0.06</v>
      </c>
      <c r="O3240" s="95">
        <v>0.11</v>
      </c>
      <c r="P3240" s="95">
        <v>0.31</v>
      </c>
      <c r="Q3240" s="95">
        <v>0.4</v>
      </c>
      <c r="R3240" s="104">
        <v>0.12</v>
      </c>
    </row>
    <row r="3241" spans="1:18" ht="15" hidden="1" customHeight="1" x14ac:dyDescent="0.3">
      <c r="A3241" s="101">
        <v>2025</v>
      </c>
      <c r="B3241" s="90">
        <v>4</v>
      </c>
      <c r="C3241" s="90" t="s">
        <v>725</v>
      </c>
      <c r="D3241" s="90" t="s">
        <v>722</v>
      </c>
      <c r="E3241" s="102" t="s">
        <v>11</v>
      </c>
      <c r="F3241" s="103" t="s">
        <v>31</v>
      </c>
      <c r="G3241" s="93">
        <v>4463</v>
      </c>
      <c r="H3241" s="93">
        <v>45167</v>
      </c>
      <c r="I3241" s="93">
        <v>71468</v>
      </c>
      <c r="J3241" s="93">
        <v>61322</v>
      </c>
      <c r="K3241" s="93">
        <v>23144</v>
      </c>
      <c r="L3241" s="93">
        <v>97707.58</v>
      </c>
      <c r="M3241" s="93">
        <v>303271.46000000002</v>
      </c>
      <c r="N3241" s="95">
        <v>0.02</v>
      </c>
      <c r="O3241" s="95">
        <v>0.22</v>
      </c>
      <c r="P3241" s="95">
        <v>0.35</v>
      </c>
      <c r="Q3241" s="95">
        <v>0.3</v>
      </c>
      <c r="R3241" s="104">
        <v>0.11</v>
      </c>
    </row>
    <row r="3242" spans="1:18" ht="15" hidden="1" customHeight="1" x14ac:dyDescent="0.3">
      <c r="A3242" s="101">
        <v>2025</v>
      </c>
      <c r="B3242" s="90">
        <v>4</v>
      </c>
      <c r="C3242" s="90" t="s">
        <v>725</v>
      </c>
      <c r="D3242" s="90" t="s">
        <v>722</v>
      </c>
      <c r="E3242" s="102" t="s">
        <v>11</v>
      </c>
      <c r="F3242" s="103" t="s">
        <v>32</v>
      </c>
      <c r="G3242" s="93">
        <v>3856</v>
      </c>
      <c r="H3242" s="93">
        <v>29674</v>
      </c>
      <c r="I3242" s="93">
        <v>139019</v>
      </c>
      <c r="J3242" s="93">
        <v>278426</v>
      </c>
      <c r="K3242" s="93">
        <v>127102</v>
      </c>
      <c r="L3242" s="93">
        <v>7800.58</v>
      </c>
      <c r="M3242" s="93">
        <v>585877.06999999995</v>
      </c>
      <c r="N3242" s="95">
        <v>0.01</v>
      </c>
      <c r="O3242" s="95">
        <v>0.05</v>
      </c>
      <c r="P3242" s="95">
        <v>0.24</v>
      </c>
      <c r="Q3242" s="95">
        <v>0.48</v>
      </c>
      <c r="R3242" s="104">
        <v>0.22</v>
      </c>
    </row>
    <row r="3243" spans="1:18" ht="15" hidden="1" customHeight="1" x14ac:dyDescent="0.3">
      <c r="A3243" s="101">
        <v>2025</v>
      </c>
      <c r="B3243" s="90">
        <v>4</v>
      </c>
      <c r="C3243" s="90" t="s">
        <v>725</v>
      </c>
      <c r="D3243" s="90" t="s">
        <v>722</v>
      </c>
      <c r="E3243" s="102" t="s">
        <v>11</v>
      </c>
      <c r="F3243" s="103" t="s">
        <v>33</v>
      </c>
      <c r="G3243" s="93">
        <v>124686</v>
      </c>
      <c r="H3243" s="93">
        <v>499145</v>
      </c>
      <c r="I3243" s="93">
        <v>582335</v>
      </c>
      <c r="J3243" s="93">
        <v>104617</v>
      </c>
      <c r="K3243" s="93">
        <v>2224</v>
      </c>
      <c r="L3243" s="93">
        <v>22364.25</v>
      </c>
      <c r="M3243" s="93">
        <v>1335372.3700000001</v>
      </c>
      <c r="N3243" s="95">
        <v>0.09</v>
      </c>
      <c r="O3243" s="95">
        <v>0.38</v>
      </c>
      <c r="P3243" s="95">
        <v>0.44</v>
      </c>
      <c r="Q3243" s="95">
        <v>0.08</v>
      </c>
      <c r="R3243" s="104">
        <v>0</v>
      </c>
    </row>
    <row r="3244" spans="1:18" ht="15" hidden="1" customHeight="1" x14ac:dyDescent="0.3">
      <c r="A3244" s="101">
        <v>2025</v>
      </c>
      <c r="B3244" s="90">
        <v>4</v>
      </c>
      <c r="C3244" s="90" t="s">
        <v>725</v>
      </c>
      <c r="D3244" s="90" t="s">
        <v>722</v>
      </c>
      <c r="E3244" s="102" t="s">
        <v>11</v>
      </c>
      <c r="F3244" s="103" t="s">
        <v>34</v>
      </c>
      <c r="G3244" s="93">
        <v>9558</v>
      </c>
      <c r="H3244" s="93">
        <v>49962</v>
      </c>
      <c r="I3244" s="93">
        <v>249962</v>
      </c>
      <c r="J3244" s="93">
        <v>326421</v>
      </c>
      <c r="K3244" s="93">
        <v>36602</v>
      </c>
      <c r="L3244" s="93">
        <v>3841.36</v>
      </c>
      <c r="M3244" s="93">
        <v>676346.47</v>
      </c>
      <c r="N3244" s="95">
        <v>0.01</v>
      </c>
      <c r="O3244" s="95">
        <v>7.0000000000000007E-2</v>
      </c>
      <c r="P3244" s="95">
        <v>0.37</v>
      </c>
      <c r="Q3244" s="95">
        <v>0.49</v>
      </c>
      <c r="R3244" s="104">
        <v>0.05</v>
      </c>
    </row>
    <row r="3245" spans="1:18" ht="15" hidden="1" customHeight="1" x14ac:dyDescent="0.3">
      <c r="A3245" s="101">
        <v>2025</v>
      </c>
      <c r="B3245" s="90">
        <v>4</v>
      </c>
      <c r="C3245" s="90" t="s">
        <v>725</v>
      </c>
      <c r="D3245" s="90" t="s">
        <v>722</v>
      </c>
      <c r="E3245" s="102" t="s">
        <v>11</v>
      </c>
      <c r="F3245" s="103" t="s">
        <v>35</v>
      </c>
      <c r="G3245" s="93">
        <v>34287</v>
      </c>
      <c r="H3245" s="93">
        <v>98518</v>
      </c>
      <c r="I3245" s="93">
        <v>94474</v>
      </c>
      <c r="J3245" s="93">
        <v>112444</v>
      </c>
      <c r="K3245" s="93">
        <v>16696</v>
      </c>
      <c r="L3245" s="93">
        <v>69482.83</v>
      </c>
      <c r="M3245" s="93">
        <v>425901.25</v>
      </c>
      <c r="N3245" s="95">
        <v>0.1</v>
      </c>
      <c r="O3245" s="95">
        <v>0.28000000000000003</v>
      </c>
      <c r="P3245" s="95">
        <v>0.27</v>
      </c>
      <c r="Q3245" s="95">
        <v>0.32</v>
      </c>
      <c r="R3245" s="104">
        <v>0.05</v>
      </c>
    </row>
    <row r="3246" spans="1:18" ht="15" hidden="1" customHeight="1" x14ac:dyDescent="0.3">
      <c r="A3246" s="101">
        <v>2025</v>
      </c>
      <c r="B3246" s="90">
        <v>4</v>
      </c>
      <c r="C3246" s="90" t="s">
        <v>725</v>
      </c>
      <c r="D3246" s="90" t="s">
        <v>722</v>
      </c>
      <c r="E3246" s="102" t="s">
        <v>11</v>
      </c>
      <c r="F3246" s="103" t="s">
        <v>36</v>
      </c>
      <c r="G3246" s="93">
        <v>3125</v>
      </c>
      <c r="H3246" s="93">
        <v>23282</v>
      </c>
      <c r="I3246" s="93">
        <v>112025</v>
      </c>
      <c r="J3246" s="93">
        <v>83364</v>
      </c>
      <c r="K3246" s="93">
        <v>3570</v>
      </c>
      <c r="L3246" s="93">
        <v>71379.360000000001</v>
      </c>
      <c r="M3246" s="93">
        <v>296745.67</v>
      </c>
      <c r="N3246" s="95">
        <v>0.01</v>
      </c>
      <c r="O3246" s="95">
        <v>0.1</v>
      </c>
      <c r="P3246" s="95">
        <v>0.5</v>
      </c>
      <c r="Q3246" s="95">
        <v>0.37</v>
      </c>
      <c r="R3246" s="104">
        <v>0.02</v>
      </c>
    </row>
    <row r="3247" spans="1:18" ht="15" hidden="1" customHeight="1" x14ac:dyDescent="0.3">
      <c r="A3247" s="101">
        <v>2025</v>
      </c>
      <c r="B3247" s="90">
        <v>4</v>
      </c>
      <c r="C3247" s="90" t="s">
        <v>725</v>
      </c>
      <c r="D3247" s="90" t="s">
        <v>722</v>
      </c>
      <c r="E3247" s="102" t="s">
        <v>11</v>
      </c>
      <c r="F3247" s="103" t="s">
        <v>37</v>
      </c>
      <c r="G3247" s="93">
        <v>18060</v>
      </c>
      <c r="H3247" s="93">
        <v>73853</v>
      </c>
      <c r="I3247" s="93">
        <v>156494</v>
      </c>
      <c r="J3247" s="93">
        <v>105943</v>
      </c>
      <c r="K3247" s="93">
        <v>16680</v>
      </c>
      <c r="L3247" s="93">
        <v>316790.11</v>
      </c>
      <c r="M3247" s="93">
        <v>687821.17</v>
      </c>
      <c r="N3247" s="95">
        <v>0.05</v>
      </c>
      <c r="O3247" s="95">
        <v>0.2</v>
      </c>
      <c r="P3247" s="95">
        <v>0.42</v>
      </c>
      <c r="Q3247" s="95">
        <v>0.28999999999999998</v>
      </c>
      <c r="R3247" s="104">
        <v>0.04</v>
      </c>
    </row>
    <row r="3248" spans="1:18" ht="15" hidden="1" customHeight="1" x14ac:dyDescent="0.3">
      <c r="A3248" s="101">
        <v>2025</v>
      </c>
      <c r="B3248" s="90">
        <v>4</v>
      </c>
      <c r="C3248" s="90" t="s">
        <v>725</v>
      </c>
      <c r="D3248" s="90" t="s">
        <v>722</v>
      </c>
      <c r="E3248" s="102" t="s">
        <v>11</v>
      </c>
      <c r="F3248" s="103" t="s">
        <v>38</v>
      </c>
      <c r="G3248" s="93">
        <v>72735</v>
      </c>
      <c r="H3248" s="93">
        <v>118109</v>
      </c>
      <c r="I3248" s="93">
        <v>213406</v>
      </c>
      <c r="J3248" s="93">
        <v>302309</v>
      </c>
      <c r="K3248" s="93">
        <v>42569</v>
      </c>
      <c r="L3248" s="93">
        <v>19219.43</v>
      </c>
      <c r="M3248" s="93">
        <v>768346.74</v>
      </c>
      <c r="N3248" s="95">
        <v>0.1</v>
      </c>
      <c r="O3248" s="95">
        <v>0.16</v>
      </c>
      <c r="P3248" s="95">
        <v>0.28000000000000003</v>
      </c>
      <c r="Q3248" s="95">
        <v>0.4</v>
      </c>
      <c r="R3248" s="104">
        <v>0.06</v>
      </c>
    </row>
    <row r="3249" spans="1:18" ht="15" hidden="1" customHeight="1" x14ac:dyDescent="0.3">
      <c r="A3249" s="101">
        <v>2025</v>
      </c>
      <c r="B3249" s="90">
        <v>4</v>
      </c>
      <c r="C3249" s="90" t="s">
        <v>725</v>
      </c>
      <c r="D3249" s="90" t="s">
        <v>722</v>
      </c>
      <c r="E3249" s="102" t="s">
        <v>11</v>
      </c>
      <c r="F3249" s="103" t="s">
        <v>39</v>
      </c>
      <c r="G3249" s="93">
        <v>1373</v>
      </c>
      <c r="H3249" s="93">
        <v>19871</v>
      </c>
      <c r="I3249" s="93">
        <v>136242</v>
      </c>
      <c r="J3249" s="93">
        <v>145285</v>
      </c>
      <c r="K3249" s="93">
        <v>24755</v>
      </c>
      <c r="L3249" s="93">
        <v>42852.78</v>
      </c>
      <c r="M3249" s="93">
        <v>370379.3</v>
      </c>
      <c r="N3249" s="95">
        <v>0</v>
      </c>
      <c r="O3249" s="95">
        <v>0.06</v>
      </c>
      <c r="P3249" s="95">
        <v>0.42</v>
      </c>
      <c r="Q3249" s="95">
        <v>0.44</v>
      </c>
      <c r="R3249" s="104">
        <v>0.08</v>
      </c>
    </row>
    <row r="3250" spans="1:18" ht="15" hidden="1" customHeight="1" x14ac:dyDescent="0.3">
      <c r="A3250" s="101">
        <v>2025</v>
      </c>
      <c r="B3250" s="90">
        <v>4</v>
      </c>
      <c r="C3250" s="90" t="s">
        <v>725</v>
      </c>
      <c r="D3250" s="90" t="s">
        <v>722</v>
      </c>
      <c r="E3250" s="102" t="s">
        <v>11</v>
      </c>
      <c r="F3250" s="103" t="s">
        <v>40</v>
      </c>
      <c r="G3250" s="93">
        <v>4193</v>
      </c>
      <c r="H3250" s="93">
        <v>14848</v>
      </c>
      <c r="I3250" s="93">
        <v>66197</v>
      </c>
      <c r="J3250" s="93">
        <v>194260</v>
      </c>
      <c r="K3250" s="93">
        <v>41060</v>
      </c>
      <c r="L3250" s="93">
        <v>43418.3</v>
      </c>
      <c r="M3250" s="93">
        <v>363975.92</v>
      </c>
      <c r="N3250" s="95">
        <v>0.01</v>
      </c>
      <c r="O3250" s="95">
        <v>0.05</v>
      </c>
      <c r="P3250" s="95">
        <v>0.21</v>
      </c>
      <c r="Q3250" s="95">
        <v>0.61</v>
      </c>
      <c r="R3250" s="104">
        <v>0.13</v>
      </c>
    </row>
    <row r="3251" spans="1:18" ht="15" hidden="1" customHeight="1" x14ac:dyDescent="0.3">
      <c r="A3251" s="101">
        <v>2025</v>
      </c>
      <c r="B3251" s="90">
        <v>4</v>
      </c>
      <c r="C3251" s="90" t="s">
        <v>725</v>
      </c>
      <c r="D3251" s="90" t="s">
        <v>722</v>
      </c>
      <c r="E3251" s="102" t="s">
        <v>11</v>
      </c>
      <c r="F3251" s="103" t="s">
        <v>41</v>
      </c>
      <c r="G3251" s="93">
        <v>1201</v>
      </c>
      <c r="H3251" s="93">
        <v>5868</v>
      </c>
      <c r="I3251" s="93">
        <v>6144</v>
      </c>
      <c r="J3251" s="93">
        <v>4134</v>
      </c>
      <c r="K3251" s="93">
        <v>1218</v>
      </c>
      <c r="L3251" s="93">
        <v>869892.8</v>
      </c>
      <c r="M3251" s="93">
        <v>888457.29</v>
      </c>
      <c r="N3251" s="95">
        <v>0.06</v>
      </c>
      <c r="O3251" s="95">
        <v>0.32</v>
      </c>
      <c r="P3251" s="95">
        <v>0.33</v>
      </c>
      <c r="Q3251" s="95">
        <v>0.22</v>
      </c>
      <c r="R3251" s="104">
        <v>7.0000000000000007E-2</v>
      </c>
    </row>
    <row r="3252" spans="1:18" ht="15" hidden="1" customHeight="1" x14ac:dyDescent="0.3">
      <c r="A3252" s="101">
        <v>2025</v>
      </c>
      <c r="B3252" s="90">
        <v>4</v>
      </c>
      <c r="C3252" s="90" t="s">
        <v>725</v>
      </c>
      <c r="D3252" s="90" t="s">
        <v>722</v>
      </c>
      <c r="E3252" s="102" t="s">
        <v>11</v>
      </c>
      <c r="F3252" s="103" t="s">
        <v>42</v>
      </c>
      <c r="G3252" s="93">
        <v>8074</v>
      </c>
      <c r="H3252" s="93">
        <v>46276</v>
      </c>
      <c r="I3252" s="93">
        <v>155952</v>
      </c>
      <c r="J3252" s="93">
        <v>217549</v>
      </c>
      <c r="K3252" s="93">
        <v>83599</v>
      </c>
      <c r="L3252" s="93">
        <v>5686.07</v>
      </c>
      <c r="M3252" s="93">
        <v>517135.15</v>
      </c>
      <c r="N3252" s="95">
        <v>0.02</v>
      </c>
      <c r="O3252" s="95">
        <v>0.09</v>
      </c>
      <c r="P3252" s="95">
        <v>0.3</v>
      </c>
      <c r="Q3252" s="95">
        <v>0.43</v>
      </c>
      <c r="R3252" s="104">
        <v>0.16</v>
      </c>
    </row>
    <row r="3253" spans="1:18" ht="15" hidden="1" customHeight="1" x14ac:dyDescent="0.3">
      <c r="A3253" s="101">
        <v>2025</v>
      </c>
      <c r="B3253" s="90">
        <v>4</v>
      </c>
      <c r="C3253" s="90" t="s">
        <v>725</v>
      </c>
      <c r="D3253" s="90" t="s">
        <v>722</v>
      </c>
      <c r="E3253" s="102" t="s">
        <v>11</v>
      </c>
      <c r="F3253" s="103" t="s">
        <v>43</v>
      </c>
      <c r="G3253" s="93">
        <v>1792</v>
      </c>
      <c r="H3253" s="93">
        <v>17310</v>
      </c>
      <c r="I3253" s="93">
        <v>22817</v>
      </c>
      <c r="J3253" s="93">
        <v>19899</v>
      </c>
      <c r="K3253" s="93">
        <v>7222</v>
      </c>
      <c r="L3253" s="93">
        <v>61744.639999999999</v>
      </c>
      <c r="M3253" s="93">
        <v>130783.54</v>
      </c>
      <c r="N3253" s="95">
        <v>0.03</v>
      </c>
      <c r="O3253" s="95">
        <v>0.25</v>
      </c>
      <c r="P3253" s="95">
        <v>0.33</v>
      </c>
      <c r="Q3253" s="95">
        <v>0.28999999999999998</v>
      </c>
      <c r="R3253" s="104">
        <v>0.1</v>
      </c>
    </row>
    <row r="3254" spans="1:18" ht="15" hidden="1" customHeight="1" x14ac:dyDescent="0.3">
      <c r="A3254" s="101">
        <v>2025</v>
      </c>
      <c r="B3254" s="90">
        <v>4</v>
      </c>
      <c r="C3254" s="90" t="s">
        <v>725</v>
      </c>
      <c r="D3254" s="90" t="s">
        <v>722</v>
      </c>
      <c r="E3254" s="102" t="s">
        <v>11</v>
      </c>
      <c r="F3254" s="103" t="s">
        <v>58</v>
      </c>
      <c r="G3254" s="93">
        <v>1322</v>
      </c>
      <c r="H3254" s="93">
        <v>5983</v>
      </c>
      <c r="I3254" s="93">
        <v>32114</v>
      </c>
      <c r="J3254" s="93">
        <v>189492</v>
      </c>
      <c r="K3254" s="93">
        <v>138497</v>
      </c>
      <c r="L3254" s="93">
        <v>16790.400000000001</v>
      </c>
      <c r="M3254" s="93">
        <v>384199.04</v>
      </c>
      <c r="N3254" s="95">
        <v>0</v>
      </c>
      <c r="O3254" s="95">
        <v>0.02</v>
      </c>
      <c r="P3254" s="95">
        <v>0.09</v>
      </c>
      <c r="Q3254" s="95">
        <v>0.52</v>
      </c>
      <c r="R3254" s="104">
        <v>0.38</v>
      </c>
    </row>
    <row r="3255" spans="1:18" ht="15" hidden="1" customHeight="1" x14ac:dyDescent="0.3">
      <c r="A3255" s="101">
        <v>2025</v>
      </c>
      <c r="B3255" s="90">
        <v>4</v>
      </c>
      <c r="C3255" s="90" t="s">
        <v>725</v>
      </c>
      <c r="D3255" s="90" t="s">
        <v>722</v>
      </c>
      <c r="E3255" s="102" t="s">
        <v>11</v>
      </c>
      <c r="F3255" s="103" t="s">
        <v>44</v>
      </c>
      <c r="G3255" s="93">
        <v>2623</v>
      </c>
      <c r="H3255" s="93">
        <v>6570</v>
      </c>
      <c r="I3255" s="93">
        <v>43169</v>
      </c>
      <c r="J3255" s="93">
        <v>95002</v>
      </c>
      <c r="K3255" s="93">
        <v>21388</v>
      </c>
      <c r="L3255" s="93">
        <v>21763.57</v>
      </c>
      <c r="M3255" s="93">
        <v>190515.93</v>
      </c>
      <c r="N3255" s="95">
        <v>0.02</v>
      </c>
      <c r="O3255" s="95">
        <v>0.04</v>
      </c>
      <c r="P3255" s="95">
        <v>0.26</v>
      </c>
      <c r="Q3255" s="95">
        <v>0.56000000000000005</v>
      </c>
      <c r="R3255" s="104">
        <v>0.13</v>
      </c>
    </row>
    <row r="3256" spans="1:18" ht="15" hidden="1" customHeight="1" x14ac:dyDescent="0.3">
      <c r="A3256" s="101">
        <v>2025</v>
      </c>
      <c r="B3256" s="90">
        <v>4</v>
      </c>
      <c r="C3256" s="90" t="s">
        <v>725</v>
      </c>
      <c r="D3256" s="90" t="s">
        <v>722</v>
      </c>
      <c r="E3256" s="102" t="s">
        <v>11</v>
      </c>
      <c r="F3256" s="103" t="s">
        <v>51</v>
      </c>
      <c r="G3256" s="93">
        <v>3551</v>
      </c>
      <c r="H3256" s="93">
        <v>29186</v>
      </c>
      <c r="I3256" s="93">
        <v>90464</v>
      </c>
      <c r="J3256" s="93">
        <v>64811</v>
      </c>
      <c r="K3256" s="93">
        <v>21676</v>
      </c>
      <c r="L3256" s="93">
        <v>8995.76</v>
      </c>
      <c r="M3256" s="93">
        <v>218683.65</v>
      </c>
      <c r="N3256" s="95">
        <v>0.02</v>
      </c>
      <c r="O3256" s="95">
        <v>0.14000000000000001</v>
      </c>
      <c r="P3256" s="95">
        <v>0.43</v>
      </c>
      <c r="Q3256" s="95">
        <v>0.31</v>
      </c>
      <c r="R3256" s="104">
        <v>0.1</v>
      </c>
    </row>
    <row r="3257" spans="1:18" ht="15" hidden="1" customHeight="1" x14ac:dyDescent="0.3">
      <c r="A3257" s="101">
        <v>2025</v>
      </c>
      <c r="B3257" s="90">
        <v>4</v>
      </c>
      <c r="C3257" s="90" t="s">
        <v>725</v>
      </c>
      <c r="D3257" s="90" t="s">
        <v>722</v>
      </c>
      <c r="E3257" s="102" t="s">
        <v>11</v>
      </c>
      <c r="F3257" s="103" t="s">
        <v>45</v>
      </c>
      <c r="G3257" s="93">
        <v>2743</v>
      </c>
      <c r="H3257" s="93">
        <v>8412</v>
      </c>
      <c r="I3257" s="93">
        <v>20575</v>
      </c>
      <c r="J3257" s="93">
        <v>40454</v>
      </c>
      <c r="K3257" s="93">
        <v>11797</v>
      </c>
      <c r="L3257" s="93">
        <v>27960.05</v>
      </c>
      <c r="M3257" s="93">
        <v>111941.94</v>
      </c>
      <c r="N3257" s="95">
        <v>0.03</v>
      </c>
      <c r="O3257" s="95">
        <v>0.1</v>
      </c>
      <c r="P3257" s="95">
        <v>0.24</v>
      </c>
      <c r="Q3257" s="95">
        <v>0.48</v>
      </c>
      <c r="R3257" s="104">
        <v>0.14000000000000001</v>
      </c>
    </row>
    <row r="3258" spans="1:18" ht="15" hidden="1" customHeight="1" x14ac:dyDescent="0.3">
      <c r="A3258" s="101">
        <v>2025</v>
      </c>
      <c r="B3258" s="90">
        <v>4</v>
      </c>
      <c r="C3258" s="90" t="s">
        <v>725</v>
      </c>
      <c r="D3258" s="90" t="s">
        <v>722</v>
      </c>
      <c r="E3258" s="102" t="s">
        <v>11</v>
      </c>
      <c r="F3258" s="103" t="s">
        <v>721</v>
      </c>
      <c r="G3258" s="93">
        <v>657</v>
      </c>
      <c r="H3258" s="93">
        <v>9970</v>
      </c>
      <c r="I3258" s="93">
        <v>62036</v>
      </c>
      <c r="J3258" s="93">
        <v>136609</v>
      </c>
      <c r="K3258" s="93">
        <v>100007</v>
      </c>
      <c r="L3258" s="93">
        <v>589316.18000000005</v>
      </c>
      <c r="M3258" s="93">
        <v>898595.6</v>
      </c>
      <c r="N3258" s="95">
        <v>0</v>
      </c>
      <c r="O3258" s="95">
        <v>0.03</v>
      </c>
      <c r="P3258" s="95">
        <v>0.2</v>
      </c>
      <c r="Q3258" s="95">
        <v>0.44</v>
      </c>
      <c r="R3258" s="104">
        <v>0.32</v>
      </c>
    </row>
    <row r="3259" spans="1:18" ht="15" hidden="1" customHeight="1" x14ac:dyDescent="0.3">
      <c r="A3259" s="101">
        <v>2025</v>
      </c>
      <c r="B3259" s="90">
        <v>4</v>
      </c>
      <c r="C3259" s="90" t="s">
        <v>725</v>
      </c>
      <c r="D3259" s="90" t="s">
        <v>722</v>
      </c>
      <c r="E3259" s="102" t="s">
        <v>11</v>
      </c>
      <c r="F3259" s="103" t="s">
        <v>46</v>
      </c>
      <c r="G3259" s="93">
        <v>4844</v>
      </c>
      <c r="H3259" s="93">
        <v>33870</v>
      </c>
      <c r="I3259" s="93">
        <v>67772</v>
      </c>
      <c r="J3259" s="93">
        <v>35085</v>
      </c>
      <c r="K3259" s="93">
        <v>5364</v>
      </c>
      <c r="L3259" s="93">
        <v>36400.21</v>
      </c>
      <c r="M3259" s="93">
        <v>183334.53</v>
      </c>
      <c r="N3259" s="95">
        <v>0.03</v>
      </c>
      <c r="O3259" s="95">
        <v>0.23</v>
      </c>
      <c r="P3259" s="95">
        <v>0.46</v>
      </c>
      <c r="Q3259" s="95">
        <v>0.24</v>
      </c>
      <c r="R3259" s="104">
        <v>0.04</v>
      </c>
    </row>
    <row r="3260" spans="1:18" ht="15" hidden="1" customHeight="1" x14ac:dyDescent="0.3">
      <c r="A3260" s="101">
        <v>2025</v>
      </c>
      <c r="B3260" s="90">
        <v>4</v>
      </c>
      <c r="C3260" s="90" t="s">
        <v>725</v>
      </c>
      <c r="D3260" s="90" t="s">
        <v>722</v>
      </c>
      <c r="E3260" s="102" t="s">
        <v>11</v>
      </c>
      <c r="F3260" s="103" t="s">
        <v>47</v>
      </c>
      <c r="G3260" s="93">
        <v>10627</v>
      </c>
      <c r="H3260" s="93">
        <v>36430</v>
      </c>
      <c r="I3260" s="93">
        <v>134505</v>
      </c>
      <c r="J3260" s="93">
        <v>300955</v>
      </c>
      <c r="K3260" s="93">
        <v>677357</v>
      </c>
      <c r="L3260" s="93">
        <v>50134.95</v>
      </c>
      <c r="M3260" s="93">
        <v>1210008.92</v>
      </c>
      <c r="N3260" s="95">
        <v>0.01</v>
      </c>
      <c r="O3260" s="95">
        <v>0.03</v>
      </c>
      <c r="P3260" s="95">
        <v>0.12</v>
      </c>
      <c r="Q3260" s="95">
        <v>0.26</v>
      </c>
      <c r="R3260" s="104">
        <v>0.57999999999999996</v>
      </c>
    </row>
    <row r="3261" spans="1:18" ht="15" hidden="1" customHeight="1" x14ac:dyDescent="0.3">
      <c r="A3261" s="101">
        <v>2025</v>
      </c>
      <c r="B3261" s="90">
        <v>4</v>
      </c>
      <c r="C3261" s="90" t="s">
        <v>725</v>
      </c>
      <c r="D3261" s="90" t="s">
        <v>722</v>
      </c>
      <c r="E3261" s="102" t="s">
        <v>11</v>
      </c>
      <c r="F3261" s="103" t="s">
        <v>48</v>
      </c>
      <c r="G3261" s="93">
        <v>803</v>
      </c>
      <c r="H3261" s="93">
        <v>8413</v>
      </c>
      <c r="I3261" s="93">
        <v>32147</v>
      </c>
      <c r="J3261" s="93">
        <v>49036</v>
      </c>
      <c r="K3261" s="93">
        <v>11151</v>
      </c>
      <c r="L3261" s="93">
        <v>171803.33</v>
      </c>
      <c r="M3261" s="93">
        <v>273354.19</v>
      </c>
      <c r="N3261" s="95">
        <v>0.01</v>
      </c>
      <c r="O3261" s="95">
        <v>0.08</v>
      </c>
      <c r="P3261" s="95">
        <v>0.32</v>
      </c>
      <c r="Q3261" s="95">
        <v>0.48</v>
      </c>
      <c r="R3261" s="104">
        <v>0.11</v>
      </c>
    </row>
    <row r="3262" spans="1:18" ht="15" hidden="1" customHeight="1" x14ac:dyDescent="0.3">
      <c r="A3262" s="101">
        <v>2025</v>
      </c>
      <c r="B3262" s="90">
        <v>5</v>
      </c>
      <c r="C3262" s="90" t="s">
        <v>726</v>
      </c>
      <c r="D3262" s="90" t="s">
        <v>719</v>
      </c>
      <c r="E3262" s="102" t="s">
        <v>11</v>
      </c>
      <c r="F3262" s="103" t="s">
        <v>12</v>
      </c>
      <c r="G3262" s="93">
        <v>6885</v>
      </c>
      <c r="H3262" s="93">
        <v>21837</v>
      </c>
      <c r="I3262" s="93">
        <v>84326</v>
      </c>
      <c r="J3262" s="93">
        <v>193555</v>
      </c>
      <c r="K3262" s="93">
        <v>32623</v>
      </c>
      <c r="L3262" s="93">
        <v>52455.69</v>
      </c>
      <c r="M3262" s="93">
        <v>391682.73</v>
      </c>
      <c r="N3262" s="95">
        <v>0.02</v>
      </c>
      <c r="O3262" s="95">
        <v>0.06</v>
      </c>
      <c r="P3262" s="95">
        <v>0.25</v>
      </c>
      <c r="Q3262" s="95">
        <v>0.56999999999999995</v>
      </c>
      <c r="R3262" s="104">
        <v>0.1</v>
      </c>
    </row>
    <row r="3263" spans="1:18" ht="15" hidden="1" customHeight="1" x14ac:dyDescent="0.3">
      <c r="A3263" s="101">
        <v>2025</v>
      </c>
      <c r="B3263" s="90">
        <v>5</v>
      </c>
      <c r="C3263" s="90" t="s">
        <v>726</v>
      </c>
      <c r="D3263" s="90" t="s">
        <v>719</v>
      </c>
      <c r="E3263" s="102" t="s">
        <v>11</v>
      </c>
      <c r="F3263" s="103" t="s">
        <v>26</v>
      </c>
      <c r="G3263" s="93">
        <v>117208</v>
      </c>
      <c r="H3263" s="93">
        <v>216729</v>
      </c>
      <c r="I3263" s="93">
        <v>382152</v>
      </c>
      <c r="J3263" s="93">
        <v>274037</v>
      </c>
      <c r="K3263" s="93">
        <v>39590</v>
      </c>
      <c r="L3263" s="93">
        <v>12914.47</v>
      </c>
      <c r="M3263" s="93">
        <v>1042631.5</v>
      </c>
      <c r="N3263" s="95">
        <v>0.11</v>
      </c>
      <c r="O3263" s="95">
        <v>0.21</v>
      </c>
      <c r="P3263" s="95">
        <v>0.37</v>
      </c>
      <c r="Q3263" s="95">
        <v>0.27</v>
      </c>
      <c r="R3263" s="104">
        <v>0.04</v>
      </c>
    </row>
    <row r="3264" spans="1:18" ht="15" hidden="1" customHeight="1" x14ac:dyDescent="0.3">
      <c r="A3264" s="101">
        <v>2025</v>
      </c>
      <c r="B3264" s="90">
        <v>5</v>
      </c>
      <c r="C3264" s="90" t="s">
        <v>726</v>
      </c>
      <c r="D3264" s="90" t="s">
        <v>719</v>
      </c>
      <c r="E3264" s="102" t="s">
        <v>11</v>
      </c>
      <c r="F3264" s="103" t="s">
        <v>27</v>
      </c>
      <c r="G3264" s="93">
        <v>90</v>
      </c>
      <c r="H3264" s="93">
        <v>883</v>
      </c>
      <c r="I3264" s="93">
        <v>7410</v>
      </c>
      <c r="J3264" s="93">
        <v>67918</v>
      </c>
      <c r="K3264" s="93">
        <v>148681</v>
      </c>
      <c r="L3264" s="93">
        <v>185831.82</v>
      </c>
      <c r="M3264" s="93">
        <v>410814.13</v>
      </c>
      <c r="N3264" s="95">
        <v>0</v>
      </c>
      <c r="O3264" s="95">
        <v>0</v>
      </c>
      <c r="P3264" s="95">
        <v>0.03</v>
      </c>
      <c r="Q3264" s="95">
        <v>0.3</v>
      </c>
      <c r="R3264" s="104">
        <v>0.66</v>
      </c>
    </row>
    <row r="3265" spans="1:18" ht="15" hidden="1" customHeight="1" x14ac:dyDescent="0.3">
      <c r="A3265" s="101">
        <v>2025</v>
      </c>
      <c r="B3265" s="90">
        <v>5</v>
      </c>
      <c r="C3265" s="90" t="s">
        <v>726</v>
      </c>
      <c r="D3265" s="90" t="s">
        <v>719</v>
      </c>
      <c r="E3265" s="102" t="s">
        <v>11</v>
      </c>
      <c r="F3265" s="103" t="s">
        <v>28</v>
      </c>
      <c r="G3265" s="93">
        <v>2628</v>
      </c>
      <c r="H3265" s="93">
        <v>4371</v>
      </c>
      <c r="I3265" s="93">
        <v>23058</v>
      </c>
      <c r="J3265" s="93">
        <v>155629</v>
      </c>
      <c r="K3265" s="93">
        <v>174134</v>
      </c>
      <c r="L3265" s="93">
        <v>86200.83</v>
      </c>
      <c r="M3265" s="93">
        <v>446020.68</v>
      </c>
      <c r="N3265" s="95">
        <v>0.01</v>
      </c>
      <c r="O3265" s="95">
        <v>0.01</v>
      </c>
      <c r="P3265" s="95">
        <v>0.06</v>
      </c>
      <c r="Q3265" s="95">
        <v>0.43</v>
      </c>
      <c r="R3265" s="104">
        <v>0.48</v>
      </c>
    </row>
    <row r="3266" spans="1:18" ht="15" customHeight="1" x14ac:dyDescent="0.3">
      <c r="A3266" s="101">
        <v>2025</v>
      </c>
      <c r="B3266" s="90">
        <v>5</v>
      </c>
      <c r="C3266" s="90" t="s">
        <v>726</v>
      </c>
      <c r="D3266" s="90" t="s">
        <v>719</v>
      </c>
      <c r="E3266" s="102" t="s">
        <v>11</v>
      </c>
      <c r="F3266" s="103" t="s">
        <v>29</v>
      </c>
      <c r="G3266" s="93">
        <v>4929</v>
      </c>
      <c r="H3266" s="93">
        <v>13718</v>
      </c>
      <c r="I3266" s="93">
        <v>44930</v>
      </c>
      <c r="J3266" s="93">
        <v>108478</v>
      </c>
      <c r="K3266" s="93">
        <v>124969</v>
      </c>
      <c r="L3266" s="93">
        <v>27663.71</v>
      </c>
      <c r="M3266" s="93">
        <v>324687.3</v>
      </c>
      <c r="N3266" s="95">
        <v>0.02</v>
      </c>
      <c r="O3266" s="95">
        <v>0.05</v>
      </c>
      <c r="P3266" s="95">
        <v>0.15</v>
      </c>
      <c r="Q3266" s="95">
        <v>0.37</v>
      </c>
      <c r="R3266" s="104">
        <v>0.42</v>
      </c>
    </row>
    <row r="3267" spans="1:18" ht="15" hidden="1" customHeight="1" x14ac:dyDescent="0.3">
      <c r="A3267" s="101">
        <v>2025</v>
      </c>
      <c r="B3267" s="90">
        <v>5</v>
      </c>
      <c r="C3267" s="90" t="s">
        <v>726</v>
      </c>
      <c r="D3267" s="90" t="s">
        <v>719</v>
      </c>
      <c r="E3267" s="102" t="s">
        <v>11</v>
      </c>
      <c r="F3267" s="103" t="s">
        <v>30</v>
      </c>
      <c r="G3267" s="93">
        <v>135</v>
      </c>
      <c r="H3267" s="93">
        <v>1374</v>
      </c>
      <c r="I3267" s="93">
        <v>4021</v>
      </c>
      <c r="J3267" s="93">
        <v>7186</v>
      </c>
      <c r="K3267" s="93">
        <v>1691</v>
      </c>
      <c r="L3267" s="93">
        <v>387329.37</v>
      </c>
      <c r="M3267" s="93">
        <v>401737.46</v>
      </c>
      <c r="N3267" s="95">
        <v>0.01</v>
      </c>
      <c r="O3267" s="95">
        <v>0.1</v>
      </c>
      <c r="P3267" s="95">
        <v>0.28000000000000003</v>
      </c>
      <c r="Q3267" s="95">
        <v>0.5</v>
      </c>
      <c r="R3267" s="104">
        <v>0.12</v>
      </c>
    </row>
    <row r="3268" spans="1:18" ht="15" hidden="1" customHeight="1" x14ac:dyDescent="0.3">
      <c r="A3268" s="101">
        <v>2025</v>
      </c>
      <c r="B3268" s="90">
        <v>5</v>
      </c>
      <c r="C3268" s="90" t="s">
        <v>726</v>
      </c>
      <c r="D3268" s="90" t="s">
        <v>719</v>
      </c>
      <c r="E3268" s="102" t="s">
        <v>11</v>
      </c>
      <c r="F3268" s="103" t="s">
        <v>31</v>
      </c>
      <c r="G3268" s="93">
        <v>912</v>
      </c>
      <c r="H3268" s="93">
        <v>25687</v>
      </c>
      <c r="I3268" s="93">
        <v>59055</v>
      </c>
      <c r="J3268" s="93">
        <v>74539</v>
      </c>
      <c r="K3268" s="93">
        <v>48538</v>
      </c>
      <c r="L3268" s="93">
        <v>181985.95</v>
      </c>
      <c r="M3268" s="93">
        <v>390717.23</v>
      </c>
      <c r="N3268" s="95">
        <v>0</v>
      </c>
      <c r="O3268" s="95">
        <v>0.12</v>
      </c>
      <c r="P3268" s="95">
        <v>0.28000000000000003</v>
      </c>
      <c r="Q3268" s="95">
        <v>0.36</v>
      </c>
      <c r="R3268" s="104">
        <v>0.23</v>
      </c>
    </row>
    <row r="3269" spans="1:18" ht="15" hidden="1" customHeight="1" x14ac:dyDescent="0.3">
      <c r="A3269" s="101">
        <v>2025</v>
      </c>
      <c r="B3269" s="90">
        <v>5</v>
      </c>
      <c r="C3269" s="90" t="s">
        <v>726</v>
      </c>
      <c r="D3269" s="90" t="s">
        <v>719</v>
      </c>
      <c r="E3269" s="102" t="s">
        <v>11</v>
      </c>
      <c r="F3269" s="103" t="s">
        <v>32</v>
      </c>
      <c r="G3269" s="93">
        <v>927</v>
      </c>
      <c r="H3269" s="93">
        <v>6448</v>
      </c>
      <c r="I3269" s="93">
        <v>53014</v>
      </c>
      <c r="J3269" s="93">
        <v>240728</v>
      </c>
      <c r="K3269" s="93">
        <v>286586</v>
      </c>
      <c r="L3269" s="93">
        <v>2976.9</v>
      </c>
      <c r="M3269" s="93">
        <v>590679.76</v>
      </c>
      <c r="N3269" s="95">
        <v>0</v>
      </c>
      <c r="O3269" s="95">
        <v>0.01</v>
      </c>
      <c r="P3269" s="95">
        <v>0.09</v>
      </c>
      <c r="Q3269" s="95">
        <v>0.41</v>
      </c>
      <c r="R3269" s="104">
        <v>0.49</v>
      </c>
    </row>
    <row r="3270" spans="1:18" ht="15" hidden="1" customHeight="1" x14ac:dyDescent="0.3">
      <c r="A3270" s="101">
        <v>2025</v>
      </c>
      <c r="B3270" s="90">
        <v>5</v>
      </c>
      <c r="C3270" s="90" t="s">
        <v>726</v>
      </c>
      <c r="D3270" s="90" t="s">
        <v>719</v>
      </c>
      <c r="E3270" s="102" t="s">
        <v>11</v>
      </c>
      <c r="F3270" s="103" t="s">
        <v>33</v>
      </c>
      <c r="G3270" s="93">
        <v>73326</v>
      </c>
      <c r="H3270" s="93">
        <v>285634</v>
      </c>
      <c r="I3270" s="93">
        <v>661241</v>
      </c>
      <c r="J3270" s="93">
        <v>274911</v>
      </c>
      <c r="K3270" s="93">
        <v>19598</v>
      </c>
      <c r="L3270" s="93">
        <v>30282.34</v>
      </c>
      <c r="M3270" s="93">
        <v>1344992.04</v>
      </c>
      <c r="N3270" s="95">
        <v>0.06</v>
      </c>
      <c r="O3270" s="95">
        <v>0.22</v>
      </c>
      <c r="P3270" s="95">
        <v>0.5</v>
      </c>
      <c r="Q3270" s="95">
        <v>0.21</v>
      </c>
      <c r="R3270" s="104">
        <v>0.01</v>
      </c>
    </row>
    <row r="3271" spans="1:18" ht="15" hidden="1" customHeight="1" x14ac:dyDescent="0.3">
      <c r="A3271" s="101">
        <v>2025</v>
      </c>
      <c r="B3271" s="90">
        <v>5</v>
      </c>
      <c r="C3271" s="90" t="s">
        <v>726</v>
      </c>
      <c r="D3271" s="90" t="s">
        <v>719</v>
      </c>
      <c r="E3271" s="102" t="s">
        <v>11</v>
      </c>
      <c r="F3271" s="103" t="s">
        <v>34</v>
      </c>
      <c r="G3271" s="93">
        <v>20452</v>
      </c>
      <c r="H3271" s="93">
        <v>46045</v>
      </c>
      <c r="I3271" s="93">
        <v>175131</v>
      </c>
      <c r="J3271" s="93">
        <v>303476</v>
      </c>
      <c r="K3271" s="93">
        <v>120544</v>
      </c>
      <c r="L3271" s="93">
        <v>3783.56</v>
      </c>
      <c r="M3271" s="93">
        <v>669431.62</v>
      </c>
      <c r="N3271" s="95">
        <v>0.03</v>
      </c>
      <c r="O3271" s="95">
        <v>7.0000000000000007E-2</v>
      </c>
      <c r="P3271" s="95">
        <v>0.26</v>
      </c>
      <c r="Q3271" s="95">
        <v>0.46</v>
      </c>
      <c r="R3271" s="104">
        <v>0.18</v>
      </c>
    </row>
    <row r="3272" spans="1:18" ht="15" hidden="1" customHeight="1" x14ac:dyDescent="0.3">
      <c r="A3272" s="101">
        <v>2025</v>
      </c>
      <c r="B3272" s="90">
        <v>5</v>
      </c>
      <c r="C3272" s="90" t="s">
        <v>726</v>
      </c>
      <c r="D3272" s="90" t="s">
        <v>719</v>
      </c>
      <c r="E3272" s="102" t="s">
        <v>11</v>
      </c>
      <c r="F3272" s="103" t="s">
        <v>35</v>
      </c>
      <c r="G3272" s="93">
        <v>24465</v>
      </c>
      <c r="H3272" s="93">
        <v>85043</v>
      </c>
      <c r="I3272" s="93">
        <v>78031</v>
      </c>
      <c r="J3272" s="93">
        <v>116707</v>
      </c>
      <c r="K3272" s="93">
        <v>38843</v>
      </c>
      <c r="L3272" s="93">
        <v>69835.839999999997</v>
      </c>
      <c r="M3272" s="93">
        <v>412923.62</v>
      </c>
      <c r="N3272" s="95">
        <v>7.0000000000000007E-2</v>
      </c>
      <c r="O3272" s="95">
        <v>0.25</v>
      </c>
      <c r="P3272" s="95">
        <v>0.23</v>
      </c>
      <c r="Q3272" s="95">
        <v>0.34</v>
      </c>
      <c r="R3272" s="104">
        <v>0.11</v>
      </c>
    </row>
    <row r="3273" spans="1:18" ht="15" hidden="1" customHeight="1" x14ac:dyDescent="0.3">
      <c r="A3273" s="101">
        <v>2025</v>
      </c>
      <c r="B3273" s="90">
        <v>5</v>
      </c>
      <c r="C3273" s="90" t="s">
        <v>726</v>
      </c>
      <c r="D3273" s="90" t="s">
        <v>719</v>
      </c>
      <c r="E3273" s="102" t="s">
        <v>11</v>
      </c>
      <c r="F3273" s="103" t="s">
        <v>36</v>
      </c>
      <c r="G3273" s="93">
        <v>663</v>
      </c>
      <c r="H3273" s="93">
        <v>4402</v>
      </c>
      <c r="I3273" s="93">
        <v>45394</v>
      </c>
      <c r="J3273" s="93">
        <v>140075</v>
      </c>
      <c r="K3273" s="93">
        <v>35032</v>
      </c>
      <c r="L3273" s="93">
        <v>71992.759999999995</v>
      </c>
      <c r="M3273" s="93">
        <v>297558.68</v>
      </c>
      <c r="N3273" s="95">
        <v>0</v>
      </c>
      <c r="O3273" s="95">
        <v>0.02</v>
      </c>
      <c r="P3273" s="95">
        <v>0.2</v>
      </c>
      <c r="Q3273" s="95">
        <v>0.62</v>
      </c>
      <c r="R3273" s="104">
        <v>0.16</v>
      </c>
    </row>
    <row r="3274" spans="1:18" ht="15" hidden="1" customHeight="1" x14ac:dyDescent="0.3">
      <c r="A3274" s="101">
        <v>2025</v>
      </c>
      <c r="B3274" s="90">
        <v>5</v>
      </c>
      <c r="C3274" s="90" t="s">
        <v>726</v>
      </c>
      <c r="D3274" s="90" t="s">
        <v>719</v>
      </c>
      <c r="E3274" s="102" t="s">
        <v>11</v>
      </c>
      <c r="F3274" s="103" t="s">
        <v>37</v>
      </c>
      <c r="G3274" s="93">
        <v>19659</v>
      </c>
      <c r="H3274" s="93">
        <v>44705</v>
      </c>
      <c r="I3274" s="93">
        <v>127676</v>
      </c>
      <c r="J3274" s="93">
        <v>130079</v>
      </c>
      <c r="K3274" s="93">
        <v>51398</v>
      </c>
      <c r="L3274" s="93">
        <v>306520.03000000003</v>
      </c>
      <c r="M3274" s="93">
        <v>680037.7</v>
      </c>
      <c r="N3274" s="95">
        <v>0.05</v>
      </c>
      <c r="O3274" s="95">
        <v>0.12</v>
      </c>
      <c r="P3274" s="95">
        <v>0.34</v>
      </c>
      <c r="Q3274" s="95">
        <v>0.35</v>
      </c>
      <c r="R3274" s="104">
        <v>0.14000000000000001</v>
      </c>
    </row>
    <row r="3275" spans="1:18" ht="15" hidden="1" customHeight="1" x14ac:dyDescent="0.3">
      <c r="A3275" s="101">
        <v>2025</v>
      </c>
      <c r="B3275" s="90">
        <v>5</v>
      </c>
      <c r="C3275" s="90" t="s">
        <v>726</v>
      </c>
      <c r="D3275" s="90" t="s">
        <v>719</v>
      </c>
      <c r="E3275" s="102" t="s">
        <v>11</v>
      </c>
      <c r="F3275" s="103" t="s">
        <v>38</v>
      </c>
      <c r="G3275" s="93">
        <v>50857</v>
      </c>
      <c r="H3275" s="93">
        <v>83888</v>
      </c>
      <c r="I3275" s="93">
        <v>160905</v>
      </c>
      <c r="J3275" s="93">
        <v>298952</v>
      </c>
      <c r="K3275" s="93">
        <v>124227</v>
      </c>
      <c r="L3275" s="93">
        <v>18724.07</v>
      </c>
      <c r="M3275" s="93">
        <v>737553.77</v>
      </c>
      <c r="N3275" s="95">
        <v>7.0000000000000007E-2</v>
      </c>
      <c r="O3275" s="95">
        <v>0.12</v>
      </c>
      <c r="P3275" s="95">
        <v>0.22</v>
      </c>
      <c r="Q3275" s="95">
        <v>0.42</v>
      </c>
      <c r="R3275" s="104">
        <v>0.17</v>
      </c>
    </row>
    <row r="3276" spans="1:18" ht="15" hidden="1" customHeight="1" x14ac:dyDescent="0.3">
      <c r="A3276" s="101">
        <v>2025</v>
      </c>
      <c r="B3276" s="90">
        <v>5</v>
      </c>
      <c r="C3276" s="90" t="s">
        <v>726</v>
      </c>
      <c r="D3276" s="90" t="s">
        <v>719</v>
      </c>
      <c r="E3276" s="102" t="s">
        <v>11</v>
      </c>
      <c r="F3276" s="103" t="s">
        <v>39</v>
      </c>
      <c r="G3276" s="93">
        <v>819</v>
      </c>
      <c r="H3276" s="93">
        <v>4249</v>
      </c>
      <c r="I3276" s="93">
        <v>48635</v>
      </c>
      <c r="J3276" s="93">
        <v>162240</v>
      </c>
      <c r="K3276" s="93">
        <v>112204</v>
      </c>
      <c r="L3276" s="93">
        <v>42990.23</v>
      </c>
      <c r="M3276" s="93">
        <v>371137.06</v>
      </c>
      <c r="N3276" s="95">
        <v>0</v>
      </c>
      <c r="O3276" s="95">
        <v>0.01</v>
      </c>
      <c r="P3276" s="95">
        <v>0.15</v>
      </c>
      <c r="Q3276" s="95">
        <v>0.49</v>
      </c>
      <c r="R3276" s="104">
        <v>0.34</v>
      </c>
    </row>
    <row r="3277" spans="1:18" ht="15" hidden="1" customHeight="1" x14ac:dyDescent="0.3">
      <c r="A3277" s="101">
        <v>2025</v>
      </c>
      <c r="B3277" s="90">
        <v>5</v>
      </c>
      <c r="C3277" s="90" t="s">
        <v>726</v>
      </c>
      <c r="D3277" s="90" t="s">
        <v>719</v>
      </c>
      <c r="E3277" s="102" t="s">
        <v>11</v>
      </c>
      <c r="F3277" s="103" t="s">
        <v>40</v>
      </c>
      <c r="G3277" s="93">
        <v>1435</v>
      </c>
      <c r="H3277" s="93">
        <v>6962</v>
      </c>
      <c r="I3277" s="93">
        <v>38283</v>
      </c>
      <c r="J3277" s="93">
        <v>182330</v>
      </c>
      <c r="K3277" s="93">
        <v>82771</v>
      </c>
      <c r="L3277" s="93">
        <v>43355.3</v>
      </c>
      <c r="M3277" s="93">
        <v>355135.87</v>
      </c>
      <c r="N3277" s="95">
        <v>0</v>
      </c>
      <c r="O3277" s="95">
        <v>0.02</v>
      </c>
      <c r="P3277" s="95">
        <v>0.12</v>
      </c>
      <c r="Q3277" s="95">
        <v>0.57999999999999996</v>
      </c>
      <c r="R3277" s="104">
        <v>0.27</v>
      </c>
    </row>
    <row r="3278" spans="1:18" ht="15" hidden="1" customHeight="1" x14ac:dyDescent="0.3">
      <c r="A3278" s="101">
        <v>2025</v>
      </c>
      <c r="B3278" s="90">
        <v>5</v>
      </c>
      <c r="C3278" s="90" t="s">
        <v>726</v>
      </c>
      <c r="D3278" s="90" t="s">
        <v>719</v>
      </c>
      <c r="E3278" s="102" t="s">
        <v>11</v>
      </c>
      <c r="F3278" s="103" t="s">
        <v>41</v>
      </c>
      <c r="G3278" s="93">
        <v>331</v>
      </c>
      <c r="H3278" s="93">
        <v>3464</v>
      </c>
      <c r="I3278" s="93">
        <v>5819</v>
      </c>
      <c r="J3278" s="93">
        <v>6508</v>
      </c>
      <c r="K3278" s="93">
        <v>2592</v>
      </c>
      <c r="L3278" s="93">
        <v>857396.28</v>
      </c>
      <c r="M3278" s="93">
        <v>876110.18</v>
      </c>
      <c r="N3278" s="95">
        <v>0.02</v>
      </c>
      <c r="O3278" s="95">
        <v>0.19</v>
      </c>
      <c r="P3278" s="95">
        <v>0.31</v>
      </c>
      <c r="Q3278" s="95">
        <v>0.35</v>
      </c>
      <c r="R3278" s="104">
        <v>0.14000000000000001</v>
      </c>
    </row>
    <row r="3279" spans="1:18" ht="15" hidden="1" customHeight="1" x14ac:dyDescent="0.3">
      <c r="A3279" s="101">
        <v>2025</v>
      </c>
      <c r="B3279" s="90">
        <v>5</v>
      </c>
      <c r="C3279" s="90" t="s">
        <v>726</v>
      </c>
      <c r="D3279" s="90" t="s">
        <v>719</v>
      </c>
      <c r="E3279" s="102" t="s">
        <v>11</v>
      </c>
      <c r="F3279" s="103" t="s">
        <v>42</v>
      </c>
      <c r="G3279" s="93">
        <v>4686</v>
      </c>
      <c r="H3279" s="93">
        <v>11769</v>
      </c>
      <c r="I3279" s="93">
        <v>80363</v>
      </c>
      <c r="J3279" s="93">
        <v>269555</v>
      </c>
      <c r="K3279" s="93">
        <v>210046</v>
      </c>
      <c r="L3279" s="93">
        <v>1809.6</v>
      </c>
      <c r="M3279" s="93">
        <v>578229.28</v>
      </c>
      <c r="N3279" s="95">
        <v>0.01</v>
      </c>
      <c r="O3279" s="95">
        <v>0.02</v>
      </c>
      <c r="P3279" s="95">
        <v>0.14000000000000001</v>
      </c>
      <c r="Q3279" s="95">
        <v>0.47</v>
      </c>
      <c r="R3279" s="104">
        <v>0.36</v>
      </c>
    </row>
    <row r="3280" spans="1:18" ht="15" hidden="1" customHeight="1" x14ac:dyDescent="0.3">
      <c r="A3280" s="101">
        <v>2025</v>
      </c>
      <c r="B3280" s="90">
        <v>5</v>
      </c>
      <c r="C3280" s="90" t="s">
        <v>726</v>
      </c>
      <c r="D3280" s="90" t="s">
        <v>719</v>
      </c>
      <c r="E3280" s="102" t="s">
        <v>11</v>
      </c>
      <c r="F3280" s="103" t="s">
        <v>43</v>
      </c>
      <c r="G3280" s="93">
        <v>596</v>
      </c>
      <c r="H3280" s="93">
        <v>14057</v>
      </c>
      <c r="I3280" s="93">
        <v>24571</v>
      </c>
      <c r="J3280" s="93">
        <v>19894</v>
      </c>
      <c r="K3280" s="93">
        <v>8508</v>
      </c>
      <c r="L3280" s="93">
        <v>62081.79</v>
      </c>
      <c r="M3280" s="93">
        <v>129708.65</v>
      </c>
      <c r="N3280" s="95">
        <v>0.01</v>
      </c>
      <c r="O3280" s="95">
        <v>0.21</v>
      </c>
      <c r="P3280" s="95">
        <v>0.36</v>
      </c>
      <c r="Q3280" s="95">
        <v>0.28999999999999998</v>
      </c>
      <c r="R3280" s="104">
        <v>0.13</v>
      </c>
    </row>
    <row r="3281" spans="1:18" ht="15" hidden="1" customHeight="1" x14ac:dyDescent="0.3">
      <c r="A3281" s="101">
        <v>2025</v>
      </c>
      <c r="B3281" s="90">
        <v>5</v>
      </c>
      <c r="C3281" s="90" t="s">
        <v>726</v>
      </c>
      <c r="D3281" s="90" t="s">
        <v>719</v>
      </c>
      <c r="E3281" s="102" t="s">
        <v>11</v>
      </c>
      <c r="F3281" s="103" t="s">
        <v>58</v>
      </c>
      <c r="G3281" s="93">
        <v>978</v>
      </c>
      <c r="H3281" s="93">
        <v>3981</v>
      </c>
      <c r="I3281" s="93">
        <v>23700</v>
      </c>
      <c r="J3281" s="93">
        <v>175911</v>
      </c>
      <c r="K3281" s="93">
        <v>158548</v>
      </c>
      <c r="L3281" s="93">
        <v>4103.96</v>
      </c>
      <c r="M3281" s="93">
        <v>367220.63</v>
      </c>
      <c r="N3281" s="95">
        <v>0</v>
      </c>
      <c r="O3281" s="95">
        <v>0.01</v>
      </c>
      <c r="P3281" s="95">
        <v>7.0000000000000007E-2</v>
      </c>
      <c r="Q3281" s="95">
        <v>0.48</v>
      </c>
      <c r="R3281" s="104">
        <v>0.44</v>
      </c>
    </row>
    <row r="3282" spans="1:18" ht="15" hidden="1" customHeight="1" x14ac:dyDescent="0.3">
      <c r="A3282" s="101">
        <v>2025</v>
      </c>
      <c r="B3282" s="90">
        <v>5</v>
      </c>
      <c r="C3282" s="90" t="s">
        <v>726</v>
      </c>
      <c r="D3282" s="90" t="s">
        <v>719</v>
      </c>
      <c r="E3282" s="102" t="s">
        <v>11</v>
      </c>
      <c r="F3282" s="103" t="s">
        <v>44</v>
      </c>
      <c r="G3282" s="93">
        <v>2620</v>
      </c>
      <c r="H3282" s="93">
        <v>3083</v>
      </c>
      <c r="I3282" s="93">
        <v>14756</v>
      </c>
      <c r="J3282" s="93">
        <v>76457</v>
      </c>
      <c r="K3282" s="93">
        <v>73745</v>
      </c>
      <c r="L3282" s="93">
        <v>40699.22</v>
      </c>
      <c r="M3282" s="93">
        <v>211360.4</v>
      </c>
      <c r="N3282" s="95">
        <v>0.02</v>
      </c>
      <c r="O3282" s="95">
        <v>0.02</v>
      </c>
      <c r="P3282" s="95">
        <v>0.09</v>
      </c>
      <c r="Q3282" s="95">
        <v>0.45</v>
      </c>
      <c r="R3282" s="104">
        <v>0.43</v>
      </c>
    </row>
    <row r="3283" spans="1:18" ht="15" hidden="1" customHeight="1" x14ac:dyDescent="0.3">
      <c r="A3283" s="101">
        <v>2025</v>
      </c>
      <c r="B3283" s="90">
        <v>5</v>
      </c>
      <c r="C3283" s="90" t="s">
        <v>726</v>
      </c>
      <c r="D3283" s="90" t="s">
        <v>719</v>
      </c>
      <c r="E3283" s="102" t="s">
        <v>11</v>
      </c>
      <c r="F3283" s="103" t="s">
        <v>51</v>
      </c>
      <c r="G3283" s="93">
        <v>2038</v>
      </c>
      <c r="H3283" s="93">
        <v>24181</v>
      </c>
      <c r="I3283" s="93">
        <v>79759</v>
      </c>
      <c r="J3283" s="93">
        <v>72645</v>
      </c>
      <c r="K3283" s="93">
        <v>30773</v>
      </c>
      <c r="L3283" s="93">
        <v>5061.59</v>
      </c>
      <c r="M3283" s="93">
        <v>214457.13</v>
      </c>
      <c r="N3283" s="95">
        <v>0.01</v>
      </c>
      <c r="O3283" s="95">
        <v>0.12</v>
      </c>
      <c r="P3283" s="95">
        <v>0.38</v>
      </c>
      <c r="Q3283" s="95">
        <v>0.35</v>
      </c>
      <c r="R3283" s="104">
        <v>0.15</v>
      </c>
    </row>
    <row r="3284" spans="1:18" ht="15" hidden="1" customHeight="1" x14ac:dyDescent="0.3">
      <c r="A3284" s="101">
        <v>2025</v>
      </c>
      <c r="B3284" s="90">
        <v>5</v>
      </c>
      <c r="C3284" s="90" t="s">
        <v>726</v>
      </c>
      <c r="D3284" s="90" t="s">
        <v>719</v>
      </c>
      <c r="E3284" s="102" t="s">
        <v>11</v>
      </c>
      <c r="F3284" s="103" t="s">
        <v>45</v>
      </c>
      <c r="G3284" s="93">
        <v>989</v>
      </c>
      <c r="H3284" s="93">
        <v>4437</v>
      </c>
      <c r="I3284" s="93">
        <v>12215</v>
      </c>
      <c r="J3284" s="93">
        <v>30702</v>
      </c>
      <c r="K3284" s="93">
        <v>35594</v>
      </c>
      <c r="L3284" s="93">
        <v>28015.68</v>
      </c>
      <c r="M3284" s="93">
        <v>111952.92</v>
      </c>
      <c r="N3284" s="95">
        <v>0.01</v>
      </c>
      <c r="O3284" s="95">
        <v>0.05</v>
      </c>
      <c r="P3284" s="95">
        <v>0.15</v>
      </c>
      <c r="Q3284" s="95">
        <v>0.37</v>
      </c>
      <c r="R3284" s="104">
        <v>0.42</v>
      </c>
    </row>
    <row r="3285" spans="1:18" ht="15" hidden="1" customHeight="1" x14ac:dyDescent="0.3">
      <c r="A3285" s="101">
        <v>2025</v>
      </c>
      <c r="B3285" s="90">
        <v>5</v>
      </c>
      <c r="C3285" s="90" t="s">
        <v>726</v>
      </c>
      <c r="D3285" s="90" t="s">
        <v>719</v>
      </c>
      <c r="E3285" s="102" t="s">
        <v>11</v>
      </c>
      <c r="F3285" s="103" t="s">
        <v>721</v>
      </c>
      <c r="G3285" s="93">
        <v>331</v>
      </c>
      <c r="H3285" s="93">
        <v>7108</v>
      </c>
      <c r="I3285" s="93">
        <v>40109</v>
      </c>
      <c r="J3285" s="93">
        <v>138486</v>
      </c>
      <c r="K3285" s="93">
        <v>122598</v>
      </c>
      <c r="L3285" s="93">
        <v>589177.15</v>
      </c>
      <c r="M3285" s="93">
        <v>897808.83</v>
      </c>
      <c r="N3285" s="95">
        <v>0</v>
      </c>
      <c r="O3285" s="95">
        <v>0.02</v>
      </c>
      <c r="P3285" s="95">
        <v>0.13</v>
      </c>
      <c r="Q3285" s="95">
        <v>0.45</v>
      </c>
      <c r="R3285" s="104">
        <v>0.4</v>
      </c>
    </row>
    <row r="3286" spans="1:18" ht="15" hidden="1" customHeight="1" x14ac:dyDescent="0.3">
      <c r="A3286" s="101">
        <v>2025</v>
      </c>
      <c r="B3286" s="90">
        <v>5</v>
      </c>
      <c r="C3286" s="90" t="s">
        <v>726</v>
      </c>
      <c r="D3286" s="90" t="s">
        <v>719</v>
      </c>
      <c r="E3286" s="102" t="s">
        <v>11</v>
      </c>
      <c r="F3286" s="103" t="s">
        <v>46</v>
      </c>
      <c r="G3286" s="93">
        <v>3141</v>
      </c>
      <c r="H3286" s="93">
        <v>28590</v>
      </c>
      <c r="I3286" s="93">
        <v>68621</v>
      </c>
      <c r="J3286" s="93">
        <v>39843</v>
      </c>
      <c r="K3286" s="93">
        <v>8168</v>
      </c>
      <c r="L3286" s="93">
        <v>27623.46</v>
      </c>
      <c r="M3286" s="93">
        <v>175985.98</v>
      </c>
      <c r="N3286" s="95">
        <v>0.02</v>
      </c>
      <c r="O3286" s="95">
        <v>0.19</v>
      </c>
      <c r="P3286" s="95">
        <v>0.46</v>
      </c>
      <c r="Q3286" s="95">
        <v>0.27</v>
      </c>
      <c r="R3286" s="104">
        <v>0.06</v>
      </c>
    </row>
    <row r="3287" spans="1:18" ht="15" hidden="1" customHeight="1" x14ac:dyDescent="0.3">
      <c r="A3287" s="101">
        <v>2025</v>
      </c>
      <c r="B3287" s="90">
        <v>5</v>
      </c>
      <c r="C3287" s="90" t="s">
        <v>726</v>
      </c>
      <c r="D3287" s="90" t="s">
        <v>719</v>
      </c>
      <c r="E3287" s="102" t="s">
        <v>11</v>
      </c>
      <c r="F3287" s="103" t="s">
        <v>47</v>
      </c>
      <c r="G3287" s="93">
        <v>4638</v>
      </c>
      <c r="H3287" s="93">
        <v>20449</v>
      </c>
      <c r="I3287" s="93">
        <v>60620</v>
      </c>
      <c r="J3287" s="93">
        <v>131713</v>
      </c>
      <c r="K3287" s="93">
        <v>347559</v>
      </c>
      <c r="L3287" s="93">
        <v>50042.37</v>
      </c>
      <c r="M3287" s="93">
        <v>615021.43999999994</v>
      </c>
      <c r="N3287" s="95">
        <v>0.01</v>
      </c>
      <c r="O3287" s="95">
        <v>0.04</v>
      </c>
      <c r="P3287" s="95">
        <v>0.11</v>
      </c>
      <c r="Q3287" s="95">
        <v>0.23</v>
      </c>
      <c r="R3287" s="104">
        <v>0.62</v>
      </c>
    </row>
    <row r="3288" spans="1:18" ht="15" hidden="1" customHeight="1" x14ac:dyDescent="0.3">
      <c r="A3288" s="101">
        <v>2025</v>
      </c>
      <c r="B3288" s="90">
        <v>5</v>
      </c>
      <c r="C3288" s="90" t="s">
        <v>726</v>
      </c>
      <c r="D3288" s="90" t="s">
        <v>719</v>
      </c>
      <c r="E3288" s="102" t="s">
        <v>11</v>
      </c>
      <c r="F3288" s="103" t="s">
        <v>48</v>
      </c>
      <c r="G3288" s="93">
        <v>147</v>
      </c>
      <c r="H3288" s="93">
        <v>913</v>
      </c>
      <c r="I3288" s="93">
        <v>7205</v>
      </c>
      <c r="J3288" s="93">
        <v>39395</v>
      </c>
      <c r="K3288" s="93">
        <v>53789</v>
      </c>
      <c r="L3288" s="93">
        <v>249927.92</v>
      </c>
      <c r="M3288" s="93">
        <v>351375.42</v>
      </c>
      <c r="N3288" s="95">
        <v>0</v>
      </c>
      <c r="O3288" s="95">
        <v>0.01</v>
      </c>
      <c r="P3288" s="95">
        <v>7.0000000000000007E-2</v>
      </c>
      <c r="Q3288" s="95">
        <v>0.39</v>
      </c>
      <c r="R3288" s="104">
        <v>0.53</v>
      </c>
    </row>
    <row r="3289" spans="1:18" ht="15" hidden="1" customHeight="1" x14ac:dyDescent="0.3">
      <c r="A3289" s="101">
        <v>2025</v>
      </c>
      <c r="B3289" s="90">
        <v>5</v>
      </c>
      <c r="C3289" s="90" t="s">
        <v>726</v>
      </c>
      <c r="D3289" s="90" t="s">
        <v>722</v>
      </c>
      <c r="E3289" s="102" t="s">
        <v>11</v>
      </c>
      <c r="F3289" s="103" t="s">
        <v>12</v>
      </c>
      <c r="G3289" s="93">
        <v>16981</v>
      </c>
      <c r="H3289" s="93">
        <v>66638</v>
      </c>
      <c r="I3289" s="93">
        <v>166474</v>
      </c>
      <c r="J3289" s="93">
        <v>116792</v>
      </c>
      <c r="K3289" s="93">
        <v>12143</v>
      </c>
      <c r="L3289" s="93">
        <v>5125.37</v>
      </c>
      <c r="M3289" s="93">
        <v>384154.21</v>
      </c>
      <c r="N3289" s="95">
        <v>0.04</v>
      </c>
      <c r="O3289" s="95">
        <v>0.18</v>
      </c>
      <c r="P3289" s="95">
        <v>0.44</v>
      </c>
      <c r="Q3289" s="95">
        <v>0.31</v>
      </c>
      <c r="R3289" s="104">
        <v>0.03</v>
      </c>
    </row>
    <row r="3290" spans="1:18" ht="15" hidden="1" customHeight="1" x14ac:dyDescent="0.3">
      <c r="A3290" s="101">
        <v>2025</v>
      </c>
      <c r="B3290" s="90">
        <v>5</v>
      </c>
      <c r="C3290" s="90" t="s">
        <v>726</v>
      </c>
      <c r="D3290" s="90" t="s">
        <v>722</v>
      </c>
      <c r="E3290" s="102" t="s">
        <v>11</v>
      </c>
      <c r="F3290" s="103" t="s">
        <v>26</v>
      </c>
      <c r="G3290" s="93">
        <v>92566</v>
      </c>
      <c r="H3290" s="93">
        <v>306556</v>
      </c>
      <c r="I3290" s="93">
        <v>480075</v>
      </c>
      <c r="J3290" s="93">
        <v>152926</v>
      </c>
      <c r="K3290" s="93">
        <v>11750</v>
      </c>
      <c r="L3290" s="93">
        <v>11614.36</v>
      </c>
      <c r="M3290" s="93">
        <v>1055486.8400000001</v>
      </c>
      <c r="N3290" s="95">
        <v>0.09</v>
      </c>
      <c r="O3290" s="95">
        <v>0.28999999999999998</v>
      </c>
      <c r="P3290" s="95">
        <v>0.46</v>
      </c>
      <c r="Q3290" s="95">
        <v>0.15</v>
      </c>
      <c r="R3290" s="104">
        <v>0.01</v>
      </c>
    </row>
    <row r="3291" spans="1:18" ht="15" hidden="1" customHeight="1" x14ac:dyDescent="0.3">
      <c r="A3291" s="101">
        <v>2025</v>
      </c>
      <c r="B3291" s="90">
        <v>5</v>
      </c>
      <c r="C3291" s="90" t="s">
        <v>726</v>
      </c>
      <c r="D3291" s="90" t="s">
        <v>722</v>
      </c>
      <c r="E3291" s="102" t="s">
        <v>11</v>
      </c>
      <c r="F3291" s="103" t="s">
        <v>27</v>
      </c>
      <c r="G3291" s="93">
        <v>338</v>
      </c>
      <c r="H3291" s="93">
        <v>5331</v>
      </c>
      <c r="I3291" s="93">
        <v>41412</v>
      </c>
      <c r="J3291" s="93">
        <v>115976</v>
      </c>
      <c r="K3291" s="93">
        <v>56708</v>
      </c>
      <c r="L3291" s="93">
        <v>185419.51999999999</v>
      </c>
      <c r="M3291" s="93">
        <v>405183.97</v>
      </c>
      <c r="N3291" s="95">
        <v>0</v>
      </c>
      <c r="O3291" s="95">
        <v>0.02</v>
      </c>
      <c r="P3291" s="95">
        <v>0.19</v>
      </c>
      <c r="Q3291" s="95">
        <v>0.53</v>
      </c>
      <c r="R3291" s="104">
        <v>0.26</v>
      </c>
    </row>
    <row r="3292" spans="1:18" ht="15" hidden="1" customHeight="1" x14ac:dyDescent="0.3">
      <c r="A3292" s="101">
        <v>2025</v>
      </c>
      <c r="B3292" s="90">
        <v>5</v>
      </c>
      <c r="C3292" s="90" t="s">
        <v>726</v>
      </c>
      <c r="D3292" s="90" t="s">
        <v>722</v>
      </c>
      <c r="E3292" s="102" t="s">
        <v>11</v>
      </c>
      <c r="F3292" s="103" t="s">
        <v>28</v>
      </c>
      <c r="G3292" s="93">
        <v>3883</v>
      </c>
      <c r="H3292" s="93">
        <v>18148</v>
      </c>
      <c r="I3292" s="93">
        <v>62032</v>
      </c>
      <c r="J3292" s="93">
        <v>174054</v>
      </c>
      <c r="K3292" s="93">
        <v>110387</v>
      </c>
      <c r="L3292" s="93">
        <v>86132.83</v>
      </c>
      <c r="M3292" s="93">
        <v>454636.42</v>
      </c>
      <c r="N3292" s="95">
        <v>0.01</v>
      </c>
      <c r="O3292" s="95">
        <v>0.05</v>
      </c>
      <c r="P3292" s="95">
        <v>0.17</v>
      </c>
      <c r="Q3292" s="95">
        <v>0.47</v>
      </c>
      <c r="R3292" s="104">
        <v>0.3</v>
      </c>
    </row>
    <row r="3293" spans="1:18" ht="15" customHeight="1" x14ac:dyDescent="0.3">
      <c r="A3293" s="101">
        <v>2025</v>
      </c>
      <c r="B3293" s="90">
        <v>5</v>
      </c>
      <c r="C3293" s="90" t="s">
        <v>726</v>
      </c>
      <c r="D3293" s="90" t="s">
        <v>722</v>
      </c>
      <c r="E3293" s="102" t="s">
        <v>11</v>
      </c>
      <c r="F3293" s="103" t="s">
        <v>29</v>
      </c>
      <c r="G3293" s="93">
        <v>7470</v>
      </c>
      <c r="H3293" s="93">
        <v>21409</v>
      </c>
      <c r="I3293" s="93">
        <v>64668</v>
      </c>
      <c r="J3293" s="93">
        <v>128818</v>
      </c>
      <c r="K3293" s="93">
        <v>52426</v>
      </c>
      <c r="L3293" s="93">
        <v>24478.94</v>
      </c>
      <c r="M3293" s="93">
        <v>299269.48</v>
      </c>
      <c r="N3293" s="95">
        <v>0.03</v>
      </c>
      <c r="O3293" s="95">
        <v>0.08</v>
      </c>
      <c r="P3293" s="95">
        <v>0.24</v>
      </c>
      <c r="Q3293" s="95">
        <v>0.47</v>
      </c>
      <c r="R3293" s="104">
        <v>0.19</v>
      </c>
    </row>
    <row r="3294" spans="1:18" ht="15" hidden="1" customHeight="1" x14ac:dyDescent="0.3">
      <c r="A3294" s="101">
        <v>2025</v>
      </c>
      <c r="B3294" s="90">
        <v>5</v>
      </c>
      <c r="C3294" s="90" t="s">
        <v>726</v>
      </c>
      <c r="D3294" s="90" t="s">
        <v>722</v>
      </c>
      <c r="E3294" s="102" t="s">
        <v>11</v>
      </c>
      <c r="F3294" s="103" t="s">
        <v>30</v>
      </c>
      <c r="G3294" s="93">
        <v>56</v>
      </c>
      <c r="H3294" s="93">
        <v>874</v>
      </c>
      <c r="I3294" s="93">
        <v>3029</v>
      </c>
      <c r="J3294" s="93">
        <v>7007</v>
      </c>
      <c r="K3294" s="93">
        <v>3440</v>
      </c>
      <c r="L3294" s="93">
        <v>452461.93</v>
      </c>
      <c r="M3294" s="93">
        <v>466867.85</v>
      </c>
      <c r="N3294" s="95">
        <v>0</v>
      </c>
      <c r="O3294" s="95">
        <v>0.06</v>
      </c>
      <c r="P3294" s="95">
        <v>0.21</v>
      </c>
      <c r="Q3294" s="95">
        <v>0.49</v>
      </c>
      <c r="R3294" s="104">
        <v>0.24</v>
      </c>
    </row>
    <row r="3295" spans="1:18" ht="15" hidden="1" customHeight="1" x14ac:dyDescent="0.3">
      <c r="A3295" s="101">
        <v>2025</v>
      </c>
      <c r="B3295" s="90">
        <v>5</v>
      </c>
      <c r="C3295" s="90" t="s">
        <v>726</v>
      </c>
      <c r="D3295" s="90" t="s">
        <v>722</v>
      </c>
      <c r="E3295" s="102" t="s">
        <v>11</v>
      </c>
      <c r="F3295" s="103" t="s">
        <v>31</v>
      </c>
      <c r="G3295" s="93">
        <v>729</v>
      </c>
      <c r="H3295" s="93">
        <v>27110</v>
      </c>
      <c r="I3295" s="93">
        <v>65879</v>
      </c>
      <c r="J3295" s="93">
        <v>68554</v>
      </c>
      <c r="K3295" s="93">
        <v>45412</v>
      </c>
      <c r="L3295" s="93">
        <v>872653.82</v>
      </c>
      <c r="M3295" s="93">
        <v>1080338.7</v>
      </c>
      <c r="N3295" s="95">
        <v>0</v>
      </c>
      <c r="O3295" s="95">
        <v>0.13</v>
      </c>
      <c r="P3295" s="95">
        <v>0.32</v>
      </c>
      <c r="Q3295" s="95">
        <v>0.33</v>
      </c>
      <c r="R3295" s="104">
        <v>0.22</v>
      </c>
    </row>
    <row r="3296" spans="1:18" ht="15" hidden="1" customHeight="1" x14ac:dyDescent="0.3">
      <c r="A3296" s="101">
        <v>2025</v>
      </c>
      <c r="B3296" s="90">
        <v>5</v>
      </c>
      <c r="C3296" s="90" t="s">
        <v>726</v>
      </c>
      <c r="D3296" s="90" t="s">
        <v>722</v>
      </c>
      <c r="E3296" s="102" t="s">
        <v>11</v>
      </c>
      <c r="F3296" s="103" t="s">
        <v>32</v>
      </c>
      <c r="G3296" s="93">
        <v>3316</v>
      </c>
      <c r="H3296" s="93">
        <v>27580</v>
      </c>
      <c r="I3296" s="93">
        <v>157938</v>
      </c>
      <c r="J3296" s="93">
        <v>257950</v>
      </c>
      <c r="K3296" s="93">
        <v>139790</v>
      </c>
      <c r="L3296" s="93">
        <v>3452.89</v>
      </c>
      <c r="M3296" s="93">
        <v>590027.56000000006</v>
      </c>
      <c r="N3296" s="95">
        <v>0.01</v>
      </c>
      <c r="O3296" s="95">
        <v>0.05</v>
      </c>
      <c r="P3296" s="95">
        <v>0.27</v>
      </c>
      <c r="Q3296" s="95">
        <v>0.44</v>
      </c>
      <c r="R3296" s="104">
        <v>0.24</v>
      </c>
    </row>
    <row r="3297" spans="1:18" ht="15" hidden="1" customHeight="1" x14ac:dyDescent="0.3">
      <c r="A3297" s="101">
        <v>2025</v>
      </c>
      <c r="B3297" s="90">
        <v>5</v>
      </c>
      <c r="C3297" s="90" t="s">
        <v>726</v>
      </c>
      <c r="D3297" s="90" t="s">
        <v>722</v>
      </c>
      <c r="E3297" s="102" t="s">
        <v>11</v>
      </c>
      <c r="F3297" s="103" t="s">
        <v>33</v>
      </c>
      <c r="G3297" s="93">
        <v>52643</v>
      </c>
      <c r="H3297" s="93">
        <v>351941</v>
      </c>
      <c r="I3297" s="93">
        <v>651890</v>
      </c>
      <c r="J3297" s="93">
        <v>246299</v>
      </c>
      <c r="K3297" s="93">
        <v>13796</v>
      </c>
      <c r="L3297" s="93">
        <v>28182.19</v>
      </c>
      <c r="M3297" s="93">
        <v>1344750.94</v>
      </c>
      <c r="N3297" s="95">
        <v>0.04</v>
      </c>
      <c r="O3297" s="95">
        <v>0.27</v>
      </c>
      <c r="P3297" s="95">
        <v>0.5</v>
      </c>
      <c r="Q3297" s="95">
        <v>0.19</v>
      </c>
      <c r="R3297" s="104">
        <v>0.01</v>
      </c>
    </row>
    <row r="3298" spans="1:18" ht="15" hidden="1" customHeight="1" x14ac:dyDescent="0.3">
      <c r="A3298" s="101">
        <v>2025</v>
      </c>
      <c r="B3298" s="90">
        <v>5</v>
      </c>
      <c r="C3298" s="90" t="s">
        <v>726</v>
      </c>
      <c r="D3298" s="90" t="s">
        <v>722</v>
      </c>
      <c r="E3298" s="102" t="s">
        <v>11</v>
      </c>
      <c r="F3298" s="103" t="s">
        <v>34</v>
      </c>
      <c r="G3298" s="93">
        <v>22246</v>
      </c>
      <c r="H3298" s="93">
        <v>50227</v>
      </c>
      <c r="I3298" s="93">
        <v>234839</v>
      </c>
      <c r="J3298" s="93">
        <v>316353</v>
      </c>
      <c r="K3298" s="93">
        <v>40493</v>
      </c>
      <c r="L3298" s="93">
        <v>3835.32</v>
      </c>
      <c r="M3298" s="93">
        <v>667994.29</v>
      </c>
      <c r="N3298" s="95">
        <v>0.03</v>
      </c>
      <c r="O3298" s="95">
        <v>0.08</v>
      </c>
      <c r="P3298" s="95">
        <v>0.35</v>
      </c>
      <c r="Q3298" s="95">
        <v>0.48</v>
      </c>
      <c r="R3298" s="104">
        <v>0.06</v>
      </c>
    </row>
    <row r="3299" spans="1:18" ht="15" hidden="1" customHeight="1" x14ac:dyDescent="0.3">
      <c r="A3299" s="101">
        <v>2025</v>
      </c>
      <c r="B3299" s="90">
        <v>5</v>
      </c>
      <c r="C3299" s="90" t="s">
        <v>726</v>
      </c>
      <c r="D3299" s="90" t="s">
        <v>722</v>
      </c>
      <c r="E3299" s="102" t="s">
        <v>11</v>
      </c>
      <c r="F3299" s="103" t="s">
        <v>35</v>
      </c>
      <c r="G3299" s="93">
        <v>32357</v>
      </c>
      <c r="H3299" s="93">
        <v>130214</v>
      </c>
      <c r="I3299" s="93">
        <v>108720</v>
      </c>
      <c r="J3299" s="93">
        <v>74873</v>
      </c>
      <c r="K3299" s="93">
        <v>7656</v>
      </c>
      <c r="L3299" s="93">
        <v>69702.679999999993</v>
      </c>
      <c r="M3299" s="93">
        <v>423522.47</v>
      </c>
      <c r="N3299" s="95">
        <v>0.09</v>
      </c>
      <c r="O3299" s="95">
        <v>0.37</v>
      </c>
      <c r="P3299" s="95">
        <v>0.31</v>
      </c>
      <c r="Q3299" s="95">
        <v>0.21</v>
      </c>
      <c r="R3299" s="104">
        <v>0.02</v>
      </c>
    </row>
    <row r="3300" spans="1:18" ht="15" hidden="1" customHeight="1" x14ac:dyDescent="0.3">
      <c r="A3300" s="101">
        <v>2025</v>
      </c>
      <c r="B3300" s="90">
        <v>5</v>
      </c>
      <c r="C3300" s="90" t="s">
        <v>726</v>
      </c>
      <c r="D3300" s="90" t="s">
        <v>722</v>
      </c>
      <c r="E3300" s="102" t="s">
        <v>11</v>
      </c>
      <c r="F3300" s="103" t="s">
        <v>36</v>
      </c>
      <c r="G3300" s="93">
        <v>2525</v>
      </c>
      <c r="H3300" s="93">
        <v>16554</v>
      </c>
      <c r="I3300" s="93">
        <v>96048</v>
      </c>
      <c r="J3300" s="93">
        <v>101779</v>
      </c>
      <c r="K3300" s="93">
        <v>8887</v>
      </c>
      <c r="L3300" s="93">
        <v>80826.080000000002</v>
      </c>
      <c r="M3300" s="93">
        <v>306618.7</v>
      </c>
      <c r="N3300" s="95">
        <v>0.01</v>
      </c>
      <c r="O3300" s="95">
        <v>7.0000000000000007E-2</v>
      </c>
      <c r="P3300" s="95">
        <v>0.43</v>
      </c>
      <c r="Q3300" s="95">
        <v>0.45</v>
      </c>
      <c r="R3300" s="104">
        <v>0.04</v>
      </c>
    </row>
    <row r="3301" spans="1:18" ht="15" hidden="1" customHeight="1" x14ac:dyDescent="0.3">
      <c r="A3301" s="101">
        <v>2025</v>
      </c>
      <c r="B3301" s="90">
        <v>5</v>
      </c>
      <c r="C3301" s="90" t="s">
        <v>726</v>
      </c>
      <c r="D3301" s="90" t="s">
        <v>722</v>
      </c>
      <c r="E3301" s="102" t="s">
        <v>11</v>
      </c>
      <c r="F3301" s="103" t="s">
        <v>37</v>
      </c>
      <c r="G3301" s="93">
        <v>20702</v>
      </c>
      <c r="H3301" s="93">
        <v>76588</v>
      </c>
      <c r="I3301" s="93">
        <v>145936</v>
      </c>
      <c r="J3301" s="93">
        <v>98378</v>
      </c>
      <c r="K3301" s="93">
        <v>27616</v>
      </c>
      <c r="L3301" s="93">
        <v>306297.96000000002</v>
      </c>
      <c r="M3301" s="93">
        <v>675517.2</v>
      </c>
      <c r="N3301" s="95">
        <v>0.06</v>
      </c>
      <c r="O3301" s="95">
        <v>0.21</v>
      </c>
      <c r="P3301" s="95">
        <v>0.4</v>
      </c>
      <c r="Q3301" s="95">
        <v>0.27</v>
      </c>
      <c r="R3301" s="104">
        <v>7.0000000000000007E-2</v>
      </c>
    </row>
    <row r="3302" spans="1:18" ht="15" hidden="1" customHeight="1" x14ac:dyDescent="0.3">
      <c r="A3302" s="101">
        <v>2025</v>
      </c>
      <c r="B3302" s="90">
        <v>5</v>
      </c>
      <c r="C3302" s="90" t="s">
        <v>726</v>
      </c>
      <c r="D3302" s="90" t="s">
        <v>722</v>
      </c>
      <c r="E3302" s="102" t="s">
        <v>11</v>
      </c>
      <c r="F3302" s="103" t="s">
        <v>38</v>
      </c>
      <c r="G3302" s="93">
        <v>67410</v>
      </c>
      <c r="H3302" s="93">
        <v>157226</v>
      </c>
      <c r="I3302" s="93">
        <v>246440</v>
      </c>
      <c r="J3302" s="93">
        <v>231992</v>
      </c>
      <c r="K3302" s="93">
        <v>33050</v>
      </c>
      <c r="L3302" s="93">
        <v>18424.54</v>
      </c>
      <c r="M3302" s="93">
        <v>754542.38</v>
      </c>
      <c r="N3302" s="95">
        <v>0.09</v>
      </c>
      <c r="O3302" s="95">
        <v>0.21</v>
      </c>
      <c r="P3302" s="95">
        <v>0.33</v>
      </c>
      <c r="Q3302" s="95">
        <v>0.32</v>
      </c>
      <c r="R3302" s="104">
        <v>0.04</v>
      </c>
    </row>
    <row r="3303" spans="1:18" ht="15" hidden="1" customHeight="1" x14ac:dyDescent="0.3">
      <c r="A3303" s="101">
        <v>2025</v>
      </c>
      <c r="B3303" s="90">
        <v>5</v>
      </c>
      <c r="C3303" s="90" t="s">
        <v>726</v>
      </c>
      <c r="D3303" s="90" t="s">
        <v>722</v>
      </c>
      <c r="E3303" s="102" t="s">
        <v>11</v>
      </c>
      <c r="F3303" s="103" t="s">
        <v>39</v>
      </c>
      <c r="G3303" s="93">
        <v>1750</v>
      </c>
      <c r="H3303" s="93">
        <v>31878</v>
      </c>
      <c r="I3303" s="93">
        <v>130283</v>
      </c>
      <c r="J3303" s="93">
        <v>130755</v>
      </c>
      <c r="K3303" s="93">
        <v>31143</v>
      </c>
      <c r="L3303" s="93">
        <v>42749.72</v>
      </c>
      <c r="M3303" s="93">
        <v>368559.28</v>
      </c>
      <c r="N3303" s="95">
        <v>0.01</v>
      </c>
      <c r="O3303" s="95">
        <v>0.1</v>
      </c>
      <c r="P3303" s="95">
        <v>0.4</v>
      </c>
      <c r="Q3303" s="95">
        <v>0.4</v>
      </c>
      <c r="R3303" s="104">
        <v>0.1</v>
      </c>
    </row>
    <row r="3304" spans="1:18" ht="15" hidden="1" customHeight="1" x14ac:dyDescent="0.3">
      <c r="A3304" s="101">
        <v>2025</v>
      </c>
      <c r="B3304" s="90">
        <v>5</v>
      </c>
      <c r="C3304" s="90" t="s">
        <v>726</v>
      </c>
      <c r="D3304" s="90" t="s">
        <v>722</v>
      </c>
      <c r="E3304" s="102" t="s">
        <v>11</v>
      </c>
      <c r="F3304" s="103" t="s">
        <v>40</v>
      </c>
      <c r="G3304" s="93">
        <v>1984</v>
      </c>
      <c r="H3304" s="93">
        <v>12917</v>
      </c>
      <c r="I3304" s="93">
        <v>67568</v>
      </c>
      <c r="J3304" s="93">
        <v>188815</v>
      </c>
      <c r="K3304" s="93">
        <v>48824</v>
      </c>
      <c r="L3304" s="93">
        <v>43455.17</v>
      </c>
      <c r="M3304" s="93">
        <v>363563.88</v>
      </c>
      <c r="N3304" s="95">
        <v>0.01</v>
      </c>
      <c r="O3304" s="95">
        <v>0.04</v>
      </c>
      <c r="P3304" s="95">
        <v>0.21</v>
      </c>
      <c r="Q3304" s="95">
        <v>0.59</v>
      </c>
      <c r="R3304" s="104">
        <v>0.15</v>
      </c>
    </row>
    <row r="3305" spans="1:18" ht="15" hidden="1" customHeight="1" x14ac:dyDescent="0.3">
      <c r="A3305" s="101">
        <v>2025</v>
      </c>
      <c r="B3305" s="90">
        <v>5</v>
      </c>
      <c r="C3305" s="90" t="s">
        <v>726</v>
      </c>
      <c r="D3305" s="90" t="s">
        <v>722</v>
      </c>
      <c r="E3305" s="102" t="s">
        <v>11</v>
      </c>
      <c r="F3305" s="103" t="s">
        <v>41</v>
      </c>
      <c r="G3305" s="93">
        <v>473</v>
      </c>
      <c r="H3305" s="93">
        <v>3518</v>
      </c>
      <c r="I3305" s="93">
        <v>7432</v>
      </c>
      <c r="J3305" s="93">
        <v>5919</v>
      </c>
      <c r="K3305" s="93">
        <v>1356</v>
      </c>
      <c r="L3305" s="93">
        <v>856342.07</v>
      </c>
      <c r="M3305" s="93">
        <v>875041.24</v>
      </c>
      <c r="N3305" s="95">
        <v>0.03</v>
      </c>
      <c r="O3305" s="95">
        <v>0.19</v>
      </c>
      <c r="P3305" s="95">
        <v>0.4</v>
      </c>
      <c r="Q3305" s="95">
        <v>0.32</v>
      </c>
      <c r="R3305" s="104">
        <v>7.0000000000000007E-2</v>
      </c>
    </row>
    <row r="3306" spans="1:18" ht="15" hidden="1" customHeight="1" x14ac:dyDescent="0.3">
      <c r="A3306" s="101">
        <v>2025</v>
      </c>
      <c r="B3306" s="90">
        <v>5</v>
      </c>
      <c r="C3306" s="90" t="s">
        <v>726</v>
      </c>
      <c r="D3306" s="90" t="s">
        <v>722</v>
      </c>
      <c r="E3306" s="102" t="s">
        <v>11</v>
      </c>
      <c r="F3306" s="103" t="s">
        <v>42</v>
      </c>
      <c r="G3306" s="93">
        <v>5707</v>
      </c>
      <c r="H3306" s="93">
        <v>31519</v>
      </c>
      <c r="I3306" s="93">
        <v>179647</v>
      </c>
      <c r="J3306" s="93">
        <v>213716</v>
      </c>
      <c r="K3306" s="93">
        <v>97832</v>
      </c>
      <c r="L3306" s="93">
        <v>1782.18</v>
      </c>
      <c r="M3306" s="93">
        <v>530202.78</v>
      </c>
      <c r="N3306" s="95">
        <v>0.01</v>
      </c>
      <c r="O3306" s="95">
        <v>0.06</v>
      </c>
      <c r="P3306" s="95">
        <v>0.34</v>
      </c>
      <c r="Q3306" s="95">
        <v>0.4</v>
      </c>
      <c r="R3306" s="104">
        <v>0.19</v>
      </c>
    </row>
    <row r="3307" spans="1:18" ht="15" hidden="1" customHeight="1" x14ac:dyDescent="0.3">
      <c r="A3307" s="101">
        <v>2025</v>
      </c>
      <c r="B3307" s="90">
        <v>5</v>
      </c>
      <c r="C3307" s="90" t="s">
        <v>726</v>
      </c>
      <c r="D3307" s="90" t="s">
        <v>722</v>
      </c>
      <c r="E3307" s="102" t="s">
        <v>11</v>
      </c>
      <c r="F3307" s="103" t="s">
        <v>43</v>
      </c>
      <c r="G3307" s="93">
        <v>442</v>
      </c>
      <c r="H3307" s="93">
        <v>12030</v>
      </c>
      <c r="I3307" s="93">
        <v>26104</v>
      </c>
      <c r="J3307" s="93">
        <v>21184</v>
      </c>
      <c r="K3307" s="93">
        <v>9287</v>
      </c>
      <c r="L3307" s="93">
        <v>61908.3</v>
      </c>
      <c r="M3307" s="93">
        <v>130955.36</v>
      </c>
      <c r="N3307" s="95">
        <v>0.01</v>
      </c>
      <c r="O3307" s="95">
        <v>0.17</v>
      </c>
      <c r="P3307" s="95">
        <v>0.38</v>
      </c>
      <c r="Q3307" s="95">
        <v>0.31</v>
      </c>
      <c r="R3307" s="104">
        <v>0.13</v>
      </c>
    </row>
    <row r="3308" spans="1:18" ht="15" hidden="1" customHeight="1" x14ac:dyDescent="0.3">
      <c r="A3308" s="101">
        <v>2025</v>
      </c>
      <c r="B3308" s="90">
        <v>5</v>
      </c>
      <c r="C3308" s="90" t="s">
        <v>726</v>
      </c>
      <c r="D3308" s="90" t="s">
        <v>722</v>
      </c>
      <c r="E3308" s="102" t="s">
        <v>11</v>
      </c>
      <c r="F3308" s="103" t="s">
        <v>58</v>
      </c>
      <c r="G3308" s="93">
        <v>1182</v>
      </c>
      <c r="H3308" s="93">
        <v>7605</v>
      </c>
      <c r="I3308" s="93">
        <v>46496</v>
      </c>
      <c r="J3308" s="93">
        <v>191101</v>
      </c>
      <c r="K3308" s="93">
        <v>121006</v>
      </c>
      <c r="L3308" s="93">
        <v>12408.01</v>
      </c>
      <c r="M3308" s="93">
        <v>379798.03</v>
      </c>
      <c r="N3308" s="95">
        <v>0</v>
      </c>
      <c r="O3308" s="95">
        <v>0.02</v>
      </c>
      <c r="P3308" s="95">
        <v>0.13</v>
      </c>
      <c r="Q3308" s="95">
        <v>0.52</v>
      </c>
      <c r="R3308" s="104">
        <v>0.33</v>
      </c>
    </row>
    <row r="3309" spans="1:18" ht="15" hidden="1" customHeight="1" x14ac:dyDescent="0.3">
      <c r="A3309" s="101">
        <v>2025</v>
      </c>
      <c r="B3309" s="90">
        <v>5</v>
      </c>
      <c r="C3309" s="90" t="s">
        <v>726</v>
      </c>
      <c r="D3309" s="90" t="s">
        <v>722</v>
      </c>
      <c r="E3309" s="102" t="s">
        <v>11</v>
      </c>
      <c r="F3309" s="103" t="s">
        <v>44</v>
      </c>
      <c r="G3309" s="93">
        <v>2210</v>
      </c>
      <c r="H3309" s="93">
        <v>6750</v>
      </c>
      <c r="I3309" s="93">
        <v>39444</v>
      </c>
      <c r="J3309" s="93">
        <v>86444</v>
      </c>
      <c r="K3309" s="93">
        <v>34739</v>
      </c>
      <c r="L3309" s="93">
        <v>39788.519999999997</v>
      </c>
      <c r="M3309" s="93">
        <v>209375.24</v>
      </c>
      <c r="N3309" s="95">
        <v>0.01</v>
      </c>
      <c r="O3309" s="95">
        <v>0.04</v>
      </c>
      <c r="P3309" s="95">
        <v>0.23</v>
      </c>
      <c r="Q3309" s="95">
        <v>0.51</v>
      </c>
      <c r="R3309" s="104">
        <v>0.2</v>
      </c>
    </row>
    <row r="3310" spans="1:18" ht="15" hidden="1" customHeight="1" x14ac:dyDescent="0.3">
      <c r="A3310" s="101">
        <v>2025</v>
      </c>
      <c r="B3310" s="90">
        <v>5</v>
      </c>
      <c r="C3310" s="90" t="s">
        <v>726</v>
      </c>
      <c r="D3310" s="90" t="s">
        <v>722</v>
      </c>
      <c r="E3310" s="102" t="s">
        <v>11</v>
      </c>
      <c r="F3310" s="103" t="s">
        <v>51</v>
      </c>
      <c r="G3310" s="93">
        <v>708</v>
      </c>
      <c r="H3310" s="93">
        <v>4215</v>
      </c>
      <c r="I3310" s="93">
        <v>28229</v>
      </c>
      <c r="J3310" s="93">
        <v>81637</v>
      </c>
      <c r="K3310" s="93">
        <v>95358</v>
      </c>
      <c r="L3310" s="93">
        <v>5180.92</v>
      </c>
      <c r="M3310" s="93">
        <v>215327.77</v>
      </c>
      <c r="N3310" s="95">
        <v>0</v>
      </c>
      <c r="O3310" s="95">
        <v>0.02</v>
      </c>
      <c r="P3310" s="95">
        <v>0.13</v>
      </c>
      <c r="Q3310" s="95">
        <v>0.39</v>
      </c>
      <c r="R3310" s="104">
        <v>0.45</v>
      </c>
    </row>
    <row r="3311" spans="1:18" ht="15" hidden="1" customHeight="1" x14ac:dyDescent="0.3">
      <c r="A3311" s="101">
        <v>2025</v>
      </c>
      <c r="B3311" s="90">
        <v>5</v>
      </c>
      <c r="C3311" s="90" t="s">
        <v>726</v>
      </c>
      <c r="D3311" s="90" t="s">
        <v>722</v>
      </c>
      <c r="E3311" s="102" t="s">
        <v>11</v>
      </c>
      <c r="F3311" s="103" t="s">
        <v>45</v>
      </c>
      <c r="G3311" s="93">
        <v>2653</v>
      </c>
      <c r="H3311" s="93">
        <v>8089</v>
      </c>
      <c r="I3311" s="93">
        <v>19308</v>
      </c>
      <c r="J3311" s="93">
        <v>37761</v>
      </c>
      <c r="K3311" s="93">
        <v>16638</v>
      </c>
      <c r="L3311" s="93">
        <v>27928.01</v>
      </c>
      <c r="M3311" s="93">
        <v>112377.3</v>
      </c>
      <c r="N3311" s="95">
        <v>0.03</v>
      </c>
      <c r="O3311" s="95">
        <v>0.1</v>
      </c>
      <c r="P3311" s="95">
        <v>0.23</v>
      </c>
      <c r="Q3311" s="95">
        <v>0.45</v>
      </c>
      <c r="R3311" s="104">
        <v>0.2</v>
      </c>
    </row>
    <row r="3312" spans="1:18" ht="15" hidden="1" customHeight="1" x14ac:dyDescent="0.3">
      <c r="A3312" s="101">
        <v>2025</v>
      </c>
      <c r="B3312" s="90">
        <v>5</v>
      </c>
      <c r="C3312" s="90" t="s">
        <v>726</v>
      </c>
      <c r="D3312" s="90" t="s">
        <v>722</v>
      </c>
      <c r="E3312" s="102" t="s">
        <v>11</v>
      </c>
      <c r="F3312" s="103" t="s">
        <v>721</v>
      </c>
      <c r="G3312" s="93">
        <v>1033</v>
      </c>
      <c r="H3312" s="93">
        <v>17056</v>
      </c>
      <c r="I3312" s="93">
        <v>77264</v>
      </c>
      <c r="J3312" s="93">
        <v>123792</v>
      </c>
      <c r="K3312" s="93">
        <v>90182</v>
      </c>
      <c r="L3312" s="93">
        <v>591300.75</v>
      </c>
      <c r="M3312" s="93">
        <v>900627.04</v>
      </c>
      <c r="N3312" s="95">
        <v>0</v>
      </c>
      <c r="O3312" s="95">
        <v>0.06</v>
      </c>
      <c r="P3312" s="95">
        <v>0.25</v>
      </c>
      <c r="Q3312" s="95">
        <v>0.4</v>
      </c>
      <c r="R3312" s="104">
        <v>0.28999999999999998</v>
      </c>
    </row>
    <row r="3313" spans="1:18" ht="15" hidden="1" customHeight="1" x14ac:dyDescent="0.3">
      <c r="A3313" s="101">
        <v>2025</v>
      </c>
      <c r="B3313" s="90">
        <v>5</v>
      </c>
      <c r="C3313" s="90" t="s">
        <v>726</v>
      </c>
      <c r="D3313" s="90" t="s">
        <v>722</v>
      </c>
      <c r="E3313" s="102" t="s">
        <v>11</v>
      </c>
      <c r="F3313" s="103" t="s">
        <v>46</v>
      </c>
      <c r="G3313" s="93">
        <v>629</v>
      </c>
      <c r="H3313" s="93">
        <v>6277</v>
      </c>
      <c r="I3313" s="93">
        <v>29220</v>
      </c>
      <c r="J3313" s="93">
        <v>58610</v>
      </c>
      <c r="K3313" s="93">
        <v>53564</v>
      </c>
      <c r="L3313" s="93">
        <v>36133.99</v>
      </c>
      <c r="M3313" s="93">
        <v>184434.26</v>
      </c>
      <c r="N3313" s="95">
        <v>0</v>
      </c>
      <c r="O3313" s="95">
        <v>0.04</v>
      </c>
      <c r="P3313" s="95">
        <v>0.2</v>
      </c>
      <c r="Q3313" s="95">
        <v>0.4</v>
      </c>
      <c r="R3313" s="104">
        <v>0.36</v>
      </c>
    </row>
    <row r="3314" spans="1:18" ht="15" hidden="1" customHeight="1" x14ac:dyDescent="0.3">
      <c r="A3314" s="101">
        <v>2025</v>
      </c>
      <c r="B3314" s="90">
        <v>5</v>
      </c>
      <c r="C3314" s="90" t="s">
        <v>726</v>
      </c>
      <c r="D3314" s="90" t="s">
        <v>722</v>
      </c>
      <c r="E3314" s="102" t="s">
        <v>11</v>
      </c>
      <c r="F3314" s="103" t="s">
        <v>47</v>
      </c>
      <c r="G3314" s="93">
        <v>178</v>
      </c>
      <c r="H3314" s="93">
        <v>1751</v>
      </c>
      <c r="I3314" s="93">
        <v>7283</v>
      </c>
      <c r="J3314" s="93">
        <v>17547</v>
      </c>
      <c r="K3314" s="93">
        <v>73237</v>
      </c>
      <c r="L3314" s="93">
        <v>49486.39</v>
      </c>
      <c r="M3314" s="93">
        <v>149481.65</v>
      </c>
      <c r="N3314" s="95">
        <v>0</v>
      </c>
      <c r="O3314" s="95">
        <v>0.02</v>
      </c>
      <c r="P3314" s="95">
        <v>7.0000000000000007E-2</v>
      </c>
      <c r="Q3314" s="95">
        <v>0.18</v>
      </c>
      <c r="R3314" s="104">
        <v>0.73</v>
      </c>
    </row>
    <row r="3315" spans="1:18" ht="15" hidden="1" customHeight="1" x14ac:dyDescent="0.3">
      <c r="A3315" s="101">
        <v>2025</v>
      </c>
      <c r="B3315" s="90">
        <v>5</v>
      </c>
      <c r="C3315" s="90" t="s">
        <v>726</v>
      </c>
      <c r="D3315" s="90" t="s">
        <v>722</v>
      </c>
      <c r="E3315" s="102" t="s">
        <v>11</v>
      </c>
      <c r="F3315" s="103" t="s">
        <v>48</v>
      </c>
      <c r="G3315" s="93">
        <v>455</v>
      </c>
      <c r="H3315" s="93">
        <v>3247</v>
      </c>
      <c r="I3315" s="93">
        <v>22131</v>
      </c>
      <c r="J3315" s="93">
        <v>54561</v>
      </c>
      <c r="K3315" s="93">
        <v>21149</v>
      </c>
      <c r="L3315" s="93">
        <v>248488.77</v>
      </c>
      <c r="M3315" s="93">
        <v>350032.55</v>
      </c>
      <c r="N3315" s="95">
        <v>0</v>
      </c>
      <c r="O3315" s="95">
        <v>0.03</v>
      </c>
      <c r="P3315" s="95">
        <v>0.22</v>
      </c>
      <c r="Q3315" s="95">
        <v>0.54</v>
      </c>
      <c r="R3315" s="104">
        <v>0.21</v>
      </c>
    </row>
    <row r="3316" spans="1:18" ht="15" hidden="1" customHeight="1" x14ac:dyDescent="0.3">
      <c r="A3316" s="101">
        <v>2025</v>
      </c>
      <c r="B3316" s="90">
        <v>6</v>
      </c>
      <c r="C3316" s="90" t="s">
        <v>727</v>
      </c>
      <c r="D3316" s="90" t="s">
        <v>719</v>
      </c>
      <c r="E3316" s="102" t="s">
        <v>11</v>
      </c>
      <c r="F3316" s="103" t="s">
        <v>12</v>
      </c>
      <c r="G3316" s="93">
        <v>22936</v>
      </c>
      <c r="H3316" s="93">
        <v>88524</v>
      </c>
      <c r="I3316" s="93">
        <v>157116</v>
      </c>
      <c r="J3316" s="93">
        <v>103219</v>
      </c>
      <c r="K3316" s="93">
        <v>12325</v>
      </c>
      <c r="L3316" s="93">
        <v>5807.64</v>
      </c>
      <c r="M3316" s="93">
        <v>389926.9</v>
      </c>
      <c r="N3316" s="95">
        <v>0.06</v>
      </c>
      <c r="O3316" s="95">
        <v>0.23</v>
      </c>
      <c r="P3316" s="95">
        <v>0.41</v>
      </c>
      <c r="Q3316" s="95">
        <v>0.27</v>
      </c>
      <c r="R3316" s="104">
        <v>0.03</v>
      </c>
    </row>
    <row r="3317" spans="1:18" ht="15" hidden="1" customHeight="1" x14ac:dyDescent="0.3">
      <c r="A3317" s="101">
        <v>2025</v>
      </c>
      <c r="B3317" s="90">
        <v>6</v>
      </c>
      <c r="C3317" s="90" t="s">
        <v>727</v>
      </c>
      <c r="D3317" s="90" t="s">
        <v>719</v>
      </c>
      <c r="E3317" s="102" t="s">
        <v>11</v>
      </c>
      <c r="F3317" s="103" t="s">
        <v>26</v>
      </c>
      <c r="G3317" s="93">
        <v>112578</v>
      </c>
      <c r="H3317" s="93">
        <v>392210</v>
      </c>
      <c r="I3317" s="93">
        <v>441026</v>
      </c>
      <c r="J3317" s="93">
        <v>89719</v>
      </c>
      <c r="K3317" s="93">
        <v>4995</v>
      </c>
      <c r="L3317" s="93">
        <v>17246.03</v>
      </c>
      <c r="M3317" s="93">
        <v>1057774.1100000001</v>
      </c>
      <c r="N3317" s="95">
        <v>0.11</v>
      </c>
      <c r="O3317" s="95">
        <v>0.38</v>
      </c>
      <c r="P3317" s="95">
        <v>0.42</v>
      </c>
      <c r="Q3317" s="95">
        <v>0.09</v>
      </c>
      <c r="R3317" s="104">
        <v>0</v>
      </c>
    </row>
    <row r="3318" spans="1:18" ht="15" hidden="1" customHeight="1" x14ac:dyDescent="0.3">
      <c r="A3318" s="101">
        <v>2025</v>
      </c>
      <c r="B3318" s="90">
        <v>6</v>
      </c>
      <c r="C3318" s="90" t="s">
        <v>727</v>
      </c>
      <c r="D3318" s="90" t="s">
        <v>719</v>
      </c>
      <c r="E3318" s="102" t="s">
        <v>11</v>
      </c>
      <c r="F3318" s="103" t="s">
        <v>27</v>
      </c>
      <c r="G3318" s="93">
        <v>108</v>
      </c>
      <c r="H3318" s="93">
        <v>4280</v>
      </c>
      <c r="I3318" s="93">
        <v>54109</v>
      </c>
      <c r="J3318" s="93">
        <v>132480</v>
      </c>
      <c r="K3318" s="93">
        <v>30377</v>
      </c>
      <c r="L3318" s="93">
        <v>200192.01</v>
      </c>
      <c r="M3318" s="93">
        <v>421546.26</v>
      </c>
      <c r="N3318" s="95">
        <v>0</v>
      </c>
      <c r="O3318" s="95">
        <v>0.02</v>
      </c>
      <c r="P3318" s="95">
        <v>0.24</v>
      </c>
      <c r="Q3318" s="95">
        <v>0.6</v>
      </c>
      <c r="R3318" s="104">
        <v>0.14000000000000001</v>
      </c>
    </row>
    <row r="3319" spans="1:18" ht="15" hidden="1" customHeight="1" x14ac:dyDescent="0.3">
      <c r="A3319" s="101">
        <v>2025</v>
      </c>
      <c r="B3319" s="90">
        <v>6</v>
      </c>
      <c r="C3319" s="90" t="s">
        <v>727</v>
      </c>
      <c r="D3319" s="90" t="s">
        <v>719</v>
      </c>
      <c r="E3319" s="102" t="s">
        <v>11</v>
      </c>
      <c r="F3319" s="103" t="s">
        <v>28</v>
      </c>
      <c r="G3319" s="93">
        <v>2564</v>
      </c>
      <c r="H3319" s="93">
        <v>9576</v>
      </c>
      <c r="I3319" s="93">
        <v>58823</v>
      </c>
      <c r="J3319" s="93">
        <v>227296</v>
      </c>
      <c r="K3319" s="93">
        <v>71391</v>
      </c>
      <c r="L3319" s="93">
        <v>85963.37</v>
      </c>
      <c r="M3319" s="93">
        <v>455613.99</v>
      </c>
      <c r="N3319" s="95">
        <v>0.01</v>
      </c>
      <c r="O3319" s="95">
        <v>0.03</v>
      </c>
      <c r="P3319" s="95">
        <v>0.16</v>
      </c>
      <c r="Q3319" s="95">
        <v>0.61</v>
      </c>
      <c r="R3319" s="104">
        <v>0.19</v>
      </c>
    </row>
    <row r="3320" spans="1:18" ht="15" customHeight="1" x14ac:dyDescent="0.3">
      <c r="A3320" s="101">
        <v>2025</v>
      </c>
      <c r="B3320" s="90">
        <v>6</v>
      </c>
      <c r="C3320" s="90" t="s">
        <v>727</v>
      </c>
      <c r="D3320" s="90" t="s">
        <v>719</v>
      </c>
      <c r="E3320" s="102" t="s">
        <v>11</v>
      </c>
      <c r="F3320" s="103" t="s">
        <v>29</v>
      </c>
      <c r="G3320" s="93">
        <v>6698</v>
      </c>
      <c r="H3320" s="93">
        <v>29644</v>
      </c>
      <c r="I3320" s="93">
        <v>75336</v>
      </c>
      <c r="J3320" s="93">
        <v>131895</v>
      </c>
      <c r="K3320" s="93">
        <v>41251</v>
      </c>
      <c r="L3320" s="93">
        <v>36666.43</v>
      </c>
      <c r="M3320" s="93">
        <v>321490.81</v>
      </c>
      <c r="N3320" s="95">
        <v>0.02</v>
      </c>
      <c r="O3320" s="95">
        <v>0.1</v>
      </c>
      <c r="P3320" s="95">
        <v>0.26</v>
      </c>
      <c r="Q3320" s="95">
        <v>0.46</v>
      </c>
      <c r="R3320" s="104">
        <v>0.14000000000000001</v>
      </c>
    </row>
    <row r="3321" spans="1:18" ht="15" hidden="1" customHeight="1" x14ac:dyDescent="0.3">
      <c r="A3321" s="101">
        <v>2025</v>
      </c>
      <c r="B3321" s="90">
        <v>6</v>
      </c>
      <c r="C3321" s="90" t="s">
        <v>727</v>
      </c>
      <c r="D3321" s="90" t="s">
        <v>719</v>
      </c>
      <c r="E3321" s="102" t="s">
        <v>11</v>
      </c>
      <c r="F3321" s="103" t="s">
        <v>30</v>
      </c>
      <c r="G3321" s="93">
        <v>298</v>
      </c>
      <c r="H3321" s="93">
        <v>2710</v>
      </c>
      <c r="I3321" s="93">
        <v>7236</v>
      </c>
      <c r="J3321" s="93">
        <v>4022</v>
      </c>
      <c r="K3321" s="93">
        <v>418</v>
      </c>
      <c r="L3321" s="93">
        <v>563033.13</v>
      </c>
      <c r="M3321" s="93">
        <v>577717.34</v>
      </c>
      <c r="N3321" s="95">
        <v>0.02</v>
      </c>
      <c r="O3321" s="95">
        <v>0.18</v>
      </c>
      <c r="P3321" s="95">
        <v>0.49</v>
      </c>
      <c r="Q3321" s="95">
        <v>0.27</v>
      </c>
      <c r="R3321" s="104">
        <v>0.03</v>
      </c>
    </row>
    <row r="3322" spans="1:18" ht="15" hidden="1" customHeight="1" x14ac:dyDescent="0.3">
      <c r="A3322" s="101">
        <v>2025</v>
      </c>
      <c r="B3322" s="90">
        <v>6</v>
      </c>
      <c r="C3322" s="90" t="s">
        <v>727</v>
      </c>
      <c r="D3322" s="90" t="s">
        <v>719</v>
      </c>
      <c r="E3322" s="102" t="s">
        <v>11</v>
      </c>
      <c r="F3322" s="103" t="s">
        <v>31</v>
      </c>
      <c r="G3322" s="93">
        <v>2122</v>
      </c>
      <c r="H3322" s="93">
        <v>51002</v>
      </c>
      <c r="I3322" s="93">
        <v>78653</v>
      </c>
      <c r="J3322" s="93">
        <v>50019</v>
      </c>
      <c r="K3322" s="93">
        <v>24408</v>
      </c>
      <c r="L3322" s="93">
        <v>1029118.88</v>
      </c>
      <c r="M3322" s="93">
        <v>1235322.97</v>
      </c>
      <c r="N3322" s="95">
        <v>0.01</v>
      </c>
      <c r="O3322" s="95">
        <v>0.25</v>
      </c>
      <c r="P3322" s="95">
        <v>0.38</v>
      </c>
      <c r="Q3322" s="95">
        <v>0.24</v>
      </c>
      <c r="R3322" s="104">
        <v>0.12</v>
      </c>
    </row>
    <row r="3323" spans="1:18" ht="15" hidden="1" customHeight="1" x14ac:dyDescent="0.3">
      <c r="A3323" s="101">
        <v>2025</v>
      </c>
      <c r="B3323" s="90">
        <v>6</v>
      </c>
      <c r="C3323" s="90" t="s">
        <v>727</v>
      </c>
      <c r="D3323" s="90" t="s">
        <v>719</v>
      </c>
      <c r="E3323" s="102" t="s">
        <v>11</v>
      </c>
      <c r="F3323" s="103" t="s">
        <v>32</v>
      </c>
      <c r="G3323" s="93">
        <v>5524</v>
      </c>
      <c r="H3323" s="93">
        <v>44259</v>
      </c>
      <c r="I3323" s="93">
        <v>147151</v>
      </c>
      <c r="J3323" s="93">
        <v>229005</v>
      </c>
      <c r="K3323" s="93">
        <v>158180</v>
      </c>
      <c r="L3323" s="93">
        <v>5815.7</v>
      </c>
      <c r="M3323" s="93">
        <v>589935.05000000005</v>
      </c>
      <c r="N3323" s="95">
        <v>0.01</v>
      </c>
      <c r="O3323" s="95">
        <v>0.08</v>
      </c>
      <c r="P3323" s="95">
        <v>0.25</v>
      </c>
      <c r="Q3323" s="95">
        <v>0.39</v>
      </c>
      <c r="R3323" s="104">
        <v>0.27</v>
      </c>
    </row>
    <row r="3324" spans="1:18" ht="15" hidden="1" customHeight="1" x14ac:dyDescent="0.3">
      <c r="A3324" s="101">
        <v>2025</v>
      </c>
      <c r="B3324" s="90">
        <v>6</v>
      </c>
      <c r="C3324" s="90" t="s">
        <v>727</v>
      </c>
      <c r="D3324" s="90" t="s">
        <v>719</v>
      </c>
      <c r="E3324" s="102" t="s">
        <v>11</v>
      </c>
      <c r="F3324" s="103" t="s">
        <v>33</v>
      </c>
      <c r="G3324" s="93">
        <v>35649</v>
      </c>
      <c r="H3324" s="93">
        <v>361832</v>
      </c>
      <c r="I3324" s="93">
        <v>791504</v>
      </c>
      <c r="J3324" s="93">
        <v>123522</v>
      </c>
      <c r="K3324" s="93">
        <v>4360</v>
      </c>
      <c r="L3324" s="93">
        <v>31275.54</v>
      </c>
      <c r="M3324" s="93">
        <v>1348143.04</v>
      </c>
      <c r="N3324" s="95">
        <v>0.03</v>
      </c>
      <c r="O3324" s="95">
        <v>0.27</v>
      </c>
      <c r="P3324" s="95">
        <v>0.6</v>
      </c>
      <c r="Q3324" s="95">
        <v>0.09</v>
      </c>
      <c r="R3324" s="104">
        <v>0</v>
      </c>
    </row>
    <row r="3325" spans="1:18" ht="15" hidden="1" customHeight="1" x14ac:dyDescent="0.3">
      <c r="A3325" s="101">
        <v>2025</v>
      </c>
      <c r="B3325" s="90">
        <v>6</v>
      </c>
      <c r="C3325" s="90" t="s">
        <v>727</v>
      </c>
      <c r="D3325" s="90" t="s">
        <v>719</v>
      </c>
      <c r="E3325" s="102" t="s">
        <v>11</v>
      </c>
      <c r="F3325" s="103" t="s">
        <v>34</v>
      </c>
      <c r="G3325" s="93">
        <v>19361</v>
      </c>
      <c r="H3325" s="93">
        <v>63876</v>
      </c>
      <c r="I3325" s="93">
        <v>306918</v>
      </c>
      <c r="J3325" s="93">
        <v>253348</v>
      </c>
      <c r="K3325" s="93">
        <v>33182</v>
      </c>
      <c r="L3325" s="93">
        <v>10533.66</v>
      </c>
      <c r="M3325" s="93">
        <v>687218.3</v>
      </c>
      <c r="N3325" s="95">
        <v>0.03</v>
      </c>
      <c r="O3325" s="95">
        <v>0.09</v>
      </c>
      <c r="P3325" s="95">
        <v>0.45</v>
      </c>
      <c r="Q3325" s="95">
        <v>0.37</v>
      </c>
      <c r="R3325" s="104">
        <v>0.05</v>
      </c>
    </row>
    <row r="3326" spans="1:18" ht="15" hidden="1" customHeight="1" x14ac:dyDescent="0.3">
      <c r="A3326" s="101">
        <v>2025</v>
      </c>
      <c r="B3326" s="90">
        <v>6</v>
      </c>
      <c r="C3326" s="90" t="s">
        <v>727</v>
      </c>
      <c r="D3326" s="90" t="s">
        <v>719</v>
      </c>
      <c r="E3326" s="102" t="s">
        <v>11</v>
      </c>
      <c r="F3326" s="103" t="s">
        <v>35</v>
      </c>
      <c r="G3326" s="93">
        <v>23452</v>
      </c>
      <c r="H3326" s="93">
        <v>105526</v>
      </c>
      <c r="I3326" s="93">
        <v>122098</v>
      </c>
      <c r="J3326" s="93">
        <v>104136</v>
      </c>
      <c r="K3326" s="93">
        <v>16973</v>
      </c>
      <c r="L3326" s="93">
        <v>70650.34</v>
      </c>
      <c r="M3326" s="93">
        <v>442835.76</v>
      </c>
      <c r="N3326" s="95">
        <v>0.06</v>
      </c>
      <c r="O3326" s="95">
        <v>0.28000000000000003</v>
      </c>
      <c r="P3326" s="95">
        <v>0.33</v>
      </c>
      <c r="Q3326" s="95">
        <v>0.28000000000000003</v>
      </c>
      <c r="R3326" s="104">
        <v>0.05</v>
      </c>
    </row>
    <row r="3327" spans="1:18" ht="15" hidden="1" customHeight="1" x14ac:dyDescent="0.3">
      <c r="A3327" s="101">
        <v>2025</v>
      </c>
      <c r="B3327" s="90">
        <v>6</v>
      </c>
      <c r="C3327" s="90" t="s">
        <v>727</v>
      </c>
      <c r="D3327" s="90" t="s">
        <v>719</v>
      </c>
      <c r="E3327" s="102" t="s">
        <v>11</v>
      </c>
      <c r="F3327" s="103" t="s">
        <v>36</v>
      </c>
      <c r="G3327" s="93">
        <v>3936</v>
      </c>
      <c r="H3327" s="93">
        <v>30637</v>
      </c>
      <c r="I3327" s="93">
        <v>92168</v>
      </c>
      <c r="J3327" s="93">
        <v>89218</v>
      </c>
      <c r="K3327" s="93">
        <v>10051</v>
      </c>
      <c r="L3327" s="93">
        <v>86744.31</v>
      </c>
      <c r="M3327" s="93">
        <v>312754.01</v>
      </c>
      <c r="N3327" s="95">
        <v>0.02</v>
      </c>
      <c r="O3327" s="95">
        <v>0.14000000000000001</v>
      </c>
      <c r="P3327" s="95">
        <v>0.41</v>
      </c>
      <c r="Q3327" s="95">
        <v>0.39</v>
      </c>
      <c r="R3327" s="104">
        <v>0.04</v>
      </c>
    </row>
    <row r="3328" spans="1:18" ht="15" hidden="1" customHeight="1" x14ac:dyDescent="0.3">
      <c r="A3328" s="101">
        <v>2025</v>
      </c>
      <c r="B3328" s="90">
        <v>6</v>
      </c>
      <c r="C3328" s="90" t="s">
        <v>727</v>
      </c>
      <c r="D3328" s="90" t="s">
        <v>719</v>
      </c>
      <c r="E3328" s="102" t="s">
        <v>11</v>
      </c>
      <c r="F3328" s="103" t="s">
        <v>37</v>
      </c>
      <c r="G3328" s="93">
        <v>28578</v>
      </c>
      <c r="H3328" s="93">
        <v>112779</v>
      </c>
      <c r="I3328" s="93">
        <v>129139</v>
      </c>
      <c r="J3328" s="93">
        <v>79465</v>
      </c>
      <c r="K3328" s="93">
        <v>12993</v>
      </c>
      <c r="L3328" s="93">
        <v>305901.25</v>
      </c>
      <c r="M3328" s="93">
        <v>668856.63</v>
      </c>
      <c r="N3328" s="95">
        <v>0.08</v>
      </c>
      <c r="O3328" s="95">
        <v>0.31</v>
      </c>
      <c r="P3328" s="95">
        <v>0.36</v>
      </c>
      <c r="Q3328" s="95">
        <v>0.22</v>
      </c>
      <c r="R3328" s="104">
        <v>0.04</v>
      </c>
    </row>
    <row r="3329" spans="1:18" ht="15" hidden="1" customHeight="1" x14ac:dyDescent="0.3">
      <c r="A3329" s="101">
        <v>2025</v>
      </c>
      <c r="B3329" s="90">
        <v>6</v>
      </c>
      <c r="C3329" s="90" t="s">
        <v>727</v>
      </c>
      <c r="D3329" s="90" t="s">
        <v>719</v>
      </c>
      <c r="E3329" s="102" t="s">
        <v>11</v>
      </c>
      <c r="F3329" s="103" t="s">
        <v>38</v>
      </c>
      <c r="G3329" s="93">
        <v>66434</v>
      </c>
      <c r="H3329" s="93">
        <v>128764</v>
      </c>
      <c r="I3329" s="93">
        <v>320353</v>
      </c>
      <c r="J3329" s="93">
        <v>202419</v>
      </c>
      <c r="K3329" s="93">
        <v>15957</v>
      </c>
      <c r="L3329" s="93">
        <v>19976.82</v>
      </c>
      <c r="M3329" s="93">
        <v>753904.07</v>
      </c>
      <c r="N3329" s="95">
        <v>0.09</v>
      </c>
      <c r="O3329" s="95">
        <v>0.18</v>
      </c>
      <c r="P3329" s="95">
        <v>0.44</v>
      </c>
      <c r="Q3329" s="95">
        <v>0.28000000000000003</v>
      </c>
      <c r="R3329" s="104">
        <v>0.02</v>
      </c>
    </row>
    <row r="3330" spans="1:18" ht="15" hidden="1" customHeight="1" x14ac:dyDescent="0.3">
      <c r="A3330" s="101">
        <v>2025</v>
      </c>
      <c r="B3330" s="90">
        <v>6</v>
      </c>
      <c r="C3330" s="90" t="s">
        <v>727</v>
      </c>
      <c r="D3330" s="90" t="s">
        <v>719</v>
      </c>
      <c r="E3330" s="102" t="s">
        <v>11</v>
      </c>
      <c r="F3330" s="103" t="s">
        <v>39</v>
      </c>
      <c r="G3330" s="93">
        <v>1197</v>
      </c>
      <c r="H3330" s="93">
        <v>30340</v>
      </c>
      <c r="I3330" s="93">
        <v>117154</v>
      </c>
      <c r="J3330" s="93">
        <v>131945</v>
      </c>
      <c r="K3330" s="93">
        <v>33314</v>
      </c>
      <c r="L3330" s="93">
        <v>42504.44</v>
      </c>
      <c r="M3330" s="93">
        <v>356453.33</v>
      </c>
      <c r="N3330" s="95">
        <v>0</v>
      </c>
      <c r="O3330" s="95">
        <v>0.1</v>
      </c>
      <c r="P3330" s="95">
        <v>0.37</v>
      </c>
      <c r="Q3330" s="95">
        <v>0.42</v>
      </c>
      <c r="R3330" s="104">
        <v>0.11</v>
      </c>
    </row>
    <row r="3331" spans="1:18" ht="15" hidden="1" customHeight="1" x14ac:dyDescent="0.3">
      <c r="A3331" s="101">
        <v>2025</v>
      </c>
      <c r="B3331" s="90">
        <v>6</v>
      </c>
      <c r="C3331" s="90" t="s">
        <v>727</v>
      </c>
      <c r="D3331" s="90" t="s">
        <v>719</v>
      </c>
      <c r="E3331" s="102" t="s">
        <v>11</v>
      </c>
      <c r="F3331" s="103" t="s">
        <v>40</v>
      </c>
      <c r="G3331" s="93">
        <v>5272</v>
      </c>
      <c r="H3331" s="93">
        <v>27876</v>
      </c>
      <c r="I3331" s="93">
        <v>106162</v>
      </c>
      <c r="J3331" s="93">
        <v>156221</v>
      </c>
      <c r="K3331" s="93">
        <v>24535</v>
      </c>
      <c r="L3331" s="93">
        <v>43646.84</v>
      </c>
      <c r="M3331" s="93">
        <v>363714.09</v>
      </c>
      <c r="N3331" s="95">
        <v>0.02</v>
      </c>
      <c r="O3331" s="95">
        <v>0.09</v>
      </c>
      <c r="P3331" s="95">
        <v>0.33</v>
      </c>
      <c r="Q3331" s="95">
        <v>0.49</v>
      </c>
      <c r="R3331" s="104">
        <v>0.08</v>
      </c>
    </row>
    <row r="3332" spans="1:18" ht="15" hidden="1" customHeight="1" x14ac:dyDescent="0.3">
      <c r="A3332" s="101">
        <v>2025</v>
      </c>
      <c r="B3332" s="90">
        <v>6</v>
      </c>
      <c r="C3332" s="90" t="s">
        <v>727</v>
      </c>
      <c r="D3332" s="90" t="s">
        <v>719</v>
      </c>
      <c r="E3332" s="102" t="s">
        <v>11</v>
      </c>
      <c r="F3332" s="103" t="s">
        <v>41</v>
      </c>
      <c r="G3332" s="93">
        <v>443</v>
      </c>
      <c r="H3332" s="93">
        <v>4203</v>
      </c>
      <c r="I3332" s="93">
        <v>7754</v>
      </c>
      <c r="J3332" s="93">
        <v>5557</v>
      </c>
      <c r="K3332" s="93">
        <v>586</v>
      </c>
      <c r="L3332" s="93">
        <v>855675.82</v>
      </c>
      <c r="M3332" s="93">
        <v>874218.3</v>
      </c>
      <c r="N3332" s="95">
        <v>0.02</v>
      </c>
      <c r="O3332" s="95">
        <v>0.23</v>
      </c>
      <c r="P3332" s="95">
        <v>0.42</v>
      </c>
      <c r="Q3332" s="95">
        <v>0.3</v>
      </c>
      <c r="R3332" s="104">
        <v>0.03</v>
      </c>
    </row>
    <row r="3333" spans="1:18" ht="15" hidden="1" customHeight="1" x14ac:dyDescent="0.3">
      <c r="A3333" s="101">
        <v>2025</v>
      </c>
      <c r="B3333" s="90">
        <v>6</v>
      </c>
      <c r="C3333" s="90" t="s">
        <v>727</v>
      </c>
      <c r="D3333" s="90" t="s">
        <v>719</v>
      </c>
      <c r="E3333" s="102" t="s">
        <v>11</v>
      </c>
      <c r="F3333" s="103" t="s">
        <v>42</v>
      </c>
      <c r="G3333" s="93">
        <v>8804</v>
      </c>
      <c r="H3333" s="93">
        <v>55383</v>
      </c>
      <c r="I3333" s="93">
        <v>194982</v>
      </c>
      <c r="J3333" s="93">
        <v>203321</v>
      </c>
      <c r="K3333" s="93">
        <v>53090</v>
      </c>
      <c r="L3333" s="93">
        <v>0</v>
      </c>
      <c r="M3333" s="93">
        <v>515581.59</v>
      </c>
      <c r="N3333" s="95">
        <v>0.02</v>
      </c>
      <c r="O3333" s="95">
        <v>0.11</v>
      </c>
      <c r="P3333" s="95">
        <v>0.38</v>
      </c>
      <c r="Q3333" s="95">
        <v>0.39</v>
      </c>
      <c r="R3333" s="104">
        <v>0.1</v>
      </c>
    </row>
    <row r="3334" spans="1:18" ht="15" hidden="1" customHeight="1" x14ac:dyDescent="0.3">
      <c r="A3334" s="101">
        <v>2025</v>
      </c>
      <c r="B3334" s="90">
        <v>6</v>
      </c>
      <c r="C3334" s="90" t="s">
        <v>727</v>
      </c>
      <c r="D3334" s="90" t="s">
        <v>719</v>
      </c>
      <c r="E3334" s="102" t="s">
        <v>11</v>
      </c>
      <c r="F3334" s="103" t="s">
        <v>43</v>
      </c>
      <c r="G3334" s="93">
        <v>1109</v>
      </c>
      <c r="H3334" s="93">
        <v>23077</v>
      </c>
      <c r="I3334" s="93">
        <v>25722</v>
      </c>
      <c r="J3334" s="93">
        <v>13613</v>
      </c>
      <c r="K3334" s="93">
        <v>5762</v>
      </c>
      <c r="L3334" s="93">
        <v>61613.59</v>
      </c>
      <c r="M3334" s="93">
        <v>130895.86</v>
      </c>
      <c r="N3334" s="95">
        <v>0.02</v>
      </c>
      <c r="O3334" s="95">
        <v>0.33</v>
      </c>
      <c r="P3334" s="95">
        <v>0.37</v>
      </c>
      <c r="Q3334" s="95">
        <v>0.2</v>
      </c>
      <c r="R3334" s="104">
        <v>0.08</v>
      </c>
    </row>
    <row r="3335" spans="1:18" ht="15" hidden="1" customHeight="1" x14ac:dyDescent="0.3">
      <c r="A3335" s="101">
        <v>2025</v>
      </c>
      <c r="B3335" s="90">
        <v>6</v>
      </c>
      <c r="C3335" s="90" t="s">
        <v>727</v>
      </c>
      <c r="D3335" s="90" t="s">
        <v>719</v>
      </c>
      <c r="E3335" s="102" t="s">
        <v>11</v>
      </c>
      <c r="F3335" s="103" t="s">
        <v>58</v>
      </c>
      <c r="G3335" s="93">
        <v>4277</v>
      </c>
      <c r="H3335" s="93">
        <v>23704</v>
      </c>
      <c r="I3335" s="93">
        <v>88504</v>
      </c>
      <c r="J3335" s="93">
        <v>190052</v>
      </c>
      <c r="K3335" s="93">
        <v>57835</v>
      </c>
      <c r="L3335" s="93">
        <v>42470.78</v>
      </c>
      <c r="M3335" s="93">
        <v>406843.91</v>
      </c>
      <c r="N3335" s="95">
        <v>0.01</v>
      </c>
      <c r="O3335" s="95">
        <v>7.0000000000000007E-2</v>
      </c>
      <c r="P3335" s="95">
        <v>0.24</v>
      </c>
      <c r="Q3335" s="95">
        <v>0.52</v>
      </c>
      <c r="R3335" s="104">
        <v>0.16</v>
      </c>
    </row>
    <row r="3336" spans="1:18" ht="15" hidden="1" customHeight="1" x14ac:dyDescent="0.3">
      <c r="A3336" s="101">
        <v>2025</v>
      </c>
      <c r="B3336" s="90">
        <v>6</v>
      </c>
      <c r="C3336" s="90" t="s">
        <v>727</v>
      </c>
      <c r="D3336" s="90" t="s">
        <v>719</v>
      </c>
      <c r="E3336" s="102" t="s">
        <v>11</v>
      </c>
      <c r="F3336" s="103" t="s">
        <v>44</v>
      </c>
      <c r="G3336" s="93">
        <v>3046</v>
      </c>
      <c r="H3336" s="93">
        <v>9674</v>
      </c>
      <c r="I3336" s="93">
        <v>40971</v>
      </c>
      <c r="J3336" s="93">
        <v>93087</v>
      </c>
      <c r="K3336" s="93">
        <v>23695</v>
      </c>
      <c r="L3336" s="93">
        <v>70354.740000000005</v>
      </c>
      <c r="M3336" s="93">
        <v>240827.3</v>
      </c>
      <c r="N3336" s="95">
        <v>0.02</v>
      </c>
      <c r="O3336" s="95">
        <v>0.06</v>
      </c>
      <c r="P3336" s="95">
        <v>0.24</v>
      </c>
      <c r="Q3336" s="95">
        <v>0.55000000000000004</v>
      </c>
      <c r="R3336" s="104">
        <v>0.14000000000000001</v>
      </c>
    </row>
    <row r="3337" spans="1:18" ht="15" hidden="1" customHeight="1" x14ac:dyDescent="0.3">
      <c r="A3337" s="101">
        <v>2025</v>
      </c>
      <c r="B3337" s="90">
        <v>6</v>
      </c>
      <c r="C3337" s="90" t="s">
        <v>727</v>
      </c>
      <c r="D3337" s="90" t="s">
        <v>719</v>
      </c>
      <c r="E3337" s="102" t="s">
        <v>11</v>
      </c>
      <c r="F3337" s="103" t="s">
        <v>51</v>
      </c>
      <c r="G3337" s="93">
        <v>1379</v>
      </c>
      <c r="H3337" s="93">
        <v>10601</v>
      </c>
      <c r="I3337" s="93">
        <v>33430</v>
      </c>
      <c r="J3337" s="93">
        <v>53228</v>
      </c>
      <c r="K3337" s="93">
        <v>111527</v>
      </c>
      <c r="L3337" s="93">
        <v>5228.6499999999996</v>
      </c>
      <c r="M3337" s="93">
        <v>215394.49</v>
      </c>
      <c r="N3337" s="95">
        <v>0.01</v>
      </c>
      <c r="O3337" s="95">
        <v>0.05</v>
      </c>
      <c r="P3337" s="95">
        <v>0.16</v>
      </c>
      <c r="Q3337" s="95">
        <v>0.25</v>
      </c>
      <c r="R3337" s="104">
        <v>0.53</v>
      </c>
    </row>
    <row r="3338" spans="1:18" ht="15" hidden="1" customHeight="1" x14ac:dyDescent="0.3">
      <c r="A3338" s="101">
        <v>2025</v>
      </c>
      <c r="B3338" s="90">
        <v>6</v>
      </c>
      <c r="C3338" s="90" t="s">
        <v>727</v>
      </c>
      <c r="D3338" s="90" t="s">
        <v>719</v>
      </c>
      <c r="E3338" s="102" t="s">
        <v>11</v>
      </c>
      <c r="F3338" s="103" t="s">
        <v>45</v>
      </c>
      <c r="G3338" s="93">
        <v>2199</v>
      </c>
      <c r="H3338" s="93">
        <v>12409</v>
      </c>
      <c r="I3338" s="93">
        <v>26491</v>
      </c>
      <c r="J3338" s="93">
        <v>33217</v>
      </c>
      <c r="K3338" s="93">
        <v>9706</v>
      </c>
      <c r="L3338" s="93">
        <v>27741.23</v>
      </c>
      <c r="M3338" s="93">
        <v>111763.65</v>
      </c>
      <c r="N3338" s="95">
        <v>0.03</v>
      </c>
      <c r="O3338" s="95">
        <v>0.15</v>
      </c>
      <c r="P3338" s="95">
        <v>0.32</v>
      </c>
      <c r="Q3338" s="95">
        <v>0.4</v>
      </c>
      <c r="R3338" s="104">
        <v>0.12</v>
      </c>
    </row>
    <row r="3339" spans="1:18" ht="15" hidden="1" customHeight="1" x14ac:dyDescent="0.3">
      <c r="A3339" s="101">
        <v>2025</v>
      </c>
      <c r="B3339" s="90">
        <v>6</v>
      </c>
      <c r="C3339" s="90" t="s">
        <v>727</v>
      </c>
      <c r="D3339" s="90" t="s">
        <v>719</v>
      </c>
      <c r="E3339" s="102" t="s">
        <v>11</v>
      </c>
      <c r="F3339" s="103" t="s">
        <v>721</v>
      </c>
      <c r="G3339" s="93">
        <v>779</v>
      </c>
      <c r="H3339" s="93">
        <v>21564</v>
      </c>
      <c r="I3339" s="93">
        <v>109001</v>
      </c>
      <c r="J3339" s="93">
        <v>131474</v>
      </c>
      <c r="K3339" s="93">
        <v>46443</v>
      </c>
      <c r="L3339" s="93">
        <v>597287.28</v>
      </c>
      <c r="M3339" s="93">
        <v>906548.01</v>
      </c>
      <c r="N3339" s="95">
        <v>0</v>
      </c>
      <c r="O3339" s="95">
        <v>7.0000000000000007E-2</v>
      </c>
      <c r="P3339" s="95">
        <v>0.35</v>
      </c>
      <c r="Q3339" s="95">
        <v>0.43</v>
      </c>
      <c r="R3339" s="104">
        <v>0.15</v>
      </c>
    </row>
    <row r="3340" spans="1:18" ht="15" hidden="1" customHeight="1" x14ac:dyDescent="0.3">
      <c r="A3340" s="101">
        <v>2025</v>
      </c>
      <c r="B3340" s="90">
        <v>6</v>
      </c>
      <c r="C3340" s="90" t="s">
        <v>727</v>
      </c>
      <c r="D3340" s="90" t="s">
        <v>719</v>
      </c>
      <c r="E3340" s="102" t="s">
        <v>11</v>
      </c>
      <c r="F3340" s="103" t="s">
        <v>46</v>
      </c>
      <c r="G3340" s="93">
        <v>1719</v>
      </c>
      <c r="H3340" s="93">
        <v>14828</v>
      </c>
      <c r="I3340" s="93">
        <v>38496</v>
      </c>
      <c r="J3340" s="93">
        <v>50580</v>
      </c>
      <c r="K3340" s="93">
        <v>42299</v>
      </c>
      <c r="L3340" s="93">
        <v>43960.66</v>
      </c>
      <c r="M3340" s="93">
        <v>191883.27</v>
      </c>
      <c r="N3340" s="95">
        <v>0.01</v>
      </c>
      <c r="O3340" s="95">
        <v>0.1</v>
      </c>
      <c r="P3340" s="95">
        <v>0.26</v>
      </c>
      <c r="Q3340" s="95">
        <v>0.34</v>
      </c>
      <c r="R3340" s="104">
        <v>0.28999999999999998</v>
      </c>
    </row>
    <row r="3341" spans="1:18" ht="15" hidden="1" customHeight="1" x14ac:dyDescent="0.3">
      <c r="A3341" s="101">
        <v>2025</v>
      </c>
      <c r="B3341" s="90">
        <v>6</v>
      </c>
      <c r="C3341" s="90" t="s">
        <v>727</v>
      </c>
      <c r="D3341" s="90" t="s">
        <v>719</v>
      </c>
      <c r="E3341" s="102" t="s">
        <v>11</v>
      </c>
      <c r="F3341" s="103" t="s">
        <v>48</v>
      </c>
      <c r="G3341" s="93">
        <v>645</v>
      </c>
      <c r="H3341" s="93">
        <v>5183</v>
      </c>
      <c r="I3341" s="93">
        <v>26065</v>
      </c>
      <c r="J3341" s="93">
        <v>55512</v>
      </c>
      <c r="K3341" s="93">
        <v>14151</v>
      </c>
      <c r="L3341" s="93">
        <v>274503.67</v>
      </c>
      <c r="M3341" s="93">
        <v>376060.17</v>
      </c>
      <c r="N3341" s="95">
        <v>0.01</v>
      </c>
      <c r="O3341" s="95">
        <v>0.05</v>
      </c>
      <c r="P3341" s="95">
        <v>0.26</v>
      </c>
      <c r="Q3341" s="95">
        <v>0.55000000000000004</v>
      </c>
      <c r="R3341" s="104">
        <v>0.14000000000000001</v>
      </c>
    </row>
    <row r="3342" spans="1:18" ht="15" hidden="1" customHeight="1" x14ac:dyDescent="0.3">
      <c r="A3342" s="101">
        <v>2025</v>
      </c>
      <c r="B3342" s="90">
        <v>6</v>
      </c>
      <c r="C3342" s="90" t="s">
        <v>727</v>
      </c>
      <c r="D3342" s="90" t="s">
        <v>722</v>
      </c>
      <c r="E3342" s="102" t="s">
        <v>11</v>
      </c>
      <c r="F3342" s="103" t="s">
        <v>12</v>
      </c>
      <c r="G3342" s="93">
        <v>23182</v>
      </c>
      <c r="H3342" s="93">
        <v>98869</v>
      </c>
      <c r="I3342" s="93">
        <v>153127</v>
      </c>
      <c r="J3342" s="93">
        <v>92106</v>
      </c>
      <c r="K3342" s="93">
        <v>8344</v>
      </c>
      <c r="L3342" s="93">
        <v>26608.37</v>
      </c>
      <c r="M3342" s="93">
        <v>402236.95</v>
      </c>
      <c r="N3342" s="95">
        <v>0.06</v>
      </c>
      <c r="O3342" s="95">
        <v>0.26</v>
      </c>
      <c r="P3342" s="95">
        <v>0.41</v>
      </c>
      <c r="Q3342" s="95">
        <v>0.25</v>
      </c>
      <c r="R3342" s="104">
        <v>0.02</v>
      </c>
    </row>
    <row r="3343" spans="1:18" ht="15" hidden="1" customHeight="1" x14ac:dyDescent="0.3">
      <c r="A3343" s="101">
        <v>2025</v>
      </c>
      <c r="B3343" s="90">
        <v>6</v>
      </c>
      <c r="C3343" s="90" t="s">
        <v>727</v>
      </c>
      <c r="D3343" s="90" t="s">
        <v>722</v>
      </c>
      <c r="E3343" s="102" t="s">
        <v>11</v>
      </c>
      <c r="F3343" s="103" t="s">
        <v>26</v>
      </c>
      <c r="G3343" s="93">
        <v>89111</v>
      </c>
      <c r="H3343" s="93">
        <v>169523</v>
      </c>
      <c r="I3343" s="93">
        <v>359070</v>
      </c>
      <c r="J3343" s="93">
        <v>391708</v>
      </c>
      <c r="K3343" s="93">
        <v>34809</v>
      </c>
      <c r="L3343" s="93">
        <v>29758.6</v>
      </c>
      <c r="M3343" s="93">
        <v>1073980.21</v>
      </c>
      <c r="N3343" s="95">
        <v>0.09</v>
      </c>
      <c r="O3343" s="95">
        <v>0.16</v>
      </c>
      <c r="P3343" s="95">
        <v>0.34</v>
      </c>
      <c r="Q3343" s="95">
        <v>0.38</v>
      </c>
      <c r="R3343" s="104">
        <v>0.03</v>
      </c>
    </row>
    <row r="3344" spans="1:18" ht="15" hidden="1" customHeight="1" x14ac:dyDescent="0.3">
      <c r="A3344" s="101">
        <v>2025</v>
      </c>
      <c r="B3344" s="90">
        <v>6</v>
      </c>
      <c r="C3344" s="90" t="s">
        <v>727</v>
      </c>
      <c r="D3344" s="90" t="s">
        <v>722</v>
      </c>
      <c r="E3344" s="102" t="s">
        <v>11</v>
      </c>
      <c r="F3344" s="103" t="s">
        <v>27</v>
      </c>
      <c r="G3344" s="93">
        <v>383</v>
      </c>
      <c r="H3344" s="93">
        <v>10167</v>
      </c>
      <c r="I3344" s="93">
        <v>61259</v>
      </c>
      <c r="J3344" s="93">
        <v>94312</v>
      </c>
      <c r="K3344" s="93">
        <v>26176</v>
      </c>
      <c r="L3344" s="93">
        <v>368605.23</v>
      </c>
      <c r="M3344" s="93">
        <v>560902.71</v>
      </c>
      <c r="N3344" s="95">
        <v>0</v>
      </c>
      <c r="O3344" s="95">
        <v>0.05</v>
      </c>
      <c r="P3344" s="95">
        <v>0.32</v>
      </c>
      <c r="Q3344" s="95">
        <v>0.49</v>
      </c>
      <c r="R3344" s="104">
        <v>0.14000000000000001</v>
      </c>
    </row>
    <row r="3345" spans="1:18" ht="15" hidden="1" customHeight="1" x14ac:dyDescent="0.3">
      <c r="A3345" s="101">
        <v>2025</v>
      </c>
      <c r="B3345" s="90">
        <v>6</v>
      </c>
      <c r="C3345" s="90" t="s">
        <v>727</v>
      </c>
      <c r="D3345" s="90" t="s">
        <v>722</v>
      </c>
      <c r="E3345" s="102" t="s">
        <v>11</v>
      </c>
      <c r="F3345" s="103" t="s">
        <v>28</v>
      </c>
      <c r="G3345" s="93">
        <v>2663</v>
      </c>
      <c r="H3345" s="93">
        <v>14903</v>
      </c>
      <c r="I3345" s="93">
        <v>91711</v>
      </c>
      <c r="J3345" s="93">
        <v>192447</v>
      </c>
      <c r="K3345" s="93">
        <v>52985</v>
      </c>
      <c r="L3345" s="93">
        <v>86082.75</v>
      </c>
      <c r="M3345" s="93">
        <v>440790.79</v>
      </c>
      <c r="N3345" s="95">
        <v>0.01</v>
      </c>
      <c r="O3345" s="95">
        <v>0.04</v>
      </c>
      <c r="P3345" s="95">
        <v>0.26</v>
      </c>
      <c r="Q3345" s="95">
        <v>0.54</v>
      </c>
      <c r="R3345" s="104">
        <v>0.15</v>
      </c>
    </row>
    <row r="3346" spans="1:18" ht="15" customHeight="1" x14ac:dyDescent="0.3">
      <c r="A3346" s="101">
        <v>2025</v>
      </c>
      <c r="B3346" s="90">
        <v>6</v>
      </c>
      <c r="C3346" s="90" t="s">
        <v>727</v>
      </c>
      <c r="D3346" s="90" t="s">
        <v>722</v>
      </c>
      <c r="E3346" s="102" t="s">
        <v>11</v>
      </c>
      <c r="F3346" s="103" t="s">
        <v>29</v>
      </c>
      <c r="G3346" s="93">
        <v>9190</v>
      </c>
      <c r="H3346" s="93">
        <v>35272</v>
      </c>
      <c r="I3346" s="93">
        <v>72702</v>
      </c>
      <c r="J3346" s="93">
        <v>97988</v>
      </c>
      <c r="K3346" s="93">
        <v>33448</v>
      </c>
      <c r="L3346" s="93">
        <v>27453.09</v>
      </c>
      <c r="M3346" s="93">
        <v>276053.76000000001</v>
      </c>
      <c r="N3346" s="95">
        <v>0.04</v>
      </c>
      <c r="O3346" s="95">
        <v>0.14000000000000001</v>
      </c>
      <c r="P3346" s="95">
        <v>0.28999999999999998</v>
      </c>
      <c r="Q3346" s="95">
        <v>0.39</v>
      </c>
      <c r="R3346" s="104">
        <v>0.13</v>
      </c>
    </row>
    <row r="3347" spans="1:18" ht="15" hidden="1" customHeight="1" x14ac:dyDescent="0.3">
      <c r="A3347" s="101">
        <v>2025</v>
      </c>
      <c r="B3347" s="90">
        <v>6</v>
      </c>
      <c r="C3347" s="90" t="s">
        <v>727</v>
      </c>
      <c r="D3347" s="90" t="s">
        <v>722</v>
      </c>
      <c r="E3347" s="102" t="s">
        <v>11</v>
      </c>
      <c r="F3347" s="103" t="s">
        <v>30</v>
      </c>
      <c r="G3347" s="93">
        <v>351</v>
      </c>
      <c r="H3347" s="93">
        <v>4268</v>
      </c>
      <c r="I3347" s="93">
        <v>7495</v>
      </c>
      <c r="J3347" s="93">
        <v>2523</v>
      </c>
      <c r="K3347" s="93">
        <v>203</v>
      </c>
      <c r="L3347" s="93">
        <v>954986.2</v>
      </c>
      <c r="M3347" s="93">
        <v>969825.43</v>
      </c>
      <c r="N3347" s="95">
        <v>0.02</v>
      </c>
      <c r="O3347" s="95">
        <v>0.28999999999999998</v>
      </c>
      <c r="P3347" s="95">
        <v>0.51</v>
      </c>
      <c r="Q3347" s="95">
        <v>0.17</v>
      </c>
      <c r="R3347" s="104">
        <v>0.01</v>
      </c>
    </row>
    <row r="3348" spans="1:18" ht="15" hidden="1" customHeight="1" x14ac:dyDescent="0.3">
      <c r="A3348" s="101">
        <v>2025</v>
      </c>
      <c r="B3348" s="90">
        <v>6</v>
      </c>
      <c r="C3348" s="90" t="s">
        <v>727</v>
      </c>
      <c r="D3348" s="90" t="s">
        <v>722</v>
      </c>
      <c r="E3348" s="102" t="s">
        <v>11</v>
      </c>
      <c r="F3348" s="103" t="s">
        <v>31</v>
      </c>
      <c r="G3348" s="93">
        <v>1254</v>
      </c>
      <c r="H3348" s="93">
        <v>44174</v>
      </c>
      <c r="I3348" s="93">
        <v>82432</v>
      </c>
      <c r="J3348" s="93">
        <v>54248</v>
      </c>
      <c r="K3348" s="93">
        <v>24824</v>
      </c>
      <c r="L3348" s="93">
        <v>1255938.8999999999</v>
      </c>
      <c r="M3348" s="93">
        <v>1462870.63</v>
      </c>
      <c r="N3348" s="95">
        <v>0.01</v>
      </c>
      <c r="O3348" s="95">
        <v>0.21</v>
      </c>
      <c r="P3348" s="95">
        <v>0.4</v>
      </c>
      <c r="Q3348" s="95">
        <v>0.26</v>
      </c>
      <c r="R3348" s="104">
        <v>0.12</v>
      </c>
    </row>
    <row r="3349" spans="1:18" ht="15" hidden="1" customHeight="1" x14ac:dyDescent="0.3">
      <c r="A3349" s="101">
        <v>2025</v>
      </c>
      <c r="B3349" s="90">
        <v>6</v>
      </c>
      <c r="C3349" s="90" t="s">
        <v>727</v>
      </c>
      <c r="D3349" s="90" t="s">
        <v>722</v>
      </c>
      <c r="E3349" s="102" t="s">
        <v>11</v>
      </c>
      <c r="F3349" s="103" t="s">
        <v>32</v>
      </c>
      <c r="G3349" s="93">
        <v>8071</v>
      </c>
      <c r="H3349" s="93">
        <v>54077</v>
      </c>
      <c r="I3349" s="93">
        <v>121716</v>
      </c>
      <c r="J3349" s="93">
        <v>150683</v>
      </c>
      <c r="K3349" s="93">
        <v>107557</v>
      </c>
      <c r="L3349" s="93">
        <v>4614.54</v>
      </c>
      <c r="M3349" s="93">
        <v>446718.34</v>
      </c>
      <c r="N3349" s="95">
        <v>0.02</v>
      </c>
      <c r="O3349" s="95">
        <v>0.12</v>
      </c>
      <c r="P3349" s="95">
        <v>0.28000000000000003</v>
      </c>
      <c r="Q3349" s="95">
        <v>0.34</v>
      </c>
      <c r="R3349" s="104">
        <v>0.24</v>
      </c>
    </row>
    <row r="3350" spans="1:18" ht="15" hidden="1" customHeight="1" x14ac:dyDescent="0.3">
      <c r="A3350" s="101">
        <v>2025</v>
      </c>
      <c r="B3350" s="90">
        <v>6</v>
      </c>
      <c r="C3350" s="90" t="s">
        <v>727</v>
      </c>
      <c r="D3350" s="90" t="s">
        <v>722</v>
      </c>
      <c r="E3350" s="102" t="s">
        <v>11</v>
      </c>
      <c r="F3350" s="103" t="s">
        <v>33</v>
      </c>
      <c r="G3350" s="93">
        <v>17932</v>
      </c>
      <c r="H3350" s="93">
        <v>95203</v>
      </c>
      <c r="I3350" s="93">
        <v>422406</v>
      </c>
      <c r="J3350" s="93">
        <v>698329</v>
      </c>
      <c r="K3350" s="93">
        <v>83120</v>
      </c>
      <c r="L3350" s="93">
        <v>41552.42</v>
      </c>
      <c r="M3350" s="93">
        <v>1358541.66</v>
      </c>
      <c r="N3350" s="95">
        <v>0.01</v>
      </c>
      <c r="O3350" s="95">
        <v>7.0000000000000007E-2</v>
      </c>
      <c r="P3350" s="95">
        <v>0.32</v>
      </c>
      <c r="Q3350" s="95">
        <v>0.53</v>
      </c>
      <c r="R3350" s="104">
        <v>0.06</v>
      </c>
    </row>
    <row r="3351" spans="1:18" ht="15" hidden="1" customHeight="1" x14ac:dyDescent="0.3">
      <c r="A3351" s="101">
        <v>2025</v>
      </c>
      <c r="B3351" s="90">
        <v>6</v>
      </c>
      <c r="C3351" s="90" t="s">
        <v>727</v>
      </c>
      <c r="D3351" s="90" t="s">
        <v>722</v>
      </c>
      <c r="E3351" s="102" t="s">
        <v>11</v>
      </c>
      <c r="F3351" s="103" t="s">
        <v>34</v>
      </c>
      <c r="G3351" s="93">
        <v>18990</v>
      </c>
      <c r="H3351" s="93">
        <v>48184</v>
      </c>
      <c r="I3351" s="93">
        <v>196703</v>
      </c>
      <c r="J3351" s="93">
        <v>311909</v>
      </c>
      <c r="K3351" s="93">
        <v>52086</v>
      </c>
      <c r="L3351" s="93">
        <v>3893.06</v>
      </c>
      <c r="M3351" s="93">
        <v>631765.87</v>
      </c>
      <c r="N3351" s="95">
        <v>0.03</v>
      </c>
      <c r="O3351" s="95">
        <v>0.08</v>
      </c>
      <c r="P3351" s="95">
        <v>0.31</v>
      </c>
      <c r="Q3351" s="95">
        <v>0.5</v>
      </c>
      <c r="R3351" s="104">
        <v>0.08</v>
      </c>
    </row>
    <row r="3352" spans="1:18" ht="15" hidden="1" customHeight="1" x14ac:dyDescent="0.3">
      <c r="A3352" s="101">
        <v>2025</v>
      </c>
      <c r="B3352" s="90">
        <v>6</v>
      </c>
      <c r="C3352" s="90" t="s">
        <v>727</v>
      </c>
      <c r="D3352" s="90" t="s">
        <v>722</v>
      </c>
      <c r="E3352" s="102" t="s">
        <v>11</v>
      </c>
      <c r="F3352" s="103" t="s">
        <v>35</v>
      </c>
      <c r="G3352" s="93">
        <v>36027</v>
      </c>
      <c r="H3352" s="93">
        <v>142724</v>
      </c>
      <c r="I3352" s="93">
        <v>93371</v>
      </c>
      <c r="J3352" s="93">
        <v>82624</v>
      </c>
      <c r="K3352" s="93">
        <v>10821</v>
      </c>
      <c r="L3352" s="93">
        <v>201710.05</v>
      </c>
      <c r="M3352" s="93">
        <v>567276.52</v>
      </c>
      <c r="N3352" s="95">
        <v>0.1</v>
      </c>
      <c r="O3352" s="95">
        <v>0.39</v>
      </c>
      <c r="P3352" s="95">
        <v>0.26</v>
      </c>
      <c r="Q3352" s="95">
        <v>0.23</v>
      </c>
      <c r="R3352" s="104">
        <v>0.03</v>
      </c>
    </row>
    <row r="3353" spans="1:18" ht="15" hidden="1" customHeight="1" x14ac:dyDescent="0.3">
      <c r="A3353" s="101">
        <v>2025</v>
      </c>
      <c r="B3353" s="90">
        <v>6</v>
      </c>
      <c r="C3353" s="90" t="s">
        <v>727</v>
      </c>
      <c r="D3353" s="90" t="s">
        <v>722</v>
      </c>
      <c r="E3353" s="102" t="s">
        <v>11</v>
      </c>
      <c r="F3353" s="103" t="s">
        <v>36</v>
      </c>
      <c r="G3353" s="93">
        <v>6073</v>
      </c>
      <c r="H3353" s="93">
        <v>40075</v>
      </c>
      <c r="I3353" s="93">
        <v>101458</v>
      </c>
      <c r="J3353" s="93">
        <v>73274</v>
      </c>
      <c r="K3353" s="93">
        <v>3208</v>
      </c>
      <c r="L3353" s="93">
        <v>82467.11</v>
      </c>
      <c r="M3353" s="93">
        <v>306555.21000000002</v>
      </c>
      <c r="N3353" s="95">
        <v>0.03</v>
      </c>
      <c r="O3353" s="95">
        <v>0.18</v>
      </c>
      <c r="P3353" s="95">
        <v>0.45</v>
      </c>
      <c r="Q3353" s="95">
        <v>0.33</v>
      </c>
      <c r="R3353" s="104">
        <v>0.01</v>
      </c>
    </row>
    <row r="3354" spans="1:18" ht="15" hidden="1" customHeight="1" x14ac:dyDescent="0.3">
      <c r="A3354" s="101">
        <v>2025</v>
      </c>
      <c r="B3354" s="90">
        <v>6</v>
      </c>
      <c r="C3354" s="90" t="s">
        <v>727</v>
      </c>
      <c r="D3354" s="90" t="s">
        <v>722</v>
      </c>
      <c r="E3354" s="102" t="s">
        <v>11</v>
      </c>
      <c r="F3354" s="103" t="s">
        <v>37</v>
      </c>
      <c r="G3354" s="93">
        <v>27204</v>
      </c>
      <c r="H3354" s="93">
        <v>108575</v>
      </c>
      <c r="I3354" s="93">
        <v>134129</v>
      </c>
      <c r="J3354" s="93">
        <v>67155</v>
      </c>
      <c r="K3354" s="93">
        <v>7430</v>
      </c>
      <c r="L3354" s="93">
        <v>306155.31</v>
      </c>
      <c r="M3354" s="93">
        <v>650648.39</v>
      </c>
      <c r="N3354" s="95">
        <v>0.08</v>
      </c>
      <c r="O3354" s="95">
        <v>0.32</v>
      </c>
      <c r="P3354" s="95">
        <v>0.39</v>
      </c>
      <c r="Q3354" s="95">
        <v>0.19</v>
      </c>
      <c r="R3354" s="104">
        <v>0.02</v>
      </c>
    </row>
    <row r="3355" spans="1:18" ht="15" hidden="1" customHeight="1" x14ac:dyDescent="0.3">
      <c r="A3355" s="101">
        <v>2025</v>
      </c>
      <c r="B3355" s="90">
        <v>6</v>
      </c>
      <c r="C3355" s="90" t="s">
        <v>727</v>
      </c>
      <c r="D3355" s="90" t="s">
        <v>722</v>
      </c>
      <c r="E3355" s="102" t="s">
        <v>11</v>
      </c>
      <c r="F3355" s="103" t="s">
        <v>38</v>
      </c>
      <c r="G3355" s="93">
        <v>82183</v>
      </c>
      <c r="H3355" s="93">
        <v>175234</v>
      </c>
      <c r="I3355" s="93">
        <v>186063</v>
      </c>
      <c r="J3355" s="93">
        <v>216629</v>
      </c>
      <c r="K3355" s="93">
        <v>51172</v>
      </c>
      <c r="L3355" s="93">
        <v>28475.97</v>
      </c>
      <c r="M3355" s="93">
        <v>739757.13</v>
      </c>
      <c r="N3355" s="95">
        <v>0.12</v>
      </c>
      <c r="O3355" s="95">
        <v>0.25</v>
      </c>
      <c r="P3355" s="95">
        <v>0.26</v>
      </c>
      <c r="Q3355" s="95">
        <v>0.3</v>
      </c>
      <c r="R3355" s="104">
        <v>7.0000000000000007E-2</v>
      </c>
    </row>
    <row r="3356" spans="1:18" ht="15" hidden="1" customHeight="1" x14ac:dyDescent="0.3">
      <c r="A3356" s="101">
        <v>2025</v>
      </c>
      <c r="B3356" s="90">
        <v>6</v>
      </c>
      <c r="C3356" s="90" t="s">
        <v>727</v>
      </c>
      <c r="D3356" s="90" t="s">
        <v>722</v>
      </c>
      <c r="E3356" s="102" t="s">
        <v>11</v>
      </c>
      <c r="F3356" s="103" t="s">
        <v>39</v>
      </c>
      <c r="G3356" s="93">
        <v>1166</v>
      </c>
      <c r="H3356" s="93">
        <v>15086</v>
      </c>
      <c r="I3356" s="93">
        <v>40570</v>
      </c>
      <c r="J3356" s="93">
        <v>59328</v>
      </c>
      <c r="K3356" s="93">
        <v>31942</v>
      </c>
      <c r="L3356" s="93">
        <v>42544.28</v>
      </c>
      <c r="M3356" s="93">
        <v>190635.68</v>
      </c>
      <c r="N3356" s="95">
        <v>0.01</v>
      </c>
      <c r="O3356" s="95">
        <v>0.1</v>
      </c>
      <c r="P3356" s="95">
        <v>0.27</v>
      </c>
      <c r="Q3356" s="95">
        <v>0.4</v>
      </c>
      <c r="R3356" s="104">
        <v>0.22</v>
      </c>
    </row>
    <row r="3357" spans="1:18" ht="15" hidden="1" customHeight="1" x14ac:dyDescent="0.3">
      <c r="A3357" s="101">
        <v>2025</v>
      </c>
      <c r="B3357" s="90">
        <v>6</v>
      </c>
      <c r="C3357" s="90" t="s">
        <v>727</v>
      </c>
      <c r="D3357" s="90" t="s">
        <v>722</v>
      </c>
      <c r="E3357" s="102" t="s">
        <v>11</v>
      </c>
      <c r="F3357" s="103" t="s">
        <v>40</v>
      </c>
      <c r="G3357" s="93">
        <v>5689</v>
      </c>
      <c r="H3357" s="93">
        <v>35754</v>
      </c>
      <c r="I3357" s="93">
        <v>116963</v>
      </c>
      <c r="J3357" s="93">
        <v>143974</v>
      </c>
      <c r="K3357" s="93">
        <v>15506</v>
      </c>
      <c r="L3357" s="93">
        <v>43360.09</v>
      </c>
      <c r="M3357" s="93">
        <v>361245.66</v>
      </c>
      <c r="N3357" s="95">
        <v>0.02</v>
      </c>
      <c r="O3357" s="95">
        <v>0.11</v>
      </c>
      <c r="P3357" s="95">
        <v>0.37</v>
      </c>
      <c r="Q3357" s="95">
        <v>0.45</v>
      </c>
      <c r="R3357" s="104">
        <v>0.05</v>
      </c>
    </row>
    <row r="3358" spans="1:18" ht="15" hidden="1" customHeight="1" x14ac:dyDescent="0.3">
      <c r="A3358" s="101">
        <v>2025</v>
      </c>
      <c r="B3358" s="90">
        <v>6</v>
      </c>
      <c r="C3358" s="90" t="s">
        <v>727</v>
      </c>
      <c r="D3358" s="90" t="s">
        <v>722</v>
      </c>
      <c r="E3358" s="102" t="s">
        <v>11</v>
      </c>
      <c r="F3358" s="103" t="s">
        <v>41</v>
      </c>
      <c r="G3358" s="93">
        <v>2172</v>
      </c>
      <c r="H3358" s="93">
        <v>6791</v>
      </c>
      <c r="I3358" s="93">
        <v>4985</v>
      </c>
      <c r="J3358" s="93">
        <v>2412</v>
      </c>
      <c r="K3358" s="93">
        <v>312</v>
      </c>
      <c r="L3358" s="93">
        <v>856618.82</v>
      </c>
      <c r="M3358" s="93">
        <v>873290.9</v>
      </c>
      <c r="N3358" s="95">
        <v>0.13</v>
      </c>
      <c r="O3358" s="95">
        <v>0.41</v>
      </c>
      <c r="P3358" s="95">
        <v>0.3</v>
      </c>
      <c r="Q3358" s="95">
        <v>0.14000000000000001</v>
      </c>
      <c r="R3358" s="104">
        <v>0.02</v>
      </c>
    </row>
    <row r="3359" spans="1:18" ht="15" hidden="1" customHeight="1" x14ac:dyDescent="0.3">
      <c r="A3359" s="101">
        <v>2025</v>
      </c>
      <c r="B3359" s="90">
        <v>6</v>
      </c>
      <c r="C3359" s="90" t="s">
        <v>727</v>
      </c>
      <c r="D3359" s="90" t="s">
        <v>722</v>
      </c>
      <c r="E3359" s="102" t="s">
        <v>11</v>
      </c>
      <c r="F3359" s="103" t="s">
        <v>42</v>
      </c>
      <c r="G3359" s="93">
        <v>6638</v>
      </c>
      <c r="H3359" s="93">
        <v>41386</v>
      </c>
      <c r="I3359" s="93">
        <v>124199</v>
      </c>
      <c r="J3359" s="93">
        <v>120377</v>
      </c>
      <c r="K3359" s="93">
        <v>29651</v>
      </c>
      <c r="L3359" s="93">
        <v>38141.050000000003</v>
      </c>
      <c r="M3359" s="93">
        <v>360392.27</v>
      </c>
      <c r="N3359" s="95">
        <v>0.02</v>
      </c>
      <c r="O3359" s="95">
        <v>0.13</v>
      </c>
      <c r="P3359" s="95">
        <v>0.39</v>
      </c>
      <c r="Q3359" s="95">
        <v>0.37</v>
      </c>
      <c r="R3359" s="104">
        <v>0.09</v>
      </c>
    </row>
    <row r="3360" spans="1:18" ht="15" hidden="1" customHeight="1" x14ac:dyDescent="0.3">
      <c r="A3360" s="101">
        <v>2025</v>
      </c>
      <c r="B3360" s="90">
        <v>6</v>
      </c>
      <c r="C3360" s="90" t="s">
        <v>727</v>
      </c>
      <c r="D3360" s="90" t="s">
        <v>722</v>
      </c>
      <c r="E3360" s="102" t="s">
        <v>11</v>
      </c>
      <c r="F3360" s="103" t="s">
        <v>43</v>
      </c>
      <c r="G3360" s="93">
        <v>883</v>
      </c>
      <c r="H3360" s="93">
        <v>21234</v>
      </c>
      <c r="I3360" s="93">
        <v>27248</v>
      </c>
      <c r="J3360" s="93">
        <v>14069</v>
      </c>
      <c r="K3360" s="93">
        <v>5175</v>
      </c>
      <c r="L3360" s="93">
        <v>61431.72</v>
      </c>
      <c r="M3360" s="93">
        <v>130040.32000000001</v>
      </c>
      <c r="N3360" s="95">
        <v>0.01</v>
      </c>
      <c r="O3360" s="95">
        <v>0.31</v>
      </c>
      <c r="P3360" s="95">
        <v>0.4</v>
      </c>
      <c r="Q3360" s="95">
        <v>0.21</v>
      </c>
      <c r="R3360" s="104">
        <v>0.08</v>
      </c>
    </row>
    <row r="3361" spans="1:18" ht="15" hidden="1" customHeight="1" x14ac:dyDescent="0.3">
      <c r="A3361" s="101">
        <v>2025</v>
      </c>
      <c r="B3361" s="90">
        <v>6</v>
      </c>
      <c r="C3361" s="90" t="s">
        <v>727</v>
      </c>
      <c r="D3361" s="90" t="s">
        <v>722</v>
      </c>
      <c r="E3361" s="102" t="s">
        <v>11</v>
      </c>
      <c r="F3361" s="103" t="s">
        <v>58</v>
      </c>
      <c r="G3361" s="93">
        <v>5712</v>
      </c>
      <c r="H3361" s="93">
        <v>31569</v>
      </c>
      <c r="I3361" s="93">
        <v>83236</v>
      </c>
      <c r="J3361" s="93">
        <v>156552</v>
      </c>
      <c r="K3361" s="93">
        <v>49311</v>
      </c>
      <c r="L3361" s="93">
        <v>111096.13</v>
      </c>
      <c r="M3361" s="93">
        <v>437476.77</v>
      </c>
      <c r="N3361" s="95">
        <v>0.02</v>
      </c>
      <c r="O3361" s="95">
        <v>0.1</v>
      </c>
      <c r="P3361" s="95">
        <v>0.26</v>
      </c>
      <c r="Q3361" s="95">
        <v>0.48</v>
      </c>
      <c r="R3361" s="104">
        <v>0.15</v>
      </c>
    </row>
    <row r="3362" spans="1:18" ht="15" hidden="1" customHeight="1" x14ac:dyDescent="0.3">
      <c r="A3362" s="101">
        <v>2025</v>
      </c>
      <c r="B3362" s="90">
        <v>6</v>
      </c>
      <c r="C3362" s="90" t="s">
        <v>727</v>
      </c>
      <c r="D3362" s="90" t="s">
        <v>722</v>
      </c>
      <c r="E3362" s="102" t="s">
        <v>11</v>
      </c>
      <c r="F3362" s="103" t="s">
        <v>44</v>
      </c>
      <c r="G3362" s="93">
        <v>3199</v>
      </c>
      <c r="H3362" s="93">
        <v>14788</v>
      </c>
      <c r="I3362" s="93">
        <v>57573</v>
      </c>
      <c r="J3362" s="93">
        <v>81021</v>
      </c>
      <c r="K3362" s="93">
        <v>14112</v>
      </c>
      <c r="L3362" s="93">
        <v>928760.86</v>
      </c>
      <c r="M3362" s="93">
        <v>1099454.3799999999</v>
      </c>
      <c r="N3362" s="95">
        <v>0.02</v>
      </c>
      <c r="O3362" s="95">
        <v>0.09</v>
      </c>
      <c r="P3362" s="95">
        <v>0.34</v>
      </c>
      <c r="Q3362" s="95">
        <v>0.47</v>
      </c>
      <c r="R3362" s="104">
        <v>0.08</v>
      </c>
    </row>
    <row r="3363" spans="1:18" ht="15" hidden="1" customHeight="1" x14ac:dyDescent="0.3">
      <c r="A3363" s="101">
        <v>2025</v>
      </c>
      <c r="B3363" s="90">
        <v>6</v>
      </c>
      <c r="C3363" s="90" t="s">
        <v>727</v>
      </c>
      <c r="D3363" s="90" t="s">
        <v>722</v>
      </c>
      <c r="E3363" s="102" t="s">
        <v>11</v>
      </c>
      <c r="F3363" s="103" t="s">
        <v>51</v>
      </c>
      <c r="G3363" s="93">
        <v>1449</v>
      </c>
      <c r="H3363" s="93">
        <v>13391</v>
      </c>
      <c r="I3363" s="93">
        <v>30140</v>
      </c>
      <c r="J3363" s="93">
        <v>42174</v>
      </c>
      <c r="K3363" s="93">
        <v>122304</v>
      </c>
      <c r="L3363" s="93">
        <v>5090.1099999999997</v>
      </c>
      <c r="M3363" s="93">
        <v>214549.87</v>
      </c>
      <c r="N3363" s="95">
        <v>0.01</v>
      </c>
      <c r="O3363" s="95">
        <v>0.06</v>
      </c>
      <c r="P3363" s="95">
        <v>0.14000000000000001</v>
      </c>
      <c r="Q3363" s="95">
        <v>0.2</v>
      </c>
      <c r="R3363" s="104">
        <v>0.57999999999999996</v>
      </c>
    </row>
    <row r="3364" spans="1:18" ht="15" hidden="1" customHeight="1" x14ac:dyDescent="0.3">
      <c r="A3364" s="101">
        <v>2025</v>
      </c>
      <c r="B3364" s="90">
        <v>6</v>
      </c>
      <c r="C3364" s="90" t="s">
        <v>727</v>
      </c>
      <c r="D3364" s="90" t="s">
        <v>722</v>
      </c>
      <c r="E3364" s="102" t="s">
        <v>11</v>
      </c>
      <c r="F3364" s="103" t="s">
        <v>45</v>
      </c>
      <c r="G3364" s="93">
        <v>2626</v>
      </c>
      <c r="H3364" s="93">
        <v>12744</v>
      </c>
      <c r="I3364" s="93">
        <v>25420</v>
      </c>
      <c r="J3364" s="93">
        <v>31159</v>
      </c>
      <c r="K3364" s="93">
        <v>11746</v>
      </c>
      <c r="L3364" s="93">
        <v>50396.26</v>
      </c>
      <c r="M3364" s="93">
        <v>134091.69</v>
      </c>
      <c r="N3364" s="95">
        <v>0.03</v>
      </c>
      <c r="O3364" s="95">
        <v>0.15</v>
      </c>
      <c r="P3364" s="95">
        <v>0.3</v>
      </c>
      <c r="Q3364" s="95">
        <v>0.37</v>
      </c>
      <c r="R3364" s="104">
        <v>0.14000000000000001</v>
      </c>
    </row>
    <row r="3365" spans="1:18" ht="15" hidden="1" customHeight="1" x14ac:dyDescent="0.3">
      <c r="A3365" s="101">
        <v>2025</v>
      </c>
      <c r="B3365" s="90">
        <v>6</v>
      </c>
      <c r="C3365" s="90" t="s">
        <v>727</v>
      </c>
      <c r="D3365" s="90" t="s">
        <v>722</v>
      </c>
      <c r="E3365" s="102" t="s">
        <v>11</v>
      </c>
      <c r="F3365" s="103" t="s">
        <v>721</v>
      </c>
      <c r="G3365" s="93">
        <v>2288</v>
      </c>
      <c r="H3365" s="93">
        <v>36578</v>
      </c>
      <c r="I3365" s="93">
        <v>89201</v>
      </c>
      <c r="J3365" s="93">
        <v>79776</v>
      </c>
      <c r="K3365" s="93">
        <v>16222</v>
      </c>
      <c r="L3365" s="93">
        <v>600163.79</v>
      </c>
      <c r="M3365" s="93">
        <v>824229.56</v>
      </c>
      <c r="N3365" s="95">
        <v>0.01</v>
      </c>
      <c r="O3365" s="95">
        <v>0.16</v>
      </c>
      <c r="P3365" s="95">
        <v>0.4</v>
      </c>
      <c r="Q3365" s="95">
        <v>0.36</v>
      </c>
      <c r="R3365" s="104">
        <v>7.0000000000000007E-2</v>
      </c>
    </row>
    <row r="3366" spans="1:18" ht="15" hidden="1" customHeight="1" x14ac:dyDescent="0.3">
      <c r="A3366" s="101">
        <v>2025</v>
      </c>
      <c r="B3366" s="90">
        <v>6</v>
      </c>
      <c r="C3366" s="90" t="s">
        <v>727</v>
      </c>
      <c r="D3366" s="90" t="s">
        <v>722</v>
      </c>
      <c r="E3366" s="102" t="s">
        <v>11</v>
      </c>
      <c r="F3366" s="103" t="s">
        <v>46</v>
      </c>
      <c r="G3366" s="93">
        <v>3832</v>
      </c>
      <c r="H3366" s="93">
        <v>28763</v>
      </c>
      <c r="I3366" s="93">
        <v>59060</v>
      </c>
      <c r="J3366" s="93">
        <v>46185</v>
      </c>
      <c r="K3366" s="93">
        <v>10188</v>
      </c>
      <c r="L3366" s="93">
        <v>24947.040000000001</v>
      </c>
      <c r="M3366" s="93">
        <v>172975.29</v>
      </c>
      <c r="N3366" s="95">
        <v>0.03</v>
      </c>
      <c r="O3366" s="95">
        <v>0.19</v>
      </c>
      <c r="P3366" s="95">
        <v>0.4</v>
      </c>
      <c r="Q3366" s="95">
        <v>0.31</v>
      </c>
      <c r="R3366" s="104">
        <v>7.0000000000000007E-2</v>
      </c>
    </row>
    <row r="3367" spans="1:18" ht="15" hidden="1" customHeight="1" x14ac:dyDescent="0.3">
      <c r="A3367" s="101">
        <v>2025</v>
      </c>
      <c r="B3367" s="90">
        <v>6</v>
      </c>
      <c r="C3367" s="90" t="s">
        <v>727</v>
      </c>
      <c r="D3367" s="90" t="s">
        <v>722</v>
      </c>
      <c r="E3367" s="102" t="s">
        <v>11</v>
      </c>
      <c r="F3367" s="103" t="s">
        <v>48</v>
      </c>
      <c r="G3367" s="93">
        <v>1077</v>
      </c>
      <c r="H3367" s="93">
        <v>4449</v>
      </c>
      <c r="I3367" s="93">
        <v>15103</v>
      </c>
      <c r="J3367" s="93">
        <v>32215</v>
      </c>
      <c r="K3367" s="93">
        <v>24454</v>
      </c>
      <c r="L3367" s="93">
        <v>422715.57</v>
      </c>
      <c r="M3367" s="93">
        <v>500014.43</v>
      </c>
      <c r="N3367" s="95">
        <v>0.01</v>
      </c>
      <c r="O3367" s="95">
        <v>0.06</v>
      </c>
      <c r="P3367" s="95">
        <v>0.2</v>
      </c>
      <c r="Q3367" s="95">
        <v>0.42</v>
      </c>
      <c r="R3367" s="104">
        <v>0.32</v>
      </c>
    </row>
    <row r="3368" spans="1:18" ht="15" hidden="1" customHeight="1" x14ac:dyDescent="0.3">
      <c r="A3368" s="101">
        <v>2025</v>
      </c>
      <c r="B3368" s="90">
        <v>7</v>
      </c>
      <c r="C3368" s="90" t="s">
        <v>728</v>
      </c>
      <c r="D3368" s="90" t="s">
        <v>719</v>
      </c>
      <c r="E3368" s="102" t="s">
        <v>11</v>
      </c>
      <c r="F3368" s="103" t="s">
        <v>12</v>
      </c>
      <c r="G3368" s="93">
        <v>20190</v>
      </c>
      <c r="H3368" s="93">
        <v>85530</v>
      </c>
      <c r="I3368" s="93">
        <v>136498</v>
      </c>
      <c r="J3368" s="93">
        <v>106720</v>
      </c>
      <c r="K3368" s="93">
        <v>33699</v>
      </c>
      <c r="L3368" s="93">
        <v>258992.55</v>
      </c>
      <c r="M3368" s="93">
        <v>641629.44999999995</v>
      </c>
      <c r="N3368" s="95">
        <v>0.05</v>
      </c>
      <c r="O3368" s="95">
        <v>0.22</v>
      </c>
      <c r="P3368" s="95">
        <v>0.36</v>
      </c>
      <c r="Q3368" s="95">
        <v>0.28000000000000003</v>
      </c>
      <c r="R3368" s="104">
        <v>0.09</v>
      </c>
    </row>
    <row r="3369" spans="1:18" ht="15" hidden="1" customHeight="1" x14ac:dyDescent="0.3">
      <c r="A3369" s="101">
        <v>2025</v>
      </c>
      <c r="B3369" s="90">
        <v>7</v>
      </c>
      <c r="C3369" s="90" t="s">
        <v>728</v>
      </c>
      <c r="D3369" s="90" t="s">
        <v>719</v>
      </c>
      <c r="E3369" s="102" t="s">
        <v>11</v>
      </c>
      <c r="F3369" s="103" t="s">
        <v>26</v>
      </c>
      <c r="G3369" s="93">
        <v>79155</v>
      </c>
      <c r="H3369" s="93">
        <v>142069</v>
      </c>
      <c r="I3369" s="93">
        <v>326804</v>
      </c>
      <c r="J3369" s="93">
        <v>432298</v>
      </c>
      <c r="K3369" s="93">
        <v>61953</v>
      </c>
      <c r="L3369" s="93">
        <v>19998.43</v>
      </c>
      <c r="M3369" s="93">
        <v>1062277.57</v>
      </c>
      <c r="N3369" s="95">
        <v>0.08</v>
      </c>
      <c r="O3369" s="95">
        <v>0.14000000000000001</v>
      </c>
      <c r="P3369" s="95">
        <v>0.31</v>
      </c>
      <c r="Q3369" s="95">
        <v>0.41</v>
      </c>
      <c r="R3369" s="104">
        <v>0.06</v>
      </c>
    </row>
    <row r="3370" spans="1:18" ht="15" hidden="1" customHeight="1" x14ac:dyDescent="0.3">
      <c r="A3370" s="101">
        <v>2025</v>
      </c>
      <c r="B3370" s="90">
        <v>7</v>
      </c>
      <c r="C3370" s="90" t="s">
        <v>728</v>
      </c>
      <c r="D3370" s="90" t="s">
        <v>719</v>
      </c>
      <c r="E3370" s="102" t="s">
        <v>11</v>
      </c>
      <c r="F3370" s="103" t="s">
        <v>27</v>
      </c>
      <c r="G3370" s="93">
        <v>90</v>
      </c>
      <c r="H3370" s="93">
        <v>1951</v>
      </c>
      <c r="I3370" s="93">
        <v>20060</v>
      </c>
      <c r="J3370" s="93">
        <v>71342</v>
      </c>
      <c r="K3370" s="93">
        <v>126493</v>
      </c>
      <c r="L3370" s="93">
        <v>233925.18</v>
      </c>
      <c r="M3370" s="93">
        <v>453861.89</v>
      </c>
      <c r="N3370" s="95">
        <v>0</v>
      </c>
      <c r="O3370" s="95">
        <v>0.01</v>
      </c>
      <c r="P3370" s="95">
        <v>0.09</v>
      </c>
      <c r="Q3370" s="95">
        <v>0.32</v>
      </c>
      <c r="R3370" s="104">
        <v>0.57999999999999996</v>
      </c>
    </row>
    <row r="3371" spans="1:18" ht="15" hidden="1" customHeight="1" x14ac:dyDescent="0.3">
      <c r="A3371" s="101">
        <v>2025</v>
      </c>
      <c r="B3371" s="90">
        <v>7</v>
      </c>
      <c r="C3371" s="90" t="s">
        <v>728</v>
      </c>
      <c r="D3371" s="90" t="s">
        <v>719</v>
      </c>
      <c r="E3371" s="102" t="s">
        <v>11</v>
      </c>
      <c r="F3371" s="103" t="s">
        <v>28</v>
      </c>
      <c r="G3371" s="93">
        <v>1112</v>
      </c>
      <c r="H3371" s="93">
        <v>6242</v>
      </c>
      <c r="I3371" s="93">
        <v>20519</v>
      </c>
      <c r="J3371" s="93">
        <v>122214</v>
      </c>
      <c r="K3371" s="93">
        <v>219690</v>
      </c>
      <c r="L3371" s="93">
        <v>85926.61</v>
      </c>
      <c r="M3371" s="93">
        <v>455703.95</v>
      </c>
      <c r="N3371" s="95">
        <v>0</v>
      </c>
      <c r="O3371" s="95">
        <v>0.02</v>
      </c>
      <c r="P3371" s="95">
        <v>0.06</v>
      </c>
      <c r="Q3371" s="95">
        <v>0.33</v>
      </c>
      <c r="R3371" s="104">
        <v>0.59</v>
      </c>
    </row>
    <row r="3372" spans="1:18" ht="15" customHeight="1" x14ac:dyDescent="0.3">
      <c r="A3372" s="101">
        <v>2025</v>
      </c>
      <c r="B3372" s="90">
        <v>7</v>
      </c>
      <c r="C3372" s="90" t="s">
        <v>728</v>
      </c>
      <c r="D3372" s="90" t="s">
        <v>719</v>
      </c>
      <c r="E3372" s="102" t="s">
        <v>11</v>
      </c>
      <c r="F3372" s="103" t="s">
        <v>29</v>
      </c>
      <c r="G3372" s="93">
        <v>5488</v>
      </c>
      <c r="H3372" s="93">
        <v>24583</v>
      </c>
      <c r="I3372" s="93">
        <v>55915</v>
      </c>
      <c r="J3372" s="93">
        <v>93432</v>
      </c>
      <c r="K3372" s="93">
        <v>73395</v>
      </c>
      <c r="L3372" s="93">
        <v>44326.17</v>
      </c>
      <c r="M3372" s="93">
        <v>297140.15999999997</v>
      </c>
      <c r="N3372" s="95">
        <v>0.02</v>
      </c>
      <c r="O3372" s="95">
        <v>0.1</v>
      </c>
      <c r="P3372" s="95">
        <v>0.22</v>
      </c>
      <c r="Q3372" s="95">
        <v>0.37</v>
      </c>
      <c r="R3372" s="104">
        <v>0.28999999999999998</v>
      </c>
    </row>
    <row r="3373" spans="1:18" ht="15" hidden="1" customHeight="1" x14ac:dyDescent="0.3">
      <c r="A3373" s="101">
        <v>2025</v>
      </c>
      <c r="B3373" s="90">
        <v>7</v>
      </c>
      <c r="C3373" s="90" t="s">
        <v>728</v>
      </c>
      <c r="D3373" s="90" t="s">
        <v>719</v>
      </c>
      <c r="E3373" s="102" t="s">
        <v>11</v>
      </c>
      <c r="F3373" s="103" t="s">
        <v>30</v>
      </c>
      <c r="G3373" s="93">
        <v>146</v>
      </c>
      <c r="H3373" s="93">
        <v>3990</v>
      </c>
      <c r="I3373" s="93">
        <v>7127</v>
      </c>
      <c r="J3373" s="93">
        <v>2856</v>
      </c>
      <c r="K3373" s="93">
        <v>549</v>
      </c>
      <c r="L3373" s="93">
        <v>830692.4</v>
      </c>
      <c r="M3373" s="93">
        <v>845360.78</v>
      </c>
      <c r="N3373" s="95">
        <v>0.01</v>
      </c>
      <c r="O3373" s="95">
        <v>0.27</v>
      </c>
      <c r="P3373" s="95">
        <v>0.49</v>
      </c>
      <c r="Q3373" s="95">
        <v>0.19</v>
      </c>
      <c r="R3373" s="104">
        <v>0.04</v>
      </c>
    </row>
    <row r="3374" spans="1:18" ht="15" hidden="1" customHeight="1" x14ac:dyDescent="0.3">
      <c r="A3374" s="101">
        <v>2025</v>
      </c>
      <c r="B3374" s="90">
        <v>7</v>
      </c>
      <c r="C3374" s="90" t="s">
        <v>728</v>
      </c>
      <c r="D3374" s="90" t="s">
        <v>719</v>
      </c>
      <c r="E3374" s="102" t="s">
        <v>11</v>
      </c>
      <c r="F3374" s="103" t="s">
        <v>31</v>
      </c>
      <c r="G3374" s="93">
        <v>1494</v>
      </c>
      <c r="H3374" s="93">
        <v>11243</v>
      </c>
      <c r="I3374" s="93">
        <v>23036</v>
      </c>
      <c r="J3374" s="93">
        <v>12689</v>
      </c>
      <c r="K3374" s="93">
        <v>6027</v>
      </c>
      <c r="L3374" s="93">
        <v>1234521.6200000001</v>
      </c>
      <c r="M3374" s="93">
        <v>1289011.05</v>
      </c>
      <c r="N3374" s="95">
        <v>0.03</v>
      </c>
      <c r="O3374" s="95">
        <v>0.21</v>
      </c>
      <c r="P3374" s="95">
        <v>0.42</v>
      </c>
      <c r="Q3374" s="95">
        <v>0.23</v>
      </c>
      <c r="R3374" s="104">
        <v>0.11</v>
      </c>
    </row>
    <row r="3375" spans="1:18" ht="15" hidden="1" customHeight="1" x14ac:dyDescent="0.3">
      <c r="A3375" s="101">
        <v>2025</v>
      </c>
      <c r="B3375" s="90">
        <v>7</v>
      </c>
      <c r="C3375" s="90" t="s">
        <v>728</v>
      </c>
      <c r="D3375" s="90" t="s">
        <v>719</v>
      </c>
      <c r="E3375" s="102" t="s">
        <v>11</v>
      </c>
      <c r="F3375" s="103" t="s">
        <v>32</v>
      </c>
      <c r="G3375" s="93">
        <v>3396</v>
      </c>
      <c r="H3375" s="93">
        <v>41339</v>
      </c>
      <c r="I3375" s="93">
        <v>111425</v>
      </c>
      <c r="J3375" s="93">
        <v>163262</v>
      </c>
      <c r="K3375" s="93">
        <v>251667</v>
      </c>
      <c r="L3375" s="93">
        <v>15176.73</v>
      </c>
      <c r="M3375" s="93">
        <v>586265.36</v>
      </c>
      <c r="N3375" s="95">
        <v>0.01</v>
      </c>
      <c r="O3375" s="95">
        <v>7.0000000000000007E-2</v>
      </c>
      <c r="P3375" s="95">
        <v>0.2</v>
      </c>
      <c r="Q3375" s="95">
        <v>0.28999999999999998</v>
      </c>
      <c r="R3375" s="104">
        <v>0.44</v>
      </c>
    </row>
    <row r="3376" spans="1:18" ht="15" hidden="1" customHeight="1" x14ac:dyDescent="0.3">
      <c r="A3376" s="101">
        <v>2025</v>
      </c>
      <c r="B3376" s="90">
        <v>7</v>
      </c>
      <c r="C3376" s="90" t="s">
        <v>728</v>
      </c>
      <c r="D3376" s="90" t="s">
        <v>719</v>
      </c>
      <c r="E3376" s="102" t="s">
        <v>11</v>
      </c>
      <c r="F3376" s="103" t="s">
        <v>33</v>
      </c>
      <c r="G3376" s="93">
        <v>14189</v>
      </c>
      <c r="H3376" s="93">
        <v>64336</v>
      </c>
      <c r="I3376" s="93">
        <v>473410</v>
      </c>
      <c r="J3376" s="93">
        <v>672783</v>
      </c>
      <c r="K3376" s="93">
        <v>91948</v>
      </c>
      <c r="L3376" s="93">
        <v>54257.77</v>
      </c>
      <c r="M3376" s="93">
        <v>1370924.19</v>
      </c>
      <c r="N3376" s="95">
        <v>0.01</v>
      </c>
      <c r="O3376" s="95">
        <v>0.05</v>
      </c>
      <c r="P3376" s="95">
        <v>0.36</v>
      </c>
      <c r="Q3376" s="95">
        <v>0.51</v>
      </c>
      <c r="R3376" s="104">
        <v>7.0000000000000007E-2</v>
      </c>
    </row>
    <row r="3377" spans="1:18" ht="15" hidden="1" customHeight="1" x14ac:dyDescent="0.3">
      <c r="A3377" s="101">
        <v>2025</v>
      </c>
      <c r="B3377" s="90">
        <v>7</v>
      </c>
      <c r="C3377" s="90" t="s">
        <v>728</v>
      </c>
      <c r="D3377" s="90" t="s">
        <v>719</v>
      </c>
      <c r="E3377" s="102" t="s">
        <v>11</v>
      </c>
      <c r="F3377" s="103" t="s">
        <v>34</v>
      </c>
      <c r="G3377" s="93">
        <v>11877</v>
      </c>
      <c r="H3377" s="93">
        <v>28721</v>
      </c>
      <c r="I3377" s="93">
        <v>87362</v>
      </c>
      <c r="J3377" s="93">
        <v>283906</v>
      </c>
      <c r="K3377" s="93">
        <v>221725</v>
      </c>
      <c r="L3377" s="93">
        <v>3775.01</v>
      </c>
      <c r="M3377" s="93">
        <v>637365.03</v>
      </c>
      <c r="N3377" s="95">
        <v>0.02</v>
      </c>
      <c r="O3377" s="95">
        <v>0.05</v>
      </c>
      <c r="P3377" s="95">
        <v>0.14000000000000001</v>
      </c>
      <c r="Q3377" s="95">
        <v>0.45</v>
      </c>
      <c r="R3377" s="104">
        <v>0.35</v>
      </c>
    </row>
    <row r="3378" spans="1:18" ht="15" hidden="1" customHeight="1" x14ac:dyDescent="0.3">
      <c r="A3378" s="101">
        <v>2025</v>
      </c>
      <c r="B3378" s="90">
        <v>7</v>
      </c>
      <c r="C3378" s="90" t="s">
        <v>728</v>
      </c>
      <c r="D3378" s="90" t="s">
        <v>719</v>
      </c>
      <c r="E3378" s="102" t="s">
        <v>11</v>
      </c>
      <c r="F3378" s="103" t="s">
        <v>35</v>
      </c>
      <c r="G3378" s="93">
        <v>28601</v>
      </c>
      <c r="H3378" s="93">
        <v>131841</v>
      </c>
      <c r="I3378" s="93">
        <v>78312</v>
      </c>
      <c r="J3378" s="93">
        <v>96391</v>
      </c>
      <c r="K3378" s="93">
        <v>32590</v>
      </c>
      <c r="L3378" s="93">
        <v>223487</v>
      </c>
      <c r="M3378" s="93">
        <v>591221.48</v>
      </c>
      <c r="N3378" s="95">
        <v>0.08</v>
      </c>
      <c r="O3378" s="95">
        <v>0.36</v>
      </c>
      <c r="P3378" s="95">
        <v>0.21</v>
      </c>
      <c r="Q3378" s="95">
        <v>0.26</v>
      </c>
      <c r="R3378" s="104">
        <v>0.09</v>
      </c>
    </row>
    <row r="3379" spans="1:18" ht="15" hidden="1" customHeight="1" x14ac:dyDescent="0.3">
      <c r="A3379" s="101">
        <v>2025</v>
      </c>
      <c r="B3379" s="90">
        <v>7</v>
      </c>
      <c r="C3379" s="90" t="s">
        <v>728</v>
      </c>
      <c r="D3379" s="90" t="s">
        <v>719</v>
      </c>
      <c r="E3379" s="102" t="s">
        <v>11</v>
      </c>
      <c r="F3379" s="103" t="s">
        <v>36</v>
      </c>
      <c r="G3379" s="93">
        <v>2835</v>
      </c>
      <c r="H3379" s="93">
        <v>23865</v>
      </c>
      <c r="I3379" s="93">
        <v>64363</v>
      </c>
      <c r="J3379" s="93">
        <v>99345</v>
      </c>
      <c r="K3379" s="93">
        <v>35489</v>
      </c>
      <c r="L3379" s="93">
        <v>83498.22</v>
      </c>
      <c r="M3379" s="93">
        <v>309394.78999999998</v>
      </c>
      <c r="N3379" s="95">
        <v>0.01</v>
      </c>
      <c r="O3379" s="95">
        <v>0.11</v>
      </c>
      <c r="P3379" s="95">
        <v>0.28000000000000003</v>
      </c>
      <c r="Q3379" s="95">
        <v>0.44</v>
      </c>
      <c r="R3379" s="104">
        <v>0.16</v>
      </c>
    </row>
    <row r="3380" spans="1:18" ht="15" hidden="1" customHeight="1" x14ac:dyDescent="0.3">
      <c r="A3380" s="101">
        <v>2025</v>
      </c>
      <c r="B3380" s="90">
        <v>7</v>
      </c>
      <c r="C3380" s="90" t="s">
        <v>728</v>
      </c>
      <c r="D3380" s="90" t="s">
        <v>719</v>
      </c>
      <c r="E3380" s="102" t="s">
        <v>11</v>
      </c>
      <c r="F3380" s="103" t="s">
        <v>37</v>
      </c>
      <c r="G3380" s="93">
        <v>8445</v>
      </c>
      <c r="H3380" s="93">
        <v>64230</v>
      </c>
      <c r="I3380" s="93">
        <v>134716</v>
      </c>
      <c r="J3380" s="93">
        <v>117172</v>
      </c>
      <c r="K3380" s="93">
        <v>29335</v>
      </c>
      <c r="L3380" s="93">
        <v>305796.53000000003</v>
      </c>
      <c r="M3380" s="93">
        <v>659694.98</v>
      </c>
      <c r="N3380" s="95">
        <v>0.02</v>
      </c>
      <c r="O3380" s="95">
        <v>0.18</v>
      </c>
      <c r="P3380" s="95">
        <v>0.38</v>
      </c>
      <c r="Q3380" s="95">
        <v>0.33</v>
      </c>
      <c r="R3380" s="104">
        <v>0.08</v>
      </c>
    </row>
    <row r="3381" spans="1:18" ht="15" hidden="1" customHeight="1" x14ac:dyDescent="0.3">
      <c r="A3381" s="101">
        <v>2025</v>
      </c>
      <c r="B3381" s="90">
        <v>7</v>
      </c>
      <c r="C3381" s="90" t="s">
        <v>728</v>
      </c>
      <c r="D3381" s="90" t="s">
        <v>719</v>
      </c>
      <c r="E3381" s="102" t="s">
        <v>11</v>
      </c>
      <c r="F3381" s="103" t="s">
        <v>38</v>
      </c>
      <c r="G3381" s="93">
        <v>56043</v>
      </c>
      <c r="H3381" s="93">
        <v>142015</v>
      </c>
      <c r="I3381" s="93">
        <v>188628</v>
      </c>
      <c r="J3381" s="93">
        <v>226030</v>
      </c>
      <c r="K3381" s="93">
        <v>107429</v>
      </c>
      <c r="L3381" s="93">
        <v>28089.34</v>
      </c>
      <c r="M3381" s="93">
        <v>748234.3</v>
      </c>
      <c r="N3381" s="95">
        <v>0.08</v>
      </c>
      <c r="O3381" s="95">
        <v>0.2</v>
      </c>
      <c r="P3381" s="95">
        <v>0.26</v>
      </c>
      <c r="Q3381" s="95">
        <v>0.31</v>
      </c>
      <c r="R3381" s="104">
        <v>0.15</v>
      </c>
    </row>
    <row r="3382" spans="1:18" ht="15" hidden="1" customHeight="1" x14ac:dyDescent="0.3">
      <c r="A3382" s="101">
        <v>2025</v>
      </c>
      <c r="B3382" s="90">
        <v>7</v>
      </c>
      <c r="C3382" s="90" t="s">
        <v>728</v>
      </c>
      <c r="D3382" s="90" t="s">
        <v>719</v>
      </c>
      <c r="E3382" s="102" t="s">
        <v>11</v>
      </c>
      <c r="F3382" s="103" t="s">
        <v>39</v>
      </c>
      <c r="G3382" s="93">
        <v>703</v>
      </c>
      <c r="H3382" s="93">
        <v>23455</v>
      </c>
      <c r="I3382" s="93">
        <v>78672</v>
      </c>
      <c r="J3382" s="93">
        <v>113803</v>
      </c>
      <c r="K3382" s="93">
        <v>93971</v>
      </c>
      <c r="L3382" s="93">
        <v>48260.46</v>
      </c>
      <c r="M3382" s="93">
        <v>358863.56</v>
      </c>
      <c r="N3382" s="95">
        <v>0</v>
      </c>
      <c r="O3382" s="95">
        <v>0.08</v>
      </c>
      <c r="P3382" s="95">
        <v>0.25</v>
      </c>
      <c r="Q3382" s="95">
        <v>0.37</v>
      </c>
      <c r="R3382" s="104">
        <v>0.3</v>
      </c>
    </row>
    <row r="3383" spans="1:18" ht="15" hidden="1" customHeight="1" x14ac:dyDescent="0.3">
      <c r="A3383" s="101">
        <v>2025</v>
      </c>
      <c r="B3383" s="90">
        <v>7</v>
      </c>
      <c r="C3383" s="90" t="s">
        <v>728</v>
      </c>
      <c r="D3383" s="90" t="s">
        <v>719</v>
      </c>
      <c r="E3383" s="102" t="s">
        <v>11</v>
      </c>
      <c r="F3383" s="103" t="s">
        <v>40</v>
      </c>
      <c r="G3383" s="93">
        <v>3693</v>
      </c>
      <c r="H3383" s="93">
        <v>34783</v>
      </c>
      <c r="I3383" s="93">
        <v>103028</v>
      </c>
      <c r="J3383" s="93">
        <v>149257</v>
      </c>
      <c r="K3383" s="93">
        <v>29393</v>
      </c>
      <c r="L3383" s="93">
        <v>43508.65</v>
      </c>
      <c r="M3383" s="93">
        <v>363662.39</v>
      </c>
      <c r="N3383" s="95">
        <v>0.01</v>
      </c>
      <c r="O3383" s="95">
        <v>0.11</v>
      </c>
      <c r="P3383" s="95">
        <v>0.32</v>
      </c>
      <c r="Q3383" s="95">
        <v>0.47</v>
      </c>
      <c r="R3383" s="104">
        <v>0.09</v>
      </c>
    </row>
    <row r="3384" spans="1:18" ht="15" hidden="1" customHeight="1" x14ac:dyDescent="0.3">
      <c r="A3384" s="101">
        <v>2025</v>
      </c>
      <c r="B3384" s="90">
        <v>7</v>
      </c>
      <c r="C3384" s="90" t="s">
        <v>728</v>
      </c>
      <c r="D3384" s="90" t="s">
        <v>719</v>
      </c>
      <c r="E3384" s="102" t="s">
        <v>11</v>
      </c>
      <c r="F3384" s="103" t="s">
        <v>41</v>
      </c>
      <c r="G3384" s="93">
        <v>1437</v>
      </c>
      <c r="H3384" s="93">
        <v>7019</v>
      </c>
      <c r="I3384" s="93">
        <v>6027</v>
      </c>
      <c r="J3384" s="93">
        <v>1348</v>
      </c>
      <c r="K3384" s="93">
        <v>90</v>
      </c>
      <c r="L3384" s="93">
        <v>856705.01</v>
      </c>
      <c r="M3384" s="93">
        <v>872624.93</v>
      </c>
      <c r="N3384" s="95">
        <v>0.09</v>
      </c>
      <c r="O3384" s="95">
        <v>0.44</v>
      </c>
      <c r="P3384" s="95">
        <v>0.38</v>
      </c>
      <c r="Q3384" s="95">
        <v>0.08</v>
      </c>
      <c r="R3384" s="104">
        <v>0.01</v>
      </c>
    </row>
    <row r="3385" spans="1:18" ht="15" hidden="1" customHeight="1" x14ac:dyDescent="0.3">
      <c r="A3385" s="101">
        <v>2025</v>
      </c>
      <c r="B3385" s="90">
        <v>7</v>
      </c>
      <c r="C3385" s="90" t="s">
        <v>728</v>
      </c>
      <c r="D3385" s="90" t="s">
        <v>719</v>
      </c>
      <c r="E3385" s="102" t="s">
        <v>11</v>
      </c>
      <c r="F3385" s="103" t="s">
        <v>42</v>
      </c>
      <c r="G3385" s="93">
        <v>4729</v>
      </c>
      <c r="H3385" s="93">
        <v>28190</v>
      </c>
      <c r="I3385" s="93">
        <v>95395</v>
      </c>
      <c r="J3385" s="93">
        <v>165350</v>
      </c>
      <c r="K3385" s="93">
        <v>141690</v>
      </c>
      <c r="L3385" s="93">
        <v>1411.47</v>
      </c>
      <c r="M3385" s="93">
        <v>436765.85</v>
      </c>
      <c r="N3385" s="95">
        <v>0.01</v>
      </c>
      <c r="O3385" s="95">
        <v>0.06</v>
      </c>
      <c r="P3385" s="95">
        <v>0.22</v>
      </c>
      <c r="Q3385" s="95">
        <v>0.38</v>
      </c>
      <c r="R3385" s="104">
        <v>0.33</v>
      </c>
    </row>
    <row r="3386" spans="1:18" ht="15" hidden="1" customHeight="1" x14ac:dyDescent="0.3">
      <c r="A3386" s="101">
        <v>2025</v>
      </c>
      <c r="B3386" s="90">
        <v>7</v>
      </c>
      <c r="C3386" s="90" t="s">
        <v>728</v>
      </c>
      <c r="D3386" s="90" t="s">
        <v>719</v>
      </c>
      <c r="E3386" s="102" t="s">
        <v>11</v>
      </c>
      <c r="F3386" s="103" t="s">
        <v>43</v>
      </c>
      <c r="G3386" s="93">
        <v>534</v>
      </c>
      <c r="H3386" s="93">
        <v>15233</v>
      </c>
      <c r="I3386" s="93">
        <v>27434</v>
      </c>
      <c r="J3386" s="93">
        <v>16652</v>
      </c>
      <c r="K3386" s="93">
        <v>8062</v>
      </c>
      <c r="L3386" s="93">
        <v>93475.13</v>
      </c>
      <c r="M3386" s="93">
        <v>161389.64000000001</v>
      </c>
      <c r="N3386" s="95">
        <v>0.01</v>
      </c>
      <c r="O3386" s="95">
        <v>0.22</v>
      </c>
      <c r="P3386" s="95">
        <v>0.4</v>
      </c>
      <c r="Q3386" s="95">
        <v>0.25</v>
      </c>
      <c r="R3386" s="104">
        <v>0.12</v>
      </c>
    </row>
    <row r="3387" spans="1:18" ht="15" hidden="1" customHeight="1" x14ac:dyDescent="0.3">
      <c r="A3387" s="101">
        <v>2025</v>
      </c>
      <c r="B3387" s="90">
        <v>7</v>
      </c>
      <c r="C3387" s="90" t="s">
        <v>728</v>
      </c>
      <c r="D3387" s="90" t="s">
        <v>719</v>
      </c>
      <c r="E3387" s="102" t="s">
        <v>11</v>
      </c>
      <c r="F3387" s="103" t="s">
        <v>58</v>
      </c>
      <c r="G3387" s="93">
        <v>4152</v>
      </c>
      <c r="H3387" s="93">
        <v>27540</v>
      </c>
      <c r="I3387" s="93">
        <v>60937</v>
      </c>
      <c r="J3387" s="93">
        <v>129979</v>
      </c>
      <c r="K3387" s="93">
        <v>144451</v>
      </c>
      <c r="L3387" s="93">
        <v>106573.68</v>
      </c>
      <c r="M3387" s="93">
        <v>473633.14</v>
      </c>
      <c r="N3387" s="95">
        <v>0.01</v>
      </c>
      <c r="O3387" s="95">
        <v>0.08</v>
      </c>
      <c r="P3387" s="95">
        <v>0.17</v>
      </c>
      <c r="Q3387" s="95">
        <v>0.35</v>
      </c>
      <c r="R3387" s="104">
        <v>0.39</v>
      </c>
    </row>
    <row r="3388" spans="1:18" ht="15" hidden="1" customHeight="1" x14ac:dyDescent="0.3">
      <c r="A3388" s="101">
        <v>2025</v>
      </c>
      <c r="B3388" s="90">
        <v>7</v>
      </c>
      <c r="C3388" s="90" t="s">
        <v>728</v>
      </c>
      <c r="D3388" s="90" t="s">
        <v>719</v>
      </c>
      <c r="E3388" s="102" t="s">
        <v>11</v>
      </c>
      <c r="F3388" s="103" t="s">
        <v>44</v>
      </c>
      <c r="G3388" s="93">
        <v>2206</v>
      </c>
      <c r="H3388" s="93">
        <v>7630</v>
      </c>
      <c r="I3388" s="93">
        <v>31179</v>
      </c>
      <c r="J3388" s="93">
        <v>82940</v>
      </c>
      <c r="K3388" s="93">
        <v>46307</v>
      </c>
      <c r="L3388" s="93">
        <v>77704.789999999994</v>
      </c>
      <c r="M3388" s="93">
        <v>247967.26</v>
      </c>
      <c r="N3388" s="95">
        <v>0.01</v>
      </c>
      <c r="O3388" s="95">
        <v>0.04</v>
      </c>
      <c r="P3388" s="95">
        <v>0.18</v>
      </c>
      <c r="Q3388" s="95">
        <v>0.49</v>
      </c>
      <c r="R3388" s="104">
        <v>0.27</v>
      </c>
    </row>
    <row r="3389" spans="1:18" ht="15" hidden="1" customHeight="1" x14ac:dyDescent="0.3">
      <c r="A3389" s="101">
        <v>2025</v>
      </c>
      <c r="B3389" s="90">
        <v>7</v>
      </c>
      <c r="C3389" s="90" t="s">
        <v>728</v>
      </c>
      <c r="D3389" s="90" t="s">
        <v>719</v>
      </c>
      <c r="E3389" s="102" t="s">
        <v>11</v>
      </c>
      <c r="F3389" s="103" t="s">
        <v>51</v>
      </c>
      <c r="G3389" s="93">
        <v>1400</v>
      </c>
      <c r="H3389" s="93">
        <v>12032</v>
      </c>
      <c r="I3389" s="93">
        <v>33724</v>
      </c>
      <c r="J3389" s="93">
        <v>54916</v>
      </c>
      <c r="K3389" s="93">
        <v>102850</v>
      </c>
      <c r="L3389" s="93">
        <v>5104.57</v>
      </c>
      <c r="M3389" s="93">
        <v>210026.44</v>
      </c>
      <c r="N3389" s="95">
        <v>0.01</v>
      </c>
      <c r="O3389" s="95">
        <v>0.06</v>
      </c>
      <c r="P3389" s="95">
        <v>0.16</v>
      </c>
      <c r="Q3389" s="95">
        <v>0.27</v>
      </c>
      <c r="R3389" s="104">
        <v>0.5</v>
      </c>
    </row>
    <row r="3390" spans="1:18" ht="15" hidden="1" customHeight="1" x14ac:dyDescent="0.3">
      <c r="A3390" s="101">
        <v>2025</v>
      </c>
      <c r="B3390" s="90">
        <v>7</v>
      </c>
      <c r="C3390" s="90" t="s">
        <v>728</v>
      </c>
      <c r="D3390" s="90" t="s">
        <v>719</v>
      </c>
      <c r="E3390" s="102" t="s">
        <v>11</v>
      </c>
      <c r="F3390" s="103" t="s">
        <v>45</v>
      </c>
      <c r="G3390" s="93">
        <v>1485</v>
      </c>
      <c r="H3390" s="93">
        <v>9368</v>
      </c>
      <c r="I3390" s="93">
        <v>19652</v>
      </c>
      <c r="J3390" s="93">
        <v>29511</v>
      </c>
      <c r="K3390" s="93">
        <v>24395</v>
      </c>
      <c r="L3390" s="93">
        <v>42757.16</v>
      </c>
      <c r="M3390" s="93">
        <v>127168.57</v>
      </c>
      <c r="N3390" s="95">
        <v>0.02</v>
      </c>
      <c r="O3390" s="95">
        <v>0.11</v>
      </c>
      <c r="P3390" s="95">
        <v>0.23</v>
      </c>
      <c r="Q3390" s="95">
        <v>0.35</v>
      </c>
      <c r="R3390" s="104">
        <v>0.28999999999999998</v>
      </c>
    </row>
    <row r="3391" spans="1:18" ht="15" hidden="1" customHeight="1" x14ac:dyDescent="0.3">
      <c r="A3391" s="101">
        <v>2025</v>
      </c>
      <c r="B3391" s="90">
        <v>7</v>
      </c>
      <c r="C3391" s="90" t="s">
        <v>728</v>
      </c>
      <c r="D3391" s="90" t="s">
        <v>719</v>
      </c>
      <c r="E3391" s="102" t="s">
        <v>11</v>
      </c>
      <c r="F3391" s="103" t="s">
        <v>721</v>
      </c>
      <c r="G3391" s="93">
        <v>485</v>
      </c>
      <c r="H3391" s="93">
        <v>25460</v>
      </c>
      <c r="I3391" s="93">
        <v>83320</v>
      </c>
      <c r="J3391" s="93">
        <v>84530</v>
      </c>
      <c r="K3391" s="93">
        <v>115386</v>
      </c>
      <c r="L3391" s="93">
        <v>589378.39</v>
      </c>
      <c r="M3391" s="93">
        <v>898559.71</v>
      </c>
      <c r="N3391" s="95">
        <v>0</v>
      </c>
      <c r="O3391" s="95">
        <v>0.08</v>
      </c>
      <c r="P3391" s="95">
        <v>0.27</v>
      </c>
      <c r="Q3391" s="95">
        <v>0.27</v>
      </c>
      <c r="R3391" s="104">
        <v>0.37</v>
      </c>
    </row>
    <row r="3392" spans="1:18" ht="15" hidden="1" customHeight="1" x14ac:dyDescent="0.3">
      <c r="A3392" s="101">
        <v>2025</v>
      </c>
      <c r="B3392" s="90">
        <v>7</v>
      </c>
      <c r="C3392" s="90" t="s">
        <v>728</v>
      </c>
      <c r="D3392" s="90" t="s">
        <v>719</v>
      </c>
      <c r="E3392" s="102" t="s">
        <v>11</v>
      </c>
      <c r="F3392" s="103" t="s">
        <v>46</v>
      </c>
      <c r="G3392" s="93">
        <v>2109</v>
      </c>
      <c r="H3392" s="93">
        <v>18108</v>
      </c>
      <c r="I3392" s="93">
        <v>35237</v>
      </c>
      <c r="J3392" s="93">
        <v>33023</v>
      </c>
      <c r="K3392" s="93">
        <v>59514</v>
      </c>
      <c r="L3392" s="93">
        <v>82945.100000000006</v>
      </c>
      <c r="M3392" s="93">
        <v>230935.34</v>
      </c>
      <c r="N3392" s="95">
        <v>0.01</v>
      </c>
      <c r="O3392" s="95">
        <v>0.12</v>
      </c>
      <c r="P3392" s="95">
        <v>0.24</v>
      </c>
      <c r="Q3392" s="95">
        <v>0.22</v>
      </c>
      <c r="R3392" s="104">
        <v>0.4</v>
      </c>
    </row>
    <row r="3393" spans="1:18" ht="15" hidden="1" customHeight="1" x14ac:dyDescent="0.3">
      <c r="A3393" s="101">
        <v>2025</v>
      </c>
      <c r="B3393" s="90">
        <v>7</v>
      </c>
      <c r="C3393" s="90" t="s">
        <v>728</v>
      </c>
      <c r="D3393" s="90" t="s">
        <v>719</v>
      </c>
      <c r="E3393" s="102" t="s">
        <v>11</v>
      </c>
      <c r="F3393" s="103" t="s">
        <v>48</v>
      </c>
      <c r="G3393" s="93">
        <v>701</v>
      </c>
      <c r="H3393" s="93">
        <v>2087</v>
      </c>
      <c r="I3393" s="93">
        <v>7628</v>
      </c>
      <c r="J3393" s="93">
        <v>35396</v>
      </c>
      <c r="K3393" s="93">
        <v>55667</v>
      </c>
      <c r="L3393" s="93">
        <v>405164.34</v>
      </c>
      <c r="M3393" s="93">
        <v>506643.36</v>
      </c>
      <c r="N3393" s="95">
        <v>0.01</v>
      </c>
      <c r="O3393" s="95">
        <v>0.02</v>
      </c>
      <c r="P3393" s="95">
        <v>0.08</v>
      </c>
      <c r="Q3393" s="95">
        <v>0.35</v>
      </c>
      <c r="R3393" s="104">
        <v>0.55000000000000004</v>
      </c>
    </row>
    <row r="3394" spans="1:18" ht="15" hidden="1" customHeight="1" x14ac:dyDescent="0.3">
      <c r="A3394" s="101">
        <v>2025</v>
      </c>
      <c r="B3394" s="90">
        <v>7</v>
      </c>
      <c r="C3394" s="90" t="s">
        <v>728</v>
      </c>
      <c r="D3394" s="90" t="s">
        <v>722</v>
      </c>
      <c r="E3394" s="102" t="s">
        <v>11</v>
      </c>
      <c r="F3394" s="103" t="s">
        <v>12</v>
      </c>
      <c r="G3394" s="93">
        <v>8522.9268360000005</v>
      </c>
      <c r="H3394" s="93">
        <v>49723.559930000003</v>
      </c>
      <c r="I3394" s="93">
        <v>104424.71980000001</v>
      </c>
      <c r="J3394" s="93">
        <v>132831.42749999999</v>
      </c>
      <c r="K3394" s="93">
        <v>89755.861839999998</v>
      </c>
      <c r="L3394" s="93">
        <v>52909.46</v>
      </c>
      <c r="M3394" s="93">
        <v>438167.95</v>
      </c>
      <c r="N3394" s="95">
        <v>0.02</v>
      </c>
      <c r="O3394" s="95">
        <v>0.13</v>
      </c>
      <c r="P3394" s="95">
        <v>0.27</v>
      </c>
      <c r="Q3394" s="95">
        <v>0.34</v>
      </c>
      <c r="R3394" s="104">
        <v>0.23</v>
      </c>
    </row>
    <row r="3395" spans="1:18" ht="15" hidden="1" customHeight="1" x14ac:dyDescent="0.3">
      <c r="A3395" s="101">
        <v>2025</v>
      </c>
      <c r="B3395" s="90">
        <v>7</v>
      </c>
      <c r="C3395" s="90" t="s">
        <v>728</v>
      </c>
      <c r="D3395" s="90" t="s">
        <v>722</v>
      </c>
      <c r="E3395" s="102" t="s">
        <v>11</v>
      </c>
      <c r="F3395" s="103" t="s">
        <v>26</v>
      </c>
      <c r="G3395" s="93">
        <v>54020.091710000001</v>
      </c>
      <c r="H3395" s="93">
        <v>115369.6456</v>
      </c>
      <c r="I3395" s="93">
        <v>194583.73639999999</v>
      </c>
      <c r="J3395" s="93">
        <v>472924.21980000002</v>
      </c>
      <c r="K3395" s="93">
        <v>207144.33730000001</v>
      </c>
      <c r="L3395" s="93">
        <v>45339.9</v>
      </c>
      <c r="M3395" s="93">
        <v>1089381.93</v>
      </c>
      <c r="N3395" s="95">
        <v>0.05</v>
      </c>
      <c r="O3395" s="95">
        <v>0.11</v>
      </c>
      <c r="P3395" s="95">
        <v>0.19</v>
      </c>
      <c r="Q3395" s="95">
        <v>0.45</v>
      </c>
      <c r="R3395" s="104">
        <v>0.2</v>
      </c>
    </row>
    <row r="3396" spans="1:18" ht="15" hidden="1" customHeight="1" x14ac:dyDescent="0.3">
      <c r="A3396" s="101">
        <v>2025</v>
      </c>
      <c r="B3396" s="90">
        <v>7</v>
      </c>
      <c r="C3396" s="90" t="s">
        <v>728</v>
      </c>
      <c r="D3396" s="90" t="s">
        <v>722</v>
      </c>
      <c r="E3396" s="102" t="s">
        <v>11</v>
      </c>
      <c r="F3396" s="103" t="s">
        <v>27</v>
      </c>
      <c r="G3396" s="93">
        <v>388.00317610000002</v>
      </c>
      <c r="H3396" s="93">
        <v>8639.9139909999994</v>
      </c>
      <c r="I3396" s="93">
        <v>40400.299760000002</v>
      </c>
      <c r="J3396" s="93">
        <v>86713.156489999994</v>
      </c>
      <c r="K3396" s="93">
        <v>81656.809349999996</v>
      </c>
      <c r="L3396" s="93">
        <v>186024.11</v>
      </c>
      <c r="M3396" s="93">
        <v>403822.29</v>
      </c>
      <c r="N3396" s="95">
        <v>0</v>
      </c>
      <c r="O3396" s="95">
        <v>0.04</v>
      </c>
      <c r="P3396" s="95">
        <v>0.19</v>
      </c>
      <c r="Q3396" s="95">
        <v>0.4</v>
      </c>
      <c r="R3396" s="104">
        <v>0.37</v>
      </c>
    </row>
    <row r="3397" spans="1:18" ht="15" hidden="1" customHeight="1" x14ac:dyDescent="0.3">
      <c r="A3397" s="101">
        <v>2025</v>
      </c>
      <c r="B3397" s="90">
        <v>7</v>
      </c>
      <c r="C3397" s="90" t="s">
        <v>728</v>
      </c>
      <c r="D3397" s="90" t="s">
        <v>722</v>
      </c>
      <c r="E3397" s="102" t="s">
        <v>11</v>
      </c>
      <c r="F3397" s="103" t="s">
        <v>28</v>
      </c>
      <c r="G3397" s="93">
        <v>612.75112220000005</v>
      </c>
      <c r="H3397" s="93">
        <v>4495.9321769999997</v>
      </c>
      <c r="I3397" s="93">
        <v>14961.95592</v>
      </c>
      <c r="J3397" s="93">
        <v>63787.664299999997</v>
      </c>
      <c r="K3397" s="93">
        <v>285890.9227</v>
      </c>
      <c r="L3397" s="93">
        <v>86054.03</v>
      </c>
      <c r="M3397" s="93">
        <v>455803.25</v>
      </c>
      <c r="N3397" s="95">
        <v>0</v>
      </c>
      <c r="O3397" s="95">
        <v>0.01</v>
      </c>
      <c r="P3397" s="95">
        <v>0.04</v>
      </c>
      <c r="Q3397" s="95">
        <v>0.17</v>
      </c>
      <c r="R3397" s="104">
        <v>0.77</v>
      </c>
    </row>
    <row r="3398" spans="1:18" ht="15" customHeight="1" x14ac:dyDescent="0.3">
      <c r="A3398" s="101">
        <v>2025</v>
      </c>
      <c r="B3398" s="90">
        <v>7</v>
      </c>
      <c r="C3398" s="90" t="s">
        <v>728</v>
      </c>
      <c r="D3398" s="90" t="s">
        <v>722</v>
      </c>
      <c r="E3398" s="102" t="s">
        <v>11</v>
      </c>
      <c r="F3398" s="103" t="s">
        <v>29</v>
      </c>
      <c r="G3398" s="93">
        <v>6623.7054310000003</v>
      </c>
      <c r="H3398" s="93">
        <v>25125.236130000001</v>
      </c>
      <c r="I3398" s="93">
        <v>50528.184090000002</v>
      </c>
      <c r="J3398" s="93">
        <v>81128.970570000005</v>
      </c>
      <c r="K3398" s="93">
        <v>90564.856159999996</v>
      </c>
      <c r="L3398" s="93">
        <v>321.14</v>
      </c>
      <c r="M3398" s="93">
        <v>254292.1</v>
      </c>
      <c r="N3398" s="95">
        <v>0.03</v>
      </c>
      <c r="O3398" s="95">
        <v>0.1</v>
      </c>
      <c r="P3398" s="95">
        <v>0.2</v>
      </c>
      <c r="Q3398" s="95">
        <v>0.32</v>
      </c>
      <c r="R3398" s="104">
        <v>0.36</v>
      </c>
    </row>
    <row r="3399" spans="1:18" ht="15" hidden="1" customHeight="1" x14ac:dyDescent="0.3">
      <c r="A3399" s="101">
        <v>2025</v>
      </c>
      <c r="B3399" s="90">
        <v>7</v>
      </c>
      <c r="C3399" s="90" t="s">
        <v>728</v>
      </c>
      <c r="D3399" s="90" t="s">
        <v>722</v>
      </c>
      <c r="E3399" s="102" t="s">
        <v>11</v>
      </c>
      <c r="F3399" s="103" t="s">
        <v>30</v>
      </c>
      <c r="G3399" s="93">
        <v>509.32662809999999</v>
      </c>
      <c r="H3399" s="93">
        <v>3098.014533</v>
      </c>
      <c r="I3399" s="93">
        <v>5875.5332850000004</v>
      </c>
      <c r="J3399" s="93">
        <v>2619.5354819999998</v>
      </c>
      <c r="K3399" s="93">
        <v>1096.936723</v>
      </c>
      <c r="L3399" s="93">
        <v>1</v>
      </c>
      <c r="M3399" s="93">
        <v>13200.35</v>
      </c>
      <c r="N3399" s="95">
        <v>0.04</v>
      </c>
      <c r="O3399" s="95">
        <v>0.23</v>
      </c>
      <c r="P3399" s="95">
        <v>0.45</v>
      </c>
      <c r="Q3399" s="95">
        <v>0.2</v>
      </c>
      <c r="R3399" s="104">
        <v>0.08</v>
      </c>
    </row>
    <row r="3400" spans="1:18" ht="15" hidden="1" customHeight="1" x14ac:dyDescent="0.3">
      <c r="A3400" s="101">
        <v>2025</v>
      </c>
      <c r="B3400" s="90">
        <v>7</v>
      </c>
      <c r="C3400" s="90" t="s">
        <v>728</v>
      </c>
      <c r="D3400" s="90" t="s">
        <v>722</v>
      </c>
      <c r="E3400" s="102" t="s">
        <v>11</v>
      </c>
      <c r="F3400" s="103" t="s">
        <v>31</v>
      </c>
      <c r="G3400" s="93">
        <v>576.11185190000003</v>
      </c>
      <c r="H3400" s="93">
        <v>27817.686269999998</v>
      </c>
      <c r="I3400" s="93">
        <v>81868.860960000005</v>
      </c>
      <c r="J3400" s="93">
        <v>62891.435400000002</v>
      </c>
      <c r="K3400" s="93">
        <v>30281.720600000001</v>
      </c>
      <c r="L3400" s="93">
        <v>55.54</v>
      </c>
      <c r="M3400" s="93">
        <v>203491.35</v>
      </c>
      <c r="N3400" s="95">
        <v>0</v>
      </c>
      <c r="O3400" s="95">
        <v>0.14000000000000001</v>
      </c>
      <c r="P3400" s="95">
        <v>0.4</v>
      </c>
      <c r="Q3400" s="95">
        <v>0.31</v>
      </c>
      <c r="R3400" s="104">
        <v>0.15</v>
      </c>
    </row>
    <row r="3401" spans="1:18" ht="15" hidden="1" customHeight="1" x14ac:dyDescent="0.3">
      <c r="A3401" s="101">
        <v>2025</v>
      </c>
      <c r="B3401" s="90">
        <v>7</v>
      </c>
      <c r="C3401" s="90" t="s">
        <v>728</v>
      </c>
      <c r="D3401" s="90" t="s">
        <v>722</v>
      </c>
      <c r="E3401" s="102" t="s">
        <v>11</v>
      </c>
      <c r="F3401" s="103" t="s">
        <v>32</v>
      </c>
      <c r="G3401" s="93">
        <v>3382.5405860000001</v>
      </c>
      <c r="H3401" s="93">
        <v>40608.279009999998</v>
      </c>
      <c r="I3401" s="93">
        <v>111505.5083</v>
      </c>
      <c r="J3401" s="93">
        <v>166292.7366</v>
      </c>
      <c r="K3401" s="93">
        <v>263202.74329999997</v>
      </c>
      <c r="L3401" s="93">
        <v>0</v>
      </c>
      <c r="M3401" s="93">
        <v>584991.81000000006</v>
      </c>
      <c r="N3401" s="95">
        <v>0.01</v>
      </c>
      <c r="O3401" s="95">
        <v>7.0000000000000007E-2</v>
      </c>
      <c r="P3401" s="95">
        <v>0.19</v>
      </c>
      <c r="Q3401" s="95">
        <v>0.28000000000000003</v>
      </c>
      <c r="R3401" s="104">
        <v>0.45</v>
      </c>
    </row>
    <row r="3402" spans="1:18" ht="15" hidden="1" customHeight="1" x14ac:dyDescent="0.3">
      <c r="A3402" s="101">
        <v>2025</v>
      </c>
      <c r="B3402" s="90">
        <v>7</v>
      </c>
      <c r="C3402" s="90" t="s">
        <v>728</v>
      </c>
      <c r="D3402" s="90" t="s">
        <v>722</v>
      </c>
      <c r="E3402" s="102" t="s">
        <v>11</v>
      </c>
      <c r="F3402" s="103" t="s">
        <v>33</v>
      </c>
      <c r="G3402" s="93">
        <v>8899.5306670000009</v>
      </c>
      <c r="H3402" s="93">
        <v>45640.640720000003</v>
      </c>
      <c r="I3402" s="93">
        <v>187516.48730000001</v>
      </c>
      <c r="J3402" s="93">
        <v>732667.36140000005</v>
      </c>
      <c r="K3402" s="93">
        <v>342056.31290000002</v>
      </c>
      <c r="L3402" s="93">
        <v>0</v>
      </c>
      <c r="M3402" s="93">
        <v>1316780.33</v>
      </c>
      <c r="N3402" s="95">
        <v>0.01</v>
      </c>
      <c r="O3402" s="95">
        <v>0.03</v>
      </c>
      <c r="P3402" s="95">
        <v>0.14000000000000001</v>
      </c>
      <c r="Q3402" s="95">
        <v>0.56000000000000005</v>
      </c>
      <c r="R3402" s="104">
        <v>0.26</v>
      </c>
    </row>
    <row r="3403" spans="1:18" ht="15" hidden="1" customHeight="1" x14ac:dyDescent="0.3">
      <c r="A3403" s="101">
        <v>2025</v>
      </c>
      <c r="B3403" s="90">
        <v>7</v>
      </c>
      <c r="C3403" s="90" t="s">
        <v>728</v>
      </c>
      <c r="D3403" s="90" t="s">
        <v>722</v>
      </c>
      <c r="E3403" s="102" t="s">
        <v>11</v>
      </c>
      <c r="F3403" s="103" t="s">
        <v>34</v>
      </c>
      <c r="G3403" s="93">
        <v>8344.2116860000006</v>
      </c>
      <c r="H3403" s="93">
        <v>22043.739109999999</v>
      </c>
      <c r="I3403" s="93">
        <v>64753.35512</v>
      </c>
      <c r="J3403" s="93">
        <v>257240.57769999999</v>
      </c>
      <c r="K3403" s="93">
        <v>298150.46620000002</v>
      </c>
      <c r="L3403" s="93">
        <v>3649.8</v>
      </c>
      <c r="M3403" s="93">
        <v>654182.15</v>
      </c>
      <c r="N3403" s="95">
        <v>0.01</v>
      </c>
      <c r="O3403" s="95">
        <v>0.03</v>
      </c>
      <c r="P3403" s="95">
        <v>0.1</v>
      </c>
      <c r="Q3403" s="95">
        <v>0.4</v>
      </c>
      <c r="R3403" s="104">
        <v>0.46</v>
      </c>
    </row>
    <row r="3404" spans="1:18" ht="15" hidden="1" customHeight="1" x14ac:dyDescent="0.3">
      <c r="A3404" s="101">
        <v>2025</v>
      </c>
      <c r="B3404" s="90">
        <v>7</v>
      </c>
      <c r="C3404" s="90" t="s">
        <v>728</v>
      </c>
      <c r="D3404" s="90" t="s">
        <v>722</v>
      </c>
      <c r="E3404" s="102" t="s">
        <v>11</v>
      </c>
      <c r="F3404" s="103" t="s">
        <v>35</v>
      </c>
      <c r="G3404" s="93">
        <v>13937.40583</v>
      </c>
      <c r="H3404" s="93">
        <v>112720.7141</v>
      </c>
      <c r="I3404" s="93">
        <v>59031.679940000002</v>
      </c>
      <c r="J3404" s="93">
        <v>83052.758820000003</v>
      </c>
      <c r="K3404" s="93">
        <v>103088.65360000001</v>
      </c>
      <c r="L3404" s="93">
        <v>69801.42</v>
      </c>
      <c r="M3404" s="93">
        <v>441632.63</v>
      </c>
      <c r="N3404" s="95">
        <v>0.04</v>
      </c>
      <c r="O3404" s="95">
        <v>0.3</v>
      </c>
      <c r="P3404" s="95">
        <v>0.16</v>
      </c>
      <c r="Q3404" s="95">
        <v>0.22</v>
      </c>
      <c r="R3404" s="104">
        <v>0.28000000000000003</v>
      </c>
    </row>
    <row r="3405" spans="1:18" ht="15" hidden="1" customHeight="1" x14ac:dyDescent="0.3">
      <c r="A3405" s="101">
        <v>2025</v>
      </c>
      <c r="B3405" s="90">
        <v>7</v>
      </c>
      <c r="C3405" s="90" t="s">
        <v>728</v>
      </c>
      <c r="D3405" s="90" t="s">
        <v>722</v>
      </c>
      <c r="E3405" s="102" t="s">
        <v>11</v>
      </c>
      <c r="F3405" s="103" t="s">
        <v>36</v>
      </c>
      <c r="G3405" s="93">
        <v>2437.5163210000001</v>
      </c>
      <c r="H3405" s="93">
        <v>16862.65583</v>
      </c>
      <c r="I3405" s="93">
        <v>49901.460550000003</v>
      </c>
      <c r="J3405" s="93">
        <v>84557.946519999998</v>
      </c>
      <c r="K3405" s="93">
        <v>71938.481459999995</v>
      </c>
      <c r="L3405" s="93">
        <v>66855.37</v>
      </c>
      <c r="M3405" s="93">
        <v>292553.43</v>
      </c>
      <c r="N3405" s="95">
        <v>0.01</v>
      </c>
      <c r="O3405" s="95">
        <v>7.0000000000000007E-2</v>
      </c>
      <c r="P3405" s="95">
        <v>0.22</v>
      </c>
      <c r="Q3405" s="95">
        <v>0.37</v>
      </c>
      <c r="R3405" s="104">
        <v>0.32</v>
      </c>
    </row>
    <row r="3406" spans="1:18" ht="15" hidden="1" customHeight="1" x14ac:dyDescent="0.3">
      <c r="A3406" s="101">
        <v>2025</v>
      </c>
      <c r="B3406" s="90">
        <v>7</v>
      </c>
      <c r="C3406" s="90" t="s">
        <v>728</v>
      </c>
      <c r="D3406" s="90" t="s">
        <v>722</v>
      </c>
      <c r="E3406" s="102" t="s">
        <v>11</v>
      </c>
      <c r="F3406" s="103" t="s">
        <v>37</v>
      </c>
      <c r="G3406" s="93">
        <v>7540.8569809999999</v>
      </c>
      <c r="H3406" s="93">
        <v>49007.42525</v>
      </c>
      <c r="I3406" s="93">
        <v>121991.3354</v>
      </c>
      <c r="J3406" s="93">
        <v>119278.0643</v>
      </c>
      <c r="K3406" s="93">
        <v>57860.566099999996</v>
      </c>
      <c r="L3406" s="93">
        <v>305842.59999999998</v>
      </c>
      <c r="M3406" s="93">
        <v>661520.85</v>
      </c>
      <c r="N3406" s="95">
        <v>0.02</v>
      </c>
      <c r="O3406" s="95">
        <v>0.14000000000000001</v>
      </c>
      <c r="P3406" s="95">
        <v>0.34</v>
      </c>
      <c r="Q3406" s="95">
        <v>0.34</v>
      </c>
      <c r="R3406" s="104">
        <v>0.16</v>
      </c>
    </row>
    <row r="3407" spans="1:18" ht="15" hidden="1" customHeight="1" x14ac:dyDescent="0.3">
      <c r="A3407" s="101">
        <v>2025</v>
      </c>
      <c r="B3407" s="90">
        <v>7</v>
      </c>
      <c r="C3407" s="90" t="s">
        <v>728</v>
      </c>
      <c r="D3407" s="90" t="s">
        <v>722</v>
      </c>
      <c r="E3407" s="102" t="s">
        <v>11</v>
      </c>
      <c r="F3407" s="103" t="s">
        <v>38</v>
      </c>
      <c r="G3407" s="93">
        <v>33916.469680000002</v>
      </c>
      <c r="H3407" s="93">
        <v>80740.967000000004</v>
      </c>
      <c r="I3407" s="93">
        <v>151198.2176</v>
      </c>
      <c r="J3407" s="93">
        <v>228299.85939999999</v>
      </c>
      <c r="K3407" s="93">
        <v>267777.8751</v>
      </c>
      <c r="L3407" s="93">
        <v>16274.96</v>
      </c>
      <c r="M3407" s="93">
        <v>778208.35</v>
      </c>
      <c r="N3407" s="95">
        <v>0.04</v>
      </c>
      <c r="O3407" s="95">
        <v>0.11</v>
      </c>
      <c r="P3407" s="95">
        <v>0.2</v>
      </c>
      <c r="Q3407" s="95">
        <v>0.3</v>
      </c>
      <c r="R3407" s="104">
        <v>0.35</v>
      </c>
    </row>
    <row r="3408" spans="1:18" ht="15" hidden="1" customHeight="1" x14ac:dyDescent="0.3">
      <c r="A3408" s="101">
        <v>2025</v>
      </c>
      <c r="B3408" s="90">
        <v>7</v>
      </c>
      <c r="C3408" s="90" t="s">
        <v>728</v>
      </c>
      <c r="D3408" s="90" t="s">
        <v>722</v>
      </c>
      <c r="E3408" s="102" t="s">
        <v>11</v>
      </c>
      <c r="F3408" s="103" t="s">
        <v>39</v>
      </c>
      <c r="G3408" s="93">
        <v>2189.5173840000002</v>
      </c>
      <c r="H3408" s="93">
        <v>31699.53556</v>
      </c>
      <c r="I3408" s="93">
        <v>101601.4621</v>
      </c>
      <c r="J3408" s="93">
        <v>112146.6336</v>
      </c>
      <c r="K3408" s="93">
        <v>73328.84014</v>
      </c>
      <c r="L3408" s="93">
        <v>42596.54</v>
      </c>
      <c r="M3408" s="93">
        <v>363562.53</v>
      </c>
      <c r="N3408" s="95">
        <v>0.01</v>
      </c>
      <c r="O3408" s="95">
        <v>0.1</v>
      </c>
      <c r="P3408" s="95">
        <v>0.32</v>
      </c>
      <c r="Q3408" s="95">
        <v>0.35</v>
      </c>
      <c r="R3408" s="104">
        <v>0.23</v>
      </c>
    </row>
    <row r="3409" spans="1:18" ht="15" hidden="1" customHeight="1" x14ac:dyDescent="0.3">
      <c r="A3409" s="101">
        <v>2025</v>
      </c>
      <c r="B3409" s="90">
        <v>7</v>
      </c>
      <c r="C3409" s="90" t="s">
        <v>728</v>
      </c>
      <c r="D3409" s="90" t="s">
        <v>722</v>
      </c>
      <c r="E3409" s="102" t="s">
        <v>11</v>
      </c>
      <c r="F3409" s="103" t="s">
        <v>40</v>
      </c>
      <c r="G3409" s="93">
        <v>2387.1355549999998</v>
      </c>
      <c r="H3409" s="93">
        <v>22422.93535</v>
      </c>
      <c r="I3409" s="93">
        <v>69572.18462</v>
      </c>
      <c r="J3409" s="93">
        <v>132821.101</v>
      </c>
      <c r="K3409" s="93">
        <v>93882.521559999994</v>
      </c>
      <c r="L3409" s="93">
        <v>43827.42</v>
      </c>
      <c r="M3409" s="93">
        <v>364913.3</v>
      </c>
      <c r="N3409" s="95">
        <v>0.01</v>
      </c>
      <c r="O3409" s="95">
        <v>7.0000000000000007E-2</v>
      </c>
      <c r="P3409" s="95">
        <v>0.22</v>
      </c>
      <c r="Q3409" s="95">
        <v>0.41</v>
      </c>
      <c r="R3409" s="104">
        <v>0.28999999999999998</v>
      </c>
    </row>
    <row r="3410" spans="1:18" ht="15" hidden="1" customHeight="1" x14ac:dyDescent="0.3">
      <c r="A3410" s="101">
        <v>2025</v>
      </c>
      <c r="B3410" s="90">
        <v>7</v>
      </c>
      <c r="C3410" s="90" t="s">
        <v>728</v>
      </c>
      <c r="D3410" s="90" t="s">
        <v>722</v>
      </c>
      <c r="E3410" s="102" t="s">
        <v>11</v>
      </c>
      <c r="F3410" s="103" t="s">
        <v>41</v>
      </c>
      <c r="G3410" s="93">
        <v>730.73206709999999</v>
      </c>
      <c r="H3410" s="93">
        <v>6623.0320400000001</v>
      </c>
      <c r="I3410" s="93">
        <v>7707.7321309999998</v>
      </c>
      <c r="J3410" s="93">
        <v>3311.8679440000001</v>
      </c>
      <c r="K3410" s="93">
        <v>287.92959630000001</v>
      </c>
      <c r="L3410" s="93">
        <v>854140.29</v>
      </c>
      <c r="M3410" s="93">
        <v>872801.58</v>
      </c>
      <c r="N3410" s="95">
        <v>0.04</v>
      </c>
      <c r="O3410" s="95">
        <v>0.35</v>
      </c>
      <c r="P3410" s="95">
        <v>0.41</v>
      </c>
      <c r="Q3410" s="95">
        <v>0.18</v>
      </c>
      <c r="R3410" s="104">
        <v>0.02</v>
      </c>
    </row>
    <row r="3411" spans="1:18" ht="15" hidden="1" customHeight="1" x14ac:dyDescent="0.3">
      <c r="A3411" s="101">
        <v>2025</v>
      </c>
      <c r="B3411" s="90">
        <v>7</v>
      </c>
      <c r="C3411" s="90" t="s">
        <v>728</v>
      </c>
      <c r="D3411" s="90" t="s">
        <v>722</v>
      </c>
      <c r="E3411" s="102" t="s">
        <v>11</v>
      </c>
      <c r="F3411" s="103" t="s">
        <v>42</v>
      </c>
      <c r="G3411" s="93">
        <v>5476.8191129999996</v>
      </c>
      <c r="H3411" s="93">
        <v>52786.669979999999</v>
      </c>
      <c r="I3411" s="93">
        <v>167329.1643</v>
      </c>
      <c r="J3411" s="93">
        <v>180234.39180000001</v>
      </c>
      <c r="K3411" s="93">
        <v>109306.5359</v>
      </c>
      <c r="L3411" s="93">
        <v>0</v>
      </c>
      <c r="M3411" s="93">
        <v>515133.58</v>
      </c>
      <c r="N3411" s="95">
        <v>0.01</v>
      </c>
      <c r="O3411" s="95">
        <v>0.1</v>
      </c>
      <c r="P3411" s="95">
        <v>0.32</v>
      </c>
      <c r="Q3411" s="95">
        <v>0.35</v>
      </c>
      <c r="R3411" s="104">
        <v>0.21</v>
      </c>
    </row>
    <row r="3412" spans="1:18" ht="15" hidden="1" customHeight="1" x14ac:dyDescent="0.3">
      <c r="A3412" s="101">
        <v>2025</v>
      </c>
      <c r="B3412" s="90">
        <v>7</v>
      </c>
      <c r="C3412" s="90" t="s">
        <v>728</v>
      </c>
      <c r="D3412" s="90" t="s">
        <v>722</v>
      </c>
      <c r="E3412" s="102" t="s">
        <v>11</v>
      </c>
      <c r="F3412" s="103" t="s">
        <v>43</v>
      </c>
      <c r="G3412" s="93">
        <v>796.98445289999995</v>
      </c>
      <c r="H3412" s="93">
        <v>16839.789089999998</v>
      </c>
      <c r="I3412" s="93">
        <v>23574.914120000001</v>
      </c>
      <c r="J3412" s="93">
        <v>16251.68758</v>
      </c>
      <c r="K3412" s="93">
        <v>9511.8071660000005</v>
      </c>
      <c r="L3412" s="93">
        <v>61515.17</v>
      </c>
      <c r="M3412" s="93">
        <v>128490.35</v>
      </c>
      <c r="N3412" s="95">
        <v>0.01</v>
      </c>
      <c r="O3412" s="95">
        <v>0.25</v>
      </c>
      <c r="P3412" s="95">
        <v>0.35</v>
      </c>
      <c r="Q3412" s="95">
        <v>0.24</v>
      </c>
      <c r="R3412" s="104">
        <v>0.14000000000000001</v>
      </c>
    </row>
    <row r="3413" spans="1:18" ht="15" hidden="1" customHeight="1" x14ac:dyDescent="0.3">
      <c r="A3413" s="101">
        <v>2025</v>
      </c>
      <c r="B3413" s="90">
        <v>7</v>
      </c>
      <c r="C3413" s="90" t="s">
        <v>728</v>
      </c>
      <c r="D3413" s="90" t="s">
        <v>722</v>
      </c>
      <c r="E3413" s="102" t="s">
        <v>11</v>
      </c>
      <c r="F3413" s="103" t="s">
        <v>58</v>
      </c>
      <c r="G3413" s="93">
        <v>2950.960458</v>
      </c>
      <c r="H3413" s="93">
        <v>16285.185520000001</v>
      </c>
      <c r="I3413" s="93">
        <v>50184.096830000002</v>
      </c>
      <c r="J3413" s="93">
        <v>121967.27800000001</v>
      </c>
      <c r="K3413" s="93">
        <v>175988.54689999999</v>
      </c>
      <c r="L3413" s="93">
        <v>0</v>
      </c>
      <c r="M3413" s="93">
        <v>367376.07</v>
      </c>
      <c r="N3413" s="95">
        <v>0.01</v>
      </c>
      <c r="O3413" s="95">
        <v>0.04</v>
      </c>
      <c r="P3413" s="95">
        <v>0.14000000000000001</v>
      </c>
      <c r="Q3413" s="95">
        <v>0.33</v>
      </c>
      <c r="R3413" s="104">
        <v>0.48</v>
      </c>
    </row>
    <row r="3414" spans="1:18" ht="15" hidden="1" customHeight="1" x14ac:dyDescent="0.3">
      <c r="A3414" s="101">
        <v>2025</v>
      </c>
      <c r="B3414" s="90">
        <v>7</v>
      </c>
      <c r="C3414" s="90" t="s">
        <v>728</v>
      </c>
      <c r="D3414" s="90" t="s">
        <v>722</v>
      </c>
      <c r="E3414" s="102" t="s">
        <v>11</v>
      </c>
      <c r="F3414" s="103" t="s">
        <v>44</v>
      </c>
      <c r="G3414" s="93">
        <v>2108.4733860000001</v>
      </c>
      <c r="H3414" s="93">
        <v>5150.2544690000004</v>
      </c>
      <c r="I3414" s="93">
        <v>17680.606179999999</v>
      </c>
      <c r="J3414" s="93">
        <v>52967.660250000001</v>
      </c>
      <c r="K3414" s="93">
        <v>84110.194040000002</v>
      </c>
      <c r="L3414" s="93">
        <v>0</v>
      </c>
      <c r="M3414" s="93">
        <v>162017.19</v>
      </c>
      <c r="N3414" s="95">
        <v>0.01</v>
      </c>
      <c r="O3414" s="95">
        <v>0.03</v>
      </c>
      <c r="P3414" s="95">
        <v>0.11</v>
      </c>
      <c r="Q3414" s="95">
        <v>0.33</v>
      </c>
      <c r="R3414" s="104">
        <v>0.52</v>
      </c>
    </row>
    <row r="3415" spans="1:18" ht="15" hidden="1" customHeight="1" x14ac:dyDescent="0.3">
      <c r="A3415" s="101">
        <v>2025</v>
      </c>
      <c r="B3415" s="90">
        <v>7</v>
      </c>
      <c r="C3415" s="90" t="s">
        <v>728</v>
      </c>
      <c r="D3415" s="90" t="s">
        <v>722</v>
      </c>
      <c r="E3415" s="102" t="s">
        <v>11</v>
      </c>
      <c r="F3415" s="103" t="s">
        <v>51</v>
      </c>
      <c r="G3415" s="93">
        <v>966.16933559999995</v>
      </c>
      <c r="H3415" s="93">
        <v>9928.3755509999992</v>
      </c>
      <c r="I3415" s="93">
        <v>24763.233230000002</v>
      </c>
      <c r="J3415" s="93">
        <v>44999.089959999998</v>
      </c>
      <c r="K3415" s="93">
        <v>124262.32550000001</v>
      </c>
      <c r="L3415" s="93">
        <v>5123.67</v>
      </c>
      <c r="M3415" s="93">
        <v>210042.86</v>
      </c>
      <c r="N3415" s="95">
        <v>0</v>
      </c>
      <c r="O3415" s="95">
        <v>0.05</v>
      </c>
      <c r="P3415" s="95">
        <v>0.12</v>
      </c>
      <c r="Q3415" s="95">
        <v>0.22</v>
      </c>
      <c r="R3415" s="104">
        <v>0.61</v>
      </c>
    </row>
    <row r="3416" spans="1:18" ht="15" hidden="1" customHeight="1" x14ac:dyDescent="0.3">
      <c r="A3416" s="101">
        <v>2025</v>
      </c>
      <c r="B3416" s="90">
        <v>7</v>
      </c>
      <c r="C3416" s="90" t="s">
        <v>728</v>
      </c>
      <c r="D3416" s="90" t="s">
        <v>722</v>
      </c>
      <c r="E3416" s="102" t="s">
        <v>11</v>
      </c>
      <c r="F3416" s="103" t="s">
        <v>45</v>
      </c>
      <c r="G3416" s="93">
        <v>1518.2281820000001</v>
      </c>
      <c r="H3416" s="93">
        <v>7486.5563510000002</v>
      </c>
      <c r="I3416" s="93">
        <v>14485.88846</v>
      </c>
      <c r="J3416" s="93">
        <v>24062.613020000001</v>
      </c>
      <c r="K3416" s="93">
        <v>36487.184670000002</v>
      </c>
      <c r="L3416" s="93">
        <v>27783.61</v>
      </c>
      <c r="M3416" s="93">
        <v>111824.08</v>
      </c>
      <c r="N3416" s="95">
        <v>0.02</v>
      </c>
      <c r="O3416" s="95">
        <v>0.09</v>
      </c>
      <c r="P3416" s="95">
        <v>0.17</v>
      </c>
      <c r="Q3416" s="95">
        <v>0.28999999999999998</v>
      </c>
      <c r="R3416" s="104">
        <v>0.43</v>
      </c>
    </row>
    <row r="3417" spans="1:18" ht="15" hidden="1" customHeight="1" x14ac:dyDescent="0.3">
      <c r="A3417" s="101">
        <v>2025</v>
      </c>
      <c r="B3417" s="90">
        <v>7</v>
      </c>
      <c r="C3417" s="90" t="s">
        <v>728</v>
      </c>
      <c r="D3417" s="90" t="s">
        <v>722</v>
      </c>
      <c r="E3417" s="102" t="s">
        <v>11</v>
      </c>
      <c r="F3417" s="103" t="s">
        <v>721</v>
      </c>
      <c r="G3417" s="93">
        <v>242.551436</v>
      </c>
      <c r="H3417" s="93">
        <v>16376.013129999999</v>
      </c>
      <c r="I3417" s="93">
        <v>77626.931589999993</v>
      </c>
      <c r="J3417" s="93">
        <v>89476.262050000005</v>
      </c>
      <c r="K3417" s="93">
        <v>125604.5331</v>
      </c>
      <c r="L3417" s="93">
        <v>583215.31000000006</v>
      </c>
      <c r="M3417" s="93">
        <v>892541.6</v>
      </c>
      <c r="N3417" s="95">
        <v>0</v>
      </c>
      <c r="O3417" s="95">
        <v>0.05</v>
      </c>
      <c r="P3417" s="95">
        <v>0.25</v>
      </c>
      <c r="Q3417" s="95">
        <v>0.28999999999999998</v>
      </c>
      <c r="R3417" s="104">
        <v>0.41</v>
      </c>
    </row>
    <row r="3418" spans="1:18" ht="15" hidden="1" customHeight="1" x14ac:dyDescent="0.3">
      <c r="A3418" s="101">
        <v>2025</v>
      </c>
      <c r="B3418" s="90">
        <v>7</v>
      </c>
      <c r="C3418" s="90" t="s">
        <v>728</v>
      </c>
      <c r="D3418" s="90" t="s">
        <v>722</v>
      </c>
      <c r="E3418" s="102" t="s">
        <v>11</v>
      </c>
      <c r="F3418" s="103" t="s">
        <v>46</v>
      </c>
      <c r="G3418" s="93">
        <v>1163.635403</v>
      </c>
      <c r="H3418" s="93">
        <v>13224.987660000001</v>
      </c>
      <c r="I3418" s="93">
        <v>32967.621449999999</v>
      </c>
      <c r="J3418" s="93">
        <v>44338.230439999999</v>
      </c>
      <c r="K3418" s="93">
        <v>44365.874219999998</v>
      </c>
      <c r="L3418" s="93">
        <v>0</v>
      </c>
      <c r="M3418" s="93">
        <v>136060.35</v>
      </c>
      <c r="N3418" s="95">
        <v>0.01</v>
      </c>
      <c r="O3418" s="95">
        <v>0.1</v>
      </c>
      <c r="P3418" s="95">
        <v>0.24</v>
      </c>
      <c r="Q3418" s="95">
        <v>0.33</v>
      </c>
      <c r="R3418" s="104">
        <v>0.33</v>
      </c>
    </row>
    <row r="3419" spans="1:18" ht="15" hidden="1" customHeight="1" x14ac:dyDescent="0.3">
      <c r="A3419" s="101">
        <v>2025</v>
      </c>
      <c r="B3419" s="90">
        <v>7</v>
      </c>
      <c r="C3419" s="90" t="s">
        <v>728</v>
      </c>
      <c r="D3419" s="90" t="s">
        <v>722</v>
      </c>
      <c r="E3419" s="102" t="s">
        <v>11</v>
      </c>
      <c r="F3419" s="103" t="s">
        <v>47</v>
      </c>
      <c r="G3419" s="93">
        <v>2306.2375579999998</v>
      </c>
      <c r="H3419" s="93">
        <v>10674.081819999999</v>
      </c>
      <c r="I3419" s="93">
        <v>62231.909090000001</v>
      </c>
      <c r="J3419" s="93">
        <v>206332.43909999999</v>
      </c>
      <c r="K3419" s="93">
        <v>444101.71730000002</v>
      </c>
      <c r="L3419" s="93">
        <v>48824.2</v>
      </c>
      <c r="M3419" s="93">
        <v>774470.58</v>
      </c>
      <c r="N3419" s="95">
        <v>0</v>
      </c>
      <c r="O3419" s="95">
        <v>0.01</v>
      </c>
      <c r="P3419" s="95">
        <v>0.09</v>
      </c>
      <c r="Q3419" s="95">
        <v>0.28000000000000003</v>
      </c>
      <c r="R3419" s="104">
        <v>0.61</v>
      </c>
    </row>
    <row r="3420" spans="1:18" ht="15" hidden="1" customHeight="1" x14ac:dyDescent="0.3">
      <c r="A3420" s="101">
        <v>2025</v>
      </c>
      <c r="B3420" s="90">
        <v>7</v>
      </c>
      <c r="C3420" s="90" t="s">
        <v>728</v>
      </c>
      <c r="D3420" s="90" t="s">
        <v>722</v>
      </c>
      <c r="E3420" s="102" t="s">
        <v>11</v>
      </c>
      <c r="F3420" s="103" t="s">
        <v>48</v>
      </c>
      <c r="G3420" s="93">
        <v>451.2991308</v>
      </c>
      <c r="H3420" s="93">
        <v>1849.555922</v>
      </c>
      <c r="I3420" s="93">
        <v>5075.9653959999996</v>
      </c>
      <c r="J3420" s="93">
        <v>15672.926579999999</v>
      </c>
      <c r="K3420" s="93">
        <v>78310.718699999998</v>
      </c>
      <c r="L3420" s="93">
        <v>0</v>
      </c>
      <c r="M3420" s="93">
        <v>101360.47</v>
      </c>
      <c r="N3420" s="95">
        <v>0</v>
      </c>
      <c r="O3420" s="95">
        <v>0.02</v>
      </c>
      <c r="P3420" s="95">
        <v>0.05</v>
      </c>
      <c r="Q3420" s="95">
        <v>0.15</v>
      </c>
      <c r="R3420" s="104">
        <v>0.77</v>
      </c>
    </row>
    <row r="3421" spans="1:18" ht="15" hidden="1" customHeight="1" x14ac:dyDescent="0.3">
      <c r="A3421" s="101">
        <v>2025</v>
      </c>
      <c r="B3421" s="90">
        <v>8</v>
      </c>
      <c r="C3421" s="90" t="s">
        <v>729</v>
      </c>
      <c r="D3421" s="90" t="s">
        <v>719</v>
      </c>
      <c r="E3421" s="102" t="s">
        <v>11</v>
      </c>
      <c r="F3421" s="103" t="s">
        <v>12</v>
      </c>
      <c r="G3421" s="93">
        <v>12908.854429999999</v>
      </c>
      <c r="H3421" s="93">
        <v>63901.347139999998</v>
      </c>
      <c r="I3421" s="93">
        <v>139124.4026</v>
      </c>
      <c r="J3421" s="93">
        <v>103146.6943</v>
      </c>
      <c r="K3421" s="93">
        <v>31130.267660000001</v>
      </c>
      <c r="L3421" s="93">
        <v>0</v>
      </c>
      <c r="M3421" s="93">
        <v>350211.57</v>
      </c>
      <c r="N3421" s="95">
        <v>0.04</v>
      </c>
      <c r="O3421" s="95">
        <v>0.18</v>
      </c>
      <c r="P3421" s="95">
        <v>0.4</v>
      </c>
      <c r="Q3421" s="95">
        <v>0.28999999999999998</v>
      </c>
      <c r="R3421" s="104">
        <v>0.09</v>
      </c>
    </row>
    <row r="3422" spans="1:18" ht="15" hidden="1" customHeight="1" x14ac:dyDescent="0.3">
      <c r="A3422" s="101">
        <v>2025</v>
      </c>
      <c r="B3422" s="90">
        <v>8</v>
      </c>
      <c r="C3422" s="90" t="s">
        <v>729</v>
      </c>
      <c r="D3422" s="90" t="s">
        <v>719</v>
      </c>
      <c r="E3422" s="102" t="s">
        <v>11</v>
      </c>
      <c r="F3422" s="103" t="s">
        <v>26</v>
      </c>
      <c r="G3422" s="93">
        <v>45126.085039999998</v>
      </c>
      <c r="H3422" s="93">
        <v>104602.37119999999</v>
      </c>
      <c r="I3422" s="93">
        <v>194786.84</v>
      </c>
      <c r="J3422" s="93">
        <v>390669.24209999997</v>
      </c>
      <c r="K3422" s="93">
        <v>286601.98060000001</v>
      </c>
      <c r="L3422" s="93">
        <v>0</v>
      </c>
      <c r="M3422" s="93">
        <v>1021786.52</v>
      </c>
      <c r="N3422" s="95">
        <v>0.04</v>
      </c>
      <c r="O3422" s="95">
        <v>0.1</v>
      </c>
      <c r="P3422" s="95">
        <v>0.19</v>
      </c>
      <c r="Q3422" s="95">
        <v>0.38</v>
      </c>
      <c r="R3422" s="104">
        <v>0.28000000000000003</v>
      </c>
    </row>
    <row r="3423" spans="1:18" ht="15" hidden="1" customHeight="1" x14ac:dyDescent="0.3">
      <c r="A3423" s="101">
        <v>2025</v>
      </c>
      <c r="B3423" s="90">
        <v>8</v>
      </c>
      <c r="C3423" s="90" t="s">
        <v>729</v>
      </c>
      <c r="D3423" s="90" t="s">
        <v>719</v>
      </c>
      <c r="E3423" s="102" t="s">
        <v>11</v>
      </c>
      <c r="F3423" s="103" t="s">
        <v>27</v>
      </c>
      <c r="G3423" s="93">
        <v>310.54023310000002</v>
      </c>
      <c r="H3423" s="93">
        <v>5540.5678180000004</v>
      </c>
      <c r="I3423" s="93">
        <v>42011.854500000001</v>
      </c>
      <c r="J3423" s="93">
        <v>90799.551489999998</v>
      </c>
      <c r="K3423" s="93">
        <v>79404.760079999993</v>
      </c>
      <c r="L3423" s="93">
        <v>186406.86</v>
      </c>
      <c r="M3423" s="93">
        <v>404474.13</v>
      </c>
      <c r="N3423" s="95">
        <v>0</v>
      </c>
      <c r="O3423" s="95">
        <v>0.03</v>
      </c>
      <c r="P3423" s="95">
        <v>0.19</v>
      </c>
      <c r="Q3423" s="95">
        <v>0.42</v>
      </c>
      <c r="R3423" s="104">
        <v>0.36</v>
      </c>
    </row>
    <row r="3424" spans="1:18" ht="15" hidden="1" customHeight="1" x14ac:dyDescent="0.3">
      <c r="A3424" s="101">
        <v>2025</v>
      </c>
      <c r="B3424" s="90">
        <v>8</v>
      </c>
      <c r="C3424" s="90" t="s">
        <v>729</v>
      </c>
      <c r="D3424" s="90" t="s">
        <v>719</v>
      </c>
      <c r="E3424" s="102" t="s">
        <v>11</v>
      </c>
      <c r="F3424" s="103" t="s">
        <v>28</v>
      </c>
      <c r="G3424" s="93">
        <v>1141.9458569999999</v>
      </c>
      <c r="H3424" s="93">
        <v>6546.8671629999999</v>
      </c>
      <c r="I3424" s="93">
        <v>23483.682509999999</v>
      </c>
      <c r="J3424" s="93">
        <v>99443.83455</v>
      </c>
      <c r="K3424" s="93">
        <v>238832.9143</v>
      </c>
      <c r="L3424" s="93">
        <v>85973.43</v>
      </c>
      <c r="M3424" s="93">
        <v>455422.67</v>
      </c>
      <c r="N3424" s="95">
        <v>0</v>
      </c>
      <c r="O3424" s="95">
        <v>0.02</v>
      </c>
      <c r="P3424" s="95">
        <v>0.06</v>
      </c>
      <c r="Q3424" s="95">
        <v>0.27</v>
      </c>
      <c r="R3424" s="104">
        <v>0.65</v>
      </c>
    </row>
    <row r="3425" spans="1:18" ht="15" customHeight="1" x14ac:dyDescent="0.3">
      <c r="A3425" s="101">
        <v>2025</v>
      </c>
      <c r="B3425" s="90">
        <v>8</v>
      </c>
      <c r="C3425" s="90" t="s">
        <v>729</v>
      </c>
      <c r="D3425" s="90" t="s">
        <v>719</v>
      </c>
      <c r="E3425" s="102" t="s">
        <v>11</v>
      </c>
      <c r="F3425" s="103" t="s">
        <v>29</v>
      </c>
      <c r="G3425" s="93">
        <v>4223.7738049999998</v>
      </c>
      <c r="H3425" s="93">
        <v>24627.583449999998</v>
      </c>
      <c r="I3425" s="93">
        <v>64900.467660000002</v>
      </c>
      <c r="J3425" s="93">
        <v>104115.6053</v>
      </c>
      <c r="K3425" s="93">
        <v>59132.831810000003</v>
      </c>
      <c r="L3425" s="93">
        <v>34485.11</v>
      </c>
      <c r="M3425" s="93">
        <v>291485.37</v>
      </c>
      <c r="N3425" s="95">
        <v>0.02</v>
      </c>
      <c r="O3425" s="95">
        <v>0.1</v>
      </c>
      <c r="P3425" s="95">
        <v>0.25</v>
      </c>
      <c r="Q3425" s="95">
        <v>0.41</v>
      </c>
      <c r="R3425" s="104">
        <v>0.23</v>
      </c>
    </row>
    <row r="3426" spans="1:18" ht="15" hidden="1" customHeight="1" x14ac:dyDescent="0.3">
      <c r="A3426" s="101">
        <v>2025</v>
      </c>
      <c r="B3426" s="90">
        <v>8</v>
      </c>
      <c r="C3426" s="90" t="s">
        <v>729</v>
      </c>
      <c r="D3426" s="90" t="s">
        <v>719</v>
      </c>
      <c r="E3426" s="102" t="s">
        <v>11</v>
      </c>
      <c r="F3426" s="103" t="s">
        <v>30</v>
      </c>
      <c r="G3426" s="93">
        <v>157.7488875</v>
      </c>
      <c r="H3426" s="93">
        <v>1490.9863210000001</v>
      </c>
      <c r="I3426" s="93">
        <v>6128.8761100000002</v>
      </c>
      <c r="J3426" s="93">
        <v>4712.6444540000002</v>
      </c>
      <c r="K3426" s="93">
        <v>1930.4125019999999</v>
      </c>
      <c r="L3426" s="93">
        <v>663025.31999999995</v>
      </c>
      <c r="M3426" s="93">
        <v>677445.99</v>
      </c>
      <c r="N3426" s="95">
        <v>0.01</v>
      </c>
      <c r="O3426" s="95">
        <v>0.1</v>
      </c>
      <c r="P3426" s="95">
        <v>0.43</v>
      </c>
      <c r="Q3426" s="95">
        <v>0.33</v>
      </c>
      <c r="R3426" s="104">
        <v>0.13</v>
      </c>
    </row>
    <row r="3427" spans="1:18" ht="15" hidden="1" customHeight="1" x14ac:dyDescent="0.3">
      <c r="A3427" s="101">
        <v>2025</v>
      </c>
      <c r="B3427" s="90">
        <v>8</v>
      </c>
      <c r="C3427" s="90" t="s">
        <v>729</v>
      </c>
      <c r="D3427" s="90" t="s">
        <v>719</v>
      </c>
      <c r="E3427" s="102" t="s">
        <v>11</v>
      </c>
      <c r="F3427" s="103" t="s">
        <v>31</v>
      </c>
      <c r="G3427" s="93">
        <v>770.74349529999995</v>
      </c>
      <c r="H3427" s="93">
        <v>37085.66936</v>
      </c>
      <c r="I3427" s="93">
        <v>89203.743520000004</v>
      </c>
      <c r="J3427" s="93">
        <v>49907.551390000001</v>
      </c>
      <c r="K3427" s="93">
        <v>19414.06943</v>
      </c>
      <c r="L3427" s="93">
        <v>146433.24</v>
      </c>
      <c r="M3427" s="93">
        <v>342815.01</v>
      </c>
      <c r="N3427" s="95">
        <v>0</v>
      </c>
      <c r="O3427" s="95">
        <v>0.19</v>
      </c>
      <c r="P3427" s="95">
        <v>0.45</v>
      </c>
      <c r="Q3427" s="95">
        <v>0.25</v>
      </c>
      <c r="R3427" s="104">
        <v>0.1</v>
      </c>
    </row>
    <row r="3428" spans="1:18" ht="15" hidden="1" customHeight="1" x14ac:dyDescent="0.3">
      <c r="A3428" s="101">
        <v>2025</v>
      </c>
      <c r="B3428" s="90">
        <v>8</v>
      </c>
      <c r="C3428" s="90" t="s">
        <v>729</v>
      </c>
      <c r="D3428" s="90" t="s">
        <v>719</v>
      </c>
      <c r="E3428" s="102" t="s">
        <v>11</v>
      </c>
      <c r="F3428" s="103" t="s">
        <v>32</v>
      </c>
      <c r="G3428" s="93">
        <v>5967.4958610000003</v>
      </c>
      <c r="H3428" s="93">
        <v>62739.992839999999</v>
      </c>
      <c r="I3428" s="93">
        <v>148114.3027</v>
      </c>
      <c r="J3428" s="93">
        <v>182595.09150000001</v>
      </c>
      <c r="K3428" s="93">
        <v>160628.41279999999</v>
      </c>
      <c r="L3428" s="93">
        <v>2369.71</v>
      </c>
      <c r="M3428" s="93">
        <v>562415.01</v>
      </c>
      <c r="N3428" s="95">
        <v>0.01</v>
      </c>
      <c r="O3428" s="95">
        <v>0.11</v>
      </c>
      <c r="P3428" s="95">
        <v>0.26</v>
      </c>
      <c r="Q3428" s="95">
        <v>0.33</v>
      </c>
      <c r="R3428" s="104">
        <v>0.28999999999999998</v>
      </c>
    </row>
    <row r="3429" spans="1:18" ht="15" hidden="1" customHeight="1" x14ac:dyDescent="0.3">
      <c r="A3429" s="101">
        <v>2025</v>
      </c>
      <c r="B3429" s="90">
        <v>8</v>
      </c>
      <c r="C3429" s="90" t="s">
        <v>729</v>
      </c>
      <c r="D3429" s="90" t="s">
        <v>719</v>
      </c>
      <c r="E3429" s="102" t="s">
        <v>11</v>
      </c>
      <c r="F3429" s="103" t="s">
        <v>33</v>
      </c>
      <c r="G3429" s="93">
        <v>12798.0753</v>
      </c>
      <c r="H3429" s="93">
        <v>50268.813929999997</v>
      </c>
      <c r="I3429" s="93">
        <v>249826.99059999999</v>
      </c>
      <c r="J3429" s="93">
        <v>591530.57180000003</v>
      </c>
      <c r="K3429" s="93">
        <v>402855.99829999998</v>
      </c>
      <c r="L3429" s="93">
        <v>30380.02</v>
      </c>
      <c r="M3429" s="93">
        <v>1337660.47</v>
      </c>
      <c r="N3429" s="95">
        <v>0.01</v>
      </c>
      <c r="O3429" s="95">
        <v>0.04</v>
      </c>
      <c r="P3429" s="95">
        <v>0.19</v>
      </c>
      <c r="Q3429" s="95">
        <v>0.45</v>
      </c>
      <c r="R3429" s="104">
        <v>0.31</v>
      </c>
    </row>
    <row r="3430" spans="1:18" ht="15" hidden="1" customHeight="1" x14ac:dyDescent="0.3">
      <c r="A3430" s="101">
        <v>2025</v>
      </c>
      <c r="B3430" s="90">
        <v>8</v>
      </c>
      <c r="C3430" s="90" t="s">
        <v>729</v>
      </c>
      <c r="D3430" s="90" t="s">
        <v>719</v>
      </c>
      <c r="E3430" s="102" t="s">
        <v>11</v>
      </c>
      <c r="F3430" s="103" t="s">
        <v>34</v>
      </c>
      <c r="G3430" s="93">
        <v>6352.5304530000003</v>
      </c>
      <c r="H3430" s="93">
        <v>20559.592069999999</v>
      </c>
      <c r="I3430" s="93">
        <v>77026.512539999996</v>
      </c>
      <c r="J3430" s="93">
        <v>280971.40830000001</v>
      </c>
      <c r="K3430" s="93">
        <v>262056.4706</v>
      </c>
      <c r="L3430" s="93">
        <v>3736.05</v>
      </c>
      <c r="M3430" s="93">
        <v>650702.56999999995</v>
      </c>
      <c r="N3430" s="95">
        <v>0.01</v>
      </c>
      <c r="O3430" s="95">
        <v>0.03</v>
      </c>
      <c r="P3430" s="95">
        <v>0.12</v>
      </c>
      <c r="Q3430" s="95">
        <v>0.43</v>
      </c>
      <c r="R3430" s="104">
        <v>0.41</v>
      </c>
    </row>
    <row r="3431" spans="1:18" ht="15" hidden="1" customHeight="1" x14ac:dyDescent="0.3">
      <c r="A3431" s="101">
        <v>2025</v>
      </c>
      <c r="B3431" s="90">
        <v>8</v>
      </c>
      <c r="C3431" s="90" t="s">
        <v>729</v>
      </c>
      <c r="D3431" s="90" t="s">
        <v>719</v>
      </c>
      <c r="E3431" s="102" t="s">
        <v>11</v>
      </c>
      <c r="F3431" s="103" t="s">
        <v>35</v>
      </c>
      <c r="G3431" s="93">
        <v>16406.951700000001</v>
      </c>
      <c r="H3431" s="93">
        <v>66862.294519999996</v>
      </c>
      <c r="I3431" s="93">
        <v>68632.554950000005</v>
      </c>
      <c r="J3431" s="93">
        <v>93318.889349999998</v>
      </c>
      <c r="K3431" s="93">
        <v>58649.469669999999</v>
      </c>
      <c r="L3431" s="93">
        <v>70466.91</v>
      </c>
      <c r="M3431" s="93">
        <v>374337.07</v>
      </c>
      <c r="N3431" s="95">
        <v>0.05</v>
      </c>
      <c r="O3431" s="95">
        <v>0.22</v>
      </c>
      <c r="P3431" s="95">
        <v>0.23</v>
      </c>
      <c r="Q3431" s="95">
        <v>0.31</v>
      </c>
      <c r="R3431" s="104">
        <v>0.19</v>
      </c>
    </row>
    <row r="3432" spans="1:18" ht="15" hidden="1" customHeight="1" x14ac:dyDescent="0.3">
      <c r="A3432" s="101">
        <v>2025</v>
      </c>
      <c r="B3432" s="90">
        <v>8</v>
      </c>
      <c r="C3432" s="90" t="s">
        <v>729</v>
      </c>
      <c r="D3432" s="90" t="s">
        <v>719</v>
      </c>
      <c r="E3432" s="102" t="s">
        <v>11</v>
      </c>
      <c r="F3432" s="103" t="s">
        <v>36</v>
      </c>
      <c r="G3432" s="93">
        <v>3778.865671</v>
      </c>
      <c r="H3432" s="93">
        <v>30568.572110000001</v>
      </c>
      <c r="I3432" s="93">
        <v>82689.876950000005</v>
      </c>
      <c r="J3432" s="93">
        <v>85086.249920000002</v>
      </c>
      <c r="K3432" s="93">
        <v>23774.95003</v>
      </c>
      <c r="L3432" s="93">
        <v>72145.14</v>
      </c>
      <c r="M3432" s="93">
        <v>298043.65999999997</v>
      </c>
      <c r="N3432" s="95">
        <v>0.02</v>
      </c>
      <c r="O3432" s="95">
        <v>0.14000000000000001</v>
      </c>
      <c r="P3432" s="95">
        <v>0.37</v>
      </c>
      <c r="Q3432" s="95">
        <v>0.38</v>
      </c>
      <c r="R3432" s="104">
        <v>0.11</v>
      </c>
    </row>
    <row r="3433" spans="1:18" ht="15" hidden="1" customHeight="1" x14ac:dyDescent="0.3">
      <c r="A3433" s="101">
        <v>2025</v>
      </c>
      <c r="B3433" s="90">
        <v>8</v>
      </c>
      <c r="C3433" s="90" t="s">
        <v>729</v>
      </c>
      <c r="D3433" s="90" t="s">
        <v>719</v>
      </c>
      <c r="E3433" s="102" t="s">
        <v>11</v>
      </c>
      <c r="F3433" s="103" t="s">
        <v>37</v>
      </c>
      <c r="G3433" s="93">
        <v>7394.6615629999997</v>
      </c>
      <c r="H3433" s="93">
        <v>52723.210800000001</v>
      </c>
      <c r="I3433" s="93">
        <v>140628.5178</v>
      </c>
      <c r="J3433" s="93">
        <v>122756.499</v>
      </c>
      <c r="K3433" s="93">
        <v>35550.670409999999</v>
      </c>
      <c r="L3433" s="93">
        <v>306507.65999999997</v>
      </c>
      <c r="M3433" s="93">
        <v>665561.22</v>
      </c>
      <c r="N3433" s="95">
        <v>0.02</v>
      </c>
      <c r="O3433" s="95">
        <v>0.15</v>
      </c>
      <c r="P3433" s="95">
        <v>0.39</v>
      </c>
      <c r="Q3433" s="95">
        <v>0.34</v>
      </c>
      <c r="R3433" s="104">
        <v>0.1</v>
      </c>
    </row>
    <row r="3434" spans="1:18" ht="15" hidden="1" customHeight="1" x14ac:dyDescent="0.3">
      <c r="A3434" s="101">
        <v>2025</v>
      </c>
      <c r="B3434" s="90">
        <v>8</v>
      </c>
      <c r="C3434" s="90" t="s">
        <v>729</v>
      </c>
      <c r="D3434" s="90" t="s">
        <v>719</v>
      </c>
      <c r="E3434" s="102" t="s">
        <v>11</v>
      </c>
      <c r="F3434" s="103" t="s">
        <v>38</v>
      </c>
      <c r="G3434" s="93">
        <v>39428.813340000001</v>
      </c>
      <c r="H3434" s="93">
        <v>87811.595000000001</v>
      </c>
      <c r="I3434" s="93">
        <v>163835.18119999999</v>
      </c>
      <c r="J3434" s="93">
        <v>275907.4473</v>
      </c>
      <c r="K3434" s="93">
        <v>168445.28969999999</v>
      </c>
      <c r="L3434" s="93">
        <v>18545.84</v>
      </c>
      <c r="M3434" s="93">
        <v>753974.16</v>
      </c>
      <c r="N3434" s="95">
        <v>0.05</v>
      </c>
      <c r="O3434" s="95">
        <v>0.12</v>
      </c>
      <c r="P3434" s="95">
        <v>0.22</v>
      </c>
      <c r="Q3434" s="95">
        <v>0.38</v>
      </c>
      <c r="R3434" s="104">
        <v>0.23</v>
      </c>
    </row>
    <row r="3435" spans="1:18" ht="15" hidden="1" customHeight="1" x14ac:dyDescent="0.3">
      <c r="A3435" s="101">
        <v>2025</v>
      </c>
      <c r="B3435" s="90">
        <v>8</v>
      </c>
      <c r="C3435" s="90" t="s">
        <v>729</v>
      </c>
      <c r="D3435" s="90" t="s">
        <v>719</v>
      </c>
      <c r="E3435" s="102" t="s">
        <v>11</v>
      </c>
      <c r="F3435" s="103" t="s">
        <v>39</v>
      </c>
      <c r="G3435" s="93">
        <v>2575.828579</v>
      </c>
      <c r="H3435" s="93">
        <v>39992.693140000003</v>
      </c>
      <c r="I3435" s="93">
        <v>95030.845430000001</v>
      </c>
      <c r="J3435" s="93">
        <v>107709.8915</v>
      </c>
      <c r="K3435" s="93">
        <v>49812.395850000001</v>
      </c>
      <c r="L3435" s="93">
        <v>42918.69</v>
      </c>
      <c r="M3435" s="93">
        <v>338040.34</v>
      </c>
      <c r="N3435" s="95">
        <v>0.01</v>
      </c>
      <c r="O3435" s="95">
        <v>0.14000000000000001</v>
      </c>
      <c r="P3435" s="95">
        <v>0.32</v>
      </c>
      <c r="Q3435" s="95">
        <v>0.36</v>
      </c>
      <c r="R3435" s="104">
        <v>0.17</v>
      </c>
    </row>
    <row r="3436" spans="1:18" ht="15" hidden="1" customHeight="1" x14ac:dyDescent="0.3">
      <c r="A3436" s="101">
        <v>2025</v>
      </c>
      <c r="B3436" s="90">
        <v>8</v>
      </c>
      <c r="C3436" s="90" t="s">
        <v>729</v>
      </c>
      <c r="D3436" s="90" t="s">
        <v>719</v>
      </c>
      <c r="E3436" s="102" t="s">
        <v>11</v>
      </c>
      <c r="F3436" s="103" t="s">
        <v>40</v>
      </c>
      <c r="G3436" s="93">
        <v>3506.3976149999999</v>
      </c>
      <c r="H3436" s="93">
        <v>40233.91491</v>
      </c>
      <c r="I3436" s="93">
        <v>111868.9137</v>
      </c>
      <c r="J3436" s="93">
        <v>127609.31909999999</v>
      </c>
      <c r="K3436" s="93">
        <v>24207.36246</v>
      </c>
      <c r="L3436" s="93">
        <v>44734.2</v>
      </c>
      <c r="M3436" s="93">
        <v>352160.11</v>
      </c>
      <c r="N3436" s="95">
        <v>0.01</v>
      </c>
      <c r="O3436" s="95">
        <v>0.13</v>
      </c>
      <c r="P3436" s="95">
        <v>0.36</v>
      </c>
      <c r="Q3436" s="95">
        <v>0.42</v>
      </c>
      <c r="R3436" s="104">
        <v>0.08</v>
      </c>
    </row>
    <row r="3437" spans="1:18" ht="15" hidden="1" customHeight="1" x14ac:dyDescent="0.3">
      <c r="A3437" s="101">
        <v>2025</v>
      </c>
      <c r="B3437" s="90">
        <v>8</v>
      </c>
      <c r="C3437" s="90" t="s">
        <v>729</v>
      </c>
      <c r="D3437" s="90" t="s">
        <v>719</v>
      </c>
      <c r="E3437" s="102" t="s">
        <v>11</v>
      </c>
      <c r="F3437" s="103" t="s">
        <v>41</v>
      </c>
      <c r="G3437" s="93">
        <v>1819.3807919999999</v>
      </c>
      <c r="H3437" s="93">
        <v>7715.130752</v>
      </c>
      <c r="I3437" s="93">
        <v>5920.425819</v>
      </c>
      <c r="J3437" s="93">
        <v>2448.0529529999999</v>
      </c>
      <c r="K3437" s="93">
        <v>145.36425120000001</v>
      </c>
      <c r="L3437" s="93">
        <v>856107.39</v>
      </c>
      <c r="M3437" s="93">
        <v>874155.74</v>
      </c>
      <c r="N3437" s="95">
        <v>0.1</v>
      </c>
      <c r="O3437" s="95">
        <v>0.43</v>
      </c>
      <c r="P3437" s="95">
        <v>0.33</v>
      </c>
      <c r="Q3437" s="95">
        <v>0.14000000000000001</v>
      </c>
      <c r="R3437" s="104">
        <v>0.01</v>
      </c>
    </row>
    <row r="3438" spans="1:18" ht="15" hidden="1" customHeight="1" x14ac:dyDescent="0.3">
      <c r="A3438" s="101">
        <v>2025</v>
      </c>
      <c r="B3438" s="90">
        <v>8</v>
      </c>
      <c r="C3438" s="90" t="s">
        <v>729</v>
      </c>
      <c r="D3438" s="90" t="s">
        <v>719</v>
      </c>
      <c r="E3438" s="102" t="s">
        <v>11</v>
      </c>
      <c r="F3438" s="103" t="s">
        <v>42</v>
      </c>
      <c r="G3438" s="93">
        <v>5222.4089819999999</v>
      </c>
      <c r="H3438" s="93">
        <v>71427.797779999994</v>
      </c>
      <c r="I3438" s="93">
        <v>158058.0098</v>
      </c>
      <c r="J3438" s="93">
        <v>151399.4106</v>
      </c>
      <c r="K3438" s="93">
        <v>92053.648700000005</v>
      </c>
      <c r="L3438" s="93">
        <v>1575.22</v>
      </c>
      <c r="M3438" s="93">
        <v>479736.5</v>
      </c>
      <c r="N3438" s="95">
        <v>0.01</v>
      </c>
      <c r="O3438" s="95">
        <v>0.15</v>
      </c>
      <c r="P3438" s="95">
        <v>0.33</v>
      </c>
      <c r="Q3438" s="95">
        <v>0.32</v>
      </c>
      <c r="R3438" s="104">
        <v>0.19</v>
      </c>
    </row>
    <row r="3439" spans="1:18" ht="15" hidden="1" customHeight="1" x14ac:dyDescent="0.3">
      <c r="A3439" s="101">
        <v>2025</v>
      </c>
      <c r="B3439" s="90">
        <v>8</v>
      </c>
      <c r="C3439" s="90" t="s">
        <v>729</v>
      </c>
      <c r="D3439" s="90" t="s">
        <v>719</v>
      </c>
      <c r="E3439" s="102" t="s">
        <v>11</v>
      </c>
      <c r="F3439" s="103" t="s">
        <v>43</v>
      </c>
      <c r="G3439" s="93">
        <v>604.12572150000005</v>
      </c>
      <c r="H3439" s="93">
        <v>18078.084589999999</v>
      </c>
      <c r="I3439" s="93">
        <v>23488.02966</v>
      </c>
      <c r="J3439" s="93">
        <v>16519.705170000001</v>
      </c>
      <c r="K3439" s="93">
        <v>10466.9367</v>
      </c>
      <c r="L3439" s="93">
        <v>61740.28</v>
      </c>
      <c r="M3439" s="93">
        <v>130897.16</v>
      </c>
      <c r="N3439" s="95">
        <v>0.01</v>
      </c>
      <c r="O3439" s="95">
        <v>0.26</v>
      </c>
      <c r="P3439" s="95">
        <v>0.34</v>
      </c>
      <c r="Q3439" s="95">
        <v>0.24</v>
      </c>
      <c r="R3439" s="104">
        <v>0.15</v>
      </c>
    </row>
    <row r="3440" spans="1:18" ht="15" hidden="1" customHeight="1" x14ac:dyDescent="0.3">
      <c r="A3440" s="101">
        <v>2025</v>
      </c>
      <c r="B3440" s="90">
        <v>8</v>
      </c>
      <c r="C3440" s="90" t="s">
        <v>729</v>
      </c>
      <c r="D3440" s="90" t="s">
        <v>719</v>
      </c>
      <c r="E3440" s="102" t="s">
        <v>11</v>
      </c>
      <c r="F3440" s="103" t="s">
        <v>58</v>
      </c>
      <c r="G3440" s="93">
        <v>3492.48209</v>
      </c>
      <c r="H3440" s="93">
        <v>20248.484799999998</v>
      </c>
      <c r="I3440" s="93">
        <v>67499.864809999999</v>
      </c>
      <c r="J3440" s="93">
        <v>140851.17009999999</v>
      </c>
      <c r="K3440" s="93">
        <v>135237.42439999999</v>
      </c>
      <c r="L3440" s="93">
        <v>14374.24</v>
      </c>
      <c r="M3440" s="93">
        <v>381703.67</v>
      </c>
      <c r="N3440" s="95">
        <v>0.01</v>
      </c>
      <c r="O3440" s="95">
        <v>0.06</v>
      </c>
      <c r="P3440" s="95">
        <v>0.18</v>
      </c>
      <c r="Q3440" s="95">
        <v>0.38</v>
      </c>
      <c r="R3440" s="104">
        <v>0.37</v>
      </c>
    </row>
    <row r="3441" spans="1:18" ht="15" hidden="1" customHeight="1" x14ac:dyDescent="0.3">
      <c r="A3441" s="101">
        <v>2025</v>
      </c>
      <c r="B3441" s="90">
        <v>8</v>
      </c>
      <c r="C3441" s="90" t="s">
        <v>729</v>
      </c>
      <c r="D3441" s="90" t="s">
        <v>719</v>
      </c>
      <c r="E3441" s="102" t="s">
        <v>11</v>
      </c>
      <c r="F3441" s="103" t="s">
        <v>44</v>
      </c>
      <c r="G3441" s="93">
        <v>2499.2022670000001</v>
      </c>
      <c r="H3441" s="93">
        <v>9907.8605320000006</v>
      </c>
      <c r="I3441" s="93">
        <v>38143.183640000003</v>
      </c>
      <c r="J3441" s="93">
        <v>75771.296440000006</v>
      </c>
      <c r="K3441" s="93">
        <v>44110.314619999997</v>
      </c>
      <c r="L3441" s="93">
        <v>79428.679999999993</v>
      </c>
      <c r="M3441" s="93">
        <v>249860.54</v>
      </c>
      <c r="N3441" s="95">
        <v>0.01</v>
      </c>
      <c r="O3441" s="95">
        <v>0.06</v>
      </c>
      <c r="P3441" s="95">
        <v>0.22</v>
      </c>
      <c r="Q3441" s="95">
        <v>0.44</v>
      </c>
      <c r="R3441" s="104">
        <v>0.26</v>
      </c>
    </row>
    <row r="3442" spans="1:18" ht="15" hidden="1" customHeight="1" x14ac:dyDescent="0.3">
      <c r="A3442" s="101">
        <v>2025</v>
      </c>
      <c r="B3442" s="90">
        <v>8</v>
      </c>
      <c r="C3442" s="90" t="s">
        <v>729</v>
      </c>
      <c r="D3442" s="90" t="s">
        <v>719</v>
      </c>
      <c r="E3442" s="102" t="s">
        <v>11</v>
      </c>
      <c r="F3442" s="103" t="s">
        <v>51</v>
      </c>
      <c r="G3442" s="93">
        <v>1117.958914</v>
      </c>
      <c r="H3442" s="93">
        <v>9968.4546539999992</v>
      </c>
      <c r="I3442" s="93">
        <v>37304.700980000001</v>
      </c>
      <c r="J3442" s="93">
        <v>68147.739100000006</v>
      </c>
      <c r="K3442" s="93">
        <v>93032.692809999993</v>
      </c>
      <c r="L3442" s="93">
        <v>5123.74</v>
      </c>
      <c r="M3442" s="93">
        <v>214695.29</v>
      </c>
      <c r="N3442" s="95">
        <v>0.01</v>
      </c>
      <c r="O3442" s="95">
        <v>0.05</v>
      </c>
      <c r="P3442" s="95">
        <v>0.18</v>
      </c>
      <c r="Q3442" s="95">
        <v>0.33</v>
      </c>
      <c r="R3442" s="104">
        <v>0.44</v>
      </c>
    </row>
    <row r="3443" spans="1:18" ht="15" hidden="1" customHeight="1" x14ac:dyDescent="0.3">
      <c r="A3443" s="101">
        <v>2025</v>
      </c>
      <c r="B3443" s="90">
        <v>8</v>
      </c>
      <c r="C3443" s="90" t="s">
        <v>729</v>
      </c>
      <c r="D3443" s="90" t="s">
        <v>719</v>
      </c>
      <c r="E3443" s="102" t="s">
        <v>11</v>
      </c>
      <c r="F3443" s="103" t="s">
        <v>45</v>
      </c>
      <c r="G3443" s="93">
        <v>1475.8891900000001</v>
      </c>
      <c r="H3443" s="93">
        <v>8962.5661170000003</v>
      </c>
      <c r="I3443" s="93">
        <v>18814.30154</v>
      </c>
      <c r="J3443" s="93">
        <v>30471.764739999999</v>
      </c>
      <c r="K3443" s="93">
        <v>24298.2</v>
      </c>
      <c r="L3443" s="93">
        <v>27592.98</v>
      </c>
      <c r="M3443" s="93">
        <v>111615.7</v>
      </c>
      <c r="N3443" s="95">
        <v>0.02</v>
      </c>
      <c r="O3443" s="95">
        <v>0.11</v>
      </c>
      <c r="P3443" s="95">
        <v>0.22</v>
      </c>
      <c r="Q3443" s="95">
        <v>0.36</v>
      </c>
      <c r="R3443" s="104">
        <v>0.28999999999999998</v>
      </c>
    </row>
    <row r="3444" spans="1:18" ht="15" hidden="1" customHeight="1" x14ac:dyDescent="0.3">
      <c r="A3444" s="101">
        <v>2025</v>
      </c>
      <c r="B3444" s="90">
        <v>8</v>
      </c>
      <c r="C3444" s="90" t="s">
        <v>729</v>
      </c>
      <c r="D3444" s="90" t="s">
        <v>719</v>
      </c>
      <c r="E3444" s="102" t="s">
        <v>11</v>
      </c>
      <c r="F3444" s="103" t="s">
        <v>721</v>
      </c>
      <c r="G3444" s="93">
        <v>584.75714679999999</v>
      </c>
      <c r="H3444" s="93">
        <v>34593.488790000003</v>
      </c>
      <c r="I3444" s="93">
        <v>88279.984509999995</v>
      </c>
      <c r="J3444" s="93">
        <v>94857.406180000005</v>
      </c>
      <c r="K3444" s="93">
        <v>91010.654720000006</v>
      </c>
      <c r="L3444" s="93">
        <v>589438.16</v>
      </c>
      <c r="M3444" s="93">
        <v>898764.45</v>
      </c>
      <c r="N3444" s="95">
        <v>0</v>
      </c>
      <c r="O3444" s="95">
        <v>0.11</v>
      </c>
      <c r="P3444" s="95">
        <v>0.28999999999999998</v>
      </c>
      <c r="Q3444" s="95">
        <v>0.31</v>
      </c>
      <c r="R3444" s="104">
        <v>0.28999999999999998</v>
      </c>
    </row>
    <row r="3445" spans="1:18" ht="15" hidden="1" customHeight="1" x14ac:dyDescent="0.3">
      <c r="A3445" s="101">
        <v>2025</v>
      </c>
      <c r="B3445" s="90">
        <v>8</v>
      </c>
      <c r="C3445" s="90" t="s">
        <v>729</v>
      </c>
      <c r="D3445" s="90" t="s">
        <v>719</v>
      </c>
      <c r="E3445" s="102" t="s">
        <v>11</v>
      </c>
      <c r="F3445" s="103" t="s">
        <v>46</v>
      </c>
      <c r="G3445" s="93">
        <v>1852.7352960000001</v>
      </c>
      <c r="H3445" s="93">
        <v>15547.17172</v>
      </c>
      <c r="I3445" s="93">
        <v>41022.707869999998</v>
      </c>
      <c r="J3445" s="93">
        <v>53457.838109999997</v>
      </c>
      <c r="K3445" s="93">
        <v>36104.737849999998</v>
      </c>
      <c r="L3445" s="93">
        <v>38522.93</v>
      </c>
      <c r="M3445" s="93">
        <v>186508.12</v>
      </c>
      <c r="N3445" s="95">
        <v>0.01</v>
      </c>
      <c r="O3445" s="95">
        <v>0.11</v>
      </c>
      <c r="P3445" s="95">
        <v>0.28000000000000003</v>
      </c>
      <c r="Q3445" s="95">
        <v>0.36</v>
      </c>
      <c r="R3445" s="104">
        <v>0.24</v>
      </c>
    </row>
    <row r="3446" spans="1:18" ht="15" hidden="1" customHeight="1" x14ac:dyDescent="0.3">
      <c r="A3446" s="101">
        <v>2025</v>
      </c>
      <c r="B3446" s="90">
        <v>8</v>
      </c>
      <c r="C3446" s="90" t="s">
        <v>729</v>
      </c>
      <c r="D3446" s="90" t="s">
        <v>719</v>
      </c>
      <c r="E3446" s="102" t="s">
        <v>11</v>
      </c>
      <c r="F3446" s="103" t="s">
        <v>47</v>
      </c>
      <c r="G3446" s="93">
        <v>12195.63197</v>
      </c>
      <c r="H3446" s="93">
        <v>32619.421289999998</v>
      </c>
      <c r="I3446" s="93">
        <v>130984.2325</v>
      </c>
      <c r="J3446" s="93">
        <v>320405.74819999997</v>
      </c>
      <c r="K3446" s="93">
        <v>567711.69310000003</v>
      </c>
      <c r="L3446" s="93">
        <v>50698.59</v>
      </c>
      <c r="M3446" s="93">
        <v>1114615.32</v>
      </c>
      <c r="N3446" s="95">
        <v>0.01</v>
      </c>
      <c r="O3446" s="95">
        <v>0.03</v>
      </c>
      <c r="P3446" s="95">
        <v>0.12</v>
      </c>
      <c r="Q3446" s="95">
        <v>0.3</v>
      </c>
      <c r="R3446" s="104">
        <v>0.53</v>
      </c>
    </row>
    <row r="3447" spans="1:18" ht="15" hidden="1" customHeight="1" x14ac:dyDescent="0.3">
      <c r="A3447" s="101">
        <v>2025</v>
      </c>
      <c r="B3447" s="90">
        <v>8</v>
      </c>
      <c r="C3447" s="90" t="s">
        <v>729</v>
      </c>
      <c r="D3447" s="90" t="s">
        <v>719</v>
      </c>
      <c r="E3447" s="102" t="s">
        <v>11</v>
      </c>
      <c r="F3447" s="103" t="s">
        <v>48</v>
      </c>
      <c r="G3447" s="93">
        <v>900.37231559999998</v>
      </c>
      <c r="H3447" s="93">
        <v>3502.0699949999998</v>
      </c>
      <c r="I3447" s="93">
        <v>12444.505590000001</v>
      </c>
      <c r="J3447" s="93">
        <v>44678.141179999999</v>
      </c>
      <c r="K3447" s="93">
        <v>39915.249730000003</v>
      </c>
      <c r="L3447" s="93">
        <v>264416.34000000003</v>
      </c>
      <c r="M3447" s="93">
        <v>365856.68</v>
      </c>
      <c r="N3447" s="95">
        <v>0.01</v>
      </c>
      <c r="O3447" s="95">
        <v>0.03</v>
      </c>
      <c r="P3447" s="95">
        <v>0.12</v>
      </c>
      <c r="Q3447" s="95">
        <v>0.44</v>
      </c>
      <c r="R3447" s="104">
        <v>0.39</v>
      </c>
    </row>
    <row r="3448" spans="1:18" ht="15" hidden="1" customHeight="1" x14ac:dyDescent="0.3">
      <c r="A3448" s="101">
        <v>2025</v>
      </c>
      <c r="B3448" s="90">
        <v>8</v>
      </c>
      <c r="C3448" s="90" t="s">
        <v>729</v>
      </c>
      <c r="D3448" s="90" t="s">
        <v>722</v>
      </c>
      <c r="E3448" s="102" t="s">
        <v>11</v>
      </c>
      <c r="F3448" s="103" t="s">
        <v>12</v>
      </c>
      <c r="G3448" s="93">
        <v>8246</v>
      </c>
      <c r="H3448" s="93">
        <v>66298</v>
      </c>
      <c r="I3448" s="93">
        <v>132275</v>
      </c>
      <c r="J3448" s="93">
        <v>123727</v>
      </c>
      <c r="K3448" s="93">
        <v>53158</v>
      </c>
      <c r="L3448" s="93">
        <v>2247.04</v>
      </c>
      <c r="M3448" s="93">
        <v>385950.73</v>
      </c>
      <c r="N3448" s="95">
        <v>0.02</v>
      </c>
      <c r="O3448" s="95">
        <v>0.17</v>
      </c>
      <c r="P3448" s="95">
        <v>0.34</v>
      </c>
      <c r="Q3448" s="95">
        <v>0.32</v>
      </c>
      <c r="R3448" s="104">
        <v>0.14000000000000001</v>
      </c>
    </row>
    <row r="3449" spans="1:18" ht="15" hidden="1" customHeight="1" x14ac:dyDescent="0.3">
      <c r="A3449" s="101">
        <v>2025</v>
      </c>
      <c r="B3449" s="90">
        <v>8</v>
      </c>
      <c r="C3449" s="90" t="s">
        <v>729</v>
      </c>
      <c r="D3449" s="90" t="s">
        <v>722</v>
      </c>
      <c r="E3449" s="102" t="s">
        <v>11</v>
      </c>
      <c r="F3449" s="103" t="s">
        <v>26</v>
      </c>
      <c r="G3449" s="93">
        <v>58298</v>
      </c>
      <c r="H3449" s="93">
        <v>140839</v>
      </c>
      <c r="I3449" s="93">
        <v>228626</v>
      </c>
      <c r="J3449" s="93">
        <v>465918</v>
      </c>
      <c r="K3449" s="93">
        <v>150366</v>
      </c>
      <c r="L3449" s="93">
        <v>33785.760000000002</v>
      </c>
      <c r="M3449" s="93">
        <v>1077833.6599999999</v>
      </c>
      <c r="N3449" s="95">
        <v>0.06</v>
      </c>
      <c r="O3449" s="95">
        <v>0.13</v>
      </c>
      <c r="P3449" s="95">
        <v>0.22</v>
      </c>
      <c r="Q3449" s="95">
        <v>0.45</v>
      </c>
      <c r="R3449" s="104">
        <v>0.14000000000000001</v>
      </c>
    </row>
    <row r="3450" spans="1:18" ht="15" hidden="1" customHeight="1" x14ac:dyDescent="0.3">
      <c r="A3450" s="101">
        <v>2025</v>
      </c>
      <c r="B3450" s="90">
        <v>8</v>
      </c>
      <c r="C3450" s="90" t="s">
        <v>729</v>
      </c>
      <c r="D3450" s="90" t="s">
        <v>722</v>
      </c>
      <c r="E3450" s="102" t="s">
        <v>11</v>
      </c>
      <c r="F3450" s="103" t="s">
        <v>27</v>
      </c>
      <c r="G3450" s="93">
        <v>72</v>
      </c>
      <c r="H3450" s="93">
        <v>1230</v>
      </c>
      <c r="I3450" s="93">
        <v>3225</v>
      </c>
      <c r="J3450" s="93">
        <v>7987</v>
      </c>
      <c r="K3450" s="93">
        <v>2939</v>
      </c>
      <c r="L3450" s="93">
        <v>0</v>
      </c>
      <c r="M3450" s="93">
        <v>15452.25</v>
      </c>
      <c r="N3450" s="95">
        <v>0</v>
      </c>
      <c r="O3450" s="95">
        <v>0.08</v>
      </c>
      <c r="P3450" s="95">
        <v>0.21</v>
      </c>
      <c r="Q3450" s="95">
        <v>0.52</v>
      </c>
      <c r="R3450" s="104">
        <v>0.19</v>
      </c>
    </row>
    <row r="3451" spans="1:18" ht="15" hidden="1" customHeight="1" x14ac:dyDescent="0.3">
      <c r="A3451" s="101">
        <v>2025</v>
      </c>
      <c r="B3451" s="90">
        <v>8</v>
      </c>
      <c r="C3451" s="90" t="s">
        <v>729</v>
      </c>
      <c r="D3451" s="90" t="s">
        <v>722</v>
      </c>
      <c r="E3451" s="102" t="s">
        <v>11</v>
      </c>
      <c r="F3451" s="103" t="s">
        <v>28</v>
      </c>
      <c r="G3451" s="93">
        <v>150</v>
      </c>
      <c r="H3451" s="93">
        <v>666</v>
      </c>
      <c r="I3451" s="93">
        <v>713</v>
      </c>
      <c r="J3451" s="93">
        <v>434</v>
      </c>
      <c r="K3451" s="93">
        <v>67</v>
      </c>
      <c r="L3451" s="93">
        <v>0</v>
      </c>
      <c r="M3451" s="93">
        <v>2030.32</v>
      </c>
      <c r="N3451" s="95">
        <v>7.0000000000000007E-2</v>
      </c>
      <c r="O3451" s="95">
        <v>0.33</v>
      </c>
      <c r="P3451" s="95">
        <v>0.35</v>
      </c>
      <c r="Q3451" s="95">
        <v>0.21</v>
      </c>
      <c r="R3451" s="104">
        <v>0.03</v>
      </c>
    </row>
    <row r="3452" spans="1:18" ht="15" customHeight="1" x14ac:dyDescent="0.3">
      <c r="A3452" s="101">
        <v>2025</v>
      </c>
      <c r="B3452" s="90">
        <v>8</v>
      </c>
      <c r="C3452" s="90" t="s">
        <v>729</v>
      </c>
      <c r="D3452" s="90" t="s">
        <v>722</v>
      </c>
      <c r="E3452" s="102" t="s">
        <v>11</v>
      </c>
      <c r="F3452" s="103" t="s">
        <v>29</v>
      </c>
      <c r="G3452" s="93">
        <v>2941</v>
      </c>
      <c r="H3452" s="93">
        <v>12090</v>
      </c>
      <c r="I3452" s="93">
        <v>30516</v>
      </c>
      <c r="J3452" s="93">
        <v>83237</v>
      </c>
      <c r="K3452" s="93">
        <v>67514</v>
      </c>
      <c r="L3452" s="93">
        <v>0</v>
      </c>
      <c r="M3452" s="93">
        <v>196296.76</v>
      </c>
      <c r="N3452" s="95">
        <v>0.01</v>
      </c>
      <c r="O3452" s="95">
        <v>0.06</v>
      </c>
      <c r="P3452" s="95">
        <v>0.16</v>
      </c>
      <c r="Q3452" s="95">
        <v>0.42</v>
      </c>
      <c r="R3452" s="104">
        <v>0.34</v>
      </c>
    </row>
    <row r="3453" spans="1:18" ht="15" hidden="1" customHeight="1" x14ac:dyDescent="0.3">
      <c r="A3453" s="101">
        <v>2025</v>
      </c>
      <c r="B3453" s="90">
        <v>8</v>
      </c>
      <c r="C3453" s="90" t="s">
        <v>729</v>
      </c>
      <c r="D3453" s="90" t="s">
        <v>722</v>
      </c>
      <c r="E3453" s="102" t="s">
        <v>11</v>
      </c>
      <c r="F3453" s="103" t="s">
        <v>30</v>
      </c>
      <c r="G3453" s="93">
        <v>27389</v>
      </c>
      <c r="H3453" s="93">
        <v>145036</v>
      </c>
      <c r="I3453" s="93">
        <v>252727</v>
      </c>
      <c r="J3453" s="93">
        <v>202066</v>
      </c>
      <c r="K3453" s="93">
        <v>69028</v>
      </c>
      <c r="L3453" s="93">
        <v>0</v>
      </c>
      <c r="M3453" s="93">
        <v>696245.4</v>
      </c>
      <c r="N3453" s="95">
        <v>0.04</v>
      </c>
      <c r="O3453" s="95">
        <v>0.21</v>
      </c>
      <c r="P3453" s="95">
        <v>0.36</v>
      </c>
      <c r="Q3453" s="95">
        <v>0.28999999999999998</v>
      </c>
      <c r="R3453" s="104">
        <v>0.1</v>
      </c>
    </row>
    <row r="3454" spans="1:18" ht="15" hidden="1" customHeight="1" x14ac:dyDescent="0.3">
      <c r="A3454" s="101">
        <v>2025</v>
      </c>
      <c r="B3454" s="90">
        <v>8</v>
      </c>
      <c r="C3454" s="90" t="s">
        <v>729</v>
      </c>
      <c r="D3454" s="90" t="s">
        <v>722</v>
      </c>
      <c r="E3454" s="102" t="s">
        <v>11</v>
      </c>
      <c r="F3454" s="103" t="s">
        <v>31</v>
      </c>
      <c r="G3454" s="93">
        <v>30</v>
      </c>
      <c r="H3454" s="93">
        <v>672</v>
      </c>
      <c r="I3454" s="93">
        <v>2048</v>
      </c>
      <c r="J3454" s="93">
        <v>2672</v>
      </c>
      <c r="K3454" s="93">
        <v>1153</v>
      </c>
      <c r="L3454" s="93">
        <v>0</v>
      </c>
      <c r="M3454" s="93">
        <v>6573.47</v>
      </c>
      <c r="N3454" s="95">
        <v>0</v>
      </c>
      <c r="O3454" s="95">
        <v>0.1</v>
      </c>
      <c r="P3454" s="95">
        <v>0.31</v>
      </c>
      <c r="Q3454" s="95">
        <v>0.41</v>
      </c>
      <c r="R3454" s="104">
        <v>0.18</v>
      </c>
    </row>
    <row r="3455" spans="1:18" ht="15" hidden="1" customHeight="1" x14ac:dyDescent="0.3">
      <c r="A3455" s="101">
        <v>2025</v>
      </c>
      <c r="B3455" s="90">
        <v>8</v>
      </c>
      <c r="C3455" s="90" t="s">
        <v>729</v>
      </c>
      <c r="D3455" s="90" t="s">
        <v>722</v>
      </c>
      <c r="E3455" s="102" t="s">
        <v>11</v>
      </c>
      <c r="F3455" s="103" t="s">
        <v>32</v>
      </c>
      <c r="G3455" s="93">
        <v>5654</v>
      </c>
      <c r="H3455" s="93">
        <v>18697</v>
      </c>
      <c r="I3455" s="93">
        <v>61594</v>
      </c>
      <c r="J3455" s="93">
        <v>70744</v>
      </c>
      <c r="K3455" s="93">
        <v>29435</v>
      </c>
      <c r="L3455" s="93">
        <v>0</v>
      </c>
      <c r="M3455" s="93">
        <v>186123</v>
      </c>
      <c r="N3455" s="95">
        <v>0.03</v>
      </c>
      <c r="O3455" s="95">
        <v>0.1</v>
      </c>
      <c r="P3455" s="95">
        <v>0.33</v>
      </c>
      <c r="Q3455" s="95">
        <v>0.38</v>
      </c>
      <c r="R3455" s="104">
        <v>0.16</v>
      </c>
    </row>
    <row r="3456" spans="1:18" ht="15" hidden="1" customHeight="1" x14ac:dyDescent="0.3">
      <c r="A3456" s="101">
        <v>2025</v>
      </c>
      <c r="B3456" s="90">
        <v>8</v>
      </c>
      <c r="C3456" s="90" t="s">
        <v>729</v>
      </c>
      <c r="D3456" s="90" t="s">
        <v>722</v>
      </c>
      <c r="E3456" s="102" t="s">
        <v>11</v>
      </c>
      <c r="F3456" s="103" t="s">
        <v>33</v>
      </c>
      <c r="G3456" s="93">
        <v>544</v>
      </c>
      <c r="H3456" s="93">
        <v>3384</v>
      </c>
      <c r="I3456" s="93">
        <v>10269</v>
      </c>
      <c r="J3456" s="93">
        <v>23862</v>
      </c>
      <c r="K3456" s="93">
        <v>12608</v>
      </c>
      <c r="L3456" s="93">
        <v>0</v>
      </c>
      <c r="M3456" s="93">
        <v>50666.35</v>
      </c>
      <c r="N3456" s="95">
        <v>0.01</v>
      </c>
      <c r="O3456" s="95">
        <v>7.0000000000000007E-2</v>
      </c>
      <c r="P3456" s="95">
        <v>0.2</v>
      </c>
      <c r="Q3456" s="95">
        <v>0.47</v>
      </c>
      <c r="R3456" s="104">
        <v>0.25</v>
      </c>
    </row>
    <row r="3457" spans="1:18" ht="15" hidden="1" customHeight="1" x14ac:dyDescent="0.3">
      <c r="A3457" s="101">
        <v>2025</v>
      </c>
      <c r="B3457" s="90">
        <v>8</v>
      </c>
      <c r="C3457" s="90" t="s">
        <v>729</v>
      </c>
      <c r="D3457" s="90" t="s">
        <v>722</v>
      </c>
      <c r="E3457" s="102" t="s">
        <v>11</v>
      </c>
      <c r="F3457" s="103" t="s">
        <v>34</v>
      </c>
      <c r="G3457" s="93">
        <v>1373</v>
      </c>
      <c r="H3457" s="93">
        <v>7479</v>
      </c>
      <c r="I3457" s="93">
        <v>47810</v>
      </c>
      <c r="J3457" s="93">
        <v>146630</v>
      </c>
      <c r="K3457" s="93">
        <v>43291</v>
      </c>
      <c r="L3457" s="93">
        <v>0</v>
      </c>
      <c r="M3457" s="93">
        <v>246583.29</v>
      </c>
      <c r="N3457" s="95">
        <v>0.01</v>
      </c>
      <c r="O3457" s="95">
        <v>0.03</v>
      </c>
      <c r="P3457" s="95">
        <v>0.19</v>
      </c>
      <c r="Q3457" s="95">
        <v>0.59</v>
      </c>
      <c r="R3457" s="104">
        <v>0.18</v>
      </c>
    </row>
    <row r="3458" spans="1:18" ht="15" hidden="1" customHeight="1" x14ac:dyDescent="0.3">
      <c r="A3458" s="101">
        <v>2025</v>
      </c>
      <c r="B3458" s="90">
        <v>8</v>
      </c>
      <c r="C3458" s="90" t="s">
        <v>729</v>
      </c>
      <c r="D3458" s="90" t="s">
        <v>722</v>
      </c>
      <c r="E3458" s="102" t="s">
        <v>11</v>
      </c>
      <c r="F3458" s="103" t="s">
        <v>35</v>
      </c>
      <c r="G3458" s="93">
        <v>129</v>
      </c>
      <c r="H3458" s="93">
        <v>205</v>
      </c>
      <c r="I3458" s="93">
        <v>346</v>
      </c>
      <c r="J3458" s="93">
        <v>226</v>
      </c>
      <c r="K3458" s="93">
        <v>40</v>
      </c>
      <c r="L3458" s="93">
        <v>0</v>
      </c>
      <c r="M3458" s="93">
        <v>945.27</v>
      </c>
      <c r="N3458" s="95">
        <v>0.14000000000000001</v>
      </c>
      <c r="O3458" s="95">
        <v>0.22</v>
      </c>
      <c r="P3458" s="95">
        <v>0.37</v>
      </c>
      <c r="Q3458" s="95">
        <v>0.24</v>
      </c>
      <c r="R3458" s="104">
        <v>0.04</v>
      </c>
    </row>
    <row r="3459" spans="1:18" ht="15" hidden="1" customHeight="1" x14ac:dyDescent="0.3">
      <c r="A3459" s="101">
        <v>2025</v>
      </c>
      <c r="B3459" s="90">
        <v>8</v>
      </c>
      <c r="C3459" s="90" t="s">
        <v>729</v>
      </c>
      <c r="D3459" s="90" t="s">
        <v>722</v>
      </c>
      <c r="E3459" s="102" t="s">
        <v>11</v>
      </c>
      <c r="F3459" s="103" t="s">
        <v>36</v>
      </c>
      <c r="G3459" s="93">
        <v>8972</v>
      </c>
      <c r="H3459" s="93">
        <v>34217</v>
      </c>
      <c r="I3459" s="93">
        <v>91774</v>
      </c>
      <c r="J3459" s="93">
        <v>172411</v>
      </c>
      <c r="K3459" s="93">
        <v>16696</v>
      </c>
      <c r="L3459" s="93">
        <v>0</v>
      </c>
      <c r="M3459" s="93">
        <v>324068.82</v>
      </c>
      <c r="N3459" s="95">
        <v>0.03</v>
      </c>
      <c r="O3459" s="95">
        <v>0.11</v>
      </c>
      <c r="P3459" s="95">
        <v>0.28000000000000003</v>
      </c>
      <c r="Q3459" s="95">
        <v>0.53</v>
      </c>
      <c r="R3459" s="104">
        <v>0.05</v>
      </c>
    </row>
    <row r="3460" spans="1:18" ht="15" hidden="1" customHeight="1" x14ac:dyDescent="0.3">
      <c r="A3460" s="101">
        <v>2025</v>
      </c>
      <c r="B3460" s="90">
        <v>8</v>
      </c>
      <c r="C3460" s="90" t="s">
        <v>729</v>
      </c>
      <c r="D3460" s="90" t="s">
        <v>722</v>
      </c>
      <c r="E3460" s="102" t="s">
        <v>11</v>
      </c>
      <c r="F3460" s="103" t="s">
        <v>39</v>
      </c>
      <c r="G3460" s="93">
        <v>676</v>
      </c>
      <c r="H3460" s="93">
        <v>5562</v>
      </c>
      <c r="I3460" s="93">
        <v>52152</v>
      </c>
      <c r="J3460" s="93">
        <v>138405</v>
      </c>
      <c r="K3460" s="93">
        <v>14984</v>
      </c>
      <c r="L3460" s="93">
        <v>0</v>
      </c>
      <c r="M3460" s="93">
        <v>211779.34</v>
      </c>
      <c r="N3460" s="95">
        <v>0</v>
      </c>
      <c r="O3460" s="95">
        <v>0.03</v>
      </c>
      <c r="P3460" s="95">
        <v>0.25</v>
      </c>
      <c r="Q3460" s="95">
        <v>0.65</v>
      </c>
      <c r="R3460" s="104">
        <v>7.0000000000000007E-2</v>
      </c>
    </row>
    <row r="3461" spans="1:18" ht="15" hidden="1" customHeight="1" x14ac:dyDescent="0.3">
      <c r="A3461" s="101">
        <v>2025</v>
      </c>
      <c r="B3461" s="90">
        <v>8</v>
      </c>
      <c r="C3461" s="90" t="s">
        <v>729</v>
      </c>
      <c r="D3461" s="90" t="s">
        <v>722</v>
      </c>
      <c r="E3461" s="102" t="s">
        <v>11</v>
      </c>
      <c r="F3461" s="103" t="s">
        <v>40</v>
      </c>
      <c r="G3461" s="93">
        <v>2887</v>
      </c>
      <c r="H3461" s="93">
        <v>16084</v>
      </c>
      <c r="I3461" s="93">
        <v>28683</v>
      </c>
      <c r="J3461" s="93">
        <v>27480</v>
      </c>
      <c r="K3461" s="93">
        <v>17026</v>
      </c>
      <c r="L3461" s="93">
        <v>0</v>
      </c>
      <c r="M3461" s="93">
        <v>92160.3</v>
      </c>
      <c r="N3461" s="95">
        <v>0.03</v>
      </c>
      <c r="O3461" s="95">
        <v>0.17</v>
      </c>
      <c r="P3461" s="95">
        <v>0.31</v>
      </c>
      <c r="Q3461" s="95">
        <v>0.3</v>
      </c>
      <c r="R3461" s="104">
        <v>0.18</v>
      </c>
    </row>
    <row r="3462" spans="1:18" ht="15" hidden="1" customHeight="1" x14ac:dyDescent="0.3">
      <c r="A3462" s="101">
        <v>2025</v>
      </c>
      <c r="B3462" s="90">
        <v>8</v>
      </c>
      <c r="C3462" s="90" t="s">
        <v>729</v>
      </c>
      <c r="D3462" s="90" t="s">
        <v>722</v>
      </c>
      <c r="E3462" s="102" t="s">
        <v>11</v>
      </c>
      <c r="F3462" s="103" t="s">
        <v>41</v>
      </c>
      <c r="G3462" s="93">
        <v>606</v>
      </c>
      <c r="H3462" s="93">
        <v>2430</v>
      </c>
      <c r="I3462" s="93">
        <v>9591</v>
      </c>
      <c r="J3462" s="93">
        <v>35461</v>
      </c>
      <c r="K3462" s="93">
        <v>23763</v>
      </c>
      <c r="L3462" s="93">
        <v>0</v>
      </c>
      <c r="M3462" s="93">
        <v>71851.149999999994</v>
      </c>
      <c r="N3462" s="95">
        <v>0.01</v>
      </c>
      <c r="O3462" s="95">
        <v>0.03</v>
      </c>
      <c r="P3462" s="95">
        <v>0.13</v>
      </c>
      <c r="Q3462" s="95">
        <v>0.49</v>
      </c>
      <c r="R3462" s="104">
        <v>0.33</v>
      </c>
    </row>
    <row r="3463" spans="1:18" ht="15" hidden="1" customHeight="1" x14ac:dyDescent="0.3">
      <c r="A3463" s="101">
        <v>2025</v>
      </c>
      <c r="B3463" s="90">
        <v>8</v>
      </c>
      <c r="C3463" s="90" t="s">
        <v>729</v>
      </c>
      <c r="D3463" s="90" t="s">
        <v>722</v>
      </c>
      <c r="E3463" s="102" t="s">
        <v>11</v>
      </c>
      <c r="F3463" s="103" t="s">
        <v>42</v>
      </c>
      <c r="G3463" s="93">
        <v>5680</v>
      </c>
      <c r="H3463" s="93">
        <v>13359</v>
      </c>
      <c r="I3463" s="93">
        <v>48698</v>
      </c>
      <c r="J3463" s="93">
        <v>94706</v>
      </c>
      <c r="K3463" s="93">
        <v>6834</v>
      </c>
      <c r="L3463" s="93">
        <v>0</v>
      </c>
      <c r="M3463" s="93">
        <v>169277.36</v>
      </c>
      <c r="N3463" s="95">
        <v>0.03</v>
      </c>
      <c r="O3463" s="95">
        <v>0.08</v>
      </c>
      <c r="P3463" s="95">
        <v>0.28999999999999998</v>
      </c>
      <c r="Q3463" s="95">
        <v>0.56000000000000005</v>
      </c>
      <c r="R3463" s="104">
        <v>0.04</v>
      </c>
    </row>
    <row r="3464" spans="1:18" ht="15" hidden="1" customHeight="1" x14ac:dyDescent="0.3">
      <c r="A3464" s="101">
        <v>2025</v>
      </c>
      <c r="B3464" s="90">
        <v>8</v>
      </c>
      <c r="C3464" s="90" t="s">
        <v>729</v>
      </c>
      <c r="D3464" s="90" t="s">
        <v>722</v>
      </c>
      <c r="E3464" s="102" t="s">
        <v>11</v>
      </c>
      <c r="F3464" s="103" t="s">
        <v>43</v>
      </c>
      <c r="G3464" s="93">
        <v>6167</v>
      </c>
      <c r="H3464" s="93">
        <v>39475</v>
      </c>
      <c r="I3464" s="93">
        <v>173261</v>
      </c>
      <c r="J3464" s="93">
        <v>191610</v>
      </c>
      <c r="K3464" s="93">
        <v>181435</v>
      </c>
      <c r="L3464" s="93">
        <v>0</v>
      </c>
      <c r="M3464" s="93">
        <v>591947.99</v>
      </c>
      <c r="N3464" s="95">
        <v>0.01</v>
      </c>
      <c r="O3464" s="95">
        <v>7.0000000000000007E-2</v>
      </c>
      <c r="P3464" s="95">
        <v>0.28999999999999998</v>
      </c>
      <c r="Q3464" s="95">
        <v>0.32</v>
      </c>
      <c r="R3464" s="104">
        <v>0.31</v>
      </c>
    </row>
    <row r="3465" spans="1:18" ht="15" hidden="1" customHeight="1" x14ac:dyDescent="0.3">
      <c r="A3465" s="101">
        <v>2025</v>
      </c>
      <c r="B3465" s="90">
        <v>8</v>
      </c>
      <c r="C3465" s="90" t="s">
        <v>729</v>
      </c>
      <c r="D3465" s="90" t="s">
        <v>722</v>
      </c>
      <c r="E3465" s="102" t="s">
        <v>11</v>
      </c>
      <c r="F3465" s="103" t="s">
        <v>58</v>
      </c>
      <c r="G3465" s="93">
        <v>38</v>
      </c>
      <c r="H3465" s="93">
        <v>328</v>
      </c>
      <c r="I3465" s="93">
        <v>872</v>
      </c>
      <c r="J3465" s="93">
        <v>1984</v>
      </c>
      <c r="K3465" s="93">
        <v>2278</v>
      </c>
      <c r="L3465" s="93">
        <v>0</v>
      </c>
      <c r="M3465" s="93">
        <v>5501.54</v>
      </c>
      <c r="N3465" s="95">
        <v>0.01</v>
      </c>
      <c r="O3465" s="95">
        <v>0.06</v>
      </c>
      <c r="P3465" s="95">
        <v>0.16</v>
      </c>
      <c r="Q3465" s="95">
        <v>0.36</v>
      </c>
      <c r="R3465" s="104">
        <v>0.41</v>
      </c>
    </row>
    <row r="3466" spans="1:18" ht="15" hidden="1" customHeight="1" x14ac:dyDescent="0.3">
      <c r="A3466" s="101">
        <v>2025</v>
      </c>
      <c r="B3466" s="90">
        <v>8</v>
      </c>
      <c r="C3466" s="90" t="s">
        <v>729</v>
      </c>
      <c r="D3466" s="90" t="s">
        <v>722</v>
      </c>
      <c r="E3466" s="102" t="s">
        <v>11</v>
      </c>
      <c r="F3466" s="103" t="s">
        <v>44</v>
      </c>
      <c r="G3466" s="93">
        <v>2964</v>
      </c>
      <c r="H3466" s="93">
        <v>1551</v>
      </c>
      <c r="I3466" s="93">
        <v>6294</v>
      </c>
      <c r="J3466" s="93">
        <v>12730</v>
      </c>
      <c r="K3466" s="93">
        <v>3167</v>
      </c>
      <c r="L3466" s="93">
        <v>0</v>
      </c>
      <c r="M3466" s="93">
        <v>26705.17</v>
      </c>
      <c r="N3466" s="95">
        <v>0.11</v>
      </c>
      <c r="O3466" s="95">
        <v>0.06</v>
      </c>
      <c r="P3466" s="95">
        <v>0.24</v>
      </c>
      <c r="Q3466" s="95">
        <v>0.48</v>
      </c>
      <c r="R3466" s="104">
        <v>0.12</v>
      </c>
    </row>
    <row r="3467" spans="1:18" ht="15" hidden="1" customHeight="1" x14ac:dyDescent="0.3">
      <c r="A3467" s="101">
        <v>2025</v>
      </c>
      <c r="B3467" s="90">
        <v>8</v>
      </c>
      <c r="C3467" s="90" t="s">
        <v>729</v>
      </c>
      <c r="D3467" s="90" t="s">
        <v>722</v>
      </c>
      <c r="E3467" s="102" t="s">
        <v>11</v>
      </c>
      <c r="F3467" s="103" t="s">
        <v>51</v>
      </c>
      <c r="G3467" s="93">
        <v>964</v>
      </c>
      <c r="H3467" s="93">
        <v>31591</v>
      </c>
      <c r="I3467" s="93">
        <v>69438</v>
      </c>
      <c r="J3467" s="93">
        <v>47816</v>
      </c>
      <c r="K3467" s="93">
        <v>14458</v>
      </c>
      <c r="L3467" s="93">
        <v>0</v>
      </c>
      <c r="M3467" s="93">
        <v>164267.54</v>
      </c>
      <c r="N3467" s="95">
        <v>0.01</v>
      </c>
      <c r="O3467" s="95">
        <v>0.19</v>
      </c>
      <c r="P3467" s="95">
        <v>0.42</v>
      </c>
      <c r="Q3467" s="95">
        <v>0.28999999999999998</v>
      </c>
      <c r="R3467" s="104">
        <v>0.09</v>
      </c>
    </row>
    <row r="3468" spans="1:18" ht="15" hidden="1" customHeight="1" x14ac:dyDescent="0.3">
      <c r="A3468" s="101">
        <v>2025</v>
      </c>
      <c r="B3468" s="90">
        <v>8</v>
      </c>
      <c r="C3468" s="90" t="s">
        <v>729</v>
      </c>
      <c r="D3468" s="90" t="s">
        <v>722</v>
      </c>
      <c r="E3468" s="102" t="s">
        <v>11</v>
      </c>
      <c r="F3468" s="103" t="s">
        <v>45</v>
      </c>
      <c r="G3468" s="93">
        <v>1525</v>
      </c>
      <c r="H3468" s="93">
        <v>27011</v>
      </c>
      <c r="I3468" s="93">
        <v>89348</v>
      </c>
      <c r="J3468" s="93">
        <v>123788</v>
      </c>
      <c r="K3468" s="93">
        <v>38853</v>
      </c>
      <c r="L3468" s="93">
        <v>0</v>
      </c>
      <c r="M3468" s="93">
        <v>280525.37</v>
      </c>
      <c r="N3468" s="95">
        <v>0.01</v>
      </c>
      <c r="O3468" s="95">
        <v>0.1</v>
      </c>
      <c r="P3468" s="95">
        <v>0.32</v>
      </c>
      <c r="Q3468" s="95">
        <v>0.44</v>
      </c>
      <c r="R3468" s="104">
        <v>0.14000000000000001</v>
      </c>
    </row>
    <row r="3469" spans="1:18" ht="15" hidden="1" customHeight="1" x14ac:dyDescent="0.3">
      <c r="A3469" s="101">
        <v>2025</v>
      </c>
      <c r="B3469" s="90">
        <v>8</v>
      </c>
      <c r="C3469" s="90" t="s">
        <v>729</v>
      </c>
      <c r="D3469" s="90" t="s">
        <v>722</v>
      </c>
      <c r="E3469" s="102" t="s">
        <v>11</v>
      </c>
      <c r="F3469" s="103" t="s">
        <v>721</v>
      </c>
      <c r="G3469" s="93">
        <v>2612</v>
      </c>
      <c r="H3469" s="93">
        <v>26314</v>
      </c>
      <c r="I3469" s="93">
        <v>33318</v>
      </c>
      <c r="J3469" s="93">
        <v>30870</v>
      </c>
      <c r="K3469" s="93">
        <v>18104</v>
      </c>
      <c r="L3469" s="93">
        <v>0</v>
      </c>
      <c r="M3469" s="93">
        <v>111217.49</v>
      </c>
      <c r="N3469" s="95">
        <v>0.02</v>
      </c>
      <c r="O3469" s="95">
        <v>0.24</v>
      </c>
      <c r="P3469" s="95">
        <v>0.3</v>
      </c>
      <c r="Q3469" s="95">
        <v>0.28000000000000003</v>
      </c>
      <c r="R3469" s="104">
        <v>0.16</v>
      </c>
    </row>
    <row r="3470" spans="1:18" ht="15" hidden="1" customHeight="1" x14ac:dyDescent="0.3">
      <c r="A3470" s="101">
        <v>2025</v>
      </c>
      <c r="B3470" s="90">
        <v>8</v>
      </c>
      <c r="C3470" s="90" t="s">
        <v>729</v>
      </c>
      <c r="D3470" s="90" t="s">
        <v>722</v>
      </c>
      <c r="E3470" s="102" t="s">
        <v>11</v>
      </c>
      <c r="F3470" s="103" t="s">
        <v>46</v>
      </c>
      <c r="G3470" s="93">
        <v>1561</v>
      </c>
      <c r="H3470" s="93">
        <v>2030</v>
      </c>
      <c r="I3470" s="93">
        <v>10726</v>
      </c>
      <c r="J3470" s="93">
        <v>46290</v>
      </c>
      <c r="K3470" s="93">
        <v>28560</v>
      </c>
      <c r="L3470" s="93">
        <v>0</v>
      </c>
      <c r="M3470" s="93">
        <v>89168.04</v>
      </c>
      <c r="N3470" s="95">
        <v>0.02</v>
      </c>
      <c r="O3470" s="95">
        <v>0.02</v>
      </c>
      <c r="P3470" s="95">
        <v>0.12</v>
      </c>
      <c r="Q3470" s="95">
        <v>0.52</v>
      </c>
      <c r="R3470" s="104">
        <v>0.32</v>
      </c>
    </row>
    <row r="3471" spans="1:18" ht="15" hidden="1" customHeight="1" x14ac:dyDescent="0.3">
      <c r="A3471" s="101">
        <v>2025</v>
      </c>
      <c r="B3471" s="90">
        <v>8</v>
      </c>
      <c r="C3471" s="90" t="s">
        <v>729</v>
      </c>
      <c r="D3471" s="90" t="s">
        <v>722</v>
      </c>
      <c r="E3471" s="102" t="s">
        <v>11</v>
      </c>
      <c r="F3471" s="103" t="s">
        <v>47</v>
      </c>
      <c r="G3471" s="93">
        <v>658</v>
      </c>
      <c r="H3471" s="93">
        <v>2717</v>
      </c>
      <c r="I3471" s="93">
        <v>10465</v>
      </c>
      <c r="J3471" s="93">
        <v>31829</v>
      </c>
      <c r="K3471" s="93">
        <v>19264</v>
      </c>
      <c r="L3471" s="93">
        <v>0</v>
      </c>
      <c r="M3471" s="93">
        <v>64933.34</v>
      </c>
      <c r="N3471" s="95">
        <v>0.01</v>
      </c>
      <c r="O3471" s="95">
        <v>0.04</v>
      </c>
      <c r="P3471" s="95">
        <v>0.16</v>
      </c>
      <c r="Q3471" s="95">
        <v>0.49</v>
      </c>
      <c r="R3471" s="104">
        <v>0.3</v>
      </c>
    </row>
    <row r="3472" spans="1:18" ht="15" hidden="1" customHeight="1" x14ac:dyDescent="0.3">
      <c r="A3472" s="101">
        <v>2025</v>
      </c>
      <c r="B3472" s="90">
        <v>8</v>
      </c>
      <c r="C3472" s="90" t="s">
        <v>729</v>
      </c>
      <c r="D3472" s="90" t="s">
        <v>722</v>
      </c>
      <c r="E3472" s="102" t="s">
        <v>11</v>
      </c>
      <c r="F3472" s="103" t="s">
        <v>48</v>
      </c>
      <c r="G3472" s="93">
        <v>877</v>
      </c>
      <c r="H3472" s="93">
        <v>2397</v>
      </c>
      <c r="I3472" s="93">
        <v>1049</v>
      </c>
      <c r="J3472" s="93">
        <v>332</v>
      </c>
      <c r="K3472" s="93">
        <v>157</v>
      </c>
      <c r="L3472" s="93">
        <v>0</v>
      </c>
      <c r="M3472" s="93">
        <v>4811.62</v>
      </c>
      <c r="N3472" s="95">
        <v>0.18</v>
      </c>
      <c r="O3472" s="95">
        <v>0.5</v>
      </c>
      <c r="P3472" s="95">
        <v>0.22</v>
      </c>
      <c r="Q3472" s="95">
        <v>7.0000000000000007E-2</v>
      </c>
      <c r="R3472" s="104">
        <v>0.03</v>
      </c>
    </row>
    <row r="3473" spans="1:18" ht="15" hidden="1" customHeight="1" x14ac:dyDescent="0.3">
      <c r="A3473" s="101">
        <v>2025</v>
      </c>
      <c r="B3473" s="90">
        <v>9</v>
      </c>
      <c r="C3473" s="90" t="s">
        <v>730</v>
      </c>
      <c r="D3473" s="90" t="s">
        <v>719</v>
      </c>
      <c r="E3473" s="102" t="s">
        <v>11</v>
      </c>
      <c r="F3473" s="103" t="s">
        <v>12</v>
      </c>
      <c r="G3473" s="93">
        <v>8487.5990500000007</v>
      </c>
      <c r="H3473" s="93">
        <v>59780.095009999997</v>
      </c>
      <c r="I3473" s="93">
        <v>141767.67879999999</v>
      </c>
      <c r="J3473" s="93">
        <v>145118.97940000001</v>
      </c>
      <c r="K3473" s="93">
        <v>26322.912380000002</v>
      </c>
      <c r="L3473" s="93">
        <v>47781.825929999999</v>
      </c>
      <c r="M3473" s="93">
        <v>429259.09</v>
      </c>
      <c r="N3473" s="95">
        <v>0.02</v>
      </c>
      <c r="O3473" s="95">
        <v>0.16</v>
      </c>
      <c r="P3473" s="95">
        <v>0.37</v>
      </c>
      <c r="Q3473" s="95">
        <v>0.38</v>
      </c>
      <c r="R3473" s="104">
        <v>7.0000000000000007E-2</v>
      </c>
    </row>
    <row r="3474" spans="1:18" ht="15" hidden="1" customHeight="1" x14ac:dyDescent="0.3">
      <c r="A3474" s="101">
        <v>2025</v>
      </c>
      <c r="B3474" s="90">
        <v>9</v>
      </c>
      <c r="C3474" s="90" t="s">
        <v>730</v>
      </c>
      <c r="D3474" s="90" t="s">
        <v>719</v>
      </c>
      <c r="E3474" s="102" t="s">
        <v>11</v>
      </c>
      <c r="F3474" s="103" t="s">
        <v>26</v>
      </c>
      <c r="G3474" s="93">
        <v>45860.230329999999</v>
      </c>
      <c r="H3474" s="93">
        <v>179634.94330000001</v>
      </c>
      <c r="I3474" s="93">
        <v>477956.6594</v>
      </c>
      <c r="J3474" s="93">
        <v>296458.37479999999</v>
      </c>
      <c r="K3474" s="93">
        <v>35813.555189999999</v>
      </c>
      <c r="L3474" s="93">
        <v>257394.16589999999</v>
      </c>
      <c r="M3474" s="93">
        <v>1293117.93</v>
      </c>
      <c r="N3474" s="95">
        <v>0.04</v>
      </c>
      <c r="O3474" s="95">
        <v>0.17</v>
      </c>
      <c r="P3474" s="95">
        <v>0.46</v>
      </c>
      <c r="Q3474" s="95">
        <v>0.28999999999999998</v>
      </c>
      <c r="R3474" s="104">
        <v>0.03</v>
      </c>
    </row>
    <row r="3475" spans="1:18" ht="15" hidden="1" customHeight="1" x14ac:dyDescent="0.3">
      <c r="A3475" s="101">
        <v>2025</v>
      </c>
      <c r="B3475" s="90">
        <v>9</v>
      </c>
      <c r="C3475" s="90" t="s">
        <v>730</v>
      </c>
      <c r="D3475" s="90" t="s">
        <v>719</v>
      </c>
      <c r="E3475" s="102" t="s">
        <v>11</v>
      </c>
      <c r="F3475" s="103" t="s">
        <v>27</v>
      </c>
      <c r="G3475" s="93">
        <v>1313.9645780000001</v>
      </c>
      <c r="H3475" s="93">
        <v>12776.19629</v>
      </c>
      <c r="I3475" s="93">
        <v>56777.048239999996</v>
      </c>
      <c r="J3475" s="93">
        <v>80245.221990000005</v>
      </c>
      <c r="K3475" s="93">
        <v>56737.690849999999</v>
      </c>
      <c r="L3475" s="93">
        <v>1411.940664</v>
      </c>
      <c r="M3475" s="93">
        <v>209262.06</v>
      </c>
      <c r="N3475" s="95">
        <v>0.01</v>
      </c>
      <c r="O3475" s="95">
        <v>0.06</v>
      </c>
      <c r="P3475" s="95">
        <v>0.27</v>
      </c>
      <c r="Q3475" s="95">
        <v>0.39</v>
      </c>
      <c r="R3475" s="104">
        <v>0.27</v>
      </c>
    </row>
    <row r="3476" spans="1:18" ht="15" hidden="1" customHeight="1" x14ac:dyDescent="0.3">
      <c r="A3476" s="101">
        <v>2025</v>
      </c>
      <c r="B3476" s="90">
        <v>9</v>
      </c>
      <c r="C3476" s="90" t="s">
        <v>730</v>
      </c>
      <c r="D3476" s="90" t="s">
        <v>719</v>
      </c>
      <c r="E3476" s="102" t="s">
        <v>11</v>
      </c>
      <c r="F3476" s="103" t="s">
        <v>28</v>
      </c>
      <c r="G3476" s="93">
        <v>2005.481556</v>
      </c>
      <c r="H3476" s="93">
        <v>12745.00711</v>
      </c>
      <c r="I3476" s="93">
        <v>55124.050230000001</v>
      </c>
      <c r="J3476" s="93">
        <v>225418.68859999999</v>
      </c>
      <c r="K3476" s="93">
        <v>74366.797600000005</v>
      </c>
      <c r="L3476" s="93">
        <v>3341.0958700000001</v>
      </c>
      <c r="M3476" s="93">
        <v>373001.12</v>
      </c>
      <c r="N3476" s="95">
        <v>0.01</v>
      </c>
      <c r="O3476" s="95">
        <v>0.03</v>
      </c>
      <c r="P3476" s="95">
        <v>0.15</v>
      </c>
      <c r="Q3476" s="95">
        <v>0.61</v>
      </c>
      <c r="R3476" s="104">
        <v>0.2</v>
      </c>
    </row>
    <row r="3477" spans="1:18" ht="15" customHeight="1" x14ac:dyDescent="0.3">
      <c r="A3477" s="101">
        <v>2025</v>
      </c>
      <c r="B3477" s="90">
        <v>9</v>
      </c>
      <c r="C3477" s="90" t="s">
        <v>730</v>
      </c>
      <c r="D3477" s="90" t="s">
        <v>719</v>
      </c>
      <c r="E3477" s="102" t="s">
        <v>11</v>
      </c>
      <c r="F3477" s="103" t="s">
        <v>29</v>
      </c>
      <c r="G3477" s="93">
        <v>5887.1554550000001</v>
      </c>
      <c r="H3477" s="93">
        <v>31599.554469999999</v>
      </c>
      <c r="I3477" s="93">
        <v>59263.000460000003</v>
      </c>
      <c r="J3477" s="93">
        <v>85219.053270000004</v>
      </c>
      <c r="K3477" s="93">
        <v>70677.021110000001</v>
      </c>
      <c r="L3477" s="93">
        <v>50341.226340000001</v>
      </c>
      <c r="M3477" s="93">
        <v>302987.01</v>
      </c>
      <c r="N3477" s="95">
        <v>0.02</v>
      </c>
      <c r="O3477" s="95">
        <v>0.13</v>
      </c>
      <c r="P3477" s="95">
        <v>0.23</v>
      </c>
      <c r="Q3477" s="95">
        <v>0.34</v>
      </c>
      <c r="R3477" s="104">
        <v>0.28000000000000003</v>
      </c>
    </row>
    <row r="3478" spans="1:18" ht="15" hidden="1" customHeight="1" x14ac:dyDescent="0.3">
      <c r="A3478" s="101">
        <v>2025</v>
      </c>
      <c r="B3478" s="90">
        <v>9</v>
      </c>
      <c r="C3478" s="90" t="s">
        <v>730</v>
      </c>
      <c r="D3478" s="90" t="s">
        <v>719</v>
      </c>
      <c r="E3478" s="102" t="s">
        <v>11</v>
      </c>
      <c r="F3478" s="103" t="s">
        <v>30</v>
      </c>
      <c r="G3478" s="93">
        <v>220.45791589999999</v>
      </c>
      <c r="H3478" s="93">
        <v>1767.712608</v>
      </c>
      <c r="I3478" s="93">
        <v>2927.601756</v>
      </c>
      <c r="J3478" s="93">
        <v>4571.7920059999997</v>
      </c>
      <c r="K3478" s="93">
        <v>4658.4947480000001</v>
      </c>
      <c r="L3478" s="93">
        <v>215619.87040000001</v>
      </c>
      <c r="M3478" s="93">
        <v>229765.93</v>
      </c>
      <c r="N3478" s="95">
        <v>0.02</v>
      </c>
      <c r="O3478" s="95">
        <v>0.12</v>
      </c>
      <c r="P3478" s="95">
        <v>0.21</v>
      </c>
      <c r="Q3478" s="95">
        <v>0.32</v>
      </c>
      <c r="R3478" s="104">
        <v>0.33</v>
      </c>
    </row>
    <row r="3479" spans="1:18" ht="15" hidden="1" customHeight="1" x14ac:dyDescent="0.3">
      <c r="A3479" s="101">
        <v>2025</v>
      </c>
      <c r="B3479" s="90">
        <v>9</v>
      </c>
      <c r="C3479" s="90" t="s">
        <v>730</v>
      </c>
      <c r="D3479" s="90" t="s">
        <v>719</v>
      </c>
      <c r="E3479" s="102" t="s">
        <v>11</v>
      </c>
      <c r="F3479" s="103" t="s">
        <v>31</v>
      </c>
      <c r="G3479" s="93">
        <v>1091.701231</v>
      </c>
      <c r="H3479" s="93">
        <v>33795.118549999999</v>
      </c>
      <c r="I3479" s="93">
        <v>74072.695009999996</v>
      </c>
      <c r="J3479" s="93">
        <v>52411.088900000002</v>
      </c>
      <c r="K3479" s="93">
        <v>20104.338009999999</v>
      </c>
      <c r="L3479" s="93">
        <v>42055.315719999999</v>
      </c>
      <c r="M3479" s="93">
        <v>223530.26</v>
      </c>
      <c r="N3479" s="95">
        <v>0.01</v>
      </c>
      <c r="O3479" s="95">
        <v>0.19</v>
      </c>
      <c r="P3479" s="95">
        <v>0.41</v>
      </c>
      <c r="Q3479" s="95">
        <v>0.28999999999999998</v>
      </c>
      <c r="R3479" s="104">
        <v>0.11</v>
      </c>
    </row>
    <row r="3480" spans="1:18" ht="15" hidden="1" customHeight="1" x14ac:dyDescent="0.3">
      <c r="A3480" s="101">
        <v>2025</v>
      </c>
      <c r="B3480" s="90">
        <v>9</v>
      </c>
      <c r="C3480" s="90" t="s">
        <v>730</v>
      </c>
      <c r="D3480" s="90" t="s">
        <v>719</v>
      </c>
      <c r="E3480" s="102" t="s">
        <v>11</v>
      </c>
      <c r="F3480" s="103" t="s">
        <v>32</v>
      </c>
      <c r="G3480" s="93">
        <v>2655.2817230000001</v>
      </c>
      <c r="H3480" s="93">
        <v>37115.157950000001</v>
      </c>
      <c r="I3480" s="93">
        <v>109662.538</v>
      </c>
      <c r="J3480" s="93">
        <v>158435.95740000001</v>
      </c>
      <c r="K3480" s="93">
        <v>243115.16880000001</v>
      </c>
      <c r="L3480" s="93">
        <v>20909.94267</v>
      </c>
      <c r="M3480" s="93">
        <v>571894.05000000005</v>
      </c>
      <c r="N3480" s="95">
        <v>0</v>
      </c>
      <c r="O3480" s="95">
        <v>7.0000000000000007E-2</v>
      </c>
      <c r="P3480" s="95">
        <v>0.2</v>
      </c>
      <c r="Q3480" s="95">
        <v>0.28999999999999998</v>
      </c>
      <c r="R3480" s="104">
        <v>0.44</v>
      </c>
    </row>
    <row r="3481" spans="1:18" ht="15" hidden="1" customHeight="1" x14ac:dyDescent="0.3">
      <c r="A3481" s="101">
        <v>2025</v>
      </c>
      <c r="B3481" s="90">
        <v>9</v>
      </c>
      <c r="C3481" s="90" t="s">
        <v>730</v>
      </c>
      <c r="D3481" s="90" t="s">
        <v>719</v>
      </c>
      <c r="E3481" s="102" t="s">
        <v>11</v>
      </c>
      <c r="F3481" s="103" t="s">
        <v>33</v>
      </c>
      <c r="G3481" s="93">
        <v>17033.971460000001</v>
      </c>
      <c r="H3481" s="93">
        <v>144460.05309999999</v>
      </c>
      <c r="I3481" s="93">
        <v>762021.15249999997</v>
      </c>
      <c r="J3481" s="93">
        <v>344809.23070000001</v>
      </c>
      <c r="K3481" s="93">
        <v>46229.378449999997</v>
      </c>
      <c r="L3481" s="93">
        <v>34845.21256</v>
      </c>
      <c r="M3481" s="93">
        <v>1349399</v>
      </c>
      <c r="N3481" s="95">
        <v>0.01</v>
      </c>
      <c r="O3481" s="95">
        <v>0.11</v>
      </c>
      <c r="P3481" s="95">
        <v>0.57999999999999996</v>
      </c>
      <c r="Q3481" s="95">
        <v>0.26</v>
      </c>
      <c r="R3481" s="104">
        <v>0.04</v>
      </c>
    </row>
    <row r="3482" spans="1:18" ht="15" hidden="1" customHeight="1" x14ac:dyDescent="0.3">
      <c r="A3482" s="101">
        <v>2025</v>
      </c>
      <c r="B3482" s="90">
        <v>9</v>
      </c>
      <c r="C3482" s="90" t="s">
        <v>730</v>
      </c>
      <c r="D3482" s="90" t="s">
        <v>719</v>
      </c>
      <c r="E3482" s="102" t="s">
        <v>11</v>
      </c>
      <c r="F3482" s="103" t="s">
        <v>34</v>
      </c>
      <c r="G3482" s="93">
        <v>9237.9115689999999</v>
      </c>
      <c r="H3482" s="93">
        <v>50375.089590000003</v>
      </c>
      <c r="I3482" s="93">
        <v>179745.45939999999</v>
      </c>
      <c r="J3482" s="93">
        <v>318948.45030000003</v>
      </c>
      <c r="K3482" s="93">
        <v>70287.305770000006</v>
      </c>
      <c r="L3482" s="93">
        <v>25269.582490000001</v>
      </c>
      <c r="M3482" s="93">
        <v>653863.80000000005</v>
      </c>
      <c r="N3482" s="95">
        <v>0.01</v>
      </c>
      <c r="O3482" s="95">
        <v>0.08</v>
      </c>
      <c r="P3482" s="95">
        <v>0.28999999999999998</v>
      </c>
      <c r="Q3482" s="95">
        <v>0.51</v>
      </c>
      <c r="R3482" s="104">
        <v>0.11</v>
      </c>
    </row>
    <row r="3483" spans="1:18" ht="15" hidden="1" customHeight="1" x14ac:dyDescent="0.3">
      <c r="A3483" s="101">
        <v>2025</v>
      </c>
      <c r="B3483" s="90">
        <v>9</v>
      </c>
      <c r="C3483" s="90" t="s">
        <v>730</v>
      </c>
      <c r="D3483" s="90" t="s">
        <v>719</v>
      </c>
      <c r="E3483" s="102" t="s">
        <v>11</v>
      </c>
      <c r="F3483" s="103" t="s">
        <v>35</v>
      </c>
      <c r="G3483" s="93">
        <v>16417.822120000001</v>
      </c>
      <c r="H3483" s="93">
        <v>118847.00079999999</v>
      </c>
      <c r="I3483" s="93">
        <v>97463.054870000007</v>
      </c>
      <c r="J3483" s="93">
        <v>105432.00689999999</v>
      </c>
      <c r="K3483" s="93">
        <v>32289.170610000001</v>
      </c>
      <c r="L3483" s="93">
        <v>233823.98180000001</v>
      </c>
      <c r="M3483" s="93">
        <v>604273.04</v>
      </c>
      <c r="N3483" s="95">
        <v>0.04</v>
      </c>
      <c r="O3483" s="95">
        <v>0.32</v>
      </c>
      <c r="P3483" s="95">
        <v>0.26</v>
      </c>
      <c r="Q3483" s="95">
        <v>0.28000000000000003</v>
      </c>
      <c r="R3483" s="104">
        <v>0.09</v>
      </c>
    </row>
    <row r="3484" spans="1:18" ht="15" hidden="1" customHeight="1" x14ac:dyDescent="0.3">
      <c r="A3484" s="101">
        <v>2025</v>
      </c>
      <c r="B3484" s="90">
        <v>9</v>
      </c>
      <c r="C3484" s="90" t="s">
        <v>730</v>
      </c>
      <c r="D3484" s="90" t="s">
        <v>719</v>
      </c>
      <c r="E3484" s="102" t="s">
        <v>11</v>
      </c>
      <c r="F3484" s="103" t="s">
        <v>36</v>
      </c>
      <c r="G3484" s="93">
        <v>3160.2915979999998</v>
      </c>
      <c r="H3484" s="93">
        <v>29435.874329999999</v>
      </c>
      <c r="I3484" s="93">
        <v>74002.527870000005</v>
      </c>
      <c r="J3484" s="93">
        <v>89461.735379999998</v>
      </c>
      <c r="K3484" s="93">
        <v>29819.30517</v>
      </c>
      <c r="L3484" s="93">
        <v>33002.29307</v>
      </c>
      <c r="M3484" s="93">
        <v>258882.03</v>
      </c>
      <c r="N3484" s="95">
        <v>0.01</v>
      </c>
      <c r="O3484" s="95">
        <v>0.13</v>
      </c>
      <c r="P3484" s="95">
        <v>0.33</v>
      </c>
      <c r="Q3484" s="95">
        <v>0.4</v>
      </c>
      <c r="R3484" s="104">
        <v>0.13</v>
      </c>
    </row>
    <row r="3485" spans="1:18" ht="15" hidden="1" customHeight="1" x14ac:dyDescent="0.3">
      <c r="A3485" s="101">
        <v>2025</v>
      </c>
      <c r="B3485" s="90">
        <v>9</v>
      </c>
      <c r="C3485" s="90" t="s">
        <v>730</v>
      </c>
      <c r="D3485" s="90" t="s">
        <v>719</v>
      </c>
      <c r="E3485" s="102" t="s">
        <v>11</v>
      </c>
      <c r="F3485" s="103" t="s">
        <v>37</v>
      </c>
      <c r="G3485" s="93">
        <v>9614.9266979999993</v>
      </c>
      <c r="H3485" s="93">
        <v>71596.073610000007</v>
      </c>
      <c r="I3485" s="93">
        <v>128801.19620000001</v>
      </c>
      <c r="J3485" s="93">
        <v>102217.7542</v>
      </c>
      <c r="K3485" s="93">
        <v>34346.684359999999</v>
      </c>
      <c r="L3485" s="93">
        <v>141956.3547</v>
      </c>
      <c r="M3485" s="93">
        <v>488532.99</v>
      </c>
      <c r="N3485" s="95">
        <v>0.03</v>
      </c>
      <c r="O3485" s="95">
        <v>0.21</v>
      </c>
      <c r="P3485" s="95">
        <v>0.37</v>
      </c>
      <c r="Q3485" s="95">
        <v>0.28999999999999998</v>
      </c>
      <c r="R3485" s="104">
        <v>0.1</v>
      </c>
    </row>
    <row r="3486" spans="1:18" ht="15" hidden="1" customHeight="1" x14ac:dyDescent="0.3">
      <c r="A3486" s="101">
        <v>2025</v>
      </c>
      <c r="B3486" s="90">
        <v>9</v>
      </c>
      <c r="C3486" s="90" t="s">
        <v>730</v>
      </c>
      <c r="D3486" s="90" t="s">
        <v>719</v>
      </c>
      <c r="E3486" s="102" t="s">
        <v>11</v>
      </c>
      <c r="F3486" s="103" t="s">
        <v>38</v>
      </c>
      <c r="G3486" s="93">
        <v>27354.620579999999</v>
      </c>
      <c r="H3486" s="93">
        <v>90114.495550000007</v>
      </c>
      <c r="I3486" s="93">
        <v>171347.94579999999</v>
      </c>
      <c r="J3486" s="93">
        <v>349235.83889999997</v>
      </c>
      <c r="K3486" s="93">
        <v>93202.652910000004</v>
      </c>
      <c r="L3486" s="93">
        <v>158543.2519</v>
      </c>
      <c r="M3486" s="93">
        <v>889798.81</v>
      </c>
      <c r="N3486" s="95">
        <v>0.04</v>
      </c>
      <c r="O3486" s="95">
        <v>0.12</v>
      </c>
      <c r="P3486" s="95">
        <v>0.23</v>
      </c>
      <c r="Q3486" s="95">
        <v>0.48</v>
      </c>
      <c r="R3486" s="104">
        <v>0.13</v>
      </c>
    </row>
    <row r="3487" spans="1:18" ht="15" hidden="1" customHeight="1" x14ac:dyDescent="0.3">
      <c r="A3487" s="101">
        <v>2025</v>
      </c>
      <c r="B3487" s="90">
        <v>9</v>
      </c>
      <c r="C3487" s="90" t="s">
        <v>730</v>
      </c>
      <c r="D3487" s="90" t="s">
        <v>719</v>
      </c>
      <c r="E3487" s="102" t="s">
        <v>11</v>
      </c>
      <c r="F3487" s="103" t="s">
        <v>39</v>
      </c>
      <c r="G3487" s="93">
        <v>8205.0648660000006</v>
      </c>
      <c r="H3487" s="93">
        <v>55772.245640000001</v>
      </c>
      <c r="I3487" s="93">
        <v>79554.504230000006</v>
      </c>
      <c r="J3487" s="93">
        <v>77386.278739999994</v>
      </c>
      <c r="K3487" s="93">
        <v>59431.941149999999</v>
      </c>
      <c r="L3487" s="93">
        <v>1070.8561649999999</v>
      </c>
      <c r="M3487" s="93">
        <v>281420.89</v>
      </c>
      <c r="N3487" s="95">
        <v>0.03</v>
      </c>
      <c r="O3487" s="95">
        <v>0.2</v>
      </c>
      <c r="P3487" s="95">
        <v>0.28000000000000003</v>
      </c>
      <c r="Q3487" s="95">
        <v>0.28000000000000003</v>
      </c>
      <c r="R3487" s="104">
        <v>0.21</v>
      </c>
    </row>
    <row r="3488" spans="1:18" ht="15" hidden="1" customHeight="1" x14ac:dyDescent="0.3">
      <c r="A3488" s="101">
        <v>2025</v>
      </c>
      <c r="B3488" s="90">
        <v>9</v>
      </c>
      <c r="C3488" s="90" t="s">
        <v>730</v>
      </c>
      <c r="D3488" s="90" t="s">
        <v>719</v>
      </c>
      <c r="E3488" s="102" t="s">
        <v>11</v>
      </c>
      <c r="F3488" s="103" t="s">
        <v>40</v>
      </c>
      <c r="G3488" s="93">
        <v>2826.3215960000002</v>
      </c>
      <c r="H3488" s="93">
        <v>27474.949280000001</v>
      </c>
      <c r="I3488" s="93">
        <v>98001.054799999998</v>
      </c>
      <c r="J3488" s="93">
        <v>150291.29860000001</v>
      </c>
      <c r="K3488" s="93">
        <v>42468.93705</v>
      </c>
      <c r="L3488" s="93">
        <v>5177.5546770000001</v>
      </c>
      <c r="M3488" s="93">
        <v>326240.12</v>
      </c>
      <c r="N3488" s="95">
        <v>0.01</v>
      </c>
      <c r="O3488" s="95">
        <v>0.09</v>
      </c>
      <c r="P3488" s="95">
        <v>0.31</v>
      </c>
      <c r="Q3488" s="95">
        <v>0.47</v>
      </c>
      <c r="R3488" s="104">
        <v>0.13</v>
      </c>
    </row>
    <row r="3489" spans="1:18" ht="15" hidden="1" customHeight="1" x14ac:dyDescent="0.3">
      <c r="A3489" s="101">
        <v>2025</v>
      </c>
      <c r="B3489" s="90">
        <v>9</v>
      </c>
      <c r="C3489" s="90" t="s">
        <v>730</v>
      </c>
      <c r="D3489" s="90" t="s">
        <v>719</v>
      </c>
      <c r="E3489" s="102" t="s">
        <v>11</v>
      </c>
      <c r="F3489" s="103" t="s">
        <v>41</v>
      </c>
      <c r="G3489" s="93">
        <v>853.76739499999996</v>
      </c>
      <c r="H3489" s="93">
        <v>4610.1509910000004</v>
      </c>
      <c r="I3489" s="93">
        <v>6398.3741730000002</v>
      </c>
      <c r="J3489" s="93">
        <v>5293.7298369999999</v>
      </c>
      <c r="K3489" s="93">
        <v>1180.8055489999999</v>
      </c>
      <c r="L3489" s="93"/>
      <c r="M3489" s="93">
        <v>18336.830000000002</v>
      </c>
      <c r="N3489" s="95">
        <v>0.05</v>
      </c>
      <c r="O3489" s="95">
        <v>0.25</v>
      </c>
      <c r="P3489" s="95">
        <v>0.35</v>
      </c>
      <c r="Q3489" s="95">
        <v>0.28999999999999998</v>
      </c>
      <c r="R3489" s="104">
        <v>0.06</v>
      </c>
    </row>
    <row r="3490" spans="1:18" ht="15" hidden="1" customHeight="1" x14ac:dyDescent="0.3">
      <c r="A3490" s="101">
        <v>2025</v>
      </c>
      <c r="B3490" s="90">
        <v>9</v>
      </c>
      <c r="C3490" s="90" t="s">
        <v>730</v>
      </c>
      <c r="D3490" s="90" t="s">
        <v>719</v>
      </c>
      <c r="E3490" s="102" t="s">
        <v>11</v>
      </c>
      <c r="F3490" s="103" t="s">
        <v>42</v>
      </c>
      <c r="G3490" s="93">
        <v>9052.7238359999992</v>
      </c>
      <c r="H3490" s="93">
        <v>70462.051579999999</v>
      </c>
      <c r="I3490" s="93">
        <v>41988.010320000001</v>
      </c>
      <c r="J3490" s="93">
        <v>50782.10557</v>
      </c>
      <c r="K3490" s="93">
        <v>291365.30219999998</v>
      </c>
      <c r="L3490" s="93">
        <v>14253.99228</v>
      </c>
      <c r="M3490" s="93">
        <v>477904.19</v>
      </c>
      <c r="N3490" s="95">
        <v>0.02</v>
      </c>
      <c r="O3490" s="95">
        <v>0.15</v>
      </c>
      <c r="P3490" s="95">
        <v>0.09</v>
      </c>
      <c r="Q3490" s="95">
        <v>0.11</v>
      </c>
      <c r="R3490" s="104">
        <v>0.63</v>
      </c>
    </row>
    <row r="3491" spans="1:18" ht="15" hidden="1" customHeight="1" x14ac:dyDescent="0.3">
      <c r="A3491" s="101">
        <v>2025</v>
      </c>
      <c r="B3491" s="90">
        <v>9</v>
      </c>
      <c r="C3491" s="90" t="s">
        <v>730</v>
      </c>
      <c r="D3491" s="90" t="s">
        <v>719</v>
      </c>
      <c r="E3491" s="102" t="s">
        <v>11</v>
      </c>
      <c r="F3491" s="103" t="s">
        <v>43</v>
      </c>
      <c r="G3491" s="93">
        <v>1062.50288</v>
      </c>
      <c r="H3491" s="93">
        <v>14809.98396</v>
      </c>
      <c r="I3491" s="93">
        <v>17490.641729999999</v>
      </c>
      <c r="J3491" s="93">
        <v>17198.395130000001</v>
      </c>
      <c r="K3491" s="93">
        <v>10051.97537</v>
      </c>
      <c r="L3491" s="93">
        <v>115543.26790000001</v>
      </c>
      <c r="M3491" s="93">
        <v>176156.77</v>
      </c>
      <c r="N3491" s="95">
        <v>0.02</v>
      </c>
      <c r="O3491" s="95">
        <v>0.24</v>
      </c>
      <c r="P3491" s="95">
        <v>0.28999999999999998</v>
      </c>
      <c r="Q3491" s="95">
        <v>0.28000000000000003</v>
      </c>
      <c r="R3491" s="104">
        <v>0.17</v>
      </c>
    </row>
    <row r="3492" spans="1:18" ht="15" hidden="1" customHeight="1" x14ac:dyDescent="0.3">
      <c r="A3492" s="101">
        <v>2025</v>
      </c>
      <c r="B3492" s="90">
        <v>9</v>
      </c>
      <c r="C3492" s="90" t="s">
        <v>730</v>
      </c>
      <c r="D3492" s="90" t="s">
        <v>719</v>
      </c>
      <c r="E3492" s="102" t="s">
        <v>11</v>
      </c>
      <c r="F3492" s="103" t="s">
        <v>58</v>
      </c>
      <c r="G3492" s="93">
        <v>825.81682660000001</v>
      </c>
      <c r="H3492" s="93">
        <v>4107.3968059999997</v>
      </c>
      <c r="I3492" s="93">
        <v>16857.003229999998</v>
      </c>
      <c r="J3492" s="93">
        <v>77080.165330000003</v>
      </c>
      <c r="K3492" s="93">
        <v>267715.50689999998</v>
      </c>
      <c r="L3492" s="93">
        <v>4082.444598</v>
      </c>
      <c r="M3492" s="93">
        <v>370668.33</v>
      </c>
      <c r="N3492" s="95">
        <v>0</v>
      </c>
      <c r="O3492" s="95">
        <v>0.01</v>
      </c>
      <c r="P3492" s="95">
        <v>0.05</v>
      </c>
      <c r="Q3492" s="95">
        <v>0.21</v>
      </c>
      <c r="R3492" s="104">
        <v>0.73</v>
      </c>
    </row>
    <row r="3493" spans="1:18" ht="15" hidden="1" customHeight="1" x14ac:dyDescent="0.3">
      <c r="A3493" s="101">
        <v>2025</v>
      </c>
      <c r="B3493" s="90">
        <v>9</v>
      </c>
      <c r="C3493" s="90" t="s">
        <v>730</v>
      </c>
      <c r="D3493" s="90" t="s">
        <v>719</v>
      </c>
      <c r="E3493" s="102" t="s">
        <v>11</v>
      </c>
      <c r="F3493" s="103" t="s">
        <v>44</v>
      </c>
      <c r="G3493" s="93">
        <v>2514.6271369999999</v>
      </c>
      <c r="H3493" s="93">
        <v>9757.2765130000007</v>
      </c>
      <c r="I3493" s="93">
        <v>27942.990280000002</v>
      </c>
      <c r="J3493" s="93">
        <v>66353.142510000005</v>
      </c>
      <c r="K3493" s="93">
        <v>64802.355629999998</v>
      </c>
      <c r="L3493" s="93">
        <v>34818.571230000001</v>
      </c>
      <c r="M3493" s="93">
        <v>206188.96</v>
      </c>
      <c r="N3493" s="95">
        <v>0.01</v>
      </c>
      <c r="O3493" s="95">
        <v>0.06</v>
      </c>
      <c r="P3493" s="95">
        <v>0.16</v>
      </c>
      <c r="Q3493" s="95">
        <v>0.39</v>
      </c>
      <c r="R3493" s="104">
        <v>0.38</v>
      </c>
    </row>
    <row r="3494" spans="1:18" ht="15" hidden="1" customHeight="1" x14ac:dyDescent="0.3">
      <c r="A3494" s="101">
        <v>2025</v>
      </c>
      <c r="B3494" s="90">
        <v>9</v>
      </c>
      <c r="C3494" s="90" t="s">
        <v>730</v>
      </c>
      <c r="D3494" s="90" t="s">
        <v>719</v>
      </c>
      <c r="E3494" s="102" t="s">
        <v>11</v>
      </c>
      <c r="F3494" s="103" t="s">
        <v>51</v>
      </c>
      <c r="G3494" s="93">
        <v>1032.1742400000001</v>
      </c>
      <c r="H3494" s="93">
        <v>4477.8046340000001</v>
      </c>
      <c r="I3494" s="93">
        <v>15474.94462</v>
      </c>
      <c r="J3494" s="93">
        <v>44543.381159999997</v>
      </c>
      <c r="K3494" s="93">
        <v>144340.3132</v>
      </c>
      <c r="L3494" s="93"/>
      <c r="M3494" s="93">
        <v>209868.62</v>
      </c>
      <c r="N3494" s="95">
        <v>0</v>
      </c>
      <c r="O3494" s="95">
        <v>0.02</v>
      </c>
      <c r="P3494" s="95">
        <v>7.0000000000000007E-2</v>
      </c>
      <c r="Q3494" s="95">
        <v>0.21</v>
      </c>
      <c r="R3494" s="104">
        <v>0.69</v>
      </c>
    </row>
    <row r="3495" spans="1:18" ht="15" hidden="1" customHeight="1" x14ac:dyDescent="0.3">
      <c r="A3495" s="101">
        <v>2025</v>
      </c>
      <c r="B3495" s="90">
        <v>9</v>
      </c>
      <c r="C3495" s="90" t="s">
        <v>730</v>
      </c>
      <c r="D3495" s="90" t="s">
        <v>719</v>
      </c>
      <c r="E3495" s="102" t="s">
        <v>11</v>
      </c>
      <c r="F3495" s="103" t="s">
        <v>45</v>
      </c>
      <c r="G3495" s="93">
        <v>2613.004567</v>
      </c>
      <c r="H3495" s="93">
        <v>12798.521189999999</v>
      </c>
      <c r="I3495" s="93">
        <v>22111.523949999999</v>
      </c>
      <c r="J3495" s="93">
        <v>29661.46</v>
      </c>
      <c r="K3495" s="93">
        <v>17088.151269999998</v>
      </c>
      <c r="L3495" s="93">
        <v>49426.967279999997</v>
      </c>
      <c r="M3495" s="93">
        <v>133699.63</v>
      </c>
      <c r="N3495" s="95">
        <v>0.03</v>
      </c>
      <c r="O3495" s="95">
        <v>0.15</v>
      </c>
      <c r="P3495" s="95">
        <v>0.26</v>
      </c>
      <c r="Q3495" s="95">
        <v>0.35</v>
      </c>
      <c r="R3495" s="104">
        <v>0.2</v>
      </c>
    </row>
    <row r="3496" spans="1:18" ht="15" hidden="1" customHeight="1" x14ac:dyDescent="0.3">
      <c r="A3496" s="101">
        <v>2025</v>
      </c>
      <c r="B3496" s="90">
        <v>9</v>
      </c>
      <c r="C3496" s="90" t="s">
        <v>730</v>
      </c>
      <c r="D3496" s="90" t="s">
        <v>719</v>
      </c>
      <c r="E3496" s="102" t="s">
        <v>11</v>
      </c>
      <c r="F3496" s="103" t="s">
        <v>721</v>
      </c>
      <c r="G3496" s="93">
        <v>1662.2529629999999</v>
      </c>
      <c r="H3496" s="93">
        <v>69656.042730000001</v>
      </c>
      <c r="I3496" s="93">
        <v>68142.310859999998</v>
      </c>
      <c r="J3496" s="93">
        <v>83932.813439999998</v>
      </c>
      <c r="K3496" s="93">
        <v>85707.206659999996</v>
      </c>
      <c r="L3496" s="93">
        <v>4.33795837</v>
      </c>
      <c r="M3496" s="93">
        <v>309104.96000000002</v>
      </c>
      <c r="N3496" s="95">
        <v>0.01</v>
      </c>
      <c r="O3496" s="95">
        <v>0.23</v>
      </c>
      <c r="P3496" s="95">
        <v>0.22</v>
      </c>
      <c r="Q3496" s="95">
        <v>0.27</v>
      </c>
      <c r="R3496" s="104">
        <v>0.28000000000000003</v>
      </c>
    </row>
    <row r="3497" spans="1:18" ht="15" hidden="1" customHeight="1" x14ac:dyDescent="0.3">
      <c r="A3497" s="101">
        <v>2025</v>
      </c>
      <c r="B3497" s="90">
        <v>9</v>
      </c>
      <c r="C3497" s="90" t="s">
        <v>730</v>
      </c>
      <c r="D3497" s="90" t="s">
        <v>719</v>
      </c>
      <c r="E3497" s="102" t="s">
        <v>11</v>
      </c>
      <c r="F3497" s="103" t="s">
        <v>46</v>
      </c>
      <c r="G3497" s="93">
        <v>588.61884759999998</v>
      </c>
      <c r="H3497" s="93">
        <v>7036.0950579999999</v>
      </c>
      <c r="I3497" s="93">
        <v>22000.794269999999</v>
      </c>
      <c r="J3497" s="93">
        <v>32332.803889999999</v>
      </c>
      <c r="K3497" s="93">
        <v>85177.430739999996</v>
      </c>
      <c r="L3497" s="93"/>
      <c r="M3497" s="93">
        <v>147135.74</v>
      </c>
      <c r="N3497" s="95">
        <v>0</v>
      </c>
      <c r="O3497" s="95">
        <v>0.05</v>
      </c>
      <c r="P3497" s="95">
        <v>0.15</v>
      </c>
      <c r="Q3497" s="95">
        <v>0.22</v>
      </c>
      <c r="R3497" s="104">
        <v>0.57999999999999996</v>
      </c>
    </row>
    <row r="3498" spans="1:18" ht="15" hidden="1" customHeight="1" x14ac:dyDescent="0.3">
      <c r="A3498" s="101">
        <v>2025</v>
      </c>
      <c r="B3498" s="90">
        <v>9</v>
      </c>
      <c r="C3498" s="90" t="s">
        <v>730</v>
      </c>
      <c r="D3498" s="90" t="s">
        <v>719</v>
      </c>
      <c r="E3498" s="102" t="s">
        <v>11</v>
      </c>
      <c r="F3498" s="103" t="s">
        <v>47</v>
      </c>
      <c r="G3498" s="93">
        <v>6959.5061500000002</v>
      </c>
      <c r="H3498" s="93">
        <v>53514.65713</v>
      </c>
      <c r="I3498" s="93">
        <v>284871.22830000002</v>
      </c>
      <c r="J3498" s="93">
        <v>530378.91480000003</v>
      </c>
      <c r="K3498" s="93">
        <v>415639.65279999998</v>
      </c>
      <c r="L3498" s="93"/>
      <c r="M3498" s="93">
        <v>1291363.96</v>
      </c>
      <c r="N3498" s="95">
        <v>0.01</v>
      </c>
      <c r="O3498" s="95">
        <v>0.04</v>
      </c>
      <c r="P3498" s="95">
        <v>0.22</v>
      </c>
      <c r="Q3498" s="95">
        <v>0.41</v>
      </c>
      <c r="R3498" s="104">
        <v>0.32</v>
      </c>
    </row>
    <row r="3499" spans="1:18" ht="15" hidden="1" customHeight="1" x14ac:dyDescent="0.3">
      <c r="A3499" s="101">
        <v>2025</v>
      </c>
      <c r="B3499" s="90">
        <v>9</v>
      </c>
      <c r="C3499" s="90" t="s">
        <v>730</v>
      </c>
      <c r="D3499" s="90" t="s">
        <v>719</v>
      </c>
      <c r="E3499" s="102" t="s">
        <v>11</v>
      </c>
      <c r="F3499" s="103" t="s">
        <v>48</v>
      </c>
      <c r="G3499" s="93">
        <v>1093.625542</v>
      </c>
      <c r="H3499" s="93">
        <v>3472.8484079999998</v>
      </c>
      <c r="I3499" s="93">
        <v>11351.59677</v>
      </c>
      <c r="J3499" s="93">
        <v>35526.627489999999</v>
      </c>
      <c r="K3499" s="93">
        <v>49897.678419999997</v>
      </c>
      <c r="L3499" s="93">
        <v>8760.0850699999992</v>
      </c>
      <c r="M3499" s="93">
        <v>110102.46</v>
      </c>
      <c r="N3499" s="95">
        <v>0.01</v>
      </c>
      <c r="O3499" s="95">
        <v>0.03</v>
      </c>
      <c r="P3499" s="95">
        <v>0.11</v>
      </c>
      <c r="Q3499" s="95">
        <v>0.35</v>
      </c>
      <c r="R3499" s="104">
        <v>0.49</v>
      </c>
    </row>
    <row r="3500" spans="1:18" ht="15" hidden="1" customHeight="1" x14ac:dyDescent="0.3">
      <c r="A3500" s="105">
        <v>2025</v>
      </c>
      <c r="B3500" s="90">
        <v>9</v>
      </c>
      <c r="C3500" s="90" t="s">
        <v>730</v>
      </c>
      <c r="D3500" s="90" t="s">
        <v>722</v>
      </c>
      <c r="E3500" s="102" t="s">
        <v>11</v>
      </c>
      <c r="F3500" s="106" t="s">
        <v>12</v>
      </c>
      <c r="G3500" s="93">
        <v>5200.1939410000005</v>
      </c>
      <c r="H3500" s="93">
        <v>82018.917820000002</v>
      </c>
      <c r="I3500" s="93">
        <v>193792.7164</v>
      </c>
      <c r="J3500" s="93">
        <v>95236.70736</v>
      </c>
      <c r="K3500" s="93">
        <v>8700.061146</v>
      </c>
      <c r="L3500" s="93">
        <v>47786.256540000002</v>
      </c>
      <c r="M3500" s="93">
        <v>432734.85</v>
      </c>
      <c r="N3500" s="95">
        <v>0.01</v>
      </c>
      <c r="O3500" s="95">
        <v>0.21</v>
      </c>
      <c r="P3500" s="95">
        <v>0.5</v>
      </c>
      <c r="Q3500" s="95">
        <v>0.25</v>
      </c>
      <c r="R3500" s="95">
        <v>0.02</v>
      </c>
    </row>
    <row r="3501" spans="1:18" ht="15" hidden="1" customHeight="1" x14ac:dyDescent="0.3">
      <c r="A3501" s="105">
        <v>2025</v>
      </c>
      <c r="B3501" s="90">
        <v>9</v>
      </c>
      <c r="C3501" s="90" t="s">
        <v>730</v>
      </c>
      <c r="D3501" s="90" t="s">
        <v>722</v>
      </c>
      <c r="E3501" s="102" t="s">
        <v>11</v>
      </c>
      <c r="F3501" s="106" t="s">
        <v>26</v>
      </c>
      <c r="G3501" s="93">
        <v>66463.275710000002</v>
      </c>
      <c r="H3501" s="93">
        <v>508303.34989999997</v>
      </c>
      <c r="I3501" s="93">
        <v>380595.77399999998</v>
      </c>
      <c r="J3501" s="93">
        <v>83186.968900000007</v>
      </c>
      <c r="K3501" s="93">
        <v>6865.4267159999999</v>
      </c>
      <c r="L3501" s="93">
        <v>256978.97339999999</v>
      </c>
      <c r="M3501" s="93">
        <v>1302393.77</v>
      </c>
      <c r="N3501" s="95">
        <v>0.06</v>
      </c>
      <c r="O3501" s="95">
        <v>0.49</v>
      </c>
      <c r="P3501" s="95">
        <v>0.36</v>
      </c>
      <c r="Q3501" s="95">
        <v>0.08</v>
      </c>
      <c r="R3501" s="95">
        <v>0.01</v>
      </c>
    </row>
    <row r="3502" spans="1:18" ht="15" hidden="1" customHeight="1" x14ac:dyDescent="0.3">
      <c r="A3502" s="105">
        <v>2025</v>
      </c>
      <c r="B3502" s="90">
        <v>9</v>
      </c>
      <c r="C3502" s="90" t="s">
        <v>730</v>
      </c>
      <c r="D3502" s="90" t="s">
        <v>722</v>
      </c>
      <c r="E3502" s="102" t="s">
        <v>11</v>
      </c>
      <c r="F3502" s="106" t="s">
        <v>27</v>
      </c>
      <c r="G3502" s="93">
        <v>632.33993529999998</v>
      </c>
      <c r="H3502" s="93">
        <v>23717.321029999999</v>
      </c>
      <c r="I3502" s="93">
        <v>95668.58928</v>
      </c>
      <c r="J3502" s="93">
        <v>67623.837679999997</v>
      </c>
      <c r="K3502" s="93">
        <v>29447.366379999999</v>
      </c>
      <c r="L3502" s="93">
        <v>1402.5737509999999</v>
      </c>
      <c r="M3502" s="93">
        <v>218492.03</v>
      </c>
      <c r="N3502" s="95">
        <v>0</v>
      </c>
      <c r="O3502" s="95">
        <v>0.11</v>
      </c>
      <c r="P3502" s="95">
        <v>0.44</v>
      </c>
      <c r="Q3502" s="95">
        <v>0.31</v>
      </c>
      <c r="R3502" s="95">
        <v>0.14000000000000001</v>
      </c>
    </row>
    <row r="3503" spans="1:18" ht="15" hidden="1" customHeight="1" x14ac:dyDescent="0.3">
      <c r="A3503" s="105">
        <v>2025</v>
      </c>
      <c r="B3503" s="90">
        <v>9</v>
      </c>
      <c r="C3503" s="90" t="s">
        <v>730</v>
      </c>
      <c r="D3503" s="90" t="s">
        <v>722</v>
      </c>
      <c r="E3503" s="102" t="s">
        <v>11</v>
      </c>
      <c r="F3503" s="106" t="s">
        <v>28</v>
      </c>
      <c r="G3503" s="93">
        <v>895.07938479999996</v>
      </c>
      <c r="H3503" s="93">
        <v>13954.00675</v>
      </c>
      <c r="I3503" s="93">
        <v>135603.08110000001</v>
      </c>
      <c r="J3503" s="93">
        <v>160853.02559999999</v>
      </c>
      <c r="K3503" s="93">
        <v>58444.072070000002</v>
      </c>
      <c r="L3503" s="93">
        <v>3355.1326370000002</v>
      </c>
      <c r="M3503" s="93">
        <v>373104.4</v>
      </c>
      <c r="N3503" s="95">
        <v>0</v>
      </c>
      <c r="O3503" s="95">
        <v>0.04</v>
      </c>
      <c r="P3503" s="95">
        <v>0.37</v>
      </c>
      <c r="Q3503" s="95">
        <v>0.44</v>
      </c>
      <c r="R3503" s="95">
        <v>0.16</v>
      </c>
    </row>
    <row r="3504" spans="1:18" ht="15" customHeight="1" x14ac:dyDescent="0.3">
      <c r="A3504" s="105">
        <v>2025</v>
      </c>
      <c r="B3504" s="90">
        <v>9</v>
      </c>
      <c r="C3504" s="90" t="s">
        <v>730</v>
      </c>
      <c r="D3504" s="90" t="s">
        <v>722</v>
      </c>
      <c r="E3504" s="102" t="s">
        <v>11</v>
      </c>
      <c r="F3504" s="106" t="s">
        <v>29</v>
      </c>
      <c r="G3504" s="93">
        <v>7223.5249460000005</v>
      </c>
      <c r="H3504" s="93">
        <v>49145.19831</v>
      </c>
      <c r="I3504" s="93">
        <v>78984.899470000004</v>
      </c>
      <c r="J3504" s="93">
        <v>88789.903609999994</v>
      </c>
      <c r="K3504" s="93">
        <v>45773.285329999999</v>
      </c>
      <c r="L3504" s="93">
        <v>49877.943780000001</v>
      </c>
      <c r="M3504" s="93">
        <v>319794.76</v>
      </c>
      <c r="N3504" s="95">
        <v>0.03</v>
      </c>
      <c r="O3504" s="95">
        <v>0.18</v>
      </c>
      <c r="P3504" s="95">
        <v>0.28999999999999998</v>
      </c>
      <c r="Q3504" s="95">
        <v>0.33</v>
      </c>
      <c r="R3504" s="95">
        <v>0.17</v>
      </c>
    </row>
    <row r="3505" spans="1:18" ht="15" hidden="1" customHeight="1" x14ac:dyDescent="0.3">
      <c r="A3505" s="105">
        <v>2025</v>
      </c>
      <c r="B3505" s="90">
        <v>9</v>
      </c>
      <c r="C3505" s="90" t="s">
        <v>730</v>
      </c>
      <c r="D3505" s="90" t="s">
        <v>722</v>
      </c>
      <c r="E3505" s="102" t="s">
        <v>11</v>
      </c>
      <c r="F3505" s="106" t="s">
        <v>30</v>
      </c>
      <c r="G3505" s="93">
        <v>175.85639570000001</v>
      </c>
      <c r="H3505" s="93">
        <v>1084.5283260000001</v>
      </c>
      <c r="I3505" s="93">
        <v>2672.361793</v>
      </c>
      <c r="J3505" s="93">
        <v>5148.1243189999996</v>
      </c>
      <c r="K3505" s="93">
        <v>5033.883554</v>
      </c>
      <c r="L3505" s="93">
        <v>215714.61970000001</v>
      </c>
      <c r="M3505" s="93">
        <v>229829.37</v>
      </c>
      <c r="N3505" s="95">
        <v>0.01</v>
      </c>
      <c r="O3505" s="95">
        <v>0.08</v>
      </c>
      <c r="P3505" s="95">
        <v>0.19</v>
      </c>
      <c r="Q3505" s="95">
        <v>0.36</v>
      </c>
      <c r="R3505" s="95">
        <v>0.36</v>
      </c>
    </row>
    <row r="3506" spans="1:18" ht="15" hidden="1" customHeight="1" x14ac:dyDescent="0.3">
      <c r="A3506" s="105">
        <v>2025</v>
      </c>
      <c r="B3506" s="90">
        <v>9</v>
      </c>
      <c r="C3506" s="90" t="s">
        <v>730</v>
      </c>
      <c r="D3506" s="90" t="s">
        <v>722</v>
      </c>
      <c r="E3506" s="102" t="s">
        <v>11</v>
      </c>
      <c r="F3506" s="106" t="s">
        <v>31</v>
      </c>
      <c r="G3506" s="93">
        <v>3688.7317979999998</v>
      </c>
      <c r="H3506" s="93">
        <v>48308.408710000003</v>
      </c>
      <c r="I3506" s="93">
        <v>66577.248829999997</v>
      </c>
      <c r="J3506" s="93">
        <v>62788.622739999999</v>
      </c>
      <c r="K3506" s="93">
        <v>23678.866300000002</v>
      </c>
      <c r="L3506" s="93">
        <v>42418.62631</v>
      </c>
      <c r="M3506" s="93">
        <v>247460.5</v>
      </c>
      <c r="N3506" s="95">
        <v>0.02</v>
      </c>
      <c r="O3506" s="95">
        <v>0.24</v>
      </c>
      <c r="P3506" s="95">
        <v>0.32</v>
      </c>
      <c r="Q3506" s="95">
        <v>0.31</v>
      </c>
      <c r="R3506" s="95">
        <v>0.12</v>
      </c>
    </row>
    <row r="3507" spans="1:18" ht="15" hidden="1" customHeight="1" x14ac:dyDescent="0.3">
      <c r="A3507" s="105">
        <v>2025</v>
      </c>
      <c r="B3507" s="90">
        <v>9</v>
      </c>
      <c r="C3507" s="90" t="s">
        <v>730</v>
      </c>
      <c r="D3507" s="90" t="s">
        <v>722</v>
      </c>
      <c r="E3507" s="102" t="s">
        <v>11</v>
      </c>
      <c r="F3507" s="106" t="s">
        <v>32</v>
      </c>
      <c r="G3507" s="93">
        <v>2186.9504780000002</v>
      </c>
      <c r="H3507" s="93">
        <v>50238.571279999996</v>
      </c>
      <c r="I3507" s="93">
        <v>140841.28909999999</v>
      </c>
      <c r="J3507" s="93">
        <v>185606.14739999999</v>
      </c>
      <c r="K3507" s="93">
        <v>179295.71909999999</v>
      </c>
      <c r="L3507" s="93">
        <v>20917.70477</v>
      </c>
      <c r="M3507" s="93">
        <v>579086.38</v>
      </c>
      <c r="N3507" s="95">
        <v>0</v>
      </c>
      <c r="O3507" s="95">
        <v>0.09</v>
      </c>
      <c r="P3507" s="95">
        <v>0.25</v>
      </c>
      <c r="Q3507" s="95">
        <v>0.33</v>
      </c>
      <c r="R3507" s="95">
        <v>0.32</v>
      </c>
    </row>
    <row r="3508" spans="1:18" ht="15" hidden="1" customHeight="1" x14ac:dyDescent="0.3">
      <c r="A3508" s="105">
        <v>2025</v>
      </c>
      <c r="B3508" s="90">
        <v>9</v>
      </c>
      <c r="C3508" s="90" t="s">
        <v>730</v>
      </c>
      <c r="D3508" s="90" t="s">
        <v>722</v>
      </c>
      <c r="E3508" s="102" t="s">
        <v>11</v>
      </c>
      <c r="F3508" s="106" t="s">
        <v>33</v>
      </c>
      <c r="G3508" s="93">
        <v>23160.47422</v>
      </c>
      <c r="H3508" s="93">
        <v>473234.39299999998</v>
      </c>
      <c r="I3508" s="93">
        <v>685808.26269999996</v>
      </c>
      <c r="J3508" s="93">
        <v>116450.9783</v>
      </c>
      <c r="K3508" s="93">
        <v>18658.78801</v>
      </c>
      <c r="L3508" s="93">
        <v>34742.610849999997</v>
      </c>
      <c r="M3508" s="93">
        <v>1352055.51</v>
      </c>
      <c r="N3508" s="95">
        <v>0.02</v>
      </c>
      <c r="O3508" s="95">
        <v>0.36</v>
      </c>
      <c r="P3508" s="95">
        <v>0.52</v>
      </c>
      <c r="Q3508" s="95">
        <v>0.09</v>
      </c>
      <c r="R3508" s="95">
        <v>0.01</v>
      </c>
    </row>
    <row r="3509" spans="1:18" ht="15" hidden="1" customHeight="1" x14ac:dyDescent="0.3">
      <c r="A3509" s="105">
        <v>2025</v>
      </c>
      <c r="B3509" s="90">
        <v>9</v>
      </c>
      <c r="C3509" s="90" t="s">
        <v>730</v>
      </c>
      <c r="D3509" s="90" t="s">
        <v>722</v>
      </c>
      <c r="E3509" s="102" t="s">
        <v>11</v>
      </c>
      <c r="F3509" s="106" t="s">
        <v>34</v>
      </c>
      <c r="G3509" s="93">
        <v>13848.7083</v>
      </c>
      <c r="H3509" s="93">
        <v>147961.9835</v>
      </c>
      <c r="I3509" s="93">
        <v>388700.47519999999</v>
      </c>
      <c r="J3509" s="93">
        <v>92546.718689999994</v>
      </c>
      <c r="K3509" s="93">
        <v>16788.177080000001</v>
      </c>
      <c r="L3509" s="93">
        <v>24958.149939999999</v>
      </c>
      <c r="M3509" s="93">
        <v>684804.21</v>
      </c>
      <c r="N3509" s="95">
        <v>0.02</v>
      </c>
      <c r="O3509" s="95">
        <v>0.22</v>
      </c>
      <c r="P3509" s="95">
        <v>0.59</v>
      </c>
      <c r="Q3509" s="95">
        <v>0.14000000000000001</v>
      </c>
      <c r="R3509" s="95">
        <v>0.03</v>
      </c>
    </row>
    <row r="3510" spans="1:18" ht="15" hidden="1" customHeight="1" x14ac:dyDescent="0.3">
      <c r="A3510" s="105">
        <v>2025</v>
      </c>
      <c r="B3510" s="90">
        <v>9</v>
      </c>
      <c r="C3510" s="90" t="s">
        <v>730</v>
      </c>
      <c r="D3510" s="90" t="s">
        <v>722</v>
      </c>
      <c r="E3510" s="102" t="s">
        <v>11</v>
      </c>
      <c r="F3510" s="106" t="s">
        <v>35</v>
      </c>
      <c r="G3510" s="93">
        <v>17172.496429999999</v>
      </c>
      <c r="H3510" s="93">
        <v>141896.7513</v>
      </c>
      <c r="I3510" s="93">
        <v>135800.3112</v>
      </c>
      <c r="J3510" s="93">
        <v>67788.952470000004</v>
      </c>
      <c r="K3510" s="93">
        <v>4781.9471039999999</v>
      </c>
      <c r="L3510" s="93">
        <v>233053.42509999999</v>
      </c>
      <c r="M3510" s="93">
        <v>600493.88</v>
      </c>
      <c r="N3510" s="95">
        <v>0.05</v>
      </c>
      <c r="O3510" s="95">
        <v>0.39</v>
      </c>
      <c r="P3510" s="95">
        <v>0.37</v>
      </c>
      <c r="Q3510" s="95">
        <v>0.18</v>
      </c>
      <c r="R3510" s="95">
        <v>0.01</v>
      </c>
    </row>
    <row r="3511" spans="1:18" ht="15" hidden="1" customHeight="1" x14ac:dyDescent="0.3">
      <c r="A3511" s="105">
        <v>2025</v>
      </c>
      <c r="B3511" s="90">
        <v>9</v>
      </c>
      <c r="C3511" s="90" t="s">
        <v>730</v>
      </c>
      <c r="D3511" s="90" t="s">
        <v>722</v>
      </c>
      <c r="E3511" s="102" t="s">
        <v>11</v>
      </c>
      <c r="F3511" s="106" t="s">
        <v>36</v>
      </c>
      <c r="G3511" s="93">
        <v>1616.6187010000001</v>
      </c>
      <c r="H3511" s="93">
        <v>26258.640200000002</v>
      </c>
      <c r="I3511" s="93">
        <v>82234.715179999999</v>
      </c>
      <c r="J3511" s="93">
        <v>91813.905679999996</v>
      </c>
      <c r="K3511" s="93">
        <v>24029.103810000001</v>
      </c>
      <c r="L3511" s="93">
        <v>32933.758679999999</v>
      </c>
      <c r="M3511" s="93">
        <v>258886.74</v>
      </c>
      <c r="N3511" s="95">
        <v>0.01</v>
      </c>
      <c r="O3511" s="95">
        <v>0.12</v>
      </c>
      <c r="P3511" s="95">
        <v>0.36</v>
      </c>
      <c r="Q3511" s="95">
        <v>0.41</v>
      </c>
      <c r="R3511" s="95">
        <v>0.11</v>
      </c>
    </row>
    <row r="3512" spans="1:18" ht="15" hidden="1" customHeight="1" x14ac:dyDescent="0.3">
      <c r="A3512" s="105">
        <v>2025</v>
      </c>
      <c r="B3512" s="90">
        <v>9</v>
      </c>
      <c r="C3512" s="90" t="s">
        <v>730</v>
      </c>
      <c r="D3512" s="90" t="s">
        <v>722</v>
      </c>
      <c r="E3512" s="102" t="s">
        <v>11</v>
      </c>
      <c r="F3512" s="106" t="s">
        <v>37</v>
      </c>
      <c r="G3512" s="93">
        <v>7121.3716999999997</v>
      </c>
      <c r="H3512" s="93">
        <v>96154.036410000001</v>
      </c>
      <c r="I3512" s="93">
        <v>153646.9051</v>
      </c>
      <c r="J3512" s="93">
        <v>98127.507389999999</v>
      </c>
      <c r="K3512" s="93">
        <v>17833.77246</v>
      </c>
      <c r="L3512" s="93">
        <v>141942.49969999999</v>
      </c>
      <c r="M3512" s="93">
        <v>514826.09</v>
      </c>
      <c r="N3512" s="95">
        <v>0.02</v>
      </c>
      <c r="O3512" s="95">
        <v>0.26</v>
      </c>
      <c r="P3512" s="95">
        <v>0.41</v>
      </c>
      <c r="Q3512" s="95">
        <v>0.26</v>
      </c>
      <c r="R3512" s="95">
        <v>0.05</v>
      </c>
    </row>
    <row r="3513" spans="1:18" ht="15" hidden="1" customHeight="1" x14ac:dyDescent="0.3">
      <c r="A3513" s="105">
        <v>2025</v>
      </c>
      <c r="B3513" s="90">
        <v>9</v>
      </c>
      <c r="C3513" s="90" t="s">
        <v>730</v>
      </c>
      <c r="D3513" s="90" t="s">
        <v>722</v>
      </c>
      <c r="E3513" s="102" t="s">
        <v>11</v>
      </c>
      <c r="F3513" s="106" t="s">
        <v>38</v>
      </c>
      <c r="G3513" s="93">
        <v>29834.358919999999</v>
      </c>
      <c r="H3513" s="93">
        <v>149037.3382</v>
      </c>
      <c r="I3513" s="93">
        <v>386980.65820000001</v>
      </c>
      <c r="J3513" s="93">
        <v>154485.68609999999</v>
      </c>
      <c r="K3513" s="93">
        <v>6753.2903219999998</v>
      </c>
      <c r="L3513" s="93">
        <v>158472.6599</v>
      </c>
      <c r="M3513" s="93">
        <v>885563.99</v>
      </c>
      <c r="N3513" s="95">
        <v>0.04</v>
      </c>
      <c r="O3513" s="95">
        <v>0.2</v>
      </c>
      <c r="P3513" s="95">
        <v>0.53</v>
      </c>
      <c r="Q3513" s="95">
        <v>0.21</v>
      </c>
      <c r="R3513" s="95">
        <v>0.01</v>
      </c>
    </row>
    <row r="3514" spans="1:18" ht="15" hidden="1" customHeight="1" x14ac:dyDescent="0.3">
      <c r="A3514" s="105">
        <v>2025</v>
      </c>
      <c r="B3514" s="90">
        <v>9</v>
      </c>
      <c r="C3514" s="90" t="s">
        <v>730</v>
      </c>
      <c r="D3514" s="90" t="s">
        <v>722</v>
      </c>
      <c r="E3514" s="102" t="s">
        <v>11</v>
      </c>
      <c r="F3514" s="106" t="s">
        <v>39</v>
      </c>
      <c r="G3514" s="93">
        <v>6843.45028</v>
      </c>
      <c r="H3514" s="93">
        <v>83789.649720000001</v>
      </c>
      <c r="I3514" s="93">
        <v>107864.65459999999</v>
      </c>
      <c r="J3514" s="93">
        <v>74301.510639999993</v>
      </c>
      <c r="K3514" s="93">
        <v>18360.439060000001</v>
      </c>
      <c r="L3514" s="93">
        <v>1052.0617360000001</v>
      </c>
      <c r="M3514" s="93">
        <v>292211.77</v>
      </c>
      <c r="N3514" s="95">
        <v>0.02</v>
      </c>
      <c r="O3514" s="95">
        <v>0.28999999999999998</v>
      </c>
      <c r="P3514" s="95">
        <v>0.37</v>
      </c>
      <c r="Q3514" s="95">
        <v>0.26</v>
      </c>
      <c r="R3514" s="95">
        <v>0.06</v>
      </c>
    </row>
    <row r="3515" spans="1:18" ht="15" hidden="1" customHeight="1" x14ac:dyDescent="0.3">
      <c r="A3515" s="105">
        <v>2025</v>
      </c>
      <c r="B3515" s="90">
        <v>9</v>
      </c>
      <c r="C3515" s="90" t="s">
        <v>730</v>
      </c>
      <c r="D3515" s="90" t="s">
        <v>722</v>
      </c>
      <c r="E3515" s="102" t="s">
        <v>11</v>
      </c>
      <c r="F3515" s="106" t="s">
        <v>40</v>
      </c>
      <c r="G3515" s="93">
        <v>1009.704711</v>
      </c>
      <c r="H3515" s="93">
        <v>45291.428090000001</v>
      </c>
      <c r="I3515" s="93">
        <v>138589.57870000001</v>
      </c>
      <c r="J3515" s="93">
        <v>123089.0444</v>
      </c>
      <c r="K3515" s="93">
        <v>13203.640520000001</v>
      </c>
      <c r="L3515" s="93">
        <v>5121.6457010000004</v>
      </c>
      <c r="M3515" s="93">
        <v>326305.03999999998</v>
      </c>
      <c r="N3515" s="95">
        <v>0</v>
      </c>
      <c r="O3515" s="95">
        <v>0.14000000000000001</v>
      </c>
      <c r="P3515" s="95">
        <v>0.43</v>
      </c>
      <c r="Q3515" s="95">
        <v>0.38</v>
      </c>
      <c r="R3515" s="95">
        <v>0.04</v>
      </c>
    </row>
    <row r="3516" spans="1:18" ht="15" hidden="1" customHeight="1" x14ac:dyDescent="0.3">
      <c r="A3516" s="105">
        <v>2025</v>
      </c>
      <c r="B3516" s="90">
        <v>9</v>
      </c>
      <c r="C3516" s="90" t="s">
        <v>730</v>
      </c>
      <c r="D3516" s="90" t="s">
        <v>722</v>
      </c>
      <c r="E3516" s="102" t="s">
        <v>11</v>
      </c>
      <c r="F3516" s="106" t="s">
        <v>41</v>
      </c>
      <c r="G3516" s="93">
        <v>451.35715579999999</v>
      </c>
      <c r="H3516" s="93">
        <v>3725.0058770000001</v>
      </c>
      <c r="I3516" s="93">
        <v>7404.0787879999998</v>
      </c>
      <c r="J3516" s="93">
        <v>6008.2983599999998</v>
      </c>
      <c r="K3516" s="93">
        <v>956.83463040000004</v>
      </c>
      <c r="L3516" s="93"/>
      <c r="M3516" s="93">
        <v>18545.57</v>
      </c>
      <c r="N3516" s="95">
        <v>0.02</v>
      </c>
      <c r="O3516" s="95">
        <v>0.2</v>
      </c>
      <c r="P3516" s="95">
        <v>0.4</v>
      </c>
      <c r="Q3516" s="95">
        <v>0.32</v>
      </c>
      <c r="R3516" s="95">
        <v>0.05</v>
      </c>
    </row>
    <row r="3517" spans="1:18" ht="15" hidden="1" customHeight="1" x14ac:dyDescent="0.3">
      <c r="A3517" s="105">
        <v>2025</v>
      </c>
      <c r="B3517" s="90">
        <v>9</v>
      </c>
      <c r="C3517" s="90" t="s">
        <v>730</v>
      </c>
      <c r="D3517" s="90" t="s">
        <v>722</v>
      </c>
      <c r="E3517" s="102" t="s">
        <v>11</v>
      </c>
      <c r="F3517" s="106" t="s">
        <v>42</v>
      </c>
      <c r="G3517" s="93">
        <v>5175.9212170000001</v>
      </c>
      <c r="H3517" s="93">
        <v>96325.123059999998</v>
      </c>
      <c r="I3517" s="93">
        <v>98444.159400000004</v>
      </c>
      <c r="J3517" s="93">
        <v>70273.426319999999</v>
      </c>
      <c r="K3517" s="93">
        <v>238342.8616</v>
      </c>
      <c r="L3517" s="93">
        <v>14234.383030000001</v>
      </c>
      <c r="M3517" s="93">
        <v>522795.87</v>
      </c>
      <c r="N3517" s="95">
        <v>0.01</v>
      </c>
      <c r="O3517" s="95">
        <v>0.19</v>
      </c>
      <c r="P3517" s="95">
        <v>0.19</v>
      </c>
      <c r="Q3517" s="95">
        <v>0.14000000000000001</v>
      </c>
      <c r="R3517" s="95">
        <v>0.47</v>
      </c>
    </row>
    <row r="3518" spans="1:18" ht="15" hidden="1" customHeight="1" x14ac:dyDescent="0.3">
      <c r="A3518" s="105">
        <v>2025</v>
      </c>
      <c r="B3518" s="90">
        <v>9</v>
      </c>
      <c r="C3518" s="90" t="s">
        <v>730</v>
      </c>
      <c r="D3518" s="90" t="s">
        <v>722</v>
      </c>
      <c r="E3518" s="102" t="s">
        <v>11</v>
      </c>
      <c r="F3518" s="106" t="s">
        <v>43</v>
      </c>
      <c r="G3518" s="93">
        <v>2111.7323529999999</v>
      </c>
      <c r="H3518" s="93">
        <v>17395.848569999998</v>
      </c>
      <c r="I3518" s="93">
        <v>16251.364149999999</v>
      </c>
      <c r="J3518" s="93">
        <v>15571.64435</v>
      </c>
      <c r="K3518" s="93">
        <v>7503.7447590000002</v>
      </c>
      <c r="L3518" s="93">
        <v>115184.9667</v>
      </c>
      <c r="M3518" s="93">
        <v>174019.3</v>
      </c>
      <c r="N3518" s="95">
        <v>0.04</v>
      </c>
      <c r="O3518" s="95">
        <v>0.3</v>
      </c>
      <c r="P3518" s="95">
        <v>0.28000000000000003</v>
      </c>
      <c r="Q3518" s="95">
        <v>0.26</v>
      </c>
      <c r="R3518" s="95">
        <v>0.13</v>
      </c>
    </row>
    <row r="3519" spans="1:18" ht="15" hidden="1" customHeight="1" x14ac:dyDescent="0.3">
      <c r="A3519" s="105">
        <v>2025</v>
      </c>
      <c r="B3519" s="90">
        <v>9</v>
      </c>
      <c r="C3519" s="90" t="s">
        <v>730</v>
      </c>
      <c r="D3519" s="90" t="s">
        <v>722</v>
      </c>
      <c r="E3519" s="102" t="s">
        <v>11</v>
      </c>
      <c r="F3519" s="106" t="s">
        <v>58</v>
      </c>
      <c r="G3519" s="93">
        <v>391.1046139</v>
      </c>
      <c r="H3519" s="93">
        <v>4676.7511469999999</v>
      </c>
      <c r="I3519" s="93">
        <v>25586.966390000001</v>
      </c>
      <c r="J3519" s="93">
        <v>131065.8181</v>
      </c>
      <c r="K3519" s="93">
        <v>205646.11249999999</v>
      </c>
      <c r="L3519" s="93">
        <v>4110.3723749999999</v>
      </c>
      <c r="M3519" s="93">
        <v>371477.13</v>
      </c>
      <c r="N3519" s="95">
        <v>0</v>
      </c>
      <c r="O3519" s="95">
        <v>0.01</v>
      </c>
      <c r="P3519" s="95">
        <v>7.0000000000000007E-2</v>
      </c>
      <c r="Q3519" s="95">
        <v>0.36</v>
      </c>
      <c r="R3519" s="95">
        <v>0.56000000000000005</v>
      </c>
    </row>
    <row r="3520" spans="1:18" ht="15" hidden="1" customHeight="1" x14ac:dyDescent="0.3">
      <c r="A3520" s="105">
        <v>2025</v>
      </c>
      <c r="B3520" s="90">
        <v>9</v>
      </c>
      <c r="C3520" s="90" t="s">
        <v>730</v>
      </c>
      <c r="D3520" s="90" t="s">
        <v>722</v>
      </c>
      <c r="E3520" s="102" t="s">
        <v>11</v>
      </c>
      <c r="F3520" s="106" t="s">
        <v>44</v>
      </c>
      <c r="G3520" s="93">
        <v>3643.994913</v>
      </c>
      <c r="H3520" s="93">
        <v>9762.1608500000002</v>
      </c>
      <c r="I3520" s="93">
        <v>27519.127690000001</v>
      </c>
      <c r="J3520" s="93">
        <v>76652.696429999996</v>
      </c>
      <c r="K3520" s="93">
        <v>59292.087919999998</v>
      </c>
      <c r="L3520" s="93">
        <v>34813.789649999999</v>
      </c>
      <c r="M3520" s="93">
        <v>211683.86</v>
      </c>
      <c r="N3520" s="95">
        <v>0.02</v>
      </c>
      <c r="O3520" s="95">
        <v>0.06</v>
      </c>
      <c r="P3520" s="95">
        <v>0.16</v>
      </c>
      <c r="Q3520" s="95">
        <v>0.43</v>
      </c>
      <c r="R3520" s="95">
        <v>0.34</v>
      </c>
    </row>
    <row r="3521" spans="1:18" ht="15" hidden="1" customHeight="1" x14ac:dyDescent="0.3">
      <c r="A3521" s="105">
        <v>2025</v>
      </c>
      <c r="B3521" s="90">
        <v>9</v>
      </c>
      <c r="C3521" s="90" t="s">
        <v>730</v>
      </c>
      <c r="D3521" s="90" t="s">
        <v>722</v>
      </c>
      <c r="E3521" s="102" t="s">
        <v>11</v>
      </c>
      <c r="F3521" s="106" t="s">
        <v>51</v>
      </c>
      <c r="G3521" s="93">
        <v>1048.2013240000001</v>
      </c>
      <c r="H3521" s="93">
        <v>2210.5330589999999</v>
      </c>
      <c r="I3521" s="93">
        <v>11573.734179999999</v>
      </c>
      <c r="J3521" s="93">
        <v>54952.881999999998</v>
      </c>
      <c r="K3521" s="93">
        <v>140377.56400000001</v>
      </c>
      <c r="L3521" s="93"/>
      <c r="M3521" s="93">
        <v>210162.91</v>
      </c>
      <c r="N3521" s="95">
        <v>0</v>
      </c>
      <c r="O3521" s="95">
        <v>0.01</v>
      </c>
      <c r="P3521" s="95">
        <v>0.06</v>
      </c>
      <c r="Q3521" s="95">
        <v>0.26</v>
      </c>
      <c r="R3521" s="95">
        <v>0.67</v>
      </c>
    </row>
    <row r="3522" spans="1:18" ht="15" hidden="1" customHeight="1" x14ac:dyDescent="0.3">
      <c r="A3522" s="105">
        <v>2025</v>
      </c>
      <c r="B3522" s="90">
        <v>9</v>
      </c>
      <c r="C3522" s="90" t="s">
        <v>730</v>
      </c>
      <c r="D3522" s="90" t="s">
        <v>722</v>
      </c>
      <c r="E3522" s="102" t="s">
        <v>11</v>
      </c>
      <c r="F3522" s="106" t="s">
        <v>45</v>
      </c>
      <c r="G3522" s="93">
        <v>4613.0344320000004</v>
      </c>
      <c r="H3522" s="93">
        <v>23384.796679999999</v>
      </c>
      <c r="I3522" s="93">
        <v>33989.009899999997</v>
      </c>
      <c r="J3522" s="93">
        <v>20982.74192</v>
      </c>
      <c r="K3522" s="93">
        <v>2414.184859</v>
      </c>
      <c r="L3522" s="93">
        <v>48712.4352</v>
      </c>
      <c r="M3522" s="93">
        <v>134096.20000000001</v>
      </c>
      <c r="N3522" s="95">
        <v>0.05</v>
      </c>
      <c r="O3522" s="95">
        <v>0.27</v>
      </c>
      <c r="P3522" s="95">
        <v>0.4</v>
      </c>
      <c r="Q3522" s="95">
        <v>0.25</v>
      </c>
      <c r="R3522" s="95">
        <v>0.03</v>
      </c>
    </row>
    <row r="3523" spans="1:18" ht="15" hidden="1" customHeight="1" x14ac:dyDescent="0.3">
      <c r="A3523" s="105">
        <v>2025</v>
      </c>
      <c r="B3523" s="90">
        <v>9</v>
      </c>
      <c r="C3523" s="90" t="s">
        <v>730</v>
      </c>
      <c r="D3523" s="90" t="s">
        <v>722</v>
      </c>
      <c r="E3523" s="102" t="s">
        <v>11</v>
      </c>
      <c r="F3523" s="106" t="s">
        <v>721</v>
      </c>
      <c r="G3523" s="93">
        <v>1234.5869949999999</v>
      </c>
      <c r="H3523" s="93">
        <v>76554.364560000002</v>
      </c>
      <c r="I3523" s="93">
        <v>79923.821890000007</v>
      </c>
      <c r="J3523" s="93">
        <v>78322.811119999998</v>
      </c>
      <c r="K3523" s="93">
        <v>73290.706779999993</v>
      </c>
      <c r="L3523" s="93">
        <v>4.33795837</v>
      </c>
      <c r="M3523" s="93">
        <v>309330.63</v>
      </c>
      <c r="N3523" s="95">
        <v>0</v>
      </c>
      <c r="O3523" s="95">
        <v>0.25</v>
      </c>
      <c r="P3523" s="95">
        <v>0.26</v>
      </c>
      <c r="Q3523" s="95">
        <v>0.25</v>
      </c>
      <c r="R3523" s="95">
        <v>0.24</v>
      </c>
    </row>
    <row r="3524" spans="1:18" ht="15" hidden="1" customHeight="1" x14ac:dyDescent="0.3">
      <c r="A3524" s="105">
        <v>2025</v>
      </c>
      <c r="B3524" s="90">
        <v>9</v>
      </c>
      <c r="C3524" s="90" t="s">
        <v>730</v>
      </c>
      <c r="D3524" s="90" t="s">
        <v>722</v>
      </c>
      <c r="E3524" s="102" t="s">
        <v>11</v>
      </c>
      <c r="F3524" s="106" t="s">
        <v>46</v>
      </c>
      <c r="G3524" s="93">
        <v>314.45011369999997</v>
      </c>
      <c r="H3524" s="93">
        <v>3437.3872529999999</v>
      </c>
      <c r="I3524" s="93">
        <v>15431.664570000001</v>
      </c>
      <c r="J3524" s="93">
        <v>33619.548289999999</v>
      </c>
      <c r="K3524" s="93">
        <v>95517.448669999998</v>
      </c>
      <c r="L3524" s="93"/>
      <c r="M3524" s="93">
        <v>148320.5</v>
      </c>
      <c r="N3524" s="95">
        <v>0</v>
      </c>
      <c r="O3524" s="95">
        <v>0.02</v>
      </c>
      <c r="P3524" s="95">
        <v>0.1</v>
      </c>
      <c r="Q3524" s="95">
        <v>0.23</v>
      </c>
      <c r="R3524" s="95">
        <v>0.64</v>
      </c>
    </row>
    <row r="3525" spans="1:18" ht="15" hidden="1" customHeight="1" x14ac:dyDescent="0.3">
      <c r="A3525" s="105">
        <v>2025</v>
      </c>
      <c r="B3525" s="90">
        <v>9</v>
      </c>
      <c r="C3525" s="90" t="s">
        <v>730</v>
      </c>
      <c r="D3525" s="90" t="s">
        <v>722</v>
      </c>
      <c r="E3525" s="102" t="s">
        <v>11</v>
      </c>
      <c r="F3525" s="106" t="s">
        <v>47</v>
      </c>
      <c r="G3525" s="93">
        <v>16646.982049999999</v>
      </c>
      <c r="H3525" s="93">
        <v>117791.836</v>
      </c>
      <c r="I3525" s="93">
        <v>431327.3762</v>
      </c>
      <c r="J3525" s="93">
        <v>430771.96600000001</v>
      </c>
      <c r="K3525" s="93">
        <v>286171.6459</v>
      </c>
      <c r="L3525" s="93"/>
      <c r="M3525" s="93">
        <v>1282709.81</v>
      </c>
      <c r="N3525" s="95">
        <v>0.01</v>
      </c>
      <c r="O3525" s="95">
        <v>0.09</v>
      </c>
      <c r="P3525" s="95">
        <v>0.34</v>
      </c>
      <c r="Q3525" s="95">
        <v>0.34</v>
      </c>
      <c r="R3525" s="95">
        <v>0.22</v>
      </c>
    </row>
    <row r="3526" spans="1:18" ht="15" hidden="1" customHeight="1" x14ac:dyDescent="0.3">
      <c r="A3526" s="105">
        <v>2025</v>
      </c>
      <c r="B3526" s="90">
        <v>9</v>
      </c>
      <c r="C3526" s="90" t="s">
        <v>730</v>
      </c>
      <c r="D3526" s="90" t="s">
        <v>722</v>
      </c>
      <c r="E3526" s="102" t="s">
        <v>11</v>
      </c>
      <c r="F3526" s="106" t="s">
        <v>48</v>
      </c>
      <c r="G3526" s="93">
        <v>991.48653309999997</v>
      </c>
      <c r="H3526" s="93">
        <v>6480.1078049999996</v>
      </c>
      <c r="I3526" s="93">
        <v>28005.22637</v>
      </c>
      <c r="J3526" s="93">
        <v>51533.369079999997</v>
      </c>
      <c r="K3526" s="93">
        <v>14659.13522</v>
      </c>
      <c r="L3526" s="93">
        <v>8645.1468399999994</v>
      </c>
      <c r="M3526" s="93">
        <v>110314.47</v>
      </c>
      <c r="N3526" s="95">
        <v>0.01</v>
      </c>
      <c r="O3526" s="95">
        <v>0.06</v>
      </c>
      <c r="P3526" s="95">
        <v>0.28000000000000003</v>
      </c>
      <c r="Q3526" s="95">
        <v>0.51</v>
      </c>
      <c r="R3526" s="95">
        <v>0.14000000000000001</v>
      </c>
    </row>
    <row r="3527" spans="1:18" ht="15" hidden="1" customHeight="1" x14ac:dyDescent="0.3">
      <c r="A3527" s="101">
        <v>2025</v>
      </c>
      <c r="B3527" s="90">
        <v>10</v>
      </c>
      <c r="C3527" s="90" t="s">
        <v>731</v>
      </c>
      <c r="D3527" s="90" t="s">
        <v>719</v>
      </c>
      <c r="E3527" s="102" t="s">
        <v>11</v>
      </c>
      <c r="F3527" s="103" t="s">
        <v>12</v>
      </c>
      <c r="G3527" s="93">
        <v>10567.881230000001</v>
      </c>
      <c r="H3527" s="93">
        <v>131847.9215</v>
      </c>
      <c r="I3527" s="93">
        <v>203416.28090000001</v>
      </c>
      <c r="J3527" s="93">
        <v>33056.052900000002</v>
      </c>
      <c r="K3527" s="93">
        <v>914.65701209999997</v>
      </c>
      <c r="L3527" s="93">
        <v>47639.289790000003</v>
      </c>
      <c r="M3527" s="93">
        <v>427442.08</v>
      </c>
      <c r="N3527" s="95">
        <v>0.03</v>
      </c>
      <c r="O3527" s="95">
        <v>0.35</v>
      </c>
      <c r="P3527" s="95">
        <v>0.54</v>
      </c>
      <c r="Q3527" s="95">
        <v>0.09</v>
      </c>
      <c r="R3527" s="104">
        <v>0</v>
      </c>
    </row>
    <row r="3528" spans="1:18" ht="15" hidden="1" customHeight="1" x14ac:dyDescent="0.3">
      <c r="A3528" s="101">
        <v>2025</v>
      </c>
      <c r="B3528" s="90">
        <v>10</v>
      </c>
      <c r="C3528" s="90" t="s">
        <v>731</v>
      </c>
      <c r="D3528" s="90" t="s">
        <v>719</v>
      </c>
      <c r="E3528" s="102" t="s">
        <v>11</v>
      </c>
      <c r="F3528" s="103" t="s">
        <v>26</v>
      </c>
      <c r="G3528" s="93">
        <v>107045.8262</v>
      </c>
      <c r="H3528" s="93">
        <v>651430.39280000003</v>
      </c>
      <c r="I3528" s="93">
        <v>249628.3278</v>
      </c>
      <c r="J3528" s="93">
        <v>33651.943010000003</v>
      </c>
      <c r="K3528" s="93">
        <v>1997.4892729999999</v>
      </c>
      <c r="L3528" s="93">
        <v>256595.70430000001</v>
      </c>
      <c r="M3528" s="93">
        <v>1300349.68</v>
      </c>
      <c r="N3528" s="95">
        <v>0.1</v>
      </c>
      <c r="O3528" s="95">
        <v>0.62</v>
      </c>
      <c r="P3528" s="95">
        <v>0.24</v>
      </c>
      <c r="Q3528" s="95">
        <v>0.03</v>
      </c>
      <c r="R3528" s="104">
        <v>0</v>
      </c>
    </row>
    <row r="3529" spans="1:18" ht="15" hidden="1" customHeight="1" x14ac:dyDescent="0.3">
      <c r="A3529" s="101">
        <v>2025</v>
      </c>
      <c r="B3529" s="90">
        <v>10</v>
      </c>
      <c r="C3529" s="90" t="s">
        <v>731</v>
      </c>
      <c r="D3529" s="90" t="s">
        <v>719</v>
      </c>
      <c r="E3529" s="102" t="s">
        <v>11</v>
      </c>
      <c r="F3529" s="103" t="s">
        <v>27</v>
      </c>
      <c r="G3529" s="93">
        <v>279.02788529999998</v>
      </c>
      <c r="H3529" s="93">
        <v>33489.324829999998</v>
      </c>
      <c r="I3529" s="93">
        <v>136250.25889999999</v>
      </c>
      <c r="J3529" s="93">
        <v>49376.231240000001</v>
      </c>
      <c r="K3529" s="93">
        <v>5290.401476</v>
      </c>
      <c r="L3529" s="93">
        <v>1369.7197650000001</v>
      </c>
      <c r="M3529" s="93">
        <v>226054.96</v>
      </c>
      <c r="N3529" s="95">
        <v>0</v>
      </c>
      <c r="O3529" s="95">
        <v>0.15</v>
      </c>
      <c r="P3529" s="95">
        <v>0.61</v>
      </c>
      <c r="Q3529" s="95">
        <v>0.22</v>
      </c>
      <c r="R3529" s="104">
        <v>0.02</v>
      </c>
    </row>
    <row r="3530" spans="1:18" ht="15" hidden="1" customHeight="1" x14ac:dyDescent="0.3">
      <c r="A3530" s="101">
        <v>2025</v>
      </c>
      <c r="B3530" s="90">
        <v>10</v>
      </c>
      <c r="C3530" s="90" t="s">
        <v>731</v>
      </c>
      <c r="D3530" s="90" t="s">
        <v>719</v>
      </c>
      <c r="E3530" s="102" t="s">
        <v>11</v>
      </c>
      <c r="F3530" s="103" t="s">
        <v>28</v>
      </c>
      <c r="G3530" s="93">
        <v>2544.631899</v>
      </c>
      <c r="H3530" s="93">
        <v>40064.637470000001</v>
      </c>
      <c r="I3530" s="93">
        <v>260514.9068</v>
      </c>
      <c r="J3530" s="93">
        <v>64902.508159999998</v>
      </c>
      <c r="K3530" s="93">
        <v>1778.8053090000001</v>
      </c>
      <c r="L3530" s="93">
        <v>3298.9078</v>
      </c>
      <c r="M3530" s="93">
        <v>373104.4</v>
      </c>
      <c r="N3530" s="95">
        <v>0.01</v>
      </c>
      <c r="O3530" s="95">
        <v>0.11</v>
      </c>
      <c r="P3530" s="95">
        <v>0.7</v>
      </c>
      <c r="Q3530" s="95">
        <v>0.18</v>
      </c>
      <c r="R3530" s="104">
        <v>0</v>
      </c>
    </row>
    <row r="3531" spans="1:18" ht="15" customHeight="1" x14ac:dyDescent="0.3">
      <c r="A3531" s="101">
        <v>2025</v>
      </c>
      <c r="B3531" s="90">
        <v>10</v>
      </c>
      <c r="C3531" s="90" t="s">
        <v>731</v>
      </c>
      <c r="D3531" s="90" t="s">
        <v>719</v>
      </c>
      <c r="E3531" s="102" t="s">
        <v>11</v>
      </c>
      <c r="F3531" s="103" t="s">
        <v>29</v>
      </c>
      <c r="G3531" s="93">
        <v>8537.1959979999992</v>
      </c>
      <c r="H3531" s="93">
        <v>53826.401940000003</v>
      </c>
      <c r="I3531" s="93">
        <v>129531.87669999999</v>
      </c>
      <c r="J3531" s="93">
        <v>79569.070540000001</v>
      </c>
      <c r="K3531" s="93">
        <v>10020.347400000001</v>
      </c>
      <c r="L3531" s="93">
        <v>49380.962229999997</v>
      </c>
      <c r="M3531" s="93">
        <v>330865.84999999998</v>
      </c>
      <c r="N3531" s="95">
        <v>0.03</v>
      </c>
      <c r="O3531" s="95">
        <v>0.19</v>
      </c>
      <c r="P3531" s="95">
        <v>0.46</v>
      </c>
      <c r="Q3531" s="95">
        <v>0.28000000000000003</v>
      </c>
      <c r="R3531" s="104">
        <v>0.04</v>
      </c>
    </row>
    <row r="3532" spans="1:18" ht="15" hidden="1" customHeight="1" x14ac:dyDescent="0.3">
      <c r="A3532" s="101">
        <v>2025</v>
      </c>
      <c r="B3532" s="90">
        <v>10</v>
      </c>
      <c r="C3532" s="90" t="s">
        <v>731</v>
      </c>
      <c r="D3532" s="90" t="s">
        <v>719</v>
      </c>
      <c r="E3532" s="102" t="s">
        <v>11</v>
      </c>
      <c r="F3532" s="103" t="s">
        <v>30</v>
      </c>
      <c r="G3532" s="93">
        <v>258.71424689999998</v>
      </c>
      <c r="H3532" s="93">
        <v>1462.9075290000001</v>
      </c>
      <c r="I3532" s="93">
        <v>2746.2135699999999</v>
      </c>
      <c r="J3532" s="93">
        <v>5238.0798000000004</v>
      </c>
      <c r="K3532" s="93">
        <v>4181.9809269999996</v>
      </c>
      <c r="L3532" s="93">
        <v>215667.92850000001</v>
      </c>
      <c r="M3532" s="93">
        <v>229555.82</v>
      </c>
      <c r="N3532" s="95">
        <v>0.02</v>
      </c>
      <c r="O3532" s="95">
        <v>0.11</v>
      </c>
      <c r="P3532" s="95">
        <v>0.2</v>
      </c>
      <c r="Q3532" s="95">
        <v>0.38</v>
      </c>
      <c r="R3532" s="104">
        <v>0.3</v>
      </c>
    </row>
    <row r="3533" spans="1:18" ht="15" hidden="1" customHeight="1" x14ac:dyDescent="0.3">
      <c r="A3533" s="101">
        <v>2025</v>
      </c>
      <c r="B3533" s="90">
        <v>10</v>
      </c>
      <c r="C3533" s="90" t="s">
        <v>731</v>
      </c>
      <c r="D3533" s="90" t="s">
        <v>719</v>
      </c>
      <c r="E3533" s="102" t="s">
        <v>11</v>
      </c>
      <c r="F3533" s="103" t="s">
        <v>31</v>
      </c>
      <c r="G3533" s="93">
        <v>5220.9842580000004</v>
      </c>
      <c r="H3533" s="93">
        <v>68972.037580000004</v>
      </c>
      <c r="I3533" s="93">
        <v>73716.385980000006</v>
      </c>
      <c r="J3533" s="93">
        <v>47340.462520000001</v>
      </c>
      <c r="K3533" s="93">
        <v>9721.0837279999996</v>
      </c>
      <c r="L3533" s="93">
        <v>42237.895100000002</v>
      </c>
      <c r="M3533" s="93">
        <v>247208.85</v>
      </c>
      <c r="N3533" s="95">
        <v>0.03</v>
      </c>
      <c r="O3533" s="95">
        <v>0.34</v>
      </c>
      <c r="P3533" s="95">
        <v>0.36</v>
      </c>
      <c r="Q3533" s="95">
        <v>0.23</v>
      </c>
      <c r="R3533" s="104">
        <v>0.05</v>
      </c>
    </row>
    <row r="3534" spans="1:18" ht="15" hidden="1" customHeight="1" x14ac:dyDescent="0.3">
      <c r="A3534" s="101">
        <v>2025</v>
      </c>
      <c r="B3534" s="90">
        <v>10</v>
      </c>
      <c r="C3534" s="90" t="s">
        <v>731</v>
      </c>
      <c r="D3534" s="90" t="s">
        <v>719</v>
      </c>
      <c r="E3534" s="102" t="s">
        <v>11</v>
      </c>
      <c r="F3534" s="103" t="s">
        <v>32</v>
      </c>
      <c r="G3534" s="93">
        <v>2927.9971580000001</v>
      </c>
      <c r="H3534" s="93">
        <v>89045.062349999993</v>
      </c>
      <c r="I3534" s="93">
        <v>292618.95899999997</v>
      </c>
      <c r="J3534" s="93">
        <v>175027.06049999999</v>
      </c>
      <c r="K3534" s="93">
        <v>27252.594359999999</v>
      </c>
      <c r="L3534" s="93">
        <v>20739.293819999999</v>
      </c>
      <c r="M3534" s="93">
        <v>607610.97</v>
      </c>
      <c r="N3534" s="95">
        <v>0</v>
      </c>
      <c r="O3534" s="95">
        <v>0.15</v>
      </c>
      <c r="P3534" s="95">
        <v>0.5</v>
      </c>
      <c r="Q3534" s="95">
        <v>0.3</v>
      </c>
      <c r="R3534" s="104">
        <v>0.05</v>
      </c>
    </row>
    <row r="3535" spans="1:18" ht="15" hidden="1" customHeight="1" x14ac:dyDescent="0.3">
      <c r="A3535" s="101">
        <v>2025</v>
      </c>
      <c r="B3535" s="90">
        <v>10</v>
      </c>
      <c r="C3535" s="90" t="s">
        <v>731</v>
      </c>
      <c r="D3535" s="90" t="s">
        <v>719</v>
      </c>
      <c r="E3535" s="102" t="s">
        <v>11</v>
      </c>
      <c r="F3535" s="103" t="s">
        <v>33</v>
      </c>
      <c r="G3535" s="93">
        <v>45703.456700000002</v>
      </c>
      <c r="H3535" s="93">
        <v>688319.89760000003</v>
      </c>
      <c r="I3535" s="93">
        <v>489637.37449999998</v>
      </c>
      <c r="J3535" s="93">
        <v>87296.115810000003</v>
      </c>
      <c r="K3535" s="93">
        <v>6097.8235759999998</v>
      </c>
      <c r="L3535" s="93">
        <v>34641.766620000002</v>
      </c>
      <c r="M3535" s="93">
        <v>1351696.43</v>
      </c>
      <c r="N3535" s="95">
        <v>0.03</v>
      </c>
      <c r="O3535" s="95">
        <v>0.52</v>
      </c>
      <c r="P3535" s="95">
        <v>0.37</v>
      </c>
      <c r="Q3535" s="95">
        <v>7.0000000000000007E-2</v>
      </c>
      <c r="R3535" s="104">
        <v>0</v>
      </c>
    </row>
    <row r="3536" spans="1:18" ht="15" hidden="1" customHeight="1" x14ac:dyDescent="0.3">
      <c r="A3536" s="101">
        <v>2025</v>
      </c>
      <c r="B3536" s="90">
        <v>10</v>
      </c>
      <c r="C3536" s="90" t="s">
        <v>731</v>
      </c>
      <c r="D3536" s="90" t="s">
        <v>719</v>
      </c>
      <c r="E3536" s="102" t="s">
        <v>11</v>
      </c>
      <c r="F3536" s="103" t="s">
        <v>34</v>
      </c>
      <c r="G3536" s="93">
        <v>14934.267750000001</v>
      </c>
      <c r="H3536" s="93">
        <v>175654.40299999999</v>
      </c>
      <c r="I3536" s="93">
        <v>392391.82</v>
      </c>
      <c r="J3536" s="93">
        <v>70986.673899999994</v>
      </c>
      <c r="K3536" s="93">
        <v>9352.9233490000006</v>
      </c>
      <c r="L3536" s="93">
        <v>24820.05486</v>
      </c>
      <c r="M3536" s="93">
        <v>688140.14</v>
      </c>
      <c r="N3536" s="95">
        <v>0.02</v>
      </c>
      <c r="O3536" s="95">
        <v>0.26</v>
      </c>
      <c r="P3536" s="95">
        <v>0.59</v>
      </c>
      <c r="Q3536" s="95">
        <v>0.11</v>
      </c>
      <c r="R3536" s="104">
        <v>0.01</v>
      </c>
    </row>
    <row r="3537" spans="1:18" ht="15" hidden="1" customHeight="1" x14ac:dyDescent="0.3">
      <c r="A3537" s="101">
        <v>2025</v>
      </c>
      <c r="B3537" s="90">
        <v>10</v>
      </c>
      <c r="C3537" s="90" t="s">
        <v>731</v>
      </c>
      <c r="D3537" s="90" t="s">
        <v>719</v>
      </c>
      <c r="E3537" s="102" t="s">
        <v>11</v>
      </c>
      <c r="F3537" s="103" t="s">
        <v>35</v>
      </c>
      <c r="G3537" s="93">
        <v>21646.946810000001</v>
      </c>
      <c r="H3537" s="93">
        <v>176489.88140000001</v>
      </c>
      <c r="I3537" s="93">
        <v>139569.87520000001</v>
      </c>
      <c r="J3537" s="93">
        <v>32205.43518</v>
      </c>
      <c r="K3537" s="93">
        <v>2548.9903680000002</v>
      </c>
      <c r="L3537" s="93">
        <v>232925.5295</v>
      </c>
      <c r="M3537" s="93">
        <v>605386.66</v>
      </c>
      <c r="N3537" s="95">
        <v>0.06</v>
      </c>
      <c r="O3537" s="95">
        <v>0.47</v>
      </c>
      <c r="P3537" s="95">
        <v>0.37</v>
      </c>
      <c r="Q3537" s="95">
        <v>0.09</v>
      </c>
      <c r="R3537" s="104">
        <v>0.01</v>
      </c>
    </row>
    <row r="3538" spans="1:18" ht="15" hidden="1" customHeight="1" x14ac:dyDescent="0.3">
      <c r="A3538" s="101">
        <v>2025</v>
      </c>
      <c r="B3538" s="90">
        <v>10</v>
      </c>
      <c r="C3538" s="90" t="s">
        <v>731</v>
      </c>
      <c r="D3538" s="90" t="s">
        <v>719</v>
      </c>
      <c r="E3538" s="102" t="s">
        <v>11</v>
      </c>
      <c r="F3538" s="103" t="s">
        <v>36</v>
      </c>
      <c r="G3538" s="93">
        <v>2471.4637160000002</v>
      </c>
      <c r="H3538" s="93">
        <v>40778.407890000002</v>
      </c>
      <c r="I3538" s="93">
        <v>110779.4189</v>
      </c>
      <c r="J3538" s="93">
        <v>66957.573569999993</v>
      </c>
      <c r="K3538" s="93">
        <v>4098.174113</v>
      </c>
      <c r="L3538" s="93">
        <v>32804.055540000001</v>
      </c>
      <c r="M3538" s="93">
        <v>257889.09</v>
      </c>
      <c r="N3538" s="95">
        <v>0.01</v>
      </c>
      <c r="O3538" s="95">
        <v>0.18</v>
      </c>
      <c r="P3538" s="95">
        <v>0.49</v>
      </c>
      <c r="Q3538" s="95">
        <v>0.3</v>
      </c>
      <c r="R3538" s="104">
        <v>0.02</v>
      </c>
    </row>
    <row r="3539" spans="1:18" ht="15" hidden="1" customHeight="1" x14ac:dyDescent="0.3">
      <c r="A3539" s="101">
        <v>2025</v>
      </c>
      <c r="B3539" s="90">
        <v>10</v>
      </c>
      <c r="C3539" s="90" t="s">
        <v>731</v>
      </c>
      <c r="D3539" s="90" t="s">
        <v>719</v>
      </c>
      <c r="E3539" s="102" t="s">
        <v>11</v>
      </c>
      <c r="F3539" s="103" t="s">
        <v>37</v>
      </c>
      <c r="G3539" s="93">
        <v>12365.77621</v>
      </c>
      <c r="H3539" s="93">
        <v>149489.2536</v>
      </c>
      <c r="I3539" s="93">
        <v>166494.58530000001</v>
      </c>
      <c r="J3539" s="93">
        <v>41343.06338</v>
      </c>
      <c r="K3539" s="93">
        <v>4377.7226639999999</v>
      </c>
      <c r="L3539" s="93">
        <v>141656.37839999999</v>
      </c>
      <c r="M3539" s="93">
        <v>515726.78</v>
      </c>
      <c r="N3539" s="95">
        <v>0.03</v>
      </c>
      <c r="O3539" s="95">
        <v>0.4</v>
      </c>
      <c r="P3539" s="95">
        <v>0.45</v>
      </c>
      <c r="Q3539" s="95">
        <v>0.11</v>
      </c>
      <c r="R3539" s="104">
        <v>0.01</v>
      </c>
    </row>
    <row r="3540" spans="1:18" ht="15" hidden="1" customHeight="1" x14ac:dyDescent="0.3">
      <c r="A3540" s="101">
        <v>2025</v>
      </c>
      <c r="B3540" s="90">
        <v>10</v>
      </c>
      <c r="C3540" s="90" t="s">
        <v>731</v>
      </c>
      <c r="D3540" s="90" t="s">
        <v>719</v>
      </c>
      <c r="E3540" s="102" t="s">
        <v>11</v>
      </c>
      <c r="F3540" s="103" t="s">
        <v>38</v>
      </c>
      <c r="G3540" s="93">
        <v>36857.815119999999</v>
      </c>
      <c r="H3540" s="93">
        <v>175622.81390000001</v>
      </c>
      <c r="I3540" s="93">
        <v>425113.24339999998</v>
      </c>
      <c r="J3540" s="93">
        <v>108443.99460000001</v>
      </c>
      <c r="K3540" s="93">
        <v>6092.2236540000004</v>
      </c>
      <c r="L3540" s="93">
        <v>158425.26490000001</v>
      </c>
      <c r="M3540" s="93">
        <v>910555.36</v>
      </c>
      <c r="N3540" s="95">
        <v>0.05</v>
      </c>
      <c r="O3540" s="95">
        <v>0.23</v>
      </c>
      <c r="P3540" s="95">
        <v>0.56999999999999995</v>
      </c>
      <c r="Q3540" s="95">
        <v>0.14000000000000001</v>
      </c>
      <c r="R3540" s="104">
        <v>0.01</v>
      </c>
    </row>
    <row r="3541" spans="1:18" ht="15" hidden="1" customHeight="1" x14ac:dyDescent="0.3">
      <c r="A3541" s="101">
        <v>2025</v>
      </c>
      <c r="B3541" s="90">
        <v>10</v>
      </c>
      <c r="C3541" s="90" t="s">
        <v>731</v>
      </c>
      <c r="D3541" s="90" t="s">
        <v>719</v>
      </c>
      <c r="E3541" s="102" t="s">
        <v>11</v>
      </c>
      <c r="F3541" s="103" t="s">
        <v>39</v>
      </c>
      <c r="G3541" s="93">
        <v>3440.0857339999998</v>
      </c>
      <c r="H3541" s="93">
        <v>96316.438380000007</v>
      </c>
      <c r="I3541" s="93">
        <v>177866.38589999999</v>
      </c>
      <c r="J3541" s="93">
        <v>42432.37659</v>
      </c>
      <c r="K3541" s="93">
        <v>2015.353278</v>
      </c>
      <c r="L3541" s="93">
        <v>1037.96451</v>
      </c>
      <c r="M3541" s="93">
        <v>323108.59999999998</v>
      </c>
      <c r="N3541" s="95">
        <v>0.01</v>
      </c>
      <c r="O3541" s="95">
        <v>0.3</v>
      </c>
      <c r="P3541" s="95">
        <v>0.55000000000000004</v>
      </c>
      <c r="Q3541" s="95">
        <v>0.13</v>
      </c>
      <c r="R3541" s="104">
        <v>0.01</v>
      </c>
    </row>
    <row r="3542" spans="1:18" ht="15" hidden="1" customHeight="1" x14ac:dyDescent="0.3">
      <c r="A3542" s="101">
        <v>2025</v>
      </c>
      <c r="B3542" s="90">
        <v>10</v>
      </c>
      <c r="C3542" s="90" t="s">
        <v>731</v>
      </c>
      <c r="D3542" s="90" t="s">
        <v>719</v>
      </c>
      <c r="E3542" s="102" t="s">
        <v>11</v>
      </c>
      <c r="F3542" s="103" t="s">
        <v>40</v>
      </c>
      <c r="G3542" s="93">
        <v>1803.2180619999999</v>
      </c>
      <c r="H3542" s="93">
        <v>83012.279320000001</v>
      </c>
      <c r="I3542" s="93">
        <v>138115.97020000001</v>
      </c>
      <c r="J3542" s="93">
        <v>83626.432149999993</v>
      </c>
      <c r="K3542" s="93">
        <v>13312.78952</v>
      </c>
      <c r="L3542" s="93">
        <v>5065.7508079999998</v>
      </c>
      <c r="M3542" s="93">
        <v>324936.44</v>
      </c>
      <c r="N3542" s="95">
        <v>0.01</v>
      </c>
      <c r="O3542" s="95">
        <v>0.26</v>
      </c>
      <c r="P3542" s="95">
        <v>0.43</v>
      </c>
      <c r="Q3542" s="95">
        <v>0.26</v>
      </c>
      <c r="R3542" s="104">
        <v>0.04</v>
      </c>
    </row>
    <row r="3543" spans="1:18" ht="15" hidden="1" customHeight="1" x14ac:dyDescent="0.3">
      <c r="A3543" s="101">
        <v>2025</v>
      </c>
      <c r="B3543" s="90">
        <v>10</v>
      </c>
      <c r="C3543" s="90" t="s">
        <v>731</v>
      </c>
      <c r="D3543" s="90" t="s">
        <v>719</v>
      </c>
      <c r="E3543" s="102" t="s">
        <v>11</v>
      </c>
      <c r="F3543" s="103" t="s">
        <v>41</v>
      </c>
      <c r="G3543" s="93">
        <v>1415.7993779999999</v>
      </c>
      <c r="H3543" s="93">
        <v>5340.3176229999999</v>
      </c>
      <c r="I3543" s="93">
        <v>4276.8658109999997</v>
      </c>
      <c r="J3543" s="93">
        <v>1375.9175150000001</v>
      </c>
      <c r="K3543" s="93">
        <v>67.205240630000006</v>
      </c>
      <c r="L3543" s="93"/>
      <c r="M3543" s="93">
        <v>12476.11</v>
      </c>
      <c r="N3543" s="95">
        <v>0.11</v>
      </c>
      <c r="O3543" s="95">
        <v>0.43</v>
      </c>
      <c r="P3543" s="95">
        <v>0.34</v>
      </c>
      <c r="Q3543" s="95">
        <v>0.11</v>
      </c>
      <c r="R3543" s="104">
        <v>0.01</v>
      </c>
    </row>
    <row r="3544" spans="1:18" ht="15" hidden="1" customHeight="1" x14ac:dyDescent="0.3">
      <c r="A3544" s="101">
        <v>2025</v>
      </c>
      <c r="B3544" s="90">
        <v>10</v>
      </c>
      <c r="C3544" s="90" t="s">
        <v>731</v>
      </c>
      <c r="D3544" s="90" t="s">
        <v>719</v>
      </c>
      <c r="E3544" s="102" t="s">
        <v>11</v>
      </c>
      <c r="F3544" s="103" t="s">
        <v>42</v>
      </c>
      <c r="G3544" s="93">
        <v>2114.940529</v>
      </c>
      <c r="H3544" s="93">
        <v>65396.261149999998</v>
      </c>
      <c r="I3544" s="93">
        <v>199523.5104</v>
      </c>
      <c r="J3544" s="93">
        <v>211166.61720000001</v>
      </c>
      <c r="K3544" s="93">
        <v>85554.387310000006</v>
      </c>
      <c r="L3544" s="93">
        <v>14081.749159999999</v>
      </c>
      <c r="M3544" s="93">
        <v>577837.47</v>
      </c>
      <c r="N3544" s="95">
        <v>0</v>
      </c>
      <c r="O3544" s="95">
        <v>0.12</v>
      </c>
      <c r="P3544" s="95">
        <v>0.35</v>
      </c>
      <c r="Q3544" s="95">
        <v>0.37</v>
      </c>
      <c r="R3544" s="104">
        <v>0.15</v>
      </c>
    </row>
    <row r="3545" spans="1:18" ht="15" hidden="1" customHeight="1" x14ac:dyDescent="0.3">
      <c r="A3545" s="101">
        <v>2025</v>
      </c>
      <c r="B3545" s="90">
        <v>10</v>
      </c>
      <c r="C3545" s="90" t="s">
        <v>731</v>
      </c>
      <c r="D3545" s="90" t="s">
        <v>719</v>
      </c>
      <c r="E3545" s="102" t="s">
        <v>11</v>
      </c>
      <c r="F3545" s="103" t="s">
        <v>43</v>
      </c>
      <c r="G3545" s="93">
        <v>2436.8352180000002</v>
      </c>
      <c r="H3545" s="93">
        <v>22855.924230000001</v>
      </c>
      <c r="I3545" s="93">
        <v>19311.810420000002</v>
      </c>
      <c r="J3545" s="93">
        <v>13984.791649999999</v>
      </c>
      <c r="K3545" s="93">
        <v>4653.5004070000005</v>
      </c>
      <c r="L3545" s="93">
        <v>115256.1537</v>
      </c>
      <c r="M3545" s="93">
        <v>178499.02</v>
      </c>
      <c r="N3545" s="95">
        <v>0.04</v>
      </c>
      <c r="O3545" s="95">
        <v>0.36</v>
      </c>
      <c r="P3545" s="95">
        <v>0.31</v>
      </c>
      <c r="Q3545" s="95">
        <v>0.22</v>
      </c>
      <c r="R3545" s="104">
        <v>7.0000000000000007E-2</v>
      </c>
    </row>
    <row r="3546" spans="1:18" ht="15" hidden="1" customHeight="1" x14ac:dyDescent="0.3">
      <c r="A3546" s="101">
        <v>2025</v>
      </c>
      <c r="B3546" s="90">
        <v>10</v>
      </c>
      <c r="C3546" s="90" t="s">
        <v>731</v>
      </c>
      <c r="D3546" s="90" t="s">
        <v>719</v>
      </c>
      <c r="E3546" s="102" t="s">
        <v>11</v>
      </c>
      <c r="F3546" s="103" t="s">
        <v>58</v>
      </c>
      <c r="G3546" s="93">
        <v>1827.6476740000001</v>
      </c>
      <c r="H3546" s="93">
        <v>10459.126829999999</v>
      </c>
      <c r="I3546" s="93">
        <v>86030.266780000005</v>
      </c>
      <c r="J3546" s="93">
        <v>214698.212</v>
      </c>
      <c r="K3546" s="93">
        <v>54122.561849999998</v>
      </c>
      <c r="L3546" s="93">
        <v>4082.445819</v>
      </c>
      <c r="M3546" s="93">
        <v>371220.26</v>
      </c>
      <c r="N3546" s="95">
        <v>0</v>
      </c>
      <c r="O3546" s="95">
        <v>0.03</v>
      </c>
      <c r="P3546" s="95">
        <v>0.23</v>
      </c>
      <c r="Q3546" s="95">
        <v>0.57999999999999996</v>
      </c>
      <c r="R3546" s="104">
        <v>0.15</v>
      </c>
    </row>
    <row r="3547" spans="1:18" ht="15" hidden="1" customHeight="1" x14ac:dyDescent="0.3">
      <c r="A3547" s="101">
        <v>2025</v>
      </c>
      <c r="B3547" s="90">
        <v>10</v>
      </c>
      <c r="C3547" s="90" t="s">
        <v>731</v>
      </c>
      <c r="D3547" s="90" t="s">
        <v>719</v>
      </c>
      <c r="E3547" s="102" t="s">
        <v>11</v>
      </c>
      <c r="F3547" s="103" t="s">
        <v>44</v>
      </c>
      <c r="G3547" s="93">
        <v>3554.1144650000001</v>
      </c>
      <c r="H3547" s="93">
        <v>14144.773660000001</v>
      </c>
      <c r="I3547" s="93">
        <v>64709.407180000002</v>
      </c>
      <c r="J3547" s="93">
        <v>81578.118270000006</v>
      </c>
      <c r="K3547" s="93">
        <v>11960.35678</v>
      </c>
      <c r="L3547" s="93">
        <v>34600.236510000002</v>
      </c>
      <c r="M3547" s="93">
        <v>210547.01</v>
      </c>
      <c r="N3547" s="95">
        <v>0.02</v>
      </c>
      <c r="O3547" s="95">
        <v>0.08</v>
      </c>
      <c r="P3547" s="95">
        <v>0.37</v>
      </c>
      <c r="Q3547" s="95">
        <v>0.46</v>
      </c>
      <c r="R3547" s="104">
        <v>7.0000000000000007E-2</v>
      </c>
    </row>
    <row r="3548" spans="1:18" ht="15" hidden="1" customHeight="1" x14ac:dyDescent="0.3">
      <c r="A3548" s="101">
        <v>2025</v>
      </c>
      <c r="B3548" s="90">
        <v>10</v>
      </c>
      <c r="C3548" s="90" t="s">
        <v>731</v>
      </c>
      <c r="D3548" s="90" t="s">
        <v>719</v>
      </c>
      <c r="E3548" s="102" t="s">
        <v>11</v>
      </c>
      <c r="F3548" s="103" t="s">
        <v>51</v>
      </c>
      <c r="G3548" s="93">
        <v>793.88862519999998</v>
      </c>
      <c r="H3548" s="93">
        <v>2807.7225119999998</v>
      </c>
      <c r="I3548" s="93">
        <v>12069.000239999999</v>
      </c>
      <c r="J3548" s="93">
        <v>39234.964139999996</v>
      </c>
      <c r="K3548" s="93">
        <v>155703.79980000001</v>
      </c>
      <c r="L3548" s="93"/>
      <c r="M3548" s="93">
        <v>210609.38</v>
      </c>
      <c r="N3548" s="95">
        <v>0</v>
      </c>
      <c r="O3548" s="95">
        <v>0.01</v>
      </c>
      <c r="P3548" s="95">
        <v>0.06</v>
      </c>
      <c r="Q3548" s="95">
        <v>0.19</v>
      </c>
      <c r="R3548" s="104">
        <v>0.74</v>
      </c>
    </row>
    <row r="3549" spans="1:18" ht="15" hidden="1" customHeight="1" x14ac:dyDescent="0.3">
      <c r="A3549" s="101">
        <v>2025</v>
      </c>
      <c r="B3549" s="90">
        <v>10</v>
      </c>
      <c r="C3549" s="90" t="s">
        <v>731</v>
      </c>
      <c r="D3549" s="90" t="s">
        <v>719</v>
      </c>
      <c r="E3549" s="102" t="s">
        <v>11</v>
      </c>
      <c r="F3549" s="103" t="s">
        <v>45</v>
      </c>
      <c r="G3549" s="93">
        <v>5992.594298</v>
      </c>
      <c r="H3549" s="93">
        <v>25959.77404</v>
      </c>
      <c r="I3549" s="93">
        <v>34131.066500000001</v>
      </c>
      <c r="J3549" s="93">
        <v>17192.189590000002</v>
      </c>
      <c r="K3549" s="93">
        <v>1938.5383770000001</v>
      </c>
      <c r="L3549" s="93">
        <v>48608.725870000002</v>
      </c>
      <c r="M3549" s="93">
        <v>133822.89000000001</v>
      </c>
      <c r="N3549" s="95">
        <v>7.0000000000000007E-2</v>
      </c>
      <c r="O3549" s="95">
        <v>0.3</v>
      </c>
      <c r="P3549" s="95">
        <v>0.4</v>
      </c>
      <c r="Q3549" s="95">
        <v>0.2</v>
      </c>
      <c r="R3549" s="104">
        <v>0.02</v>
      </c>
    </row>
    <row r="3550" spans="1:18" ht="15" hidden="1" customHeight="1" x14ac:dyDescent="0.3">
      <c r="A3550" s="101">
        <v>2025</v>
      </c>
      <c r="B3550" s="90">
        <v>10</v>
      </c>
      <c r="C3550" s="90" t="s">
        <v>731</v>
      </c>
      <c r="D3550" s="90" t="s">
        <v>719</v>
      </c>
      <c r="E3550" s="102" t="s">
        <v>11</v>
      </c>
      <c r="F3550" s="103" t="s">
        <v>721</v>
      </c>
      <c r="G3550" s="93">
        <v>5956.1320910000004</v>
      </c>
      <c r="H3550" s="93">
        <v>108651.78079999999</v>
      </c>
      <c r="I3550" s="93">
        <v>131104.03890000001</v>
      </c>
      <c r="J3550" s="93">
        <v>62159.294589999998</v>
      </c>
      <c r="K3550" s="93">
        <v>1455.045001</v>
      </c>
      <c r="L3550" s="93">
        <v>4.33795837</v>
      </c>
      <c r="M3550" s="93">
        <v>309330.63</v>
      </c>
      <c r="N3550" s="95">
        <v>0.02</v>
      </c>
      <c r="O3550" s="95">
        <v>0.35</v>
      </c>
      <c r="P3550" s="95">
        <v>0.42</v>
      </c>
      <c r="Q3550" s="95">
        <v>0.2</v>
      </c>
      <c r="R3550" s="104">
        <v>0</v>
      </c>
    </row>
    <row r="3551" spans="1:18" ht="15" hidden="1" customHeight="1" x14ac:dyDescent="0.3">
      <c r="A3551" s="101">
        <v>2025</v>
      </c>
      <c r="B3551" s="90">
        <v>10</v>
      </c>
      <c r="C3551" s="90" t="s">
        <v>731</v>
      </c>
      <c r="D3551" s="90" t="s">
        <v>719</v>
      </c>
      <c r="E3551" s="102" t="s">
        <v>11</v>
      </c>
      <c r="F3551" s="103" t="s">
        <v>46</v>
      </c>
      <c r="G3551" s="93">
        <v>390.83899650000001</v>
      </c>
      <c r="H3551" s="93">
        <v>4744.4129929999999</v>
      </c>
      <c r="I3551" s="93">
        <v>18738.275180000001</v>
      </c>
      <c r="J3551" s="93">
        <v>38781.331339999997</v>
      </c>
      <c r="K3551" s="93">
        <v>85734.151679999995</v>
      </c>
      <c r="L3551" s="93"/>
      <c r="M3551" s="93">
        <v>148389.01</v>
      </c>
      <c r="N3551" s="95">
        <v>0</v>
      </c>
      <c r="O3551" s="95">
        <v>0.03</v>
      </c>
      <c r="P3551" s="95">
        <v>0.13</v>
      </c>
      <c r="Q3551" s="95">
        <v>0.26</v>
      </c>
      <c r="R3551" s="104">
        <v>0.57999999999999996</v>
      </c>
    </row>
    <row r="3552" spans="1:18" ht="15" hidden="1" customHeight="1" x14ac:dyDescent="0.3">
      <c r="A3552" s="101">
        <v>2025</v>
      </c>
      <c r="B3552" s="90">
        <v>10</v>
      </c>
      <c r="C3552" s="90" t="s">
        <v>731</v>
      </c>
      <c r="D3552" s="90" t="s">
        <v>719</v>
      </c>
      <c r="E3552" s="102" t="s">
        <v>11</v>
      </c>
      <c r="F3552" s="103" t="s">
        <v>47</v>
      </c>
      <c r="G3552" s="93">
        <v>13474.13212</v>
      </c>
      <c r="H3552" s="93">
        <v>116860.49159999999</v>
      </c>
      <c r="I3552" s="93">
        <v>532749.15930000006</v>
      </c>
      <c r="J3552" s="93">
        <v>462452.10800000001</v>
      </c>
      <c r="K3552" s="93">
        <v>212856.851</v>
      </c>
      <c r="L3552" s="93"/>
      <c r="M3552" s="93">
        <v>1338392.74</v>
      </c>
      <c r="N3552" s="95">
        <v>0.01</v>
      </c>
      <c r="O3552" s="95">
        <v>0.09</v>
      </c>
      <c r="P3552" s="95">
        <v>0.4</v>
      </c>
      <c r="Q3552" s="95">
        <v>0.35</v>
      </c>
      <c r="R3552" s="104">
        <v>0.16</v>
      </c>
    </row>
    <row r="3553" spans="1:18" ht="15" hidden="1" customHeight="1" x14ac:dyDescent="0.3">
      <c r="A3553" s="101">
        <v>2025</v>
      </c>
      <c r="B3553" s="90">
        <v>10</v>
      </c>
      <c r="C3553" s="90" t="s">
        <v>731</v>
      </c>
      <c r="D3553" s="90" t="s">
        <v>719</v>
      </c>
      <c r="E3553" s="102" t="s">
        <v>11</v>
      </c>
      <c r="F3553" s="103" t="s">
        <v>48</v>
      </c>
      <c r="G3553" s="93">
        <v>1758.5799959999999</v>
      </c>
      <c r="H3553" s="93">
        <v>11910.161109999999</v>
      </c>
      <c r="I3553" s="93">
        <v>58507.620080000001</v>
      </c>
      <c r="J3553" s="93">
        <v>28152.077430000001</v>
      </c>
      <c r="K3553" s="93">
        <v>1458.794525</v>
      </c>
      <c r="L3553" s="93">
        <v>8527.2387139999992</v>
      </c>
      <c r="M3553" s="93">
        <v>110314.47</v>
      </c>
      <c r="N3553" s="95">
        <v>0.02</v>
      </c>
      <c r="O3553" s="95">
        <v>0.12</v>
      </c>
      <c r="P3553" s="95">
        <v>0.56999999999999995</v>
      </c>
      <c r="Q3553" s="95">
        <v>0.28000000000000003</v>
      </c>
      <c r="R3553" s="104">
        <v>0.01</v>
      </c>
    </row>
    <row r="3554" spans="1:18" ht="15" hidden="1" customHeight="1" x14ac:dyDescent="0.3">
      <c r="A3554" s="101">
        <v>2025</v>
      </c>
      <c r="B3554" s="90">
        <v>11</v>
      </c>
      <c r="C3554" s="90" t="s">
        <v>732</v>
      </c>
      <c r="D3554" s="90" t="s">
        <v>719</v>
      </c>
      <c r="E3554" s="102" t="s">
        <v>11</v>
      </c>
      <c r="F3554" s="103" t="s">
        <v>12</v>
      </c>
      <c r="G3554" s="93">
        <v>16335.410260000001</v>
      </c>
      <c r="H3554" s="93">
        <v>163105.25839999999</v>
      </c>
      <c r="I3554" s="93">
        <v>185173.58059999999</v>
      </c>
      <c r="J3554" s="93">
        <v>20148.694500000001</v>
      </c>
      <c r="K3554" s="93">
        <v>896.45531540000002</v>
      </c>
      <c r="L3554" s="93">
        <v>47611.18808</v>
      </c>
      <c r="M3554" s="93">
        <v>433270.59</v>
      </c>
      <c r="N3554" s="95">
        <v>0.04</v>
      </c>
      <c r="O3554" s="95">
        <v>0.42</v>
      </c>
      <c r="P3554" s="95">
        <v>0.48</v>
      </c>
      <c r="Q3554" s="95">
        <v>0.05</v>
      </c>
      <c r="R3554" s="104">
        <v>0</v>
      </c>
    </row>
    <row r="3555" spans="1:18" ht="15" hidden="1" customHeight="1" x14ac:dyDescent="0.3">
      <c r="A3555" s="101">
        <v>2025</v>
      </c>
      <c r="B3555" s="90">
        <v>11</v>
      </c>
      <c r="C3555" s="90" t="s">
        <v>732</v>
      </c>
      <c r="D3555" s="90" t="s">
        <v>719</v>
      </c>
      <c r="E3555" s="102" t="s">
        <v>11</v>
      </c>
      <c r="F3555" s="103" t="s">
        <v>26</v>
      </c>
      <c r="G3555" s="93">
        <v>209938.16409999999</v>
      </c>
      <c r="H3555" s="93">
        <v>712302.86569999997</v>
      </c>
      <c r="I3555" s="93">
        <v>113249.04090000001</v>
      </c>
      <c r="J3555" s="93">
        <v>9240.5274420000005</v>
      </c>
      <c r="K3555" s="93">
        <v>835.79727609999998</v>
      </c>
      <c r="L3555" s="93">
        <v>256492.9014</v>
      </c>
      <c r="M3555" s="93">
        <v>1302059.3</v>
      </c>
      <c r="N3555" s="95">
        <v>0.2</v>
      </c>
      <c r="O3555" s="95">
        <v>0.68</v>
      </c>
      <c r="P3555" s="95">
        <v>0.11</v>
      </c>
      <c r="Q3555" s="95">
        <v>0.01</v>
      </c>
      <c r="R3555" s="104">
        <v>0</v>
      </c>
    </row>
    <row r="3556" spans="1:18" ht="15" hidden="1" customHeight="1" x14ac:dyDescent="0.3">
      <c r="A3556" s="101">
        <v>2025</v>
      </c>
      <c r="B3556" s="90">
        <v>11</v>
      </c>
      <c r="C3556" s="90" t="s">
        <v>732</v>
      </c>
      <c r="D3556" s="90" t="s">
        <v>719</v>
      </c>
      <c r="E3556" s="102" t="s">
        <v>11</v>
      </c>
      <c r="F3556" s="103" t="s">
        <v>27</v>
      </c>
      <c r="G3556" s="93">
        <v>763.36399840000001</v>
      </c>
      <c r="H3556" s="93">
        <v>71024.436530000006</v>
      </c>
      <c r="I3556" s="93">
        <v>119738.2335</v>
      </c>
      <c r="J3556" s="93">
        <v>21596.933819999998</v>
      </c>
      <c r="K3556" s="93">
        <v>7422.937406</v>
      </c>
      <c r="L3556" s="93">
        <v>1322.8631109999999</v>
      </c>
      <c r="M3556" s="93">
        <v>221868.77</v>
      </c>
      <c r="N3556" s="95">
        <v>0</v>
      </c>
      <c r="O3556" s="95">
        <v>0.32</v>
      </c>
      <c r="P3556" s="95">
        <v>0.54</v>
      </c>
      <c r="Q3556" s="95">
        <v>0.1</v>
      </c>
      <c r="R3556" s="104">
        <v>0.03</v>
      </c>
    </row>
    <row r="3557" spans="1:18" ht="15" hidden="1" customHeight="1" x14ac:dyDescent="0.3">
      <c r="A3557" s="101">
        <v>2025</v>
      </c>
      <c r="B3557" s="90">
        <v>11</v>
      </c>
      <c r="C3557" s="90" t="s">
        <v>732</v>
      </c>
      <c r="D3557" s="90" t="s">
        <v>719</v>
      </c>
      <c r="E3557" s="102" t="s">
        <v>11</v>
      </c>
      <c r="F3557" s="103" t="s">
        <v>28</v>
      </c>
      <c r="G3557" s="93">
        <v>4797.035922</v>
      </c>
      <c r="H3557" s="93">
        <v>71071.544970000003</v>
      </c>
      <c r="I3557" s="93">
        <v>267045.37449999998</v>
      </c>
      <c r="J3557" s="93">
        <v>26170.737860000001</v>
      </c>
      <c r="K3557" s="93">
        <v>738.40034530000003</v>
      </c>
      <c r="L3557" s="93">
        <v>3270.784823</v>
      </c>
      <c r="M3557" s="93">
        <v>373093.88</v>
      </c>
      <c r="N3557" s="95">
        <v>0.01</v>
      </c>
      <c r="O3557" s="95">
        <v>0.19</v>
      </c>
      <c r="P3557" s="95">
        <v>0.72</v>
      </c>
      <c r="Q3557" s="95">
        <v>7.0000000000000007E-2</v>
      </c>
      <c r="R3557" s="104">
        <v>0</v>
      </c>
    </row>
    <row r="3558" spans="1:18" ht="15" customHeight="1" x14ac:dyDescent="0.3">
      <c r="A3558" s="101">
        <v>2025</v>
      </c>
      <c r="B3558" s="90">
        <v>11</v>
      </c>
      <c r="C3558" s="90" t="s">
        <v>732</v>
      </c>
      <c r="D3558" s="90" t="s">
        <v>719</v>
      </c>
      <c r="E3558" s="102" t="s">
        <v>11</v>
      </c>
      <c r="F3558" s="103" t="s">
        <v>29</v>
      </c>
      <c r="G3558" s="93">
        <v>6675.4432669999997</v>
      </c>
      <c r="H3558" s="93">
        <v>40073.208859999999</v>
      </c>
      <c r="I3558" s="93">
        <v>121418.44500000001</v>
      </c>
      <c r="J3558" s="93">
        <v>97492.948229999995</v>
      </c>
      <c r="K3558" s="93">
        <v>6365.4991790000004</v>
      </c>
      <c r="L3558" s="93">
        <v>49350.798710000003</v>
      </c>
      <c r="M3558" s="93">
        <v>321376.34000000003</v>
      </c>
      <c r="N3558" s="95">
        <v>0.02</v>
      </c>
      <c r="O3558" s="95">
        <v>0.15</v>
      </c>
      <c r="P3558" s="95">
        <v>0.45</v>
      </c>
      <c r="Q3558" s="95">
        <v>0.36</v>
      </c>
      <c r="R3558" s="104">
        <v>0.02</v>
      </c>
    </row>
    <row r="3559" spans="1:18" ht="15" hidden="1" customHeight="1" x14ac:dyDescent="0.3">
      <c r="A3559" s="101">
        <v>2025</v>
      </c>
      <c r="B3559" s="90">
        <v>11</v>
      </c>
      <c r="C3559" s="90" t="s">
        <v>732</v>
      </c>
      <c r="D3559" s="90" t="s">
        <v>719</v>
      </c>
      <c r="E3559" s="102" t="s">
        <v>11</v>
      </c>
      <c r="F3559" s="103" t="s">
        <v>30</v>
      </c>
      <c r="G3559" s="93">
        <v>550.0196512</v>
      </c>
      <c r="H3559" s="93">
        <v>1708.0432820000001</v>
      </c>
      <c r="I3559" s="93">
        <v>3059.5103730000001</v>
      </c>
      <c r="J3559" s="93">
        <v>5022.9046639999997</v>
      </c>
      <c r="K3559" s="93">
        <v>4058.3546849999998</v>
      </c>
      <c r="L3559" s="93">
        <v>215610.91940000001</v>
      </c>
      <c r="M3559" s="93">
        <v>230009.75</v>
      </c>
      <c r="N3559" s="95">
        <v>0.04</v>
      </c>
      <c r="O3559" s="95">
        <v>0.12</v>
      </c>
      <c r="P3559" s="95">
        <v>0.21</v>
      </c>
      <c r="Q3559" s="95">
        <v>0.35</v>
      </c>
      <c r="R3559" s="104">
        <v>0.28000000000000003</v>
      </c>
    </row>
    <row r="3560" spans="1:18" ht="15" hidden="1" customHeight="1" x14ac:dyDescent="0.3">
      <c r="A3560" s="101">
        <v>2025</v>
      </c>
      <c r="B3560" s="90">
        <v>11</v>
      </c>
      <c r="C3560" s="90" t="s">
        <v>732</v>
      </c>
      <c r="D3560" s="90" t="s">
        <v>719</v>
      </c>
      <c r="E3560" s="102" t="s">
        <v>11</v>
      </c>
      <c r="F3560" s="103" t="s">
        <v>31</v>
      </c>
      <c r="G3560" s="93">
        <v>6916.6358790000004</v>
      </c>
      <c r="H3560" s="93">
        <v>82242.237999999998</v>
      </c>
      <c r="I3560" s="93">
        <v>80081.364560000002</v>
      </c>
      <c r="J3560" s="93">
        <v>34732.217369999998</v>
      </c>
      <c r="K3560" s="93">
        <v>5691.3637049999998</v>
      </c>
      <c r="L3560" s="93">
        <v>42285.038260000001</v>
      </c>
      <c r="M3560" s="93">
        <v>251948.86</v>
      </c>
      <c r="N3560" s="95">
        <v>0.03</v>
      </c>
      <c r="O3560" s="95">
        <v>0.39</v>
      </c>
      <c r="P3560" s="95">
        <v>0.38</v>
      </c>
      <c r="Q3560" s="95">
        <v>0.17</v>
      </c>
      <c r="R3560" s="104">
        <v>0.03</v>
      </c>
    </row>
    <row r="3561" spans="1:18" ht="15" hidden="1" customHeight="1" x14ac:dyDescent="0.3">
      <c r="A3561" s="101">
        <v>2025</v>
      </c>
      <c r="B3561" s="90">
        <v>11</v>
      </c>
      <c r="C3561" s="90" t="s">
        <v>732</v>
      </c>
      <c r="D3561" s="90" t="s">
        <v>719</v>
      </c>
      <c r="E3561" s="102" t="s">
        <v>11</v>
      </c>
      <c r="F3561" s="103" t="s">
        <v>32</v>
      </c>
      <c r="G3561" s="93">
        <v>2902.8239659999999</v>
      </c>
      <c r="H3561" s="93">
        <v>145516.41089999999</v>
      </c>
      <c r="I3561" s="93">
        <v>343296.65379999997</v>
      </c>
      <c r="J3561" s="93">
        <v>93587.387199999997</v>
      </c>
      <c r="K3561" s="93">
        <v>2550.3452160000002</v>
      </c>
      <c r="L3561" s="93">
        <v>20577.283530000001</v>
      </c>
      <c r="M3561" s="93">
        <v>608430.9</v>
      </c>
      <c r="N3561" s="95">
        <v>0</v>
      </c>
      <c r="O3561" s="95">
        <v>0.25</v>
      </c>
      <c r="P3561" s="95">
        <v>0.57999999999999996</v>
      </c>
      <c r="Q3561" s="95">
        <v>0.16</v>
      </c>
      <c r="R3561" s="104">
        <v>0</v>
      </c>
    </row>
    <row r="3562" spans="1:18" ht="15" hidden="1" customHeight="1" x14ac:dyDescent="0.3">
      <c r="A3562" s="101">
        <v>2025</v>
      </c>
      <c r="B3562" s="90">
        <v>11</v>
      </c>
      <c r="C3562" s="90" t="s">
        <v>732</v>
      </c>
      <c r="D3562" s="90" t="s">
        <v>719</v>
      </c>
      <c r="E3562" s="102" t="s">
        <v>11</v>
      </c>
      <c r="F3562" s="103" t="s">
        <v>33</v>
      </c>
      <c r="G3562" s="93">
        <v>136921.7917</v>
      </c>
      <c r="H3562" s="93">
        <v>847153.53929999995</v>
      </c>
      <c r="I3562" s="93">
        <v>299596.26160000003</v>
      </c>
      <c r="J3562" s="93">
        <v>33267.497799999997</v>
      </c>
      <c r="K3562" s="93">
        <v>582.84311360000004</v>
      </c>
      <c r="L3562" s="93">
        <v>34495.125019999999</v>
      </c>
      <c r="M3562" s="93">
        <v>1352017.06</v>
      </c>
      <c r="N3562" s="95">
        <v>0.1</v>
      </c>
      <c r="O3562" s="95">
        <v>0.64</v>
      </c>
      <c r="P3562" s="95">
        <v>0.23</v>
      </c>
      <c r="Q3562" s="95">
        <v>0.03</v>
      </c>
      <c r="R3562" s="104">
        <v>0</v>
      </c>
    </row>
    <row r="3563" spans="1:18" ht="15" hidden="1" customHeight="1" x14ac:dyDescent="0.3">
      <c r="A3563" s="101">
        <v>2025</v>
      </c>
      <c r="B3563" s="90">
        <v>11</v>
      </c>
      <c r="C3563" s="90" t="s">
        <v>732</v>
      </c>
      <c r="D3563" s="90" t="s">
        <v>719</v>
      </c>
      <c r="E3563" s="102" t="s">
        <v>11</v>
      </c>
      <c r="F3563" s="103" t="s">
        <v>34</v>
      </c>
      <c r="G3563" s="93">
        <v>19301.78558</v>
      </c>
      <c r="H3563" s="93">
        <v>192842.32579999999</v>
      </c>
      <c r="I3563" s="93">
        <v>341299.44559999998</v>
      </c>
      <c r="J3563" s="93">
        <v>97467.365080000003</v>
      </c>
      <c r="K3563" s="93">
        <v>5931.4400640000003</v>
      </c>
      <c r="L3563" s="93">
        <v>24971.743330000001</v>
      </c>
      <c r="M3563" s="93">
        <v>681814.11</v>
      </c>
      <c r="N3563" s="95">
        <v>0.03</v>
      </c>
      <c r="O3563" s="95">
        <v>0.28999999999999998</v>
      </c>
      <c r="P3563" s="95">
        <v>0.52</v>
      </c>
      <c r="Q3563" s="95">
        <v>0.15</v>
      </c>
      <c r="R3563" s="104">
        <v>0.01</v>
      </c>
    </row>
    <row r="3564" spans="1:18" ht="15" hidden="1" customHeight="1" x14ac:dyDescent="0.3">
      <c r="A3564" s="101">
        <v>2025</v>
      </c>
      <c r="B3564" s="90">
        <v>11</v>
      </c>
      <c r="C3564" s="90" t="s">
        <v>732</v>
      </c>
      <c r="D3564" s="90" t="s">
        <v>719</v>
      </c>
      <c r="E3564" s="102" t="s">
        <v>11</v>
      </c>
      <c r="F3564" s="103" t="s">
        <v>35</v>
      </c>
      <c r="G3564" s="93">
        <v>36278.896560000001</v>
      </c>
      <c r="H3564" s="93">
        <v>185205.62789999999</v>
      </c>
      <c r="I3564" s="93">
        <v>128798.0181</v>
      </c>
      <c r="J3564" s="93">
        <v>18874.768749999999</v>
      </c>
      <c r="K3564" s="93">
        <v>3604.1134339999999</v>
      </c>
      <c r="L3564" s="93">
        <v>232907.29449999999</v>
      </c>
      <c r="M3564" s="93">
        <v>605668.72</v>
      </c>
      <c r="N3564" s="95">
        <v>0.1</v>
      </c>
      <c r="O3564" s="95">
        <v>0.5</v>
      </c>
      <c r="P3564" s="95">
        <v>0.35</v>
      </c>
      <c r="Q3564" s="95">
        <v>0.05</v>
      </c>
      <c r="R3564" s="104">
        <v>0.01</v>
      </c>
    </row>
    <row r="3565" spans="1:18" ht="15" hidden="1" customHeight="1" x14ac:dyDescent="0.3">
      <c r="A3565" s="101">
        <v>2025</v>
      </c>
      <c r="B3565" s="90">
        <v>11</v>
      </c>
      <c r="C3565" s="90" t="s">
        <v>732</v>
      </c>
      <c r="D3565" s="90" t="s">
        <v>719</v>
      </c>
      <c r="E3565" s="102" t="s">
        <v>11</v>
      </c>
      <c r="F3565" s="103" t="s">
        <v>36</v>
      </c>
      <c r="G3565" s="93">
        <v>1980.447414</v>
      </c>
      <c r="H3565" s="93">
        <v>42436.398639999999</v>
      </c>
      <c r="I3565" s="93">
        <v>125830.2438</v>
      </c>
      <c r="J3565" s="93">
        <v>55591.131909999996</v>
      </c>
      <c r="K3565" s="93">
        <v>277.53322850000001</v>
      </c>
      <c r="L3565" s="93">
        <v>32770.987289999997</v>
      </c>
      <c r="M3565" s="93">
        <v>258886.74</v>
      </c>
      <c r="N3565" s="95">
        <v>0.01</v>
      </c>
      <c r="O3565" s="95">
        <v>0.19</v>
      </c>
      <c r="P3565" s="95">
        <v>0.56000000000000005</v>
      </c>
      <c r="Q3565" s="95">
        <v>0.25</v>
      </c>
      <c r="R3565" s="104">
        <v>0</v>
      </c>
    </row>
    <row r="3566" spans="1:18" ht="15" hidden="1" customHeight="1" x14ac:dyDescent="0.3">
      <c r="A3566" s="101">
        <v>2025</v>
      </c>
      <c r="B3566" s="90">
        <v>11</v>
      </c>
      <c r="C3566" s="90" t="s">
        <v>732</v>
      </c>
      <c r="D3566" s="90" t="s">
        <v>719</v>
      </c>
      <c r="E3566" s="102" t="s">
        <v>11</v>
      </c>
      <c r="F3566" s="103" t="s">
        <v>37</v>
      </c>
      <c r="G3566" s="93">
        <v>19638.613949999999</v>
      </c>
      <c r="H3566" s="93">
        <v>167671.44029999999</v>
      </c>
      <c r="I3566" s="93">
        <v>153676.88399999999</v>
      </c>
      <c r="J3566" s="93">
        <v>29096.86017</v>
      </c>
      <c r="K3566" s="93">
        <v>1092.2728320000001</v>
      </c>
      <c r="L3566" s="93">
        <v>141618.25630000001</v>
      </c>
      <c r="M3566" s="93">
        <v>512794.33</v>
      </c>
      <c r="N3566" s="95">
        <v>0.05</v>
      </c>
      <c r="O3566" s="95">
        <v>0.45</v>
      </c>
      <c r="P3566" s="95">
        <v>0.41</v>
      </c>
      <c r="Q3566" s="95">
        <v>0.08</v>
      </c>
      <c r="R3566" s="104">
        <v>0</v>
      </c>
    </row>
    <row r="3567" spans="1:18" ht="15" hidden="1" customHeight="1" x14ac:dyDescent="0.3">
      <c r="A3567" s="101">
        <v>2025</v>
      </c>
      <c r="B3567" s="90">
        <v>11</v>
      </c>
      <c r="C3567" s="90" t="s">
        <v>732</v>
      </c>
      <c r="D3567" s="90" t="s">
        <v>719</v>
      </c>
      <c r="E3567" s="102" t="s">
        <v>11</v>
      </c>
      <c r="F3567" s="103" t="s">
        <v>38</v>
      </c>
      <c r="G3567" s="93">
        <v>61418.477579999999</v>
      </c>
      <c r="H3567" s="93">
        <v>219228.5111</v>
      </c>
      <c r="I3567" s="93">
        <v>400074.80129999999</v>
      </c>
      <c r="J3567" s="93">
        <v>53912.053419999997</v>
      </c>
      <c r="K3567" s="93">
        <v>4173.6538289999999</v>
      </c>
      <c r="L3567" s="93">
        <v>158394.92180000001</v>
      </c>
      <c r="M3567" s="93">
        <v>897202.42</v>
      </c>
      <c r="N3567" s="95">
        <v>0.08</v>
      </c>
      <c r="O3567" s="95">
        <v>0.3</v>
      </c>
      <c r="P3567" s="95">
        <v>0.54</v>
      </c>
      <c r="Q3567" s="95">
        <v>7.0000000000000007E-2</v>
      </c>
      <c r="R3567" s="104">
        <v>0.01</v>
      </c>
    </row>
    <row r="3568" spans="1:18" ht="15" hidden="1" customHeight="1" x14ac:dyDescent="0.3">
      <c r="A3568" s="101">
        <v>2025</v>
      </c>
      <c r="B3568" s="90">
        <v>11</v>
      </c>
      <c r="C3568" s="90" t="s">
        <v>732</v>
      </c>
      <c r="D3568" s="90" t="s">
        <v>719</v>
      </c>
      <c r="E3568" s="102" t="s">
        <v>11</v>
      </c>
      <c r="F3568" s="103" t="s">
        <v>39</v>
      </c>
      <c r="G3568" s="93">
        <v>4749.0392430000002</v>
      </c>
      <c r="H3568" s="93">
        <v>140416.31229999999</v>
      </c>
      <c r="I3568" s="93">
        <v>143255.81630000001</v>
      </c>
      <c r="J3568" s="93">
        <v>28420.047600000002</v>
      </c>
      <c r="K3568" s="93">
        <v>4803.1755089999997</v>
      </c>
      <c r="L3568" s="93">
        <v>1006.938702</v>
      </c>
      <c r="M3568" s="93">
        <v>322651.33</v>
      </c>
      <c r="N3568" s="95">
        <v>0.01</v>
      </c>
      <c r="O3568" s="95">
        <v>0.44</v>
      </c>
      <c r="P3568" s="95">
        <v>0.45</v>
      </c>
      <c r="Q3568" s="95">
        <v>0.09</v>
      </c>
      <c r="R3568" s="104">
        <v>0.01</v>
      </c>
    </row>
    <row r="3569" spans="1:18" ht="15" hidden="1" customHeight="1" x14ac:dyDescent="0.3">
      <c r="A3569" s="101">
        <v>2025</v>
      </c>
      <c r="B3569" s="90">
        <v>11</v>
      </c>
      <c r="C3569" s="90" t="s">
        <v>732</v>
      </c>
      <c r="D3569" s="90" t="s">
        <v>719</v>
      </c>
      <c r="E3569" s="102" t="s">
        <v>11</v>
      </c>
      <c r="F3569" s="103" t="s">
        <v>40</v>
      </c>
      <c r="G3569" s="93">
        <v>3232.2044219999998</v>
      </c>
      <c r="H3569" s="93">
        <v>104093.92</v>
      </c>
      <c r="I3569" s="93">
        <v>155763.4203</v>
      </c>
      <c r="J3569" s="93">
        <v>47170.01614</v>
      </c>
      <c r="K3569" s="93">
        <v>10970.41661</v>
      </c>
      <c r="L3569" s="93">
        <v>5075.0646859999997</v>
      </c>
      <c r="M3569" s="93">
        <v>326305.03999999998</v>
      </c>
      <c r="N3569" s="95">
        <v>0.01</v>
      </c>
      <c r="O3569" s="95">
        <v>0.32</v>
      </c>
      <c r="P3569" s="95">
        <v>0.48</v>
      </c>
      <c r="Q3569" s="95">
        <v>0.15</v>
      </c>
      <c r="R3569" s="104">
        <v>0.03</v>
      </c>
    </row>
    <row r="3570" spans="1:18" ht="15" hidden="1" customHeight="1" x14ac:dyDescent="0.3">
      <c r="A3570" s="101">
        <v>2025</v>
      </c>
      <c r="B3570" s="90">
        <v>11</v>
      </c>
      <c r="C3570" s="90" t="s">
        <v>732</v>
      </c>
      <c r="D3570" s="90" t="s">
        <v>719</v>
      </c>
      <c r="E3570" s="102" t="s">
        <v>11</v>
      </c>
      <c r="F3570" s="103" t="s">
        <v>41</v>
      </c>
      <c r="G3570" s="93">
        <v>960.16326890000005</v>
      </c>
      <c r="H3570" s="93">
        <v>5671.7825059999996</v>
      </c>
      <c r="I3570" s="93">
        <v>7836.5813420000004</v>
      </c>
      <c r="J3570" s="93">
        <v>3489.407651</v>
      </c>
      <c r="K3570" s="93">
        <v>308.16501940000001</v>
      </c>
      <c r="L3570" s="93"/>
      <c r="M3570" s="93">
        <v>18266.099999999999</v>
      </c>
      <c r="N3570" s="95">
        <v>0.05</v>
      </c>
      <c r="O3570" s="95">
        <v>0.31</v>
      </c>
      <c r="P3570" s="95">
        <v>0.43</v>
      </c>
      <c r="Q3570" s="95">
        <v>0.19</v>
      </c>
      <c r="R3570" s="104">
        <v>0.02</v>
      </c>
    </row>
    <row r="3571" spans="1:18" ht="15" hidden="1" customHeight="1" x14ac:dyDescent="0.3">
      <c r="A3571" s="101">
        <v>2025</v>
      </c>
      <c r="B3571" s="90">
        <v>11</v>
      </c>
      <c r="C3571" s="90" t="s">
        <v>732</v>
      </c>
      <c r="D3571" s="90" t="s">
        <v>719</v>
      </c>
      <c r="E3571" s="102" t="s">
        <v>11</v>
      </c>
      <c r="F3571" s="103" t="s">
        <v>42</v>
      </c>
      <c r="G3571" s="93">
        <v>6691.4847229999996</v>
      </c>
      <c r="H3571" s="93">
        <v>136745.55309999999</v>
      </c>
      <c r="I3571" s="93">
        <v>246559.80499999999</v>
      </c>
      <c r="J3571" s="93">
        <v>162573.85829999999</v>
      </c>
      <c r="K3571" s="93">
        <v>22183.322199999999</v>
      </c>
      <c r="L3571" s="93">
        <v>13973.817279999999</v>
      </c>
      <c r="M3571" s="93">
        <v>588727.84</v>
      </c>
      <c r="N3571" s="95">
        <v>0.01</v>
      </c>
      <c r="O3571" s="95">
        <v>0.24</v>
      </c>
      <c r="P3571" s="95">
        <v>0.43</v>
      </c>
      <c r="Q3571" s="95">
        <v>0.28000000000000003</v>
      </c>
      <c r="R3571" s="104">
        <v>0.04</v>
      </c>
    </row>
    <row r="3572" spans="1:18" ht="15" hidden="1" customHeight="1" x14ac:dyDescent="0.3">
      <c r="A3572" s="101">
        <v>2025</v>
      </c>
      <c r="B3572" s="90">
        <v>11</v>
      </c>
      <c r="C3572" s="90" t="s">
        <v>732</v>
      </c>
      <c r="D3572" s="90" t="s">
        <v>719</v>
      </c>
      <c r="E3572" s="102" t="s">
        <v>11</v>
      </c>
      <c r="F3572" s="103" t="s">
        <v>43</v>
      </c>
      <c r="G3572" s="93">
        <v>2517.1253830000001</v>
      </c>
      <c r="H3572" s="93">
        <v>28074.101279999999</v>
      </c>
      <c r="I3572" s="93">
        <v>20037.75546</v>
      </c>
      <c r="J3572" s="93">
        <v>13788.82748</v>
      </c>
      <c r="K3572" s="93">
        <v>4981.6367280000004</v>
      </c>
      <c r="L3572" s="93">
        <v>116059.7154</v>
      </c>
      <c r="M3572" s="93">
        <v>185459.16</v>
      </c>
      <c r="N3572" s="95">
        <v>0.04</v>
      </c>
      <c r="O3572" s="95">
        <v>0.4</v>
      </c>
      <c r="P3572" s="95">
        <v>0.28999999999999998</v>
      </c>
      <c r="Q3572" s="95">
        <v>0.2</v>
      </c>
      <c r="R3572" s="104">
        <v>7.0000000000000007E-2</v>
      </c>
    </row>
    <row r="3573" spans="1:18" ht="15" hidden="1" customHeight="1" x14ac:dyDescent="0.3">
      <c r="A3573" s="101">
        <v>2025</v>
      </c>
      <c r="B3573" s="90">
        <v>11</v>
      </c>
      <c r="C3573" s="90" t="s">
        <v>732</v>
      </c>
      <c r="D3573" s="90" t="s">
        <v>719</v>
      </c>
      <c r="E3573" s="102" t="s">
        <v>11</v>
      </c>
      <c r="F3573" s="103" t="s">
        <v>58</v>
      </c>
      <c r="G3573" s="93">
        <v>1946.5873260000001</v>
      </c>
      <c r="H3573" s="93">
        <v>18870.59405</v>
      </c>
      <c r="I3573" s="93">
        <v>162606.30669999999</v>
      </c>
      <c r="J3573" s="93">
        <v>175632.56479999999</v>
      </c>
      <c r="K3573" s="93">
        <v>8301.3925500000005</v>
      </c>
      <c r="L3573" s="93">
        <v>4096.4121439999999</v>
      </c>
      <c r="M3573" s="93">
        <v>371453.86</v>
      </c>
      <c r="N3573" s="95">
        <v>0.01</v>
      </c>
      <c r="O3573" s="95">
        <v>0.05</v>
      </c>
      <c r="P3573" s="95">
        <v>0.44</v>
      </c>
      <c r="Q3573" s="95">
        <v>0.48</v>
      </c>
      <c r="R3573" s="104">
        <v>0.02</v>
      </c>
    </row>
    <row r="3574" spans="1:18" ht="15" hidden="1" customHeight="1" x14ac:dyDescent="0.3">
      <c r="A3574" s="101">
        <v>2025</v>
      </c>
      <c r="B3574" s="90">
        <v>11</v>
      </c>
      <c r="C3574" s="90" t="s">
        <v>732</v>
      </c>
      <c r="D3574" s="90" t="s">
        <v>719</v>
      </c>
      <c r="E3574" s="102" t="s">
        <v>11</v>
      </c>
      <c r="F3574" s="103" t="s">
        <v>44</v>
      </c>
      <c r="G3574" s="93">
        <v>3886.8378419999999</v>
      </c>
      <c r="H3574" s="93">
        <v>9564.1294739999994</v>
      </c>
      <c r="I3574" s="93">
        <v>71683.902570000006</v>
      </c>
      <c r="J3574" s="93">
        <v>89194.177720000007</v>
      </c>
      <c r="K3574" s="93">
        <v>2140.2774629999999</v>
      </c>
      <c r="L3574" s="93">
        <v>34786.291570000001</v>
      </c>
      <c r="M3574" s="93">
        <v>211255.62</v>
      </c>
      <c r="N3574" s="95">
        <v>0.02</v>
      </c>
      <c r="O3574" s="95">
        <v>0.05</v>
      </c>
      <c r="P3574" s="95">
        <v>0.41</v>
      </c>
      <c r="Q3574" s="95">
        <v>0.51</v>
      </c>
      <c r="R3574" s="104">
        <v>0.01</v>
      </c>
    </row>
    <row r="3575" spans="1:18" ht="15" hidden="1" customHeight="1" x14ac:dyDescent="0.3">
      <c r="A3575" s="101">
        <v>2025</v>
      </c>
      <c r="B3575" s="90">
        <v>11</v>
      </c>
      <c r="C3575" s="90" t="s">
        <v>732</v>
      </c>
      <c r="D3575" s="90" t="s">
        <v>719</v>
      </c>
      <c r="E3575" s="102" t="s">
        <v>11</v>
      </c>
      <c r="F3575" s="103" t="s">
        <v>51</v>
      </c>
      <c r="G3575" s="93">
        <v>871.97672560000001</v>
      </c>
      <c r="H3575" s="93">
        <v>5156.1655229999997</v>
      </c>
      <c r="I3575" s="93">
        <v>14926.54602</v>
      </c>
      <c r="J3575" s="93">
        <v>74528.538039999999</v>
      </c>
      <c r="K3575" s="93">
        <v>114433.64780000001</v>
      </c>
      <c r="L3575" s="93"/>
      <c r="M3575" s="93">
        <v>209916.87</v>
      </c>
      <c r="N3575" s="95">
        <v>0</v>
      </c>
      <c r="O3575" s="95">
        <v>0.02</v>
      </c>
      <c r="P3575" s="95">
        <v>7.0000000000000007E-2</v>
      </c>
      <c r="Q3575" s="95">
        <v>0.36</v>
      </c>
      <c r="R3575" s="104">
        <v>0.55000000000000004</v>
      </c>
    </row>
    <row r="3576" spans="1:18" ht="15" hidden="1" customHeight="1" x14ac:dyDescent="0.3">
      <c r="A3576" s="101">
        <v>2025</v>
      </c>
      <c r="B3576" s="90">
        <v>11</v>
      </c>
      <c r="C3576" s="90" t="s">
        <v>732</v>
      </c>
      <c r="D3576" s="90" t="s">
        <v>719</v>
      </c>
      <c r="E3576" s="102" t="s">
        <v>11</v>
      </c>
      <c r="F3576" s="103" t="s">
        <v>45</v>
      </c>
      <c r="G3576" s="93">
        <v>7273.8930959999998</v>
      </c>
      <c r="H3576" s="93">
        <v>29385.688920000001</v>
      </c>
      <c r="I3576" s="93">
        <v>36774.92325</v>
      </c>
      <c r="J3576" s="93">
        <v>11171.290709999999</v>
      </c>
      <c r="K3576" s="93">
        <v>1062.598144</v>
      </c>
      <c r="L3576" s="93">
        <v>48427.808879999997</v>
      </c>
      <c r="M3576" s="93">
        <v>134096.20000000001</v>
      </c>
      <c r="N3576" s="95">
        <v>0.08</v>
      </c>
      <c r="O3576" s="95">
        <v>0.34</v>
      </c>
      <c r="P3576" s="95">
        <v>0.43</v>
      </c>
      <c r="Q3576" s="95">
        <v>0.13</v>
      </c>
      <c r="R3576" s="104">
        <v>0.01</v>
      </c>
    </row>
    <row r="3577" spans="1:18" ht="15" hidden="1" customHeight="1" x14ac:dyDescent="0.3">
      <c r="A3577" s="101">
        <v>2025</v>
      </c>
      <c r="B3577" s="90">
        <v>11</v>
      </c>
      <c r="C3577" s="90" t="s">
        <v>732</v>
      </c>
      <c r="D3577" s="90" t="s">
        <v>719</v>
      </c>
      <c r="E3577" s="102" t="s">
        <v>11</v>
      </c>
      <c r="F3577" s="103" t="s">
        <v>721</v>
      </c>
      <c r="G3577" s="93">
        <v>6351.7381740000001</v>
      </c>
      <c r="H3577" s="93">
        <v>141369.7213</v>
      </c>
      <c r="I3577" s="93">
        <v>145297.68950000001</v>
      </c>
      <c r="J3577" s="93">
        <v>16031.48985</v>
      </c>
      <c r="K3577" s="93">
        <v>275.65261170000002</v>
      </c>
      <c r="L3577" s="93">
        <v>4.33795837</v>
      </c>
      <c r="M3577" s="93">
        <v>309330.63</v>
      </c>
      <c r="N3577" s="95">
        <v>0.02</v>
      </c>
      <c r="O3577" s="95">
        <v>0.46</v>
      </c>
      <c r="P3577" s="95">
        <v>0.47</v>
      </c>
      <c r="Q3577" s="95">
        <v>0.05</v>
      </c>
      <c r="R3577" s="104">
        <v>0</v>
      </c>
    </row>
    <row r="3578" spans="1:18" ht="15" hidden="1" customHeight="1" x14ac:dyDescent="0.3">
      <c r="A3578" s="101">
        <v>2025</v>
      </c>
      <c r="B3578" s="90">
        <v>11</v>
      </c>
      <c r="C3578" s="90" t="s">
        <v>732</v>
      </c>
      <c r="D3578" s="90" t="s">
        <v>719</v>
      </c>
      <c r="E3578" s="102" t="s">
        <v>11</v>
      </c>
      <c r="F3578" s="103" t="s">
        <v>46</v>
      </c>
      <c r="G3578" s="93">
        <v>1159.994571</v>
      </c>
      <c r="H3578" s="93">
        <v>8806.9817459999995</v>
      </c>
      <c r="I3578" s="93">
        <v>21739.900549999998</v>
      </c>
      <c r="J3578" s="93">
        <v>48022.079559999998</v>
      </c>
      <c r="K3578" s="93">
        <v>68241.788320000007</v>
      </c>
      <c r="L3578" s="93"/>
      <c r="M3578" s="93">
        <v>147970.74</v>
      </c>
      <c r="N3578" s="95">
        <v>0.01</v>
      </c>
      <c r="O3578" s="95">
        <v>0.06</v>
      </c>
      <c r="P3578" s="95">
        <v>0.15</v>
      </c>
      <c r="Q3578" s="95">
        <v>0.32</v>
      </c>
      <c r="R3578" s="104">
        <v>0.46</v>
      </c>
    </row>
    <row r="3579" spans="1:18" ht="15" hidden="1" customHeight="1" x14ac:dyDescent="0.3">
      <c r="A3579" s="101">
        <v>2025</v>
      </c>
      <c r="B3579" s="90">
        <v>11</v>
      </c>
      <c r="C3579" s="90" t="s">
        <v>732</v>
      </c>
      <c r="D3579" s="90" t="s">
        <v>719</v>
      </c>
      <c r="E3579" s="102" t="s">
        <v>11</v>
      </c>
      <c r="F3579" s="103" t="s">
        <v>47</v>
      </c>
      <c r="G3579" s="93">
        <v>18013.679820000001</v>
      </c>
      <c r="H3579" s="93">
        <v>211124.54560000001</v>
      </c>
      <c r="I3579" s="93">
        <v>713293.71429999999</v>
      </c>
      <c r="J3579" s="93">
        <v>331895.08519999997</v>
      </c>
      <c r="K3579" s="93">
        <v>85539.974629999997</v>
      </c>
      <c r="L3579" s="93"/>
      <c r="M3579" s="93">
        <v>1359867</v>
      </c>
      <c r="N3579" s="95">
        <v>0.01</v>
      </c>
      <c r="O3579" s="95">
        <v>0.16</v>
      </c>
      <c r="P3579" s="95">
        <v>0.52</v>
      </c>
      <c r="Q3579" s="95">
        <v>0.24</v>
      </c>
      <c r="R3579" s="104">
        <v>0.06</v>
      </c>
    </row>
    <row r="3580" spans="1:18" ht="15" hidden="1" customHeight="1" x14ac:dyDescent="0.3">
      <c r="A3580" s="101">
        <v>2025</v>
      </c>
      <c r="B3580" s="90">
        <v>11</v>
      </c>
      <c r="C3580" s="90" t="s">
        <v>732</v>
      </c>
      <c r="D3580" s="90" t="s">
        <v>719</v>
      </c>
      <c r="E3580" s="102" t="s">
        <v>11</v>
      </c>
      <c r="F3580" s="103" t="s">
        <v>48</v>
      </c>
      <c r="G3580" s="93">
        <v>710.25765190000004</v>
      </c>
      <c r="H3580" s="93">
        <v>9652.0464269999993</v>
      </c>
      <c r="I3580" s="93">
        <v>55787.90047</v>
      </c>
      <c r="J3580" s="93">
        <v>34081.850290000002</v>
      </c>
      <c r="K3580" s="93">
        <v>1586.203524</v>
      </c>
      <c r="L3580" s="93">
        <v>8496.2134900000001</v>
      </c>
      <c r="M3580" s="93">
        <v>110314.47</v>
      </c>
      <c r="N3580" s="95">
        <v>0.01</v>
      </c>
      <c r="O3580" s="95">
        <v>0.09</v>
      </c>
      <c r="P3580" s="95">
        <v>0.55000000000000004</v>
      </c>
      <c r="Q3580" s="95">
        <v>0.33</v>
      </c>
      <c r="R3580" s="104">
        <v>0.02</v>
      </c>
    </row>
    <row r="3581" spans="1:18" ht="15" hidden="1" customHeight="1" x14ac:dyDescent="0.3">
      <c r="A3581" s="101">
        <v>2025</v>
      </c>
      <c r="B3581" s="90">
        <v>11</v>
      </c>
      <c r="C3581" s="90" t="s">
        <v>732</v>
      </c>
      <c r="D3581" s="90" t="s">
        <v>722</v>
      </c>
      <c r="E3581" s="102" t="s">
        <v>11</v>
      </c>
      <c r="F3581" s="103" t="s">
        <v>12</v>
      </c>
      <c r="G3581" s="93">
        <v>20173.1666</v>
      </c>
      <c r="H3581" s="93">
        <v>112083.561</v>
      </c>
      <c r="I3581" s="93">
        <v>201989.84570000001</v>
      </c>
      <c r="J3581" s="93">
        <v>50078.180740000003</v>
      </c>
      <c r="K3581" s="93">
        <v>1212.3723680000001</v>
      </c>
      <c r="L3581" s="93">
        <v>47764.957829999999</v>
      </c>
      <c r="M3581" s="93">
        <v>433302.08</v>
      </c>
      <c r="N3581" s="95">
        <v>0.05</v>
      </c>
      <c r="O3581" s="95">
        <v>0.28999999999999998</v>
      </c>
      <c r="P3581" s="95">
        <v>0.52</v>
      </c>
      <c r="Q3581" s="95">
        <v>0.13</v>
      </c>
      <c r="R3581" s="104">
        <v>0</v>
      </c>
    </row>
    <row r="3582" spans="1:18" ht="15" hidden="1" customHeight="1" x14ac:dyDescent="0.3">
      <c r="A3582" s="101">
        <v>2025</v>
      </c>
      <c r="B3582" s="90">
        <v>11</v>
      </c>
      <c r="C3582" s="90" t="s">
        <v>732</v>
      </c>
      <c r="D3582" s="90" t="s">
        <v>722</v>
      </c>
      <c r="E3582" s="102" t="s">
        <v>11</v>
      </c>
      <c r="F3582" s="103" t="s">
        <v>26</v>
      </c>
      <c r="G3582" s="93">
        <v>327313.01779999997</v>
      </c>
      <c r="H3582" s="93">
        <v>611639.16729999997</v>
      </c>
      <c r="I3582" s="93">
        <v>97886.692299999995</v>
      </c>
      <c r="J3582" s="93">
        <v>7910.6229350000003</v>
      </c>
      <c r="K3582" s="93">
        <v>591.58051279999995</v>
      </c>
      <c r="L3582" s="93">
        <v>256306.56</v>
      </c>
      <c r="M3582" s="93">
        <v>1301647.6399999999</v>
      </c>
      <c r="N3582" s="95">
        <v>0.31</v>
      </c>
      <c r="O3582" s="95">
        <v>0.59</v>
      </c>
      <c r="P3582" s="95">
        <v>0.09</v>
      </c>
      <c r="Q3582" s="95">
        <v>0.01</v>
      </c>
      <c r="R3582" s="104">
        <v>0</v>
      </c>
    </row>
    <row r="3583" spans="1:18" ht="15" hidden="1" customHeight="1" x14ac:dyDescent="0.3">
      <c r="A3583" s="101">
        <v>2025</v>
      </c>
      <c r="B3583" s="90">
        <v>11</v>
      </c>
      <c r="C3583" s="90" t="s">
        <v>732</v>
      </c>
      <c r="D3583" s="90" t="s">
        <v>722</v>
      </c>
      <c r="E3583" s="102" t="s">
        <v>11</v>
      </c>
      <c r="F3583" s="103" t="s">
        <v>27</v>
      </c>
      <c r="G3583" s="93">
        <v>1824.5191440000001</v>
      </c>
      <c r="H3583" s="93">
        <v>85833.451969999995</v>
      </c>
      <c r="I3583" s="93">
        <v>112992.23609999999</v>
      </c>
      <c r="J3583" s="93">
        <v>19593.68362</v>
      </c>
      <c r="K3583" s="93">
        <v>384.41827130000001</v>
      </c>
      <c r="L3583" s="93">
        <v>1327.5298969999999</v>
      </c>
      <c r="M3583" s="93">
        <v>221955.84</v>
      </c>
      <c r="N3583" s="95">
        <v>0.01</v>
      </c>
      <c r="O3583" s="95">
        <v>0.39</v>
      </c>
      <c r="P3583" s="95">
        <v>0.51</v>
      </c>
      <c r="Q3583" s="95">
        <v>0.09</v>
      </c>
      <c r="R3583" s="104">
        <v>0</v>
      </c>
    </row>
    <row r="3584" spans="1:18" ht="15" hidden="1" customHeight="1" x14ac:dyDescent="0.3">
      <c r="A3584" s="105">
        <v>2025</v>
      </c>
      <c r="B3584" s="90">
        <v>11</v>
      </c>
      <c r="C3584" s="90" t="s">
        <v>732</v>
      </c>
      <c r="D3584" s="90" t="s">
        <v>722</v>
      </c>
      <c r="E3584" s="102" t="s">
        <v>11</v>
      </c>
      <c r="F3584" s="106" t="s">
        <v>28</v>
      </c>
      <c r="G3584" s="93">
        <v>10548.32502</v>
      </c>
      <c r="H3584" s="93">
        <v>88628.087310000003</v>
      </c>
      <c r="I3584" s="93">
        <v>230332.8377</v>
      </c>
      <c r="J3584" s="93">
        <v>39197.610540000001</v>
      </c>
      <c r="K3584" s="93">
        <v>1131.43</v>
      </c>
      <c r="L3584" s="93">
        <v>3266.1069459999999</v>
      </c>
      <c r="M3584" s="93">
        <v>373104.4</v>
      </c>
      <c r="N3584" s="95">
        <v>0.03</v>
      </c>
      <c r="O3584" s="95">
        <v>0.24</v>
      </c>
      <c r="P3584" s="95">
        <v>0.62</v>
      </c>
      <c r="Q3584" s="95">
        <v>0.11</v>
      </c>
      <c r="R3584" s="104">
        <v>0</v>
      </c>
    </row>
    <row r="3585" spans="1:18" ht="15" customHeight="1" x14ac:dyDescent="0.3">
      <c r="A3585" s="105">
        <v>2025</v>
      </c>
      <c r="B3585" s="90">
        <v>11</v>
      </c>
      <c r="C3585" s="90" t="s">
        <v>732</v>
      </c>
      <c r="D3585" s="90" t="s">
        <v>722</v>
      </c>
      <c r="E3585" s="102" t="s">
        <v>11</v>
      </c>
      <c r="F3585" s="106" t="s">
        <v>29</v>
      </c>
      <c r="G3585" s="93">
        <v>9075.7471719999994</v>
      </c>
      <c r="H3585" s="93">
        <v>58988.872860000003</v>
      </c>
      <c r="I3585" s="93">
        <v>155348.2372</v>
      </c>
      <c r="J3585" s="93">
        <v>61258.279889999998</v>
      </c>
      <c r="K3585" s="93">
        <v>2713.8985299999999</v>
      </c>
      <c r="L3585" s="93">
        <v>49290.01412</v>
      </c>
      <c r="M3585" s="93">
        <v>336675.05</v>
      </c>
      <c r="N3585" s="95">
        <v>0.03</v>
      </c>
      <c r="O3585" s="95">
        <v>0.21</v>
      </c>
      <c r="P3585" s="95">
        <v>0.54</v>
      </c>
      <c r="Q3585" s="95">
        <v>0.21</v>
      </c>
      <c r="R3585" s="104">
        <v>0.01</v>
      </c>
    </row>
    <row r="3586" spans="1:18" ht="15" hidden="1" customHeight="1" x14ac:dyDescent="0.3">
      <c r="A3586" s="105">
        <v>2025</v>
      </c>
      <c r="B3586" s="90">
        <v>11</v>
      </c>
      <c r="C3586" s="90" t="s">
        <v>732</v>
      </c>
      <c r="D3586" s="90" t="s">
        <v>722</v>
      </c>
      <c r="E3586" s="102" t="s">
        <v>11</v>
      </c>
      <c r="F3586" s="106" t="s">
        <v>30</v>
      </c>
      <c r="G3586" s="93">
        <v>586.05327809999994</v>
      </c>
      <c r="H3586" s="93">
        <v>1742.2824579999999</v>
      </c>
      <c r="I3586" s="93">
        <v>3275.277102</v>
      </c>
      <c r="J3586" s="93">
        <v>5488.8277630000002</v>
      </c>
      <c r="K3586" s="93">
        <v>3372.7389330000001</v>
      </c>
      <c r="L3586" s="93">
        <v>215621.0557</v>
      </c>
      <c r="M3586" s="93">
        <v>230086.24</v>
      </c>
      <c r="N3586" s="95">
        <v>0.04</v>
      </c>
      <c r="O3586" s="95">
        <v>0.12</v>
      </c>
      <c r="P3586" s="95">
        <v>0.23</v>
      </c>
      <c r="Q3586" s="95">
        <v>0.38</v>
      </c>
      <c r="R3586" s="104">
        <v>0.23</v>
      </c>
    </row>
    <row r="3587" spans="1:18" ht="15" hidden="1" customHeight="1" x14ac:dyDescent="0.3">
      <c r="A3587" s="105">
        <v>2025</v>
      </c>
      <c r="B3587" s="90">
        <v>11</v>
      </c>
      <c r="C3587" s="90" t="s">
        <v>732</v>
      </c>
      <c r="D3587" s="90" t="s">
        <v>722</v>
      </c>
      <c r="E3587" s="102" t="s">
        <v>11</v>
      </c>
      <c r="F3587" s="106" t="s">
        <v>31</v>
      </c>
      <c r="G3587" s="93">
        <v>7155.4696110000004</v>
      </c>
      <c r="H3587" s="93">
        <v>87218.608859999993</v>
      </c>
      <c r="I3587" s="93">
        <v>80618.683569999994</v>
      </c>
      <c r="J3587" s="93">
        <v>27779.817210000001</v>
      </c>
      <c r="K3587" s="93">
        <v>5427.563486</v>
      </c>
      <c r="L3587" s="93">
        <v>42250.621149999999</v>
      </c>
      <c r="M3587" s="93">
        <v>250450.76</v>
      </c>
      <c r="N3587" s="95">
        <v>0.03</v>
      </c>
      <c r="O3587" s="95">
        <v>0.42</v>
      </c>
      <c r="P3587" s="95">
        <v>0.39</v>
      </c>
      <c r="Q3587" s="95">
        <v>0.13</v>
      </c>
      <c r="R3587" s="104">
        <v>0.03</v>
      </c>
    </row>
    <row r="3588" spans="1:18" ht="15" hidden="1" customHeight="1" x14ac:dyDescent="0.3">
      <c r="A3588" s="105">
        <v>2025</v>
      </c>
      <c r="B3588" s="90">
        <v>11</v>
      </c>
      <c r="C3588" s="90" t="s">
        <v>732</v>
      </c>
      <c r="D3588" s="90" t="s">
        <v>722</v>
      </c>
      <c r="E3588" s="102" t="s">
        <v>11</v>
      </c>
      <c r="F3588" s="106" t="s">
        <v>32</v>
      </c>
      <c r="G3588" s="93">
        <v>6065.3825139999999</v>
      </c>
      <c r="H3588" s="93">
        <v>153904.28909999999</v>
      </c>
      <c r="I3588" s="93">
        <v>369738.10830000002</v>
      </c>
      <c r="J3588" s="93">
        <v>58565.47913</v>
      </c>
      <c r="K3588" s="93">
        <v>492.138915</v>
      </c>
      <c r="L3588" s="93">
        <v>20525.300299999999</v>
      </c>
      <c r="M3588" s="93">
        <v>609290.69999999995</v>
      </c>
      <c r="N3588" s="95">
        <v>0.01</v>
      </c>
      <c r="O3588" s="95">
        <v>0.26</v>
      </c>
      <c r="P3588" s="95">
        <v>0.63</v>
      </c>
      <c r="Q3588" s="95">
        <v>0.1</v>
      </c>
      <c r="R3588" s="104">
        <v>0</v>
      </c>
    </row>
    <row r="3589" spans="1:18" ht="15" hidden="1" customHeight="1" x14ac:dyDescent="0.3">
      <c r="A3589" s="105">
        <v>2025</v>
      </c>
      <c r="B3589" s="90">
        <v>11</v>
      </c>
      <c r="C3589" s="90" t="s">
        <v>732</v>
      </c>
      <c r="D3589" s="90" t="s">
        <v>722</v>
      </c>
      <c r="E3589" s="102" t="s">
        <v>11</v>
      </c>
      <c r="F3589" s="106" t="s">
        <v>33</v>
      </c>
      <c r="G3589" s="93">
        <v>193681.84880000001</v>
      </c>
      <c r="H3589" s="93">
        <v>789980.02529999998</v>
      </c>
      <c r="I3589" s="93">
        <v>317089.16570000001</v>
      </c>
      <c r="J3589" s="93">
        <v>16406.952259999998</v>
      </c>
      <c r="K3589" s="93">
        <v>411.35666739999999</v>
      </c>
      <c r="L3589" s="93">
        <v>34486.158309999999</v>
      </c>
      <c r="M3589" s="93">
        <v>1352055.51</v>
      </c>
      <c r="N3589" s="95">
        <v>0.15</v>
      </c>
      <c r="O3589" s="95">
        <v>0.6</v>
      </c>
      <c r="P3589" s="95">
        <v>0.24</v>
      </c>
      <c r="Q3589" s="95">
        <v>0.01</v>
      </c>
      <c r="R3589" s="104">
        <v>0</v>
      </c>
    </row>
    <row r="3590" spans="1:18" ht="15" hidden="1" customHeight="1" x14ac:dyDescent="0.3">
      <c r="A3590" s="105">
        <v>2025</v>
      </c>
      <c r="B3590" s="90">
        <v>11</v>
      </c>
      <c r="C3590" s="90" t="s">
        <v>732</v>
      </c>
      <c r="D3590" s="90" t="s">
        <v>722</v>
      </c>
      <c r="E3590" s="102" t="s">
        <v>11</v>
      </c>
      <c r="F3590" s="106" t="s">
        <v>34</v>
      </c>
      <c r="G3590" s="93">
        <v>31686.082969999999</v>
      </c>
      <c r="H3590" s="93">
        <v>262180.2917</v>
      </c>
      <c r="I3590" s="93">
        <v>334949.73629999999</v>
      </c>
      <c r="J3590" s="93">
        <v>32170.5795</v>
      </c>
      <c r="K3590" s="93">
        <v>1639.3533199999999</v>
      </c>
      <c r="L3590" s="93">
        <v>24748.854930000001</v>
      </c>
      <c r="M3590" s="93">
        <v>687374.9</v>
      </c>
      <c r="N3590" s="95">
        <v>0.05</v>
      </c>
      <c r="O3590" s="95">
        <v>0.4</v>
      </c>
      <c r="P3590" s="95">
        <v>0.51</v>
      </c>
      <c r="Q3590" s="95">
        <v>0.05</v>
      </c>
      <c r="R3590" s="104">
        <v>0</v>
      </c>
    </row>
    <row r="3591" spans="1:18" ht="15" hidden="1" customHeight="1" x14ac:dyDescent="0.3">
      <c r="A3591" s="105">
        <v>2025</v>
      </c>
      <c r="B3591" s="90">
        <v>11</v>
      </c>
      <c r="C3591" s="90" t="s">
        <v>732</v>
      </c>
      <c r="D3591" s="90" t="s">
        <v>722</v>
      </c>
      <c r="E3591" s="102" t="s">
        <v>11</v>
      </c>
      <c r="F3591" s="106" t="s">
        <v>35</v>
      </c>
      <c r="G3591" s="93">
        <v>56449.824370000002</v>
      </c>
      <c r="H3591" s="93">
        <v>177889.72839999999</v>
      </c>
      <c r="I3591" s="93">
        <v>111995.5961</v>
      </c>
      <c r="J3591" s="93">
        <v>23654.68793</v>
      </c>
      <c r="K3591" s="93">
        <v>3173.6280879999999</v>
      </c>
      <c r="L3591" s="93">
        <v>232693.0325</v>
      </c>
      <c r="M3591" s="93">
        <v>605856.5</v>
      </c>
      <c r="N3591" s="95">
        <v>0.15</v>
      </c>
      <c r="O3591" s="95">
        <v>0.48</v>
      </c>
      <c r="P3591" s="95">
        <v>0.3</v>
      </c>
      <c r="Q3591" s="95">
        <v>0.06</v>
      </c>
      <c r="R3591" s="104">
        <v>0.01</v>
      </c>
    </row>
    <row r="3592" spans="1:18" ht="15" hidden="1" customHeight="1" x14ac:dyDescent="0.3">
      <c r="A3592" s="105">
        <v>2025</v>
      </c>
      <c r="B3592" s="90">
        <v>11</v>
      </c>
      <c r="C3592" s="90" t="s">
        <v>732</v>
      </c>
      <c r="D3592" s="90" t="s">
        <v>722</v>
      </c>
      <c r="E3592" s="102" t="s">
        <v>11</v>
      </c>
      <c r="F3592" s="106" t="s">
        <v>36</v>
      </c>
      <c r="G3592" s="93">
        <v>5555.7108630000002</v>
      </c>
      <c r="H3592" s="93">
        <v>77587.792149999994</v>
      </c>
      <c r="I3592" s="93">
        <v>130922.37149999999</v>
      </c>
      <c r="J3592" s="93">
        <v>12210.44368</v>
      </c>
      <c r="K3592" s="93"/>
      <c r="L3592" s="93">
        <v>32610.42409</v>
      </c>
      <c r="M3592" s="93">
        <v>258886.74</v>
      </c>
      <c r="N3592" s="95">
        <v>0.02</v>
      </c>
      <c r="O3592" s="95">
        <v>0.34</v>
      </c>
      <c r="P3592" s="95">
        <v>0.57999999999999996</v>
      </c>
      <c r="Q3592" s="95">
        <v>0.05</v>
      </c>
      <c r="R3592" s="104">
        <v>0</v>
      </c>
    </row>
    <row r="3593" spans="1:18" ht="15" hidden="1" customHeight="1" x14ac:dyDescent="0.3">
      <c r="A3593" s="105">
        <v>2025</v>
      </c>
      <c r="B3593" s="90">
        <v>11</v>
      </c>
      <c r="C3593" s="90" t="s">
        <v>732</v>
      </c>
      <c r="D3593" s="90" t="s">
        <v>722</v>
      </c>
      <c r="E3593" s="102" t="s">
        <v>11</v>
      </c>
      <c r="F3593" s="106" t="s">
        <v>37</v>
      </c>
      <c r="G3593" s="93">
        <v>55369.555289999997</v>
      </c>
      <c r="H3593" s="93">
        <v>167855.64069999999</v>
      </c>
      <c r="I3593" s="93">
        <v>134994.8291</v>
      </c>
      <c r="J3593" s="93">
        <v>21055.640080000001</v>
      </c>
      <c r="K3593" s="93">
        <v>761.54027799999994</v>
      </c>
      <c r="L3593" s="93">
        <v>141548.1127</v>
      </c>
      <c r="M3593" s="93">
        <v>521585.32</v>
      </c>
      <c r="N3593" s="95">
        <v>0.15</v>
      </c>
      <c r="O3593" s="95">
        <v>0.44</v>
      </c>
      <c r="P3593" s="95">
        <v>0.36</v>
      </c>
      <c r="Q3593" s="95">
        <v>0.06</v>
      </c>
      <c r="R3593" s="104">
        <v>0</v>
      </c>
    </row>
    <row r="3594" spans="1:18" ht="15" hidden="1" customHeight="1" x14ac:dyDescent="0.3">
      <c r="A3594" s="105">
        <v>2025</v>
      </c>
      <c r="B3594" s="90">
        <v>11</v>
      </c>
      <c r="C3594" s="90" t="s">
        <v>732</v>
      </c>
      <c r="D3594" s="90" t="s">
        <v>722</v>
      </c>
      <c r="E3594" s="102" t="s">
        <v>11</v>
      </c>
      <c r="F3594" s="106" t="s">
        <v>38</v>
      </c>
      <c r="G3594" s="93">
        <v>109817.1813</v>
      </c>
      <c r="H3594" s="93">
        <v>321663.48129999998</v>
      </c>
      <c r="I3594" s="93">
        <v>275543.12349999999</v>
      </c>
      <c r="J3594" s="93">
        <v>27391.48473</v>
      </c>
      <c r="K3594" s="93">
        <v>2090.2304840000002</v>
      </c>
      <c r="L3594" s="93">
        <v>158050.54079999999</v>
      </c>
      <c r="M3594" s="93">
        <v>894556.04</v>
      </c>
      <c r="N3594" s="95">
        <v>0.15</v>
      </c>
      <c r="O3594" s="95">
        <v>0.44</v>
      </c>
      <c r="P3594" s="95">
        <v>0.37</v>
      </c>
      <c r="Q3594" s="95">
        <v>0.04</v>
      </c>
      <c r="R3594" s="104">
        <v>0</v>
      </c>
    </row>
    <row r="3595" spans="1:18" ht="15" hidden="1" customHeight="1" x14ac:dyDescent="0.3">
      <c r="A3595" s="105">
        <v>2025</v>
      </c>
      <c r="B3595" s="90">
        <v>11</v>
      </c>
      <c r="C3595" s="90" t="s">
        <v>732</v>
      </c>
      <c r="D3595" s="90" t="s">
        <v>722</v>
      </c>
      <c r="E3595" s="102" t="s">
        <v>11</v>
      </c>
      <c r="F3595" s="106" t="s">
        <v>39</v>
      </c>
      <c r="G3595" s="93">
        <v>5844.869627</v>
      </c>
      <c r="H3595" s="93">
        <v>125561.6781</v>
      </c>
      <c r="I3595" s="93">
        <v>154221.63010000001</v>
      </c>
      <c r="J3595" s="93">
        <v>37212.639569999999</v>
      </c>
      <c r="K3595" s="93">
        <v>1712.3998099999999</v>
      </c>
      <c r="L3595" s="93">
        <v>1038.410758</v>
      </c>
      <c r="M3595" s="93">
        <v>325591.63</v>
      </c>
      <c r="N3595" s="95">
        <v>0.02</v>
      </c>
      <c r="O3595" s="95">
        <v>0.39</v>
      </c>
      <c r="P3595" s="95">
        <v>0.48</v>
      </c>
      <c r="Q3595" s="95">
        <v>0.11</v>
      </c>
      <c r="R3595" s="104">
        <v>0.01</v>
      </c>
    </row>
    <row r="3596" spans="1:18" ht="15" hidden="1" customHeight="1" x14ac:dyDescent="0.3">
      <c r="A3596" s="105">
        <v>2025</v>
      </c>
      <c r="B3596" s="90">
        <v>11</v>
      </c>
      <c r="C3596" s="90" t="s">
        <v>732</v>
      </c>
      <c r="D3596" s="90" t="s">
        <v>722</v>
      </c>
      <c r="E3596" s="102" t="s">
        <v>11</v>
      </c>
      <c r="F3596" s="106" t="s">
        <v>40</v>
      </c>
      <c r="G3596" s="93">
        <v>4924.2754139999997</v>
      </c>
      <c r="H3596" s="93">
        <v>74859.135949999996</v>
      </c>
      <c r="I3596" s="93">
        <v>193333.65239999999</v>
      </c>
      <c r="J3596" s="93">
        <v>44295.528189999997</v>
      </c>
      <c r="K3596" s="93">
        <v>3822.0397600000001</v>
      </c>
      <c r="L3596" s="93">
        <v>5070.4103660000001</v>
      </c>
      <c r="M3596" s="93">
        <v>326305.03999999998</v>
      </c>
      <c r="N3596" s="95">
        <v>0.02</v>
      </c>
      <c r="O3596" s="95">
        <v>0.23</v>
      </c>
      <c r="P3596" s="95">
        <v>0.6</v>
      </c>
      <c r="Q3596" s="95">
        <v>0.14000000000000001</v>
      </c>
      <c r="R3596" s="104">
        <v>0.01</v>
      </c>
    </row>
    <row r="3597" spans="1:18" ht="15" hidden="1" customHeight="1" x14ac:dyDescent="0.3">
      <c r="A3597" s="105">
        <v>2025</v>
      </c>
      <c r="B3597" s="90">
        <v>11</v>
      </c>
      <c r="C3597" s="90" t="s">
        <v>732</v>
      </c>
      <c r="D3597" s="90" t="s">
        <v>722</v>
      </c>
      <c r="E3597" s="102" t="s">
        <v>11</v>
      </c>
      <c r="F3597" s="106" t="s">
        <v>41</v>
      </c>
      <c r="G3597" s="93">
        <v>576.34953580000001</v>
      </c>
      <c r="H3597" s="93">
        <v>4744.9158950000001</v>
      </c>
      <c r="I3597" s="93">
        <v>7627.5286109999997</v>
      </c>
      <c r="J3597" s="93">
        <v>4571.173186</v>
      </c>
      <c r="K3597" s="93">
        <v>332.22507280000002</v>
      </c>
      <c r="L3597" s="93"/>
      <c r="M3597" s="93">
        <v>17852.189999999999</v>
      </c>
      <c r="N3597" s="95">
        <v>0.03</v>
      </c>
      <c r="O3597" s="95">
        <v>0.27</v>
      </c>
      <c r="P3597" s="95">
        <v>0.43</v>
      </c>
      <c r="Q3597" s="95">
        <v>0.26</v>
      </c>
      <c r="R3597" s="104">
        <v>0.02</v>
      </c>
    </row>
    <row r="3598" spans="1:18" ht="15" hidden="1" customHeight="1" x14ac:dyDescent="0.3">
      <c r="A3598" s="105">
        <v>2025</v>
      </c>
      <c r="B3598" s="90">
        <v>11</v>
      </c>
      <c r="C3598" s="90" t="s">
        <v>732</v>
      </c>
      <c r="D3598" s="90" t="s">
        <v>722</v>
      </c>
      <c r="E3598" s="102" t="s">
        <v>11</v>
      </c>
      <c r="F3598" s="106" t="s">
        <v>42</v>
      </c>
      <c r="G3598" s="93">
        <v>6696.8241029999999</v>
      </c>
      <c r="H3598" s="93">
        <v>98191.803379999998</v>
      </c>
      <c r="I3598" s="93">
        <v>288875.63</v>
      </c>
      <c r="J3598" s="93">
        <v>181647.5436</v>
      </c>
      <c r="K3598" s="93">
        <v>11743.472809999999</v>
      </c>
      <c r="L3598" s="93">
        <v>13890.41583</v>
      </c>
      <c r="M3598" s="93">
        <v>601045.68999999994</v>
      </c>
      <c r="N3598" s="95">
        <v>0.01</v>
      </c>
      <c r="O3598" s="95">
        <v>0.17</v>
      </c>
      <c r="P3598" s="95">
        <v>0.49</v>
      </c>
      <c r="Q3598" s="95">
        <v>0.31</v>
      </c>
      <c r="R3598" s="104">
        <v>0.02</v>
      </c>
    </row>
    <row r="3599" spans="1:18" ht="15" hidden="1" customHeight="1" x14ac:dyDescent="0.3">
      <c r="A3599" s="105">
        <v>2025</v>
      </c>
      <c r="B3599" s="90">
        <v>11</v>
      </c>
      <c r="C3599" s="90" t="s">
        <v>732</v>
      </c>
      <c r="D3599" s="90" t="s">
        <v>722</v>
      </c>
      <c r="E3599" s="102" t="s">
        <v>11</v>
      </c>
      <c r="F3599" s="106" t="s">
        <v>43</v>
      </c>
      <c r="G3599" s="93">
        <v>4826.732274</v>
      </c>
      <c r="H3599" s="93">
        <v>24881.43951</v>
      </c>
      <c r="I3599" s="93">
        <v>20294.79292</v>
      </c>
      <c r="J3599" s="93">
        <v>14701.13147</v>
      </c>
      <c r="K3599" s="93">
        <v>4714.1553089999998</v>
      </c>
      <c r="L3599" s="93">
        <v>115958.4556</v>
      </c>
      <c r="M3599" s="93">
        <v>185376.71</v>
      </c>
      <c r="N3599" s="95">
        <v>7.0000000000000007E-2</v>
      </c>
      <c r="O3599" s="95">
        <v>0.36</v>
      </c>
      <c r="P3599" s="95">
        <v>0.28999999999999998</v>
      </c>
      <c r="Q3599" s="95">
        <v>0.21</v>
      </c>
      <c r="R3599" s="104">
        <v>7.0000000000000007E-2</v>
      </c>
    </row>
    <row r="3600" spans="1:18" ht="15" hidden="1" customHeight="1" x14ac:dyDescent="0.3">
      <c r="A3600" s="105">
        <v>2025</v>
      </c>
      <c r="B3600" s="90">
        <v>11</v>
      </c>
      <c r="C3600" s="90" t="s">
        <v>732</v>
      </c>
      <c r="D3600" s="90" t="s">
        <v>722</v>
      </c>
      <c r="E3600" s="102" t="s">
        <v>11</v>
      </c>
      <c r="F3600" s="106" t="s">
        <v>58</v>
      </c>
      <c r="G3600" s="93">
        <v>2515.871584</v>
      </c>
      <c r="H3600" s="93">
        <v>20864.13018</v>
      </c>
      <c r="I3600" s="93">
        <v>163325.7377</v>
      </c>
      <c r="J3600" s="93">
        <v>175485.56580000001</v>
      </c>
      <c r="K3600" s="93">
        <v>4268.4687139999996</v>
      </c>
      <c r="L3600" s="93">
        <v>4082.445819</v>
      </c>
      <c r="M3600" s="93">
        <v>370542.22</v>
      </c>
      <c r="N3600" s="95">
        <v>0.01</v>
      </c>
      <c r="O3600" s="95">
        <v>0.06</v>
      </c>
      <c r="P3600" s="95">
        <v>0.45</v>
      </c>
      <c r="Q3600" s="95">
        <v>0.48</v>
      </c>
      <c r="R3600" s="104">
        <v>0.01</v>
      </c>
    </row>
    <row r="3601" spans="1:18" ht="15" hidden="1" customHeight="1" x14ac:dyDescent="0.3">
      <c r="A3601" s="105">
        <v>2025</v>
      </c>
      <c r="B3601" s="90">
        <v>11</v>
      </c>
      <c r="C3601" s="90" t="s">
        <v>732</v>
      </c>
      <c r="D3601" s="90" t="s">
        <v>722</v>
      </c>
      <c r="E3601" s="102" t="s">
        <v>11</v>
      </c>
      <c r="F3601" s="106" t="s">
        <v>44</v>
      </c>
      <c r="G3601" s="93">
        <v>3300.9365200000002</v>
      </c>
      <c r="H3601" s="93">
        <v>15458.003489999999</v>
      </c>
      <c r="I3601" s="93">
        <v>110674.5496</v>
      </c>
      <c r="J3601" s="93">
        <v>46269.090470000003</v>
      </c>
      <c r="K3601" s="93">
        <v>536.05036480000001</v>
      </c>
      <c r="L3601" s="93">
        <v>34572.842559999997</v>
      </c>
      <c r="M3601" s="93">
        <v>210811.47</v>
      </c>
      <c r="N3601" s="95">
        <v>0.02</v>
      </c>
      <c r="O3601" s="95">
        <v>0.09</v>
      </c>
      <c r="P3601" s="95">
        <v>0.63</v>
      </c>
      <c r="Q3601" s="95">
        <v>0.26</v>
      </c>
      <c r="R3601" s="104">
        <v>0</v>
      </c>
    </row>
    <row r="3602" spans="1:18" ht="15" hidden="1" customHeight="1" x14ac:dyDescent="0.3">
      <c r="A3602" s="105">
        <v>2025</v>
      </c>
      <c r="B3602" s="90">
        <v>11</v>
      </c>
      <c r="C3602" s="90" t="s">
        <v>732</v>
      </c>
      <c r="D3602" s="90" t="s">
        <v>722</v>
      </c>
      <c r="E3602" s="102" t="s">
        <v>11</v>
      </c>
      <c r="F3602" s="106" t="s">
        <v>51</v>
      </c>
      <c r="G3602" s="93">
        <v>2263.312175</v>
      </c>
      <c r="H3602" s="93">
        <v>9734.3587200000002</v>
      </c>
      <c r="I3602" s="93">
        <v>27021.30947</v>
      </c>
      <c r="J3602" s="93">
        <v>126122.7536</v>
      </c>
      <c r="K3602" s="93">
        <v>44907.834640000001</v>
      </c>
      <c r="L3602" s="93"/>
      <c r="M3602" s="93">
        <v>210049.57</v>
      </c>
      <c r="N3602" s="95">
        <v>0.01</v>
      </c>
      <c r="O3602" s="95">
        <v>0.05</v>
      </c>
      <c r="P3602" s="95">
        <v>0.13</v>
      </c>
      <c r="Q3602" s="95">
        <v>0.6</v>
      </c>
      <c r="R3602" s="104">
        <v>0.21</v>
      </c>
    </row>
    <row r="3603" spans="1:18" ht="15" hidden="1" customHeight="1" x14ac:dyDescent="0.3">
      <c r="A3603" s="105">
        <v>2025</v>
      </c>
      <c r="B3603" s="90">
        <v>11</v>
      </c>
      <c r="C3603" s="90" t="s">
        <v>732</v>
      </c>
      <c r="D3603" s="90" t="s">
        <v>722</v>
      </c>
      <c r="E3603" s="102" t="s">
        <v>11</v>
      </c>
      <c r="F3603" s="106" t="s">
        <v>45</v>
      </c>
      <c r="G3603" s="93">
        <v>11947.06495</v>
      </c>
      <c r="H3603" s="93">
        <v>35004.705410000002</v>
      </c>
      <c r="I3603" s="93">
        <v>32028.52937</v>
      </c>
      <c r="J3603" s="93">
        <v>6603.700006</v>
      </c>
      <c r="K3603" s="93">
        <v>494.63300959999998</v>
      </c>
      <c r="L3603" s="93">
        <v>48014.02852</v>
      </c>
      <c r="M3603" s="93">
        <v>134092.66</v>
      </c>
      <c r="N3603" s="95">
        <v>0.14000000000000001</v>
      </c>
      <c r="O3603" s="95">
        <v>0.41</v>
      </c>
      <c r="P3603" s="95">
        <v>0.37</v>
      </c>
      <c r="Q3603" s="95">
        <v>0.08</v>
      </c>
      <c r="R3603" s="104">
        <v>0.01</v>
      </c>
    </row>
    <row r="3604" spans="1:18" ht="15" hidden="1" customHeight="1" x14ac:dyDescent="0.3">
      <c r="A3604" s="105">
        <v>2025</v>
      </c>
      <c r="B3604" s="90">
        <v>11</v>
      </c>
      <c r="C3604" s="90" t="s">
        <v>732</v>
      </c>
      <c r="D3604" s="90" t="s">
        <v>722</v>
      </c>
      <c r="E3604" s="102" t="s">
        <v>11</v>
      </c>
      <c r="F3604" s="106" t="s">
        <v>721</v>
      </c>
      <c r="G3604" s="93">
        <v>3092.0862990000001</v>
      </c>
      <c r="H3604" s="93">
        <v>78160.377600000007</v>
      </c>
      <c r="I3604" s="93">
        <v>180172.66699999999</v>
      </c>
      <c r="J3604" s="93">
        <v>46885.699930000002</v>
      </c>
      <c r="K3604" s="93">
        <v>711.82620680000002</v>
      </c>
      <c r="L3604" s="93">
        <v>4.33795837</v>
      </c>
      <c r="M3604" s="93">
        <v>309026.99</v>
      </c>
      <c r="N3604" s="95">
        <v>0.01</v>
      </c>
      <c r="O3604" s="95">
        <v>0.25</v>
      </c>
      <c r="P3604" s="95">
        <v>0.57999999999999996</v>
      </c>
      <c r="Q3604" s="95">
        <v>0.15</v>
      </c>
      <c r="R3604" s="104">
        <v>0</v>
      </c>
    </row>
    <row r="3605" spans="1:18" ht="15" hidden="1" customHeight="1" x14ac:dyDescent="0.3">
      <c r="A3605" s="105">
        <v>2025</v>
      </c>
      <c r="B3605" s="90">
        <v>11</v>
      </c>
      <c r="C3605" s="90" t="s">
        <v>732</v>
      </c>
      <c r="D3605" s="90" t="s">
        <v>722</v>
      </c>
      <c r="E3605" s="102" t="s">
        <v>11</v>
      </c>
      <c r="F3605" s="106" t="s">
        <v>46</v>
      </c>
      <c r="G3605" s="93">
        <v>2937.2461880000001</v>
      </c>
      <c r="H3605" s="93">
        <v>14667.230949999999</v>
      </c>
      <c r="I3605" s="93">
        <v>30664.643179999999</v>
      </c>
      <c r="J3605" s="93">
        <v>66042.362200000003</v>
      </c>
      <c r="K3605" s="93">
        <v>34434.071490000002</v>
      </c>
      <c r="L3605" s="93"/>
      <c r="M3605" s="93">
        <v>148745.54999999999</v>
      </c>
      <c r="N3605" s="95">
        <v>0.02</v>
      </c>
      <c r="O3605" s="95">
        <v>0.1</v>
      </c>
      <c r="P3605" s="95">
        <v>0.21</v>
      </c>
      <c r="Q3605" s="95">
        <v>0.44</v>
      </c>
      <c r="R3605" s="104">
        <v>0.23</v>
      </c>
    </row>
    <row r="3606" spans="1:18" ht="15" hidden="1" customHeight="1" x14ac:dyDescent="0.3">
      <c r="A3606" s="105">
        <v>2025</v>
      </c>
      <c r="B3606" s="90">
        <v>11</v>
      </c>
      <c r="C3606" s="90" t="s">
        <v>732</v>
      </c>
      <c r="D3606" s="90" t="s">
        <v>722</v>
      </c>
      <c r="E3606" s="102" t="s">
        <v>11</v>
      </c>
      <c r="F3606" s="106" t="s">
        <v>47</v>
      </c>
      <c r="G3606" s="93">
        <v>11717.82818</v>
      </c>
      <c r="H3606" s="93">
        <v>222009.5099</v>
      </c>
      <c r="I3606" s="93">
        <v>732409.60950000002</v>
      </c>
      <c r="J3606" s="93">
        <v>318304.60889999999</v>
      </c>
      <c r="K3606" s="93">
        <v>57374.101179999998</v>
      </c>
      <c r="L3606" s="93"/>
      <c r="M3606" s="93">
        <v>1341815.6599999999</v>
      </c>
      <c r="N3606" s="95">
        <v>0.01</v>
      </c>
      <c r="O3606" s="95">
        <v>0.17</v>
      </c>
      <c r="P3606" s="95">
        <v>0.55000000000000004</v>
      </c>
      <c r="Q3606" s="95">
        <v>0.24</v>
      </c>
      <c r="R3606" s="104">
        <v>0.04</v>
      </c>
    </row>
    <row r="3607" spans="1:18" ht="15" hidden="1" customHeight="1" x14ac:dyDescent="0.3">
      <c r="A3607" s="105">
        <v>2025</v>
      </c>
      <c r="B3607" s="90">
        <v>11</v>
      </c>
      <c r="C3607" s="90" t="s">
        <v>732</v>
      </c>
      <c r="D3607" s="90" t="s">
        <v>722</v>
      </c>
      <c r="E3607" s="102" t="s">
        <v>11</v>
      </c>
      <c r="F3607" s="106" t="s">
        <v>48</v>
      </c>
      <c r="G3607" s="93">
        <v>883.52774820000002</v>
      </c>
      <c r="H3607" s="93">
        <v>5869.5921090000002</v>
      </c>
      <c r="I3607" s="93">
        <v>59288.977579999999</v>
      </c>
      <c r="J3607" s="93">
        <v>35353.71329</v>
      </c>
      <c r="K3607" s="93">
        <v>470.3416264</v>
      </c>
      <c r="L3607" s="93">
        <v>8448.3195059999998</v>
      </c>
      <c r="M3607" s="93">
        <v>110314.47</v>
      </c>
      <c r="N3607" s="95">
        <v>0.01</v>
      </c>
      <c r="O3607" s="95">
        <v>0.06</v>
      </c>
      <c r="P3607" s="95">
        <v>0.57999999999999996</v>
      </c>
      <c r="Q3607" s="95">
        <v>0.35</v>
      </c>
      <c r="R3607" s="104">
        <v>0</v>
      </c>
    </row>
    <row r="3608" spans="1:18" ht="15" hidden="1" customHeight="1" x14ac:dyDescent="0.3">
      <c r="A3608" s="101">
        <v>2025</v>
      </c>
      <c r="B3608" s="90">
        <v>12</v>
      </c>
      <c r="C3608" s="90" t="s">
        <v>733</v>
      </c>
      <c r="D3608" s="90" t="s">
        <v>719</v>
      </c>
      <c r="E3608" s="102" t="s">
        <v>11</v>
      </c>
      <c r="F3608" s="103" t="s">
        <v>12</v>
      </c>
      <c r="G3608" s="93">
        <v>4324.1915239999998</v>
      </c>
      <c r="H3608" s="93">
        <v>26952.79751</v>
      </c>
      <c r="I3608" s="93">
        <v>80070.614310000004</v>
      </c>
      <c r="J3608" s="93">
        <v>225266.4172</v>
      </c>
      <c r="K3608" s="93">
        <v>48345.706109999999</v>
      </c>
      <c r="L3608" s="93">
        <v>48351.715049999999</v>
      </c>
      <c r="M3608" s="93">
        <v>433311.44</v>
      </c>
      <c r="N3608" s="95">
        <v>0.01</v>
      </c>
      <c r="O3608" s="95">
        <v>7.0000000000000007E-2</v>
      </c>
      <c r="P3608" s="95">
        <v>0.21</v>
      </c>
      <c r="Q3608" s="95">
        <v>0.59</v>
      </c>
      <c r="R3608" s="104">
        <v>0.13</v>
      </c>
    </row>
    <row r="3609" spans="1:18" ht="15" hidden="1" customHeight="1" x14ac:dyDescent="0.3">
      <c r="A3609" s="101">
        <v>2025</v>
      </c>
      <c r="B3609" s="90">
        <v>12</v>
      </c>
      <c r="C3609" s="90" t="s">
        <v>733</v>
      </c>
      <c r="D3609" s="90" t="s">
        <v>719</v>
      </c>
      <c r="E3609" s="102" t="s">
        <v>11</v>
      </c>
      <c r="F3609" s="103" t="s">
        <v>26</v>
      </c>
      <c r="G3609" s="93">
        <v>154571.72930000001</v>
      </c>
      <c r="H3609" s="93">
        <v>302602.27669999999</v>
      </c>
      <c r="I3609" s="93">
        <v>414076.22889999999</v>
      </c>
      <c r="J3609" s="93">
        <v>168805.4192</v>
      </c>
      <c r="K3609" s="93">
        <v>5812.3667050000004</v>
      </c>
      <c r="L3609" s="93">
        <v>256525.74770000001</v>
      </c>
      <c r="M3609" s="93">
        <v>1302393.77</v>
      </c>
      <c r="N3609" s="95">
        <v>0.15</v>
      </c>
      <c r="O3609" s="95">
        <v>0.28999999999999998</v>
      </c>
      <c r="P3609" s="95">
        <v>0.4</v>
      </c>
      <c r="Q3609" s="95">
        <v>0.16</v>
      </c>
      <c r="R3609" s="104">
        <v>0.01</v>
      </c>
    </row>
    <row r="3610" spans="1:18" ht="15" hidden="1" customHeight="1" x14ac:dyDescent="0.3">
      <c r="A3610" s="101">
        <v>2025</v>
      </c>
      <c r="B3610" s="90">
        <v>12</v>
      </c>
      <c r="C3610" s="90" t="s">
        <v>733</v>
      </c>
      <c r="D3610" s="90" t="s">
        <v>719</v>
      </c>
      <c r="E3610" s="102" t="s">
        <v>11</v>
      </c>
      <c r="F3610" s="103" t="s">
        <v>27</v>
      </c>
      <c r="G3610" s="93">
        <v>37.534777339999998</v>
      </c>
      <c r="H3610" s="93">
        <v>4487.7201109999996</v>
      </c>
      <c r="I3610" s="93">
        <v>47522.000719999996</v>
      </c>
      <c r="J3610" s="93">
        <v>121915.07520000001</v>
      </c>
      <c r="K3610" s="93">
        <v>51286.990180000001</v>
      </c>
      <c r="L3610" s="93">
        <v>1440.057008</v>
      </c>
      <c r="M3610" s="93">
        <v>226689.38</v>
      </c>
      <c r="N3610" s="95">
        <v>0</v>
      </c>
      <c r="O3610" s="95">
        <v>0.02</v>
      </c>
      <c r="P3610" s="95">
        <v>0.21</v>
      </c>
      <c r="Q3610" s="95">
        <v>0.54</v>
      </c>
      <c r="R3610" s="104">
        <v>0.23</v>
      </c>
    </row>
    <row r="3611" spans="1:18" ht="15" hidden="1" customHeight="1" x14ac:dyDescent="0.3">
      <c r="A3611" s="101">
        <v>2025</v>
      </c>
      <c r="B3611" s="90">
        <v>12</v>
      </c>
      <c r="C3611" s="90" t="s">
        <v>733</v>
      </c>
      <c r="D3611" s="90" t="s">
        <v>719</v>
      </c>
      <c r="E3611" s="102" t="s">
        <v>11</v>
      </c>
      <c r="F3611" s="103" t="s">
        <v>28</v>
      </c>
      <c r="G3611" s="93">
        <v>2582.9439710000001</v>
      </c>
      <c r="H3611" s="93">
        <v>25558.5298</v>
      </c>
      <c r="I3611" s="93">
        <v>154710.85019999999</v>
      </c>
      <c r="J3611" s="93">
        <v>167767.51930000001</v>
      </c>
      <c r="K3611" s="93">
        <v>19195.054690000001</v>
      </c>
      <c r="L3611" s="93">
        <v>3289.4994999999999</v>
      </c>
      <c r="M3611" s="93">
        <v>373104.4</v>
      </c>
      <c r="N3611" s="95">
        <v>0.01</v>
      </c>
      <c r="O3611" s="95">
        <v>7.0000000000000007E-2</v>
      </c>
      <c r="P3611" s="95">
        <v>0.42</v>
      </c>
      <c r="Q3611" s="95">
        <v>0.45</v>
      </c>
      <c r="R3611" s="104">
        <v>0.05</v>
      </c>
    </row>
    <row r="3612" spans="1:18" ht="15" customHeight="1" x14ac:dyDescent="0.3">
      <c r="A3612" s="101">
        <v>2025</v>
      </c>
      <c r="B3612" s="90">
        <v>12</v>
      </c>
      <c r="C3612" s="90" t="s">
        <v>733</v>
      </c>
      <c r="D3612" s="90" t="s">
        <v>719</v>
      </c>
      <c r="E3612" s="102" t="s">
        <v>11</v>
      </c>
      <c r="F3612" s="103" t="s">
        <v>29</v>
      </c>
      <c r="G3612" s="93">
        <v>10464.304239999999</v>
      </c>
      <c r="H3612" s="93">
        <v>52697.872020000003</v>
      </c>
      <c r="I3612" s="93">
        <v>136306.6538</v>
      </c>
      <c r="J3612" s="93">
        <v>90329.693230000004</v>
      </c>
      <c r="K3612" s="93">
        <v>8065.3293890000004</v>
      </c>
      <c r="L3612" s="93">
        <v>49371.362200000003</v>
      </c>
      <c r="M3612" s="93">
        <v>347235.21</v>
      </c>
      <c r="N3612" s="95">
        <v>0.04</v>
      </c>
      <c r="O3612" s="95">
        <v>0.18</v>
      </c>
      <c r="P3612" s="95">
        <v>0.46</v>
      </c>
      <c r="Q3612" s="95">
        <v>0.3</v>
      </c>
      <c r="R3612" s="104">
        <v>0.03</v>
      </c>
    </row>
    <row r="3613" spans="1:18" ht="15" hidden="1" customHeight="1" x14ac:dyDescent="0.3">
      <c r="A3613" s="101">
        <v>2025</v>
      </c>
      <c r="B3613" s="90">
        <v>12</v>
      </c>
      <c r="C3613" s="90" t="s">
        <v>733</v>
      </c>
      <c r="D3613" s="90" t="s">
        <v>719</v>
      </c>
      <c r="E3613" s="102" t="s">
        <v>11</v>
      </c>
      <c r="F3613" s="103" t="s">
        <v>30</v>
      </c>
      <c r="G3613" s="93">
        <v>698.8624337</v>
      </c>
      <c r="H3613" s="93">
        <v>1788.5274589999999</v>
      </c>
      <c r="I3613" s="93">
        <v>3707.8982080000001</v>
      </c>
      <c r="J3613" s="93">
        <v>6005.5741690000004</v>
      </c>
      <c r="K3613" s="93">
        <v>2322.3073060000002</v>
      </c>
      <c r="L3613" s="93">
        <v>215563.06570000001</v>
      </c>
      <c r="M3613" s="93">
        <v>230086.24</v>
      </c>
      <c r="N3613" s="95">
        <v>0.05</v>
      </c>
      <c r="O3613" s="95">
        <v>0.12</v>
      </c>
      <c r="P3613" s="95">
        <v>0.26</v>
      </c>
      <c r="Q3613" s="95">
        <v>0.41</v>
      </c>
      <c r="R3613" s="104">
        <v>0.16</v>
      </c>
    </row>
    <row r="3614" spans="1:18" ht="15" hidden="1" customHeight="1" x14ac:dyDescent="0.3">
      <c r="A3614" s="101">
        <v>2025</v>
      </c>
      <c r="B3614" s="90">
        <v>12</v>
      </c>
      <c r="C3614" s="90" t="s">
        <v>733</v>
      </c>
      <c r="D3614" s="90" t="s">
        <v>719</v>
      </c>
      <c r="E3614" s="102" t="s">
        <v>11</v>
      </c>
      <c r="F3614" s="103" t="s">
        <v>31</v>
      </c>
      <c r="G3614" s="93">
        <v>10622.2716</v>
      </c>
      <c r="H3614" s="93">
        <v>99912.30975</v>
      </c>
      <c r="I3614" s="93">
        <v>67411.153349999993</v>
      </c>
      <c r="J3614" s="93">
        <v>22106.276679999999</v>
      </c>
      <c r="K3614" s="93">
        <v>9322.3647560000009</v>
      </c>
      <c r="L3614" s="93">
        <v>42320.890979999996</v>
      </c>
      <c r="M3614" s="93">
        <v>251695.27</v>
      </c>
      <c r="N3614" s="95">
        <v>0.05</v>
      </c>
      <c r="O3614" s="95">
        <v>0.48</v>
      </c>
      <c r="P3614" s="95">
        <v>0.32</v>
      </c>
      <c r="Q3614" s="95">
        <v>0.11</v>
      </c>
      <c r="R3614" s="104">
        <v>0.04</v>
      </c>
    </row>
    <row r="3615" spans="1:18" ht="15" hidden="1" customHeight="1" x14ac:dyDescent="0.3">
      <c r="A3615" s="101">
        <v>2025</v>
      </c>
      <c r="B3615" s="90">
        <v>12</v>
      </c>
      <c r="C3615" s="90" t="s">
        <v>733</v>
      </c>
      <c r="D3615" s="90" t="s">
        <v>719</v>
      </c>
      <c r="E3615" s="102" t="s">
        <v>11</v>
      </c>
      <c r="F3615" s="103" t="s">
        <v>32</v>
      </c>
      <c r="G3615" s="93">
        <v>2197.5301960000002</v>
      </c>
      <c r="H3615" s="93">
        <v>25829.388869999999</v>
      </c>
      <c r="I3615" s="93">
        <v>191561.288</v>
      </c>
      <c r="J3615" s="93">
        <v>267684.90580000001</v>
      </c>
      <c r="K3615" s="93">
        <v>101311.7295</v>
      </c>
      <c r="L3615" s="93">
        <v>20937.026249999999</v>
      </c>
      <c r="M3615" s="93">
        <v>609521.87</v>
      </c>
      <c r="N3615" s="95">
        <v>0</v>
      </c>
      <c r="O3615" s="95">
        <v>0.04</v>
      </c>
      <c r="P3615" s="95">
        <v>0.33</v>
      </c>
      <c r="Q3615" s="95">
        <v>0.45</v>
      </c>
      <c r="R3615" s="104">
        <v>0.17</v>
      </c>
    </row>
    <row r="3616" spans="1:18" ht="15" hidden="1" customHeight="1" x14ac:dyDescent="0.3">
      <c r="A3616" s="101">
        <v>2025</v>
      </c>
      <c r="B3616" s="90">
        <v>12</v>
      </c>
      <c r="C3616" s="90" t="s">
        <v>733</v>
      </c>
      <c r="D3616" s="90" t="s">
        <v>719</v>
      </c>
      <c r="E3616" s="102" t="s">
        <v>11</v>
      </c>
      <c r="F3616" s="103" t="s">
        <v>33</v>
      </c>
      <c r="G3616" s="93">
        <v>99906.480049999998</v>
      </c>
      <c r="H3616" s="93">
        <v>473940.59830000001</v>
      </c>
      <c r="I3616" s="93">
        <v>574989.21200000006</v>
      </c>
      <c r="J3616" s="93">
        <v>163890.70670000001</v>
      </c>
      <c r="K3616" s="93">
        <v>4775.1216800000002</v>
      </c>
      <c r="L3616" s="93">
        <v>34553.388339999998</v>
      </c>
      <c r="M3616" s="93">
        <v>1352055.51</v>
      </c>
      <c r="N3616" s="95">
        <v>0.08</v>
      </c>
      <c r="O3616" s="95">
        <v>0.36</v>
      </c>
      <c r="P3616" s="95">
        <v>0.44</v>
      </c>
      <c r="Q3616" s="95">
        <v>0.12</v>
      </c>
      <c r="R3616" s="104">
        <v>0</v>
      </c>
    </row>
    <row r="3617" spans="1:18" ht="15" hidden="1" customHeight="1" x14ac:dyDescent="0.3">
      <c r="A3617" s="101">
        <v>2025</v>
      </c>
      <c r="B3617" s="90">
        <v>12</v>
      </c>
      <c r="C3617" s="90" t="s">
        <v>733</v>
      </c>
      <c r="D3617" s="90" t="s">
        <v>719</v>
      </c>
      <c r="E3617" s="102" t="s">
        <v>11</v>
      </c>
      <c r="F3617" s="103" t="s">
        <v>34</v>
      </c>
      <c r="G3617" s="93">
        <v>24382.25879</v>
      </c>
      <c r="H3617" s="93">
        <v>160635.14569999999</v>
      </c>
      <c r="I3617" s="93">
        <v>329307.7549</v>
      </c>
      <c r="J3617" s="93">
        <v>156157.98730000001</v>
      </c>
      <c r="K3617" s="93">
        <v>4411.3536240000003</v>
      </c>
      <c r="L3617" s="93">
        <v>24829.617849999999</v>
      </c>
      <c r="M3617" s="93">
        <v>699724.12</v>
      </c>
      <c r="N3617" s="95">
        <v>0.04</v>
      </c>
      <c r="O3617" s="95">
        <v>0.24</v>
      </c>
      <c r="P3617" s="95">
        <v>0.49</v>
      </c>
      <c r="Q3617" s="95">
        <v>0.23</v>
      </c>
      <c r="R3617" s="104">
        <v>0.01</v>
      </c>
    </row>
    <row r="3618" spans="1:18" ht="15" hidden="1" customHeight="1" x14ac:dyDescent="0.3">
      <c r="A3618" s="101">
        <v>2025</v>
      </c>
      <c r="B3618" s="90">
        <v>12</v>
      </c>
      <c r="C3618" s="90" t="s">
        <v>733</v>
      </c>
      <c r="D3618" s="90" t="s">
        <v>719</v>
      </c>
      <c r="E3618" s="102" t="s">
        <v>11</v>
      </c>
      <c r="F3618" s="103" t="s">
        <v>35</v>
      </c>
      <c r="G3618" s="93">
        <v>45521.106630000002</v>
      </c>
      <c r="H3618" s="93">
        <v>144631.19070000001</v>
      </c>
      <c r="I3618" s="93">
        <v>136832.2188</v>
      </c>
      <c r="J3618" s="93">
        <v>42466.1299</v>
      </c>
      <c r="K3618" s="93">
        <v>3506.9922900000001</v>
      </c>
      <c r="L3618" s="93">
        <v>232903.55869999999</v>
      </c>
      <c r="M3618" s="93">
        <v>605861.19999999995</v>
      </c>
      <c r="N3618" s="95">
        <v>0.12</v>
      </c>
      <c r="O3618" s="95">
        <v>0.39</v>
      </c>
      <c r="P3618" s="95">
        <v>0.37</v>
      </c>
      <c r="Q3618" s="95">
        <v>0.11</v>
      </c>
      <c r="R3618" s="104">
        <v>0.01</v>
      </c>
    </row>
    <row r="3619" spans="1:18" ht="15" hidden="1" customHeight="1" x14ac:dyDescent="0.3">
      <c r="A3619" s="101">
        <v>2025</v>
      </c>
      <c r="B3619" s="90">
        <v>12</v>
      </c>
      <c r="C3619" s="90" t="s">
        <v>733</v>
      </c>
      <c r="D3619" s="90" t="s">
        <v>719</v>
      </c>
      <c r="E3619" s="102" t="s">
        <v>11</v>
      </c>
      <c r="F3619" s="103" t="s">
        <v>36</v>
      </c>
      <c r="G3619" s="93">
        <v>12064.24992</v>
      </c>
      <c r="H3619" s="93">
        <v>84634.770929999999</v>
      </c>
      <c r="I3619" s="93">
        <v>117412.3459</v>
      </c>
      <c r="J3619" s="93">
        <v>12105.849270000001</v>
      </c>
      <c r="K3619" s="93">
        <v>63.94294215</v>
      </c>
      <c r="L3619" s="93">
        <v>32605.583330000001</v>
      </c>
      <c r="M3619" s="93">
        <v>258886.74</v>
      </c>
      <c r="N3619" s="95">
        <v>0.05</v>
      </c>
      <c r="O3619" s="95">
        <v>0.37</v>
      </c>
      <c r="P3619" s="95">
        <v>0.52</v>
      </c>
      <c r="Q3619" s="95">
        <v>0.05</v>
      </c>
      <c r="R3619" s="104">
        <v>0</v>
      </c>
    </row>
    <row r="3620" spans="1:18" ht="15" hidden="1" customHeight="1" x14ac:dyDescent="0.3">
      <c r="A3620" s="101">
        <v>2025</v>
      </c>
      <c r="B3620" s="90">
        <v>12</v>
      </c>
      <c r="C3620" s="90" t="s">
        <v>733</v>
      </c>
      <c r="D3620" s="90" t="s">
        <v>719</v>
      </c>
      <c r="E3620" s="102" t="s">
        <v>11</v>
      </c>
      <c r="F3620" s="103" t="s">
        <v>37</v>
      </c>
      <c r="G3620" s="93">
        <v>19287.591759999999</v>
      </c>
      <c r="H3620" s="93">
        <v>84420.044599999994</v>
      </c>
      <c r="I3620" s="93">
        <v>155684.37530000001</v>
      </c>
      <c r="J3620" s="93">
        <v>116407.3977</v>
      </c>
      <c r="K3620" s="93">
        <v>5485.0197710000002</v>
      </c>
      <c r="L3620" s="93">
        <v>142004.53450000001</v>
      </c>
      <c r="M3620" s="93">
        <v>523288.96</v>
      </c>
      <c r="N3620" s="95">
        <v>0.05</v>
      </c>
      <c r="O3620" s="95">
        <v>0.22</v>
      </c>
      <c r="P3620" s="95">
        <v>0.41</v>
      </c>
      <c r="Q3620" s="95">
        <v>0.31</v>
      </c>
      <c r="R3620" s="104">
        <v>0.01</v>
      </c>
    </row>
    <row r="3621" spans="1:18" ht="15" hidden="1" customHeight="1" x14ac:dyDescent="0.3">
      <c r="A3621" s="101">
        <v>2025</v>
      </c>
      <c r="B3621" s="90">
        <v>12</v>
      </c>
      <c r="C3621" s="90" t="s">
        <v>733</v>
      </c>
      <c r="D3621" s="90" t="s">
        <v>719</v>
      </c>
      <c r="E3621" s="102" t="s">
        <v>11</v>
      </c>
      <c r="F3621" s="103" t="s">
        <v>38</v>
      </c>
      <c r="G3621" s="93">
        <v>106315.6456</v>
      </c>
      <c r="H3621" s="93">
        <v>200595.66130000001</v>
      </c>
      <c r="I3621" s="93">
        <v>335146.02419999999</v>
      </c>
      <c r="J3621" s="93">
        <v>118858.342</v>
      </c>
      <c r="K3621" s="93">
        <v>2943.0237689999999</v>
      </c>
      <c r="L3621" s="93">
        <v>157838.63709999999</v>
      </c>
      <c r="M3621" s="93">
        <v>921697.33</v>
      </c>
      <c r="N3621" s="95">
        <v>0.14000000000000001</v>
      </c>
      <c r="O3621" s="95">
        <v>0.26</v>
      </c>
      <c r="P3621" s="95">
        <v>0.44</v>
      </c>
      <c r="Q3621" s="95">
        <v>0.16</v>
      </c>
      <c r="R3621" s="104">
        <v>0</v>
      </c>
    </row>
    <row r="3622" spans="1:18" ht="15" hidden="1" customHeight="1" x14ac:dyDescent="0.3">
      <c r="A3622" s="101">
        <v>2025</v>
      </c>
      <c r="B3622" s="90">
        <v>12</v>
      </c>
      <c r="C3622" s="90" t="s">
        <v>733</v>
      </c>
      <c r="D3622" s="90" t="s">
        <v>719</v>
      </c>
      <c r="E3622" s="102" t="s">
        <v>11</v>
      </c>
      <c r="F3622" s="103" t="s">
        <v>39</v>
      </c>
      <c r="G3622" s="93">
        <v>346.35860739999998</v>
      </c>
      <c r="H3622" s="93">
        <v>11616.3706</v>
      </c>
      <c r="I3622" s="93">
        <v>92946.933050000007</v>
      </c>
      <c r="J3622" s="93">
        <v>167008.076</v>
      </c>
      <c r="K3622" s="93">
        <v>57956.961739999999</v>
      </c>
      <c r="L3622" s="93">
        <v>1105.577483</v>
      </c>
      <c r="M3622" s="93">
        <v>330980.28000000003</v>
      </c>
      <c r="N3622" s="95">
        <v>0</v>
      </c>
      <c r="O3622" s="95">
        <v>0.04</v>
      </c>
      <c r="P3622" s="95">
        <v>0.28000000000000003</v>
      </c>
      <c r="Q3622" s="95">
        <v>0.51</v>
      </c>
      <c r="R3622" s="104">
        <v>0.18</v>
      </c>
    </row>
    <row r="3623" spans="1:18" ht="15" hidden="1" customHeight="1" x14ac:dyDescent="0.3">
      <c r="A3623" s="101">
        <v>2025</v>
      </c>
      <c r="B3623" s="90">
        <v>12</v>
      </c>
      <c r="C3623" s="90" t="s">
        <v>733</v>
      </c>
      <c r="D3623" s="90" t="s">
        <v>719</v>
      </c>
      <c r="E3623" s="102" t="s">
        <v>11</v>
      </c>
      <c r="F3623" s="103" t="s">
        <v>40</v>
      </c>
      <c r="G3623" s="93">
        <v>2866.4738600000001</v>
      </c>
      <c r="H3623" s="93">
        <v>33956.60901</v>
      </c>
      <c r="I3623" s="93">
        <v>93322.08064</v>
      </c>
      <c r="J3623" s="93">
        <v>171206.0943</v>
      </c>
      <c r="K3623" s="93">
        <v>19827.499820000001</v>
      </c>
      <c r="L3623" s="93">
        <v>5126.2845289999996</v>
      </c>
      <c r="M3623" s="93">
        <v>326305.03999999998</v>
      </c>
      <c r="N3623" s="95">
        <v>0.01</v>
      </c>
      <c r="O3623" s="95">
        <v>0.11</v>
      </c>
      <c r="P3623" s="95">
        <v>0.28999999999999998</v>
      </c>
      <c r="Q3623" s="95">
        <v>0.53</v>
      </c>
      <c r="R3623" s="104">
        <v>0.06</v>
      </c>
    </row>
    <row r="3624" spans="1:18" ht="15" hidden="1" customHeight="1" x14ac:dyDescent="0.3">
      <c r="A3624" s="101">
        <v>2025</v>
      </c>
      <c r="B3624" s="90">
        <v>12</v>
      </c>
      <c r="C3624" s="90" t="s">
        <v>733</v>
      </c>
      <c r="D3624" s="90" t="s">
        <v>719</v>
      </c>
      <c r="E3624" s="102" t="s">
        <v>11</v>
      </c>
      <c r="F3624" s="103" t="s">
        <v>41</v>
      </c>
      <c r="G3624" s="93">
        <v>232.43938800000001</v>
      </c>
      <c r="H3624" s="93">
        <v>2941.9435579999999</v>
      </c>
      <c r="I3624" s="93">
        <v>7086.2724980000003</v>
      </c>
      <c r="J3624" s="93">
        <v>6442.5339949999998</v>
      </c>
      <c r="K3624" s="93">
        <v>1125.370737</v>
      </c>
      <c r="L3624" s="93"/>
      <c r="M3624" s="93">
        <v>17828.560000000001</v>
      </c>
      <c r="N3624" s="95">
        <v>0.01</v>
      </c>
      <c r="O3624" s="95">
        <v>0.17</v>
      </c>
      <c r="P3624" s="95">
        <v>0.4</v>
      </c>
      <c r="Q3624" s="95">
        <v>0.36</v>
      </c>
      <c r="R3624" s="104">
        <v>0.06</v>
      </c>
    </row>
    <row r="3625" spans="1:18" ht="15" hidden="1" customHeight="1" x14ac:dyDescent="0.3">
      <c r="A3625" s="101">
        <v>2025</v>
      </c>
      <c r="B3625" s="90">
        <v>12</v>
      </c>
      <c r="C3625" s="90" t="s">
        <v>733</v>
      </c>
      <c r="D3625" s="90" t="s">
        <v>719</v>
      </c>
      <c r="E3625" s="102" t="s">
        <v>11</v>
      </c>
      <c r="F3625" s="103" t="s">
        <v>42</v>
      </c>
      <c r="G3625" s="93">
        <v>4532.1190150000002</v>
      </c>
      <c r="H3625" s="93">
        <v>78578.661550000004</v>
      </c>
      <c r="I3625" s="93">
        <v>297182.2182</v>
      </c>
      <c r="J3625" s="93">
        <v>162208.28140000001</v>
      </c>
      <c r="K3625" s="93">
        <v>62375.169410000002</v>
      </c>
      <c r="L3625" s="93">
        <v>13757.579089999999</v>
      </c>
      <c r="M3625" s="93">
        <v>618634.03</v>
      </c>
      <c r="N3625" s="95">
        <v>0.01</v>
      </c>
      <c r="O3625" s="95">
        <v>0.13</v>
      </c>
      <c r="P3625" s="95">
        <v>0.49</v>
      </c>
      <c r="Q3625" s="95">
        <v>0.27</v>
      </c>
      <c r="R3625" s="104">
        <v>0.1</v>
      </c>
    </row>
    <row r="3626" spans="1:18" ht="15" hidden="1" customHeight="1" x14ac:dyDescent="0.3">
      <c r="A3626" s="101">
        <v>2025</v>
      </c>
      <c r="B3626" s="90">
        <v>12</v>
      </c>
      <c r="C3626" s="90" t="s">
        <v>733</v>
      </c>
      <c r="D3626" s="90" t="s">
        <v>719</v>
      </c>
      <c r="E3626" s="102" t="s">
        <v>11</v>
      </c>
      <c r="F3626" s="103" t="s">
        <v>43</v>
      </c>
      <c r="G3626" s="93">
        <v>3341.445651</v>
      </c>
      <c r="H3626" s="93">
        <v>16650.013989999999</v>
      </c>
      <c r="I3626" s="93">
        <v>19245.96084</v>
      </c>
      <c r="J3626" s="93">
        <v>21048.386500000001</v>
      </c>
      <c r="K3626" s="93">
        <v>8575.5011570000006</v>
      </c>
      <c r="L3626" s="93">
        <v>116575.2261</v>
      </c>
      <c r="M3626" s="93">
        <v>185436.53</v>
      </c>
      <c r="N3626" s="95">
        <v>0.05</v>
      </c>
      <c r="O3626" s="95">
        <v>0.24</v>
      </c>
      <c r="P3626" s="95">
        <v>0.28000000000000003</v>
      </c>
      <c r="Q3626" s="95">
        <v>0.31</v>
      </c>
      <c r="R3626" s="104">
        <v>0.12</v>
      </c>
    </row>
    <row r="3627" spans="1:18" ht="15" hidden="1" customHeight="1" x14ac:dyDescent="0.3">
      <c r="A3627" s="101">
        <v>2025</v>
      </c>
      <c r="B3627" s="90">
        <v>12</v>
      </c>
      <c r="C3627" s="90" t="s">
        <v>733</v>
      </c>
      <c r="D3627" s="90" t="s">
        <v>719</v>
      </c>
      <c r="E3627" s="102" t="s">
        <v>11</v>
      </c>
      <c r="F3627" s="103" t="s">
        <v>58</v>
      </c>
      <c r="G3627" s="93">
        <v>1456.4976489999999</v>
      </c>
      <c r="H3627" s="93">
        <v>16479.302319999999</v>
      </c>
      <c r="I3627" s="93">
        <v>144550.9264</v>
      </c>
      <c r="J3627" s="93">
        <v>196979.28260000001</v>
      </c>
      <c r="K3627" s="93">
        <v>7933.3221880000001</v>
      </c>
      <c r="L3627" s="93">
        <v>4077.794034</v>
      </c>
      <c r="M3627" s="93">
        <v>371477.13</v>
      </c>
      <c r="N3627" s="95">
        <v>0</v>
      </c>
      <c r="O3627" s="95">
        <v>0.04</v>
      </c>
      <c r="P3627" s="95">
        <v>0.39</v>
      </c>
      <c r="Q3627" s="95">
        <v>0.54</v>
      </c>
      <c r="R3627" s="104">
        <v>0.02</v>
      </c>
    </row>
    <row r="3628" spans="1:18" ht="15" hidden="1" customHeight="1" x14ac:dyDescent="0.3">
      <c r="A3628" s="101">
        <v>2025</v>
      </c>
      <c r="B3628" s="90">
        <v>12</v>
      </c>
      <c r="C3628" s="90" t="s">
        <v>733</v>
      </c>
      <c r="D3628" s="90" t="s">
        <v>719</v>
      </c>
      <c r="E3628" s="102" t="s">
        <v>11</v>
      </c>
      <c r="F3628" s="103" t="s">
        <v>44</v>
      </c>
      <c r="G3628" s="93">
        <v>5363.7960739999999</v>
      </c>
      <c r="H3628" s="93">
        <v>36884.624239999997</v>
      </c>
      <c r="I3628" s="93">
        <v>105588.4512</v>
      </c>
      <c r="J3628" s="93">
        <v>28490.21759</v>
      </c>
      <c r="K3628" s="93">
        <v>849.14785970000003</v>
      </c>
      <c r="L3628" s="93">
        <v>34454.234709999997</v>
      </c>
      <c r="M3628" s="93">
        <v>211630.47</v>
      </c>
      <c r="N3628" s="95">
        <v>0.03</v>
      </c>
      <c r="O3628" s="95">
        <v>0.21</v>
      </c>
      <c r="P3628" s="95">
        <v>0.6</v>
      </c>
      <c r="Q3628" s="95">
        <v>0.16</v>
      </c>
      <c r="R3628" s="104">
        <v>0</v>
      </c>
    </row>
    <row r="3629" spans="1:18" ht="15" hidden="1" customHeight="1" x14ac:dyDescent="0.3">
      <c r="A3629" s="101">
        <v>2025</v>
      </c>
      <c r="B3629" s="90">
        <v>12</v>
      </c>
      <c r="C3629" s="90" t="s">
        <v>733</v>
      </c>
      <c r="D3629" s="90" t="s">
        <v>719</v>
      </c>
      <c r="E3629" s="102" t="s">
        <v>11</v>
      </c>
      <c r="F3629" s="103" t="s">
        <v>51</v>
      </c>
      <c r="G3629" s="93">
        <v>1853.175753</v>
      </c>
      <c r="H3629" s="93">
        <v>8369.5374780000002</v>
      </c>
      <c r="I3629" s="93">
        <v>23951.578570000001</v>
      </c>
      <c r="J3629" s="93">
        <v>125769.60460000001</v>
      </c>
      <c r="K3629" s="93">
        <v>50129.038209999999</v>
      </c>
      <c r="L3629" s="93"/>
      <c r="M3629" s="93">
        <v>210072.93</v>
      </c>
      <c r="N3629" s="95">
        <v>0.01</v>
      </c>
      <c r="O3629" s="95">
        <v>0.04</v>
      </c>
      <c r="P3629" s="95">
        <v>0.11</v>
      </c>
      <c r="Q3629" s="95">
        <v>0.6</v>
      </c>
      <c r="R3629" s="104">
        <v>0.24</v>
      </c>
    </row>
    <row r="3630" spans="1:18" ht="15" hidden="1" customHeight="1" x14ac:dyDescent="0.3">
      <c r="A3630" s="101">
        <v>2025</v>
      </c>
      <c r="B3630" s="90">
        <v>12</v>
      </c>
      <c r="C3630" s="90" t="s">
        <v>733</v>
      </c>
      <c r="D3630" s="90" t="s">
        <v>719</v>
      </c>
      <c r="E3630" s="102" t="s">
        <v>11</v>
      </c>
      <c r="F3630" s="103" t="s">
        <v>45</v>
      </c>
      <c r="G3630" s="93">
        <v>10752.41654</v>
      </c>
      <c r="H3630" s="93">
        <v>28148.162960000001</v>
      </c>
      <c r="I3630" s="93">
        <v>34281.574540000001</v>
      </c>
      <c r="J3630" s="93">
        <v>12159.955449999999</v>
      </c>
      <c r="K3630" s="93">
        <v>712.19698749999998</v>
      </c>
      <c r="L3630" s="93">
        <v>48041.896529999998</v>
      </c>
      <c r="M3630" s="93">
        <v>134096.20000000001</v>
      </c>
      <c r="N3630" s="95">
        <v>0.12</v>
      </c>
      <c r="O3630" s="95">
        <v>0.33</v>
      </c>
      <c r="P3630" s="95">
        <v>0.4</v>
      </c>
      <c r="Q3630" s="95">
        <v>0.14000000000000001</v>
      </c>
      <c r="R3630" s="104">
        <v>0.01</v>
      </c>
    </row>
    <row r="3631" spans="1:18" ht="15" hidden="1" customHeight="1" x14ac:dyDescent="0.3">
      <c r="A3631" s="101">
        <v>2025</v>
      </c>
      <c r="B3631" s="90">
        <v>12</v>
      </c>
      <c r="C3631" s="90" t="s">
        <v>733</v>
      </c>
      <c r="D3631" s="90" t="s">
        <v>719</v>
      </c>
      <c r="E3631" s="102" t="s">
        <v>11</v>
      </c>
      <c r="F3631" s="103" t="s">
        <v>721</v>
      </c>
      <c r="G3631" s="93">
        <v>401.96138550000001</v>
      </c>
      <c r="H3631" s="93">
        <v>15638.54831</v>
      </c>
      <c r="I3631" s="93">
        <v>107526.3438</v>
      </c>
      <c r="J3631" s="93">
        <v>147399.92610000001</v>
      </c>
      <c r="K3631" s="93">
        <v>38359.511839999999</v>
      </c>
      <c r="L3631" s="93">
        <v>4.33795837</v>
      </c>
      <c r="M3631" s="93">
        <v>309330.63</v>
      </c>
      <c r="N3631" s="95">
        <v>0</v>
      </c>
      <c r="O3631" s="95">
        <v>0.05</v>
      </c>
      <c r="P3631" s="95">
        <v>0.35</v>
      </c>
      <c r="Q3631" s="95">
        <v>0.48</v>
      </c>
      <c r="R3631" s="104">
        <v>0.12</v>
      </c>
    </row>
    <row r="3632" spans="1:18" ht="15" hidden="1" customHeight="1" x14ac:dyDescent="0.3">
      <c r="A3632" s="101">
        <v>2025</v>
      </c>
      <c r="B3632" s="90">
        <v>12</v>
      </c>
      <c r="C3632" s="90" t="s">
        <v>733</v>
      </c>
      <c r="D3632" s="90" t="s">
        <v>719</v>
      </c>
      <c r="E3632" s="102" t="s">
        <v>11</v>
      </c>
      <c r="F3632" s="103" t="s">
        <v>46</v>
      </c>
      <c r="G3632" s="93">
        <v>2629.1457059999998</v>
      </c>
      <c r="H3632" s="93">
        <v>13610.50548</v>
      </c>
      <c r="I3632" s="93">
        <v>37303.370629999998</v>
      </c>
      <c r="J3632" s="93">
        <v>71154.765429999999</v>
      </c>
      <c r="K3632" s="93">
        <v>23382.850139999999</v>
      </c>
      <c r="L3632" s="93"/>
      <c r="M3632" s="93">
        <v>148080.64000000001</v>
      </c>
      <c r="N3632" s="95">
        <v>0.02</v>
      </c>
      <c r="O3632" s="95">
        <v>0.09</v>
      </c>
      <c r="P3632" s="95">
        <v>0.25</v>
      </c>
      <c r="Q3632" s="95">
        <v>0.48</v>
      </c>
      <c r="R3632" s="104">
        <v>0.16</v>
      </c>
    </row>
    <row r="3633" spans="1:18" ht="15" hidden="1" customHeight="1" x14ac:dyDescent="0.3">
      <c r="A3633" s="101">
        <v>2025</v>
      </c>
      <c r="B3633" s="90">
        <v>12</v>
      </c>
      <c r="C3633" s="90" t="s">
        <v>733</v>
      </c>
      <c r="D3633" s="90" t="s">
        <v>719</v>
      </c>
      <c r="E3633" s="102" t="s">
        <v>11</v>
      </c>
      <c r="F3633" s="103" t="s">
        <v>47</v>
      </c>
      <c r="G3633" s="93">
        <v>11301.52838</v>
      </c>
      <c r="H3633" s="93">
        <v>198650.3223</v>
      </c>
      <c r="I3633" s="93">
        <v>707096.12349999999</v>
      </c>
      <c r="J3633" s="93">
        <v>348383.87699999998</v>
      </c>
      <c r="K3633" s="93">
        <v>63195.737719999997</v>
      </c>
      <c r="L3633" s="93"/>
      <c r="M3633" s="93">
        <v>1328627.5900000001</v>
      </c>
      <c r="N3633" s="95">
        <v>0.01</v>
      </c>
      <c r="O3633" s="95">
        <v>0.15</v>
      </c>
      <c r="P3633" s="95">
        <v>0.53</v>
      </c>
      <c r="Q3633" s="95">
        <v>0.26</v>
      </c>
      <c r="R3633" s="104">
        <v>0.05</v>
      </c>
    </row>
    <row r="3634" spans="1:18" ht="15" hidden="1" customHeight="1" x14ac:dyDescent="0.3">
      <c r="A3634" s="101">
        <v>2025</v>
      </c>
      <c r="B3634" s="90">
        <v>12</v>
      </c>
      <c r="C3634" s="90" t="s">
        <v>733</v>
      </c>
      <c r="D3634" s="90" t="s">
        <v>719</v>
      </c>
      <c r="E3634" s="102" t="s">
        <v>11</v>
      </c>
      <c r="F3634" s="103" t="s">
        <v>48</v>
      </c>
      <c r="G3634" s="93">
        <v>137.73504310000001</v>
      </c>
      <c r="H3634" s="93">
        <v>985.07261219999998</v>
      </c>
      <c r="I3634" s="93">
        <v>31784.460630000001</v>
      </c>
      <c r="J3634" s="93">
        <v>64520.980080000001</v>
      </c>
      <c r="K3634" s="93">
        <v>4026.2435019999998</v>
      </c>
      <c r="L3634" s="93">
        <v>8859.9799820000007</v>
      </c>
      <c r="M3634" s="93">
        <v>110314.47</v>
      </c>
      <c r="N3634" s="95">
        <v>0</v>
      </c>
      <c r="O3634" s="95">
        <v>0.01</v>
      </c>
      <c r="P3634" s="95">
        <v>0.31</v>
      </c>
      <c r="Q3634" s="95">
        <v>0.64</v>
      </c>
      <c r="R3634" s="104">
        <v>0.04</v>
      </c>
    </row>
    <row r="3635" spans="1:18" ht="15" hidden="1" customHeight="1" x14ac:dyDescent="0.3">
      <c r="A3635" s="101">
        <v>2025</v>
      </c>
      <c r="B3635" s="90">
        <v>12</v>
      </c>
      <c r="C3635" s="90" t="s">
        <v>733</v>
      </c>
      <c r="D3635" s="90" t="s">
        <v>722</v>
      </c>
      <c r="E3635" s="102" t="s">
        <v>11</v>
      </c>
      <c r="F3635" s="103" t="s">
        <v>12</v>
      </c>
      <c r="G3635" s="93">
        <v>8931.6950020000004</v>
      </c>
      <c r="H3635" s="93">
        <v>31328.800319999998</v>
      </c>
      <c r="I3635" s="93">
        <v>75535.133400000006</v>
      </c>
      <c r="J3635" s="93">
        <v>192124.95449999999</v>
      </c>
      <c r="K3635" s="93">
        <v>75457.605479999998</v>
      </c>
      <c r="L3635" s="93">
        <v>48335.313770000001</v>
      </c>
      <c r="M3635" s="93">
        <v>431713.5</v>
      </c>
      <c r="N3635" s="95">
        <v>0.02</v>
      </c>
      <c r="O3635" s="95">
        <v>0.08</v>
      </c>
      <c r="P3635" s="95">
        <v>0.2</v>
      </c>
      <c r="Q3635" s="95">
        <v>0.5</v>
      </c>
      <c r="R3635" s="104">
        <v>0.2</v>
      </c>
    </row>
    <row r="3636" spans="1:18" ht="15" hidden="1" customHeight="1" x14ac:dyDescent="0.3">
      <c r="A3636" s="101">
        <v>2025</v>
      </c>
      <c r="B3636" s="90">
        <v>12</v>
      </c>
      <c r="C3636" s="90" t="s">
        <v>733</v>
      </c>
      <c r="D3636" s="90" t="s">
        <v>722</v>
      </c>
      <c r="E3636" s="102" t="s">
        <v>11</v>
      </c>
      <c r="F3636" s="103" t="s">
        <v>26</v>
      </c>
      <c r="G3636" s="93">
        <v>74350.666790000003</v>
      </c>
      <c r="H3636" s="93">
        <v>85637.181899999996</v>
      </c>
      <c r="I3636" s="93">
        <v>201527.5693</v>
      </c>
      <c r="J3636" s="93">
        <v>560192.96810000006</v>
      </c>
      <c r="K3636" s="93">
        <v>123631.65730000001</v>
      </c>
      <c r="L3636" s="93">
        <v>256733.72330000001</v>
      </c>
      <c r="M3636" s="93">
        <v>1302073.77</v>
      </c>
      <c r="N3636" s="95">
        <v>7.0000000000000007E-2</v>
      </c>
      <c r="O3636" s="95">
        <v>0.08</v>
      </c>
      <c r="P3636" s="95">
        <v>0.19</v>
      </c>
      <c r="Q3636" s="95">
        <v>0.54</v>
      </c>
      <c r="R3636" s="104">
        <v>0.12</v>
      </c>
    </row>
    <row r="3637" spans="1:18" ht="15" hidden="1" customHeight="1" x14ac:dyDescent="0.3">
      <c r="A3637" s="101">
        <v>2025</v>
      </c>
      <c r="B3637" s="90">
        <v>12</v>
      </c>
      <c r="C3637" s="90" t="s">
        <v>733</v>
      </c>
      <c r="D3637" s="90" t="s">
        <v>722</v>
      </c>
      <c r="E3637" s="102" t="s">
        <v>11</v>
      </c>
      <c r="F3637" s="103" t="s">
        <v>27</v>
      </c>
      <c r="G3637" s="93">
        <v>65.231117900000001</v>
      </c>
      <c r="H3637" s="93">
        <v>1746.7207880000001</v>
      </c>
      <c r="I3637" s="93">
        <v>14611.633889999999</v>
      </c>
      <c r="J3637" s="93">
        <v>42662.395640000002</v>
      </c>
      <c r="K3637" s="93">
        <v>164026.1219</v>
      </c>
      <c r="L3637" s="93">
        <v>1454.159592</v>
      </c>
      <c r="M3637" s="93">
        <v>224566.26</v>
      </c>
      <c r="N3637" s="95">
        <v>0</v>
      </c>
      <c r="O3637" s="95">
        <v>0.01</v>
      </c>
      <c r="P3637" s="95">
        <v>7.0000000000000007E-2</v>
      </c>
      <c r="Q3637" s="95">
        <v>0.19</v>
      </c>
      <c r="R3637" s="104">
        <v>0.74</v>
      </c>
    </row>
    <row r="3638" spans="1:18" ht="15" hidden="1" customHeight="1" x14ac:dyDescent="0.3">
      <c r="A3638" s="101">
        <v>2025</v>
      </c>
      <c r="B3638" s="90">
        <v>12</v>
      </c>
      <c r="C3638" s="90" t="s">
        <v>733</v>
      </c>
      <c r="D3638" s="90" t="s">
        <v>722</v>
      </c>
      <c r="E3638" s="102" t="s">
        <v>11</v>
      </c>
      <c r="F3638" s="103" t="s">
        <v>28</v>
      </c>
      <c r="G3638" s="93">
        <v>3708.6265749999998</v>
      </c>
      <c r="H3638" s="93">
        <v>10076.39925</v>
      </c>
      <c r="I3638" s="93">
        <v>33834.473030000001</v>
      </c>
      <c r="J3638" s="93">
        <v>248378.2684</v>
      </c>
      <c r="K3638" s="93">
        <v>73835.836599999995</v>
      </c>
      <c r="L3638" s="93">
        <v>3270.793631</v>
      </c>
      <c r="M3638" s="93">
        <v>373104.4</v>
      </c>
      <c r="N3638" s="95">
        <v>0.01</v>
      </c>
      <c r="O3638" s="95">
        <v>0.03</v>
      </c>
      <c r="P3638" s="95">
        <v>0.09</v>
      </c>
      <c r="Q3638" s="95">
        <v>0.67</v>
      </c>
      <c r="R3638" s="104">
        <v>0.2</v>
      </c>
    </row>
    <row r="3639" spans="1:18" ht="15" customHeight="1" x14ac:dyDescent="0.3">
      <c r="A3639" s="101">
        <v>2025</v>
      </c>
      <c r="B3639" s="90">
        <v>12</v>
      </c>
      <c r="C3639" s="90" t="s">
        <v>733</v>
      </c>
      <c r="D3639" s="90" t="s">
        <v>722</v>
      </c>
      <c r="E3639" s="102" t="s">
        <v>11</v>
      </c>
      <c r="F3639" s="103" t="s">
        <v>29</v>
      </c>
      <c r="G3639" s="93">
        <v>3307.4496060000001</v>
      </c>
      <c r="H3639" s="93">
        <v>16056.12969</v>
      </c>
      <c r="I3639" s="93">
        <v>75967.424050000001</v>
      </c>
      <c r="J3639" s="93">
        <v>177136.05710000001</v>
      </c>
      <c r="K3639" s="93">
        <v>17693.449570000001</v>
      </c>
      <c r="L3639" s="93">
        <v>51025.713259999997</v>
      </c>
      <c r="M3639" s="93">
        <v>341186.22</v>
      </c>
      <c r="N3639" s="95">
        <v>0.01</v>
      </c>
      <c r="O3639" s="95">
        <v>0.06</v>
      </c>
      <c r="P3639" s="95">
        <v>0.26</v>
      </c>
      <c r="Q3639" s="95">
        <v>0.61</v>
      </c>
      <c r="R3639" s="104">
        <v>0.06</v>
      </c>
    </row>
    <row r="3640" spans="1:18" ht="15" hidden="1" customHeight="1" x14ac:dyDescent="0.3">
      <c r="A3640" s="101">
        <v>2025</v>
      </c>
      <c r="B3640" s="90">
        <v>12</v>
      </c>
      <c r="C3640" s="90" t="s">
        <v>733</v>
      </c>
      <c r="D3640" s="90" t="s">
        <v>722</v>
      </c>
      <c r="E3640" s="102" t="s">
        <v>11</v>
      </c>
      <c r="F3640" s="103" t="s">
        <v>30</v>
      </c>
      <c r="G3640" s="93">
        <v>723.10616930000003</v>
      </c>
      <c r="H3640" s="93">
        <v>1801.070379</v>
      </c>
      <c r="I3640" s="93">
        <v>5447.1636609999996</v>
      </c>
      <c r="J3640" s="93">
        <v>5793.8150150000001</v>
      </c>
      <c r="K3640" s="93">
        <v>762.35117449999996</v>
      </c>
      <c r="L3640" s="93">
        <v>215558.72880000001</v>
      </c>
      <c r="M3640" s="93">
        <v>230086.24</v>
      </c>
      <c r="N3640" s="95">
        <v>0.05</v>
      </c>
      <c r="O3640" s="95">
        <v>0.12</v>
      </c>
      <c r="P3640" s="95">
        <v>0.37</v>
      </c>
      <c r="Q3640" s="95">
        <v>0.4</v>
      </c>
      <c r="R3640" s="104">
        <v>0.05</v>
      </c>
    </row>
    <row r="3641" spans="1:18" ht="15" hidden="1" customHeight="1" x14ac:dyDescent="0.3">
      <c r="A3641" s="101">
        <v>2025</v>
      </c>
      <c r="B3641" s="90">
        <v>12</v>
      </c>
      <c r="C3641" s="90" t="s">
        <v>733</v>
      </c>
      <c r="D3641" s="90" t="s">
        <v>722</v>
      </c>
      <c r="E3641" s="102" t="s">
        <v>11</v>
      </c>
      <c r="F3641" s="103" t="s">
        <v>31</v>
      </c>
      <c r="G3641" s="93">
        <v>10464.726849999999</v>
      </c>
      <c r="H3641" s="93">
        <v>111419.3631</v>
      </c>
      <c r="I3641" s="93">
        <v>54467.557150000001</v>
      </c>
      <c r="J3641" s="93">
        <v>23809.86046</v>
      </c>
      <c r="K3641" s="93">
        <v>8082.1445210000002</v>
      </c>
      <c r="L3641" s="93">
        <v>42407.120309999998</v>
      </c>
      <c r="M3641" s="93">
        <v>250650.77</v>
      </c>
      <c r="N3641" s="95">
        <v>0.05</v>
      </c>
      <c r="O3641" s="95">
        <v>0.54</v>
      </c>
      <c r="P3641" s="95">
        <v>0.26</v>
      </c>
      <c r="Q3641" s="95">
        <v>0.11</v>
      </c>
      <c r="R3641" s="104">
        <v>0.04</v>
      </c>
    </row>
    <row r="3642" spans="1:18" ht="15" hidden="1" customHeight="1" x14ac:dyDescent="0.3">
      <c r="A3642" s="101">
        <v>2025</v>
      </c>
      <c r="B3642" s="90">
        <v>12</v>
      </c>
      <c r="C3642" s="90" t="s">
        <v>733</v>
      </c>
      <c r="D3642" s="90" t="s">
        <v>722</v>
      </c>
      <c r="E3642" s="102" t="s">
        <v>11</v>
      </c>
      <c r="F3642" s="103" t="s">
        <v>32</v>
      </c>
      <c r="G3642" s="93">
        <v>753.62115700000004</v>
      </c>
      <c r="H3642" s="93">
        <v>6444.744549</v>
      </c>
      <c r="I3642" s="93">
        <v>31130.568930000001</v>
      </c>
      <c r="J3642" s="93">
        <v>224359.86679999999</v>
      </c>
      <c r="K3642" s="93">
        <v>325377.886</v>
      </c>
      <c r="L3642" s="93">
        <v>21454.02174</v>
      </c>
      <c r="M3642" s="93">
        <v>609520.71</v>
      </c>
      <c r="N3642" s="95">
        <v>0</v>
      </c>
      <c r="O3642" s="95">
        <v>0.01</v>
      </c>
      <c r="P3642" s="95">
        <v>0.05</v>
      </c>
      <c r="Q3642" s="95">
        <v>0.38</v>
      </c>
      <c r="R3642" s="104">
        <v>0.55000000000000004</v>
      </c>
    </row>
    <row r="3643" spans="1:18" ht="15" hidden="1" customHeight="1" x14ac:dyDescent="0.3">
      <c r="A3643" s="101">
        <v>2025</v>
      </c>
      <c r="B3643" s="90">
        <v>12</v>
      </c>
      <c r="C3643" s="90" t="s">
        <v>733</v>
      </c>
      <c r="D3643" s="90" t="s">
        <v>722</v>
      </c>
      <c r="E3643" s="102" t="s">
        <v>11</v>
      </c>
      <c r="F3643" s="103" t="s">
        <v>33</v>
      </c>
      <c r="G3643" s="93">
        <v>21653.150150000001</v>
      </c>
      <c r="H3643" s="93">
        <v>56180.206319999998</v>
      </c>
      <c r="I3643" s="93">
        <v>407710.14279999997</v>
      </c>
      <c r="J3643" s="93">
        <v>757162.16590000002</v>
      </c>
      <c r="K3643" s="93">
        <v>74695.426149999999</v>
      </c>
      <c r="L3643" s="93">
        <v>34654.415670000002</v>
      </c>
      <c r="M3643" s="93">
        <v>1352055.51</v>
      </c>
      <c r="N3643" s="95">
        <v>0.02</v>
      </c>
      <c r="O3643" s="95">
        <v>0.04</v>
      </c>
      <c r="P3643" s="95">
        <v>0.31</v>
      </c>
      <c r="Q3643" s="95">
        <v>0.56999999999999995</v>
      </c>
      <c r="R3643" s="104">
        <v>0.06</v>
      </c>
    </row>
    <row r="3644" spans="1:18" ht="15" hidden="1" customHeight="1" x14ac:dyDescent="0.3">
      <c r="A3644" s="101">
        <v>2025</v>
      </c>
      <c r="B3644" s="90">
        <v>12</v>
      </c>
      <c r="C3644" s="90" t="s">
        <v>733</v>
      </c>
      <c r="D3644" s="90" t="s">
        <v>722</v>
      </c>
      <c r="E3644" s="102" t="s">
        <v>11</v>
      </c>
      <c r="F3644" s="103" t="s">
        <v>34</v>
      </c>
      <c r="G3644" s="93">
        <v>6217.3159569999998</v>
      </c>
      <c r="H3644" s="93">
        <v>18628.141660000001</v>
      </c>
      <c r="I3644" s="93">
        <v>99107.738719999994</v>
      </c>
      <c r="J3644" s="93">
        <v>430972.30690000003</v>
      </c>
      <c r="K3644" s="93">
        <v>124601.1678</v>
      </c>
      <c r="L3644" s="93">
        <v>25548.002110000001</v>
      </c>
      <c r="M3644" s="93">
        <v>705074.67</v>
      </c>
      <c r="N3644" s="95">
        <v>0.01</v>
      </c>
      <c r="O3644" s="95">
        <v>0.03</v>
      </c>
      <c r="P3644" s="95">
        <v>0.15</v>
      </c>
      <c r="Q3644" s="95">
        <v>0.63</v>
      </c>
      <c r="R3644" s="104">
        <v>0.18</v>
      </c>
    </row>
    <row r="3645" spans="1:18" ht="15" hidden="1" customHeight="1" x14ac:dyDescent="0.3">
      <c r="A3645" s="101">
        <v>2025</v>
      </c>
      <c r="B3645" s="90">
        <v>12</v>
      </c>
      <c r="C3645" s="90" t="s">
        <v>733</v>
      </c>
      <c r="D3645" s="90" t="s">
        <v>722</v>
      </c>
      <c r="E3645" s="102" t="s">
        <v>11</v>
      </c>
      <c r="F3645" s="103" t="s">
        <v>35</v>
      </c>
      <c r="G3645" s="93">
        <v>45676.896059999999</v>
      </c>
      <c r="H3645" s="93">
        <v>136556.94500000001</v>
      </c>
      <c r="I3645" s="93">
        <v>114220.302</v>
      </c>
      <c r="J3645" s="93">
        <v>70906.981329999995</v>
      </c>
      <c r="K3645" s="93">
        <v>4996.378678</v>
      </c>
      <c r="L3645" s="93">
        <v>232575.38620000001</v>
      </c>
      <c r="M3645" s="93">
        <v>604932.89</v>
      </c>
      <c r="N3645" s="95">
        <v>0.12</v>
      </c>
      <c r="O3645" s="95">
        <v>0.37</v>
      </c>
      <c r="P3645" s="95">
        <v>0.31</v>
      </c>
      <c r="Q3645" s="95">
        <v>0.19</v>
      </c>
      <c r="R3645" s="104">
        <v>0.01</v>
      </c>
    </row>
    <row r="3646" spans="1:18" ht="15" hidden="1" customHeight="1" x14ac:dyDescent="0.3">
      <c r="A3646" s="101">
        <v>2025</v>
      </c>
      <c r="B3646" s="90">
        <v>12</v>
      </c>
      <c r="C3646" s="90" t="s">
        <v>733</v>
      </c>
      <c r="D3646" s="90" t="s">
        <v>722</v>
      </c>
      <c r="E3646" s="102" t="s">
        <v>11</v>
      </c>
      <c r="F3646" s="103" t="s">
        <v>36</v>
      </c>
      <c r="G3646" s="93">
        <v>1497.1758339999999</v>
      </c>
      <c r="H3646" s="93">
        <v>7054.1549329999998</v>
      </c>
      <c r="I3646" s="93">
        <v>63389.07849</v>
      </c>
      <c r="J3646" s="93">
        <v>146440.0306</v>
      </c>
      <c r="K3646" s="93">
        <v>7258.0376649999998</v>
      </c>
      <c r="L3646" s="93">
        <v>33248.264779999998</v>
      </c>
      <c r="M3646" s="93">
        <v>258886.74</v>
      </c>
      <c r="N3646" s="95">
        <v>0.01</v>
      </c>
      <c r="O3646" s="95">
        <v>0.03</v>
      </c>
      <c r="P3646" s="95">
        <v>0.28000000000000003</v>
      </c>
      <c r="Q3646" s="95">
        <v>0.65</v>
      </c>
      <c r="R3646" s="104">
        <v>0.03</v>
      </c>
    </row>
    <row r="3647" spans="1:18" ht="15" hidden="1" customHeight="1" x14ac:dyDescent="0.3">
      <c r="A3647" s="101">
        <v>2025</v>
      </c>
      <c r="B3647" s="90">
        <v>12</v>
      </c>
      <c r="C3647" s="90" t="s">
        <v>733</v>
      </c>
      <c r="D3647" s="90" t="s">
        <v>722</v>
      </c>
      <c r="E3647" s="102" t="s">
        <v>11</v>
      </c>
      <c r="F3647" s="103" t="s">
        <v>37</v>
      </c>
      <c r="G3647" s="93">
        <v>5698.8302400000002</v>
      </c>
      <c r="H3647" s="93">
        <v>30717.360840000001</v>
      </c>
      <c r="I3647" s="93">
        <v>129549.9047</v>
      </c>
      <c r="J3647" s="93">
        <v>200357.9326</v>
      </c>
      <c r="K3647" s="93">
        <v>14141.148499999999</v>
      </c>
      <c r="L3647" s="93">
        <v>142345.53020000001</v>
      </c>
      <c r="M3647" s="93">
        <v>522810.71</v>
      </c>
      <c r="N3647" s="95">
        <v>0.01</v>
      </c>
      <c r="O3647" s="95">
        <v>0.08</v>
      </c>
      <c r="P3647" s="95">
        <v>0.34</v>
      </c>
      <c r="Q3647" s="95">
        <v>0.53</v>
      </c>
      <c r="R3647" s="104">
        <v>0.04</v>
      </c>
    </row>
    <row r="3648" spans="1:18" ht="15" hidden="1" customHeight="1" x14ac:dyDescent="0.3">
      <c r="A3648" s="101">
        <v>2025</v>
      </c>
      <c r="B3648" s="90">
        <v>12</v>
      </c>
      <c r="C3648" s="90" t="s">
        <v>733</v>
      </c>
      <c r="D3648" s="90" t="s">
        <v>722</v>
      </c>
      <c r="E3648" s="102" t="s">
        <v>11</v>
      </c>
      <c r="F3648" s="103" t="s">
        <v>38</v>
      </c>
      <c r="G3648" s="93">
        <v>71896.172569999995</v>
      </c>
      <c r="H3648" s="93">
        <v>98540.972080000007</v>
      </c>
      <c r="I3648" s="93">
        <v>232839.79500000001</v>
      </c>
      <c r="J3648" s="93">
        <v>344612.33390000003</v>
      </c>
      <c r="K3648" s="93">
        <v>16842.92585</v>
      </c>
      <c r="L3648" s="93">
        <v>158122.5955</v>
      </c>
      <c r="M3648" s="93">
        <v>922854.79</v>
      </c>
      <c r="N3648" s="95">
        <v>0.09</v>
      </c>
      <c r="O3648" s="95">
        <v>0.13</v>
      </c>
      <c r="P3648" s="95">
        <v>0.3</v>
      </c>
      <c r="Q3648" s="95">
        <v>0.45</v>
      </c>
      <c r="R3648" s="104">
        <v>0.02</v>
      </c>
    </row>
    <row r="3649" spans="1:18" ht="15" hidden="1" customHeight="1" x14ac:dyDescent="0.3">
      <c r="A3649" s="101">
        <v>2025</v>
      </c>
      <c r="B3649" s="90">
        <v>12</v>
      </c>
      <c r="C3649" s="90" t="s">
        <v>733</v>
      </c>
      <c r="D3649" s="90" t="s">
        <v>722</v>
      </c>
      <c r="E3649" s="102" t="s">
        <v>11</v>
      </c>
      <c r="F3649" s="103" t="s">
        <v>39</v>
      </c>
      <c r="G3649" s="93">
        <v>2131.5813539999999</v>
      </c>
      <c r="H3649" s="93">
        <v>2902.886418</v>
      </c>
      <c r="I3649" s="93">
        <v>28859.16532</v>
      </c>
      <c r="J3649" s="93">
        <v>163019.36290000001</v>
      </c>
      <c r="K3649" s="93">
        <v>131848.88260000001</v>
      </c>
      <c r="L3649" s="93">
        <v>1174.7104320000001</v>
      </c>
      <c r="M3649" s="93">
        <v>329936.59000000003</v>
      </c>
      <c r="N3649" s="95">
        <v>0.01</v>
      </c>
      <c r="O3649" s="95">
        <v>0.01</v>
      </c>
      <c r="P3649" s="95">
        <v>0.09</v>
      </c>
      <c r="Q3649" s="95">
        <v>0.5</v>
      </c>
      <c r="R3649" s="104">
        <v>0.4</v>
      </c>
    </row>
    <row r="3650" spans="1:18" ht="15" hidden="1" customHeight="1" x14ac:dyDescent="0.3">
      <c r="A3650" s="101">
        <v>2025</v>
      </c>
      <c r="B3650" s="90">
        <v>12</v>
      </c>
      <c r="C3650" s="90" t="s">
        <v>733</v>
      </c>
      <c r="D3650" s="90" t="s">
        <v>722</v>
      </c>
      <c r="E3650" s="102" t="s">
        <v>11</v>
      </c>
      <c r="F3650" s="103" t="s">
        <v>40</v>
      </c>
      <c r="G3650" s="93">
        <v>1502.1471240000001</v>
      </c>
      <c r="H3650" s="93">
        <v>7396.2226979999996</v>
      </c>
      <c r="I3650" s="93">
        <v>52574.81076</v>
      </c>
      <c r="J3650" s="93">
        <v>181008.11859999999</v>
      </c>
      <c r="K3650" s="93">
        <v>78650.797139999995</v>
      </c>
      <c r="L3650" s="93">
        <v>5149.6174179999998</v>
      </c>
      <c r="M3650" s="93">
        <v>326281.71000000002</v>
      </c>
      <c r="N3650" s="95">
        <v>0</v>
      </c>
      <c r="O3650" s="95">
        <v>0.02</v>
      </c>
      <c r="P3650" s="95">
        <v>0.16</v>
      </c>
      <c r="Q3650" s="95">
        <v>0.56000000000000005</v>
      </c>
      <c r="R3650" s="104">
        <v>0.24</v>
      </c>
    </row>
    <row r="3651" spans="1:18" ht="15" hidden="1" customHeight="1" x14ac:dyDescent="0.3">
      <c r="A3651" s="101">
        <v>2025</v>
      </c>
      <c r="B3651" s="90">
        <v>12</v>
      </c>
      <c r="C3651" s="90" t="s">
        <v>733</v>
      </c>
      <c r="D3651" s="90" t="s">
        <v>722</v>
      </c>
      <c r="E3651" s="102" t="s">
        <v>11</v>
      </c>
      <c r="F3651" s="103" t="s">
        <v>41</v>
      </c>
      <c r="G3651" s="93">
        <v>471.04964969999997</v>
      </c>
      <c r="H3651" s="93">
        <v>5536.8081140000004</v>
      </c>
      <c r="I3651" s="93">
        <v>8429.2651829999995</v>
      </c>
      <c r="J3651" s="93">
        <v>3986.5837219999999</v>
      </c>
      <c r="K3651" s="93">
        <v>290.5569739</v>
      </c>
      <c r="L3651" s="93"/>
      <c r="M3651" s="93">
        <v>18714.259999999998</v>
      </c>
      <c r="N3651" s="95">
        <v>0.03</v>
      </c>
      <c r="O3651" s="95">
        <v>0.3</v>
      </c>
      <c r="P3651" s="95">
        <v>0.45</v>
      </c>
      <c r="Q3651" s="95">
        <v>0.21</v>
      </c>
      <c r="R3651" s="104">
        <v>0.02</v>
      </c>
    </row>
    <row r="3652" spans="1:18" ht="15" hidden="1" customHeight="1" x14ac:dyDescent="0.3">
      <c r="A3652" s="101">
        <v>2025</v>
      </c>
      <c r="B3652" s="90">
        <v>12</v>
      </c>
      <c r="C3652" s="90" t="s">
        <v>733</v>
      </c>
      <c r="D3652" s="90" t="s">
        <v>722</v>
      </c>
      <c r="E3652" s="102" t="s">
        <v>11</v>
      </c>
      <c r="F3652" s="103" t="s">
        <v>42</v>
      </c>
      <c r="G3652" s="93">
        <v>10588.82985</v>
      </c>
      <c r="H3652" s="93">
        <v>9569.1180750000003</v>
      </c>
      <c r="I3652" s="93">
        <v>47399.079080000003</v>
      </c>
      <c r="J3652" s="93">
        <v>210022.43849999999</v>
      </c>
      <c r="K3652" s="93">
        <v>322109.89299999998</v>
      </c>
      <c r="L3652" s="93">
        <v>14150.24137</v>
      </c>
      <c r="M3652" s="93">
        <v>613839.6</v>
      </c>
      <c r="N3652" s="95">
        <v>0.02</v>
      </c>
      <c r="O3652" s="95">
        <v>0.02</v>
      </c>
      <c r="P3652" s="95">
        <v>0.08</v>
      </c>
      <c r="Q3652" s="95">
        <v>0.35</v>
      </c>
      <c r="R3652" s="104">
        <v>0.54</v>
      </c>
    </row>
    <row r="3653" spans="1:18" ht="15" hidden="1" customHeight="1" x14ac:dyDescent="0.3">
      <c r="A3653" s="101">
        <v>2025</v>
      </c>
      <c r="B3653" s="90">
        <v>12</v>
      </c>
      <c r="C3653" s="90" t="s">
        <v>733</v>
      </c>
      <c r="D3653" s="90" t="s">
        <v>722</v>
      </c>
      <c r="E3653" s="102" t="s">
        <v>11</v>
      </c>
      <c r="F3653" s="103" t="s">
        <v>43</v>
      </c>
      <c r="G3653" s="93">
        <v>2144.561811</v>
      </c>
      <c r="H3653" s="93">
        <v>12172.208140000001</v>
      </c>
      <c r="I3653" s="93">
        <v>21725.837889999999</v>
      </c>
      <c r="J3653" s="93">
        <v>25992.517489999998</v>
      </c>
      <c r="K3653" s="93">
        <v>6700.6038209999997</v>
      </c>
      <c r="L3653" s="93">
        <v>116839.7919</v>
      </c>
      <c r="M3653" s="93">
        <v>185575.52</v>
      </c>
      <c r="N3653" s="95">
        <v>0.03</v>
      </c>
      <c r="O3653" s="95">
        <v>0.18</v>
      </c>
      <c r="P3653" s="95">
        <v>0.32</v>
      </c>
      <c r="Q3653" s="95">
        <v>0.38</v>
      </c>
      <c r="R3653" s="104">
        <v>0.1</v>
      </c>
    </row>
    <row r="3654" spans="1:18" ht="15" hidden="1" customHeight="1" x14ac:dyDescent="0.3">
      <c r="A3654" s="101">
        <v>2025</v>
      </c>
      <c r="B3654" s="90">
        <v>12</v>
      </c>
      <c r="C3654" s="90" t="s">
        <v>733</v>
      </c>
      <c r="D3654" s="90" t="s">
        <v>722</v>
      </c>
      <c r="E3654" s="102" t="s">
        <v>11</v>
      </c>
      <c r="F3654" s="103" t="s">
        <v>58</v>
      </c>
      <c r="G3654" s="93">
        <v>794.74671239999998</v>
      </c>
      <c r="H3654" s="93">
        <v>4331.8520500000004</v>
      </c>
      <c r="I3654" s="93">
        <v>32016.57386</v>
      </c>
      <c r="J3654" s="93">
        <v>168329.31460000001</v>
      </c>
      <c r="K3654" s="93">
        <v>161912.87650000001</v>
      </c>
      <c r="L3654" s="93">
        <v>4091.7613889999998</v>
      </c>
      <c r="M3654" s="93">
        <v>371477.13</v>
      </c>
      <c r="N3654" s="95">
        <v>0</v>
      </c>
      <c r="O3654" s="95">
        <v>0.01</v>
      </c>
      <c r="P3654" s="95">
        <v>0.09</v>
      </c>
      <c r="Q3654" s="95">
        <v>0.46</v>
      </c>
      <c r="R3654" s="104">
        <v>0.44</v>
      </c>
    </row>
    <row r="3655" spans="1:18" ht="15" hidden="1" customHeight="1" x14ac:dyDescent="0.3">
      <c r="A3655" s="101">
        <v>2025</v>
      </c>
      <c r="B3655" s="90">
        <v>12</v>
      </c>
      <c r="C3655" s="90" t="s">
        <v>733</v>
      </c>
      <c r="D3655" s="90" t="s">
        <v>722</v>
      </c>
      <c r="E3655" s="102" t="s">
        <v>11</v>
      </c>
      <c r="F3655" s="103" t="s">
        <v>44</v>
      </c>
      <c r="G3655" s="93">
        <v>2121.0102780000002</v>
      </c>
      <c r="H3655" s="93">
        <v>5864.1830829999999</v>
      </c>
      <c r="I3655" s="93">
        <v>37257.022429999997</v>
      </c>
      <c r="J3655" s="93">
        <v>124729.7118</v>
      </c>
      <c r="K3655" s="93">
        <v>10114.00741</v>
      </c>
      <c r="L3655" s="93">
        <v>35072.598129999998</v>
      </c>
      <c r="M3655" s="93">
        <v>215158.53</v>
      </c>
      <c r="N3655" s="95">
        <v>0.01</v>
      </c>
      <c r="O3655" s="95">
        <v>0.03</v>
      </c>
      <c r="P3655" s="95">
        <v>0.21</v>
      </c>
      <c r="Q3655" s="95">
        <v>0.69</v>
      </c>
      <c r="R3655" s="104">
        <v>0.06</v>
      </c>
    </row>
    <row r="3656" spans="1:18" ht="15" hidden="1" customHeight="1" x14ac:dyDescent="0.3">
      <c r="A3656" s="101">
        <v>2025</v>
      </c>
      <c r="B3656" s="90">
        <v>12</v>
      </c>
      <c r="C3656" s="90" t="s">
        <v>733</v>
      </c>
      <c r="D3656" s="90" t="s">
        <v>722</v>
      </c>
      <c r="E3656" s="102" t="s">
        <v>11</v>
      </c>
      <c r="F3656" s="103" t="s">
        <v>51</v>
      </c>
      <c r="G3656" s="93">
        <v>2693.5656469999999</v>
      </c>
      <c r="H3656" s="93">
        <v>10850.931409999999</v>
      </c>
      <c r="I3656" s="93">
        <v>23453.34319</v>
      </c>
      <c r="J3656" s="93">
        <v>70185.179539999997</v>
      </c>
      <c r="K3656" s="93">
        <v>103361.0674</v>
      </c>
      <c r="L3656" s="93"/>
      <c r="M3656" s="93">
        <v>210544.09</v>
      </c>
      <c r="N3656" s="95">
        <v>0.01</v>
      </c>
      <c r="O3656" s="95">
        <v>0.05</v>
      </c>
      <c r="P3656" s="95">
        <v>0.11</v>
      </c>
      <c r="Q3656" s="95">
        <v>0.33</v>
      </c>
      <c r="R3656" s="104">
        <v>0.49</v>
      </c>
    </row>
    <row r="3657" spans="1:18" ht="15" hidden="1" customHeight="1" x14ac:dyDescent="0.3">
      <c r="A3657" s="101">
        <v>2025</v>
      </c>
      <c r="B3657" s="90">
        <v>12</v>
      </c>
      <c r="C3657" s="90" t="s">
        <v>733</v>
      </c>
      <c r="D3657" s="90" t="s">
        <v>722</v>
      </c>
      <c r="E3657" s="102" t="s">
        <v>11</v>
      </c>
      <c r="F3657" s="103" t="s">
        <v>45</v>
      </c>
      <c r="G3657" s="93">
        <v>2111.282314</v>
      </c>
      <c r="H3657" s="93">
        <v>6238.0781470000002</v>
      </c>
      <c r="I3657" s="93">
        <v>20772.508020000001</v>
      </c>
      <c r="J3657" s="93">
        <v>48077.09304</v>
      </c>
      <c r="K3657" s="93">
        <v>7263.744205</v>
      </c>
      <c r="L3657" s="93">
        <v>49633.49727</v>
      </c>
      <c r="M3657" s="93">
        <v>134096.20000000001</v>
      </c>
      <c r="N3657" s="95">
        <v>0.02</v>
      </c>
      <c r="O3657" s="95">
        <v>7.0000000000000007E-2</v>
      </c>
      <c r="P3657" s="95">
        <v>0.25</v>
      </c>
      <c r="Q3657" s="95">
        <v>0.56999999999999995</v>
      </c>
      <c r="R3657" s="104">
        <v>0.09</v>
      </c>
    </row>
    <row r="3658" spans="1:18" ht="15" hidden="1" customHeight="1" x14ac:dyDescent="0.3">
      <c r="A3658" s="101">
        <v>2025</v>
      </c>
      <c r="B3658" s="90">
        <v>12</v>
      </c>
      <c r="C3658" s="90" t="s">
        <v>733</v>
      </c>
      <c r="D3658" s="90" t="s">
        <v>722</v>
      </c>
      <c r="E3658" s="102" t="s">
        <v>11</v>
      </c>
      <c r="F3658" s="103" t="s">
        <v>721</v>
      </c>
      <c r="G3658" s="93">
        <v>65.501675000000006</v>
      </c>
      <c r="H3658" s="93">
        <v>1174.572365</v>
      </c>
      <c r="I3658" s="93">
        <v>35629.818679999997</v>
      </c>
      <c r="J3658" s="93">
        <v>138985.53969999999</v>
      </c>
      <c r="K3658" s="93">
        <v>133428.79620000001</v>
      </c>
      <c r="L3658" s="93">
        <v>4.33795837</v>
      </c>
      <c r="M3658" s="93">
        <v>309288.57</v>
      </c>
      <c r="N3658" s="95">
        <v>0</v>
      </c>
      <c r="O3658" s="95">
        <v>0</v>
      </c>
      <c r="P3658" s="95">
        <v>0.12</v>
      </c>
      <c r="Q3658" s="95">
        <v>0.45</v>
      </c>
      <c r="R3658" s="104">
        <v>0.43</v>
      </c>
    </row>
    <row r="3659" spans="1:18" ht="15" hidden="1" customHeight="1" x14ac:dyDescent="0.3">
      <c r="A3659" s="101">
        <v>2025</v>
      </c>
      <c r="B3659" s="90">
        <v>12</v>
      </c>
      <c r="C3659" s="90" t="s">
        <v>733</v>
      </c>
      <c r="D3659" s="90" t="s">
        <v>722</v>
      </c>
      <c r="E3659" s="102" t="s">
        <v>11</v>
      </c>
      <c r="F3659" s="103" t="s">
        <v>46</v>
      </c>
      <c r="G3659" s="93">
        <v>3680.7500909999999</v>
      </c>
      <c r="H3659" s="93">
        <v>18522.966690000001</v>
      </c>
      <c r="I3659" s="93">
        <v>56116.489759999997</v>
      </c>
      <c r="J3659" s="93">
        <v>54495.732250000001</v>
      </c>
      <c r="K3659" s="93">
        <v>15560.227849999999</v>
      </c>
      <c r="L3659" s="93"/>
      <c r="M3659" s="93">
        <v>148376.17000000001</v>
      </c>
      <c r="N3659" s="95">
        <v>0.02</v>
      </c>
      <c r="O3659" s="95">
        <v>0.12</v>
      </c>
      <c r="P3659" s="95">
        <v>0.38</v>
      </c>
      <c r="Q3659" s="95">
        <v>0.37</v>
      </c>
      <c r="R3659" s="104">
        <v>0.1</v>
      </c>
    </row>
    <row r="3660" spans="1:18" ht="15" hidden="1" customHeight="1" x14ac:dyDescent="0.3">
      <c r="A3660" s="101">
        <v>2025</v>
      </c>
      <c r="B3660" s="90">
        <v>12</v>
      </c>
      <c r="C3660" s="90" t="s">
        <v>733</v>
      </c>
      <c r="D3660" s="90" t="s">
        <v>722</v>
      </c>
      <c r="E3660" s="102" t="s">
        <v>11</v>
      </c>
      <c r="F3660" s="103" t="s">
        <v>47</v>
      </c>
      <c r="G3660" s="93">
        <v>13686.69709</v>
      </c>
      <c r="H3660" s="93">
        <v>256872.49040000001</v>
      </c>
      <c r="I3660" s="93">
        <v>747820.77919999999</v>
      </c>
      <c r="J3660" s="93">
        <v>285002.64980000001</v>
      </c>
      <c r="K3660" s="93">
        <v>37777.56594</v>
      </c>
      <c r="L3660" s="93"/>
      <c r="M3660" s="93">
        <v>1341160.18</v>
      </c>
      <c r="N3660" s="95">
        <v>0.01</v>
      </c>
      <c r="O3660" s="95">
        <v>0.19</v>
      </c>
      <c r="P3660" s="95">
        <v>0.56000000000000005</v>
      </c>
      <c r="Q3660" s="95">
        <v>0.21</v>
      </c>
      <c r="R3660" s="104">
        <v>0.03</v>
      </c>
    </row>
    <row r="3661" spans="1:18" ht="15" hidden="1" customHeight="1" x14ac:dyDescent="0.3">
      <c r="A3661" s="101">
        <v>2025</v>
      </c>
      <c r="B3661" s="90">
        <v>12</v>
      </c>
      <c r="C3661" s="90" t="s">
        <v>733</v>
      </c>
      <c r="D3661" s="90" t="s">
        <v>722</v>
      </c>
      <c r="E3661" s="102" t="s">
        <v>11</v>
      </c>
      <c r="F3661" s="103" t="s">
        <v>48</v>
      </c>
      <c r="G3661" s="93">
        <v>98.692840349999997</v>
      </c>
      <c r="H3661" s="93">
        <v>936.12351920000003</v>
      </c>
      <c r="I3661" s="93">
        <v>7548.3097070000003</v>
      </c>
      <c r="J3661" s="93">
        <v>81926.297519999993</v>
      </c>
      <c r="K3661" s="93">
        <v>10880.511109999999</v>
      </c>
      <c r="L3661" s="93">
        <v>8924.5371579999992</v>
      </c>
      <c r="M3661" s="93">
        <v>110314.47</v>
      </c>
      <c r="N3661" s="95">
        <v>0</v>
      </c>
      <c r="O3661" s="95">
        <v>0.01</v>
      </c>
      <c r="P3661" s="95">
        <v>7.0000000000000007E-2</v>
      </c>
      <c r="Q3661" s="95">
        <v>0.81</v>
      </c>
      <c r="R3661" s="104">
        <v>0.11</v>
      </c>
    </row>
  </sheetData>
  <autoFilter ref="A1:R3661">
    <filterColumn colId="5">
      <filters>
        <filter val="BANDA"/>
      </filters>
    </filterColumn>
    <sortState ref="A2:R3661">
      <sortCondition ref="A1:A366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22" sqref="M22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GENERAL</vt:lpstr>
      <vt:lpstr>Provincia 1</vt:lpstr>
      <vt:lpstr>Org tematica</vt:lpstr>
      <vt:lpstr>Lista de bases y notas</vt:lpstr>
      <vt:lpstr>Calculos Ranking</vt:lpstr>
      <vt:lpstr>9 PB3</vt:lpstr>
      <vt:lpstr>9 PB 3 - A</vt:lpstr>
      <vt:lpstr>9 PB 3 - B</vt:lpstr>
      <vt:lpstr>9 PB 3 - C</vt:lpstr>
      <vt:lpstr>43 PB11</vt:lpstr>
      <vt:lpstr>43 PB11 - A</vt:lpstr>
      <vt:lpstr>Hoja3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2026-06-24T12:13:10Z</dcterms:created>
  <dcterms:modified xsi:type="dcterms:W3CDTF">2026-06-29T15:31:26Z</dcterms:modified>
</cp:coreProperties>
</file>