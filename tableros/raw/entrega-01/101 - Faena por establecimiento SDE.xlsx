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álisis" sheetId="1" r:id="rId1"/>
    <sheet name="DATA SDE" sheetId="2" r:id="rId2"/>
  </sheets>
  <definedNames>
    <definedName name="_xlnm._FilterDatabase" localSheetId="1" hidden="1">'DATA SDE'!$A$2:$S$53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P15" i="1"/>
  <c r="P16" i="1"/>
  <c r="P17" i="1"/>
  <c r="P18" i="1"/>
  <c r="P19" i="1"/>
  <c r="P14" i="1"/>
  <c r="D20" i="1"/>
  <c r="E20" i="1"/>
  <c r="F20" i="1"/>
  <c r="G20" i="1"/>
  <c r="H20" i="1"/>
  <c r="I20" i="1"/>
  <c r="J20" i="1"/>
  <c r="K20" i="1"/>
  <c r="L20" i="1"/>
  <c r="M20" i="1"/>
  <c r="N20" i="1"/>
  <c r="O20" i="1"/>
  <c r="C20" i="1"/>
  <c r="P11" i="1"/>
  <c r="P5" i="1"/>
  <c r="P6" i="1"/>
  <c r="P7" i="1"/>
  <c r="P8" i="1"/>
  <c r="P9" i="1"/>
  <c r="P10" i="1"/>
  <c r="P4" i="1"/>
  <c r="D11" i="1"/>
  <c r="E11" i="1"/>
  <c r="F11" i="1"/>
  <c r="G11" i="1"/>
  <c r="H11" i="1"/>
  <c r="I11" i="1"/>
  <c r="J11" i="1"/>
  <c r="K11" i="1"/>
  <c r="L11" i="1"/>
  <c r="M11" i="1"/>
  <c r="N11" i="1"/>
  <c r="O11" i="1"/>
  <c r="C11" i="1"/>
  <c r="F56" i="2"/>
  <c r="G56" i="2"/>
  <c r="H56" i="2"/>
  <c r="I56" i="2"/>
  <c r="J56" i="2"/>
  <c r="K56" i="2"/>
  <c r="L56" i="2"/>
  <c r="M56" i="2"/>
  <c r="N56" i="2"/>
  <c r="O56" i="2"/>
  <c r="P56" i="2"/>
  <c r="Q56" i="2"/>
  <c r="E56" i="2"/>
</calcChain>
</file>

<file path=xl/sharedStrings.xml><?xml version="1.0" encoding="utf-8"?>
<sst xmlns="http://schemas.openxmlformats.org/spreadsheetml/2006/main" count="123" uniqueCount="43">
  <si>
    <t>Nº Est.</t>
  </si>
  <si>
    <t>Cuit Frigorífico</t>
  </si>
  <si>
    <t>Razón Social Frigorifico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</si>
  <si>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</si>
  <si>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</si>
  <si>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</si>
  <si>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</si>
  <si>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</si>
  <si>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</si>
  <si>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</si>
  <si>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</si>
  <si>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</si>
  <si>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</si>
  <si>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</si>
  <si>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</si>
  <si>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</si>
  <si>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Año</t>
  </si>
  <si>
    <t>FRIGORIFICO FORRES BELTRAN SA</t>
  </si>
  <si>
    <t>NORTH TRADING SOLUTIONS S.R.L.</t>
  </si>
  <si>
    <t>MUNICIPALIDAD DE QUIMILI</t>
  </si>
  <si>
    <t>MATADERO MUNICIPAL AÑATUYA</t>
  </si>
  <si>
    <t>MUNICIPALIDAD DE BANDERA</t>
  </si>
  <si>
    <t>MATADERO MUNICIPAL CAMPO GALLO</t>
  </si>
  <si>
    <t>MUNICIPALIDAD DE SUMAMPA</t>
  </si>
  <si>
    <t>FRIGORÍFICO FORRES-BELTRÁN S.A.</t>
  </si>
  <si>
    <t>NORTH TRADING SOLUTIONS SRL</t>
  </si>
  <si>
    <t>FRIGORIFICO FORRES-BELTRAN SA</t>
  </si>
  <si>
    <t>1695</t>
  </si>
  <si>
    <t>FRIGORÍFICO FORRES-BELTRAN SA</t>
  </si>
  <si>
    <t>1181</t>
  </si>
  <si>
    <t>30708419695</t>
  </si>
  <si>
    <t>509</t>
  </si>
  <si>
    <t>30675074417</t>
  </si>
  <si>
    <t>MUNICIPALIDAD DE A#ATUYA</t>
  </si>
  <si>
    <t>257</t>
  </si>
  <si>
    <t>30675058721</t>
  </si>
  <si>
    <t>1618</t>
  </si>
  <si>
    <t>33686659599</t>
  </si>
  <si>
    <t>Totales</t>
  </si>
  <si>
    <t>%</t>
  </si>
  <si>
    <t>RESTO DE LOS AÑOS</t>
  </si>
  <si>
    <t>&gt; EVOLUCION ANUAL POR FRIGORÍFICO</t>
  </si>
  <si>
    <t>&gt; GRAFICOS EVOLUCION (POR LA ALTA CONCENTRACIÓN, NI LA TORTA NI LAS BARRAS APILADAS TIENEN SENTIDO AGRUPANDO - INDIVIDUAL POR FRIGO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</si>
</sst>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\-########\-#"/>
    <numFmt numFmtId="165" formatCode="_ * #,##0.00_ ;_ * \-#,##0.00_ ;_ * &quot;-&quot;??_ ;_ @_ "/>
    <numFmt numFmtId="166" formatCode="_ * #,##0_ ;_ * \-#,##0_ ;_ * &quot;-&quot;??_ ;_ @_ 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48"/>
      </patternFill>
    </fill>
    <fill>
      <patternFill patternType="solid">
        <fgColor theme="0" tint="-4.9989318521683403E-2"/>
        <bgColor indexed="5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5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16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/>
    <xf numFmtId="0" fontId="5" fillId="0" borderId="0" xfId="2" applyNumberFormat="1" applyFont="1" applyFill="1" applyBorder="1"/>
    <xf numFmtId="164" fontId="5" fillId="0" borderId="0" xfId="0" applyNumberFormat="1" applyFont="1" applyFill="1" applyBorder="1"/>
    <xf numFmtId="166" fontId="5" fillId="0" borderId="0" xfId="2" applyNumberFormat="1" applyFont="1" applyFill="1" applyBorder="1"/>
    <xf numFmtId="3" fontId="5" fillId="0" borderId="0" xfId="2" applyNumberFormat="1" applyFont="1" applyFill="1" applyBorder="1"/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3" fontId="0" fillId="0" borderId="0" xfId="0" applyNumberFormat="1" applyFill="1" applyBorder="1" applyAlignment="1"/>
    <xf numFmtId="3" fontId="2" fillId="0" borderId="0" xfId="0" applyNumberFormat="1" applyFont="1" applyFill="1" applyBorder="1" applyAlignment="1"/>
    <xf numFmtId="3" fontId="0" fillId="0" borderId="0" xfId="0" applyNumberFormat="1" applyFont="1" applyFill="1" applyBorder="1" applyAlignment="1"/>
    <xf numFmtId="3" fontId="5" fillId="0" borderId="0" xfId="2" applyNumberFormat="1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3" fontId="8" fillId="0" borderId="0" xfId="0" applyNumberFormat="1" applyFont="1" applyFill="1" applyBorder="1" applyAlignment="1">
      <alignment vertical="center"/>
    </xf>
    <xf numFmtId="3" fontId="2" fillId="4" borderId="0" xfId="0" applyNumberFormat="1" applyFont="1" applyFill="1" applyBorder="1" applyAlignment="1"/>
    <xf numFmtId="3" fontId="6" fillId="4" borderId="0" xfId="2" applyNumberFormat="1" applyFont="1" applyFill="1" applyBorder="1" applyAlignment="1">
      <alignment vertical="center"/>
    </xf>
    <xf numFmtId="3" fontId="0" fillId="4" borderId="0" xfId="0" applyNumberFormat="1" applyFill="1" applyBorder="1" applyAlignment="1"/>
    <xf numFmtId="49" fontId="4" fillId="5" borderId="1" xfId="1" applyNumberFormat="1" applyFont="1" applyFill="1" applyBorder="1" applyAlignment="1">
      <alignment horizontal="center"/>
    </xf>
    <xf numFmtId="3" fontId="9" fillId="4" borderId="2" xfId="0" applyNumberFormat="1" applyFont="1" applyFill="1" applyBorder="1"/>
    <xf numFmtId="49" fontId="4" fillId="3" borderId="2" xfId="1" applyNumberFormat="1" applyFont="1" applyFill="1" applyBorder="1" applyAlignment="1">
      <alignment horizontal="center" vertical="center"/>
    </xf>
    <xf numFmtId="49" fontId="4" fillId="5" borderId="2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3" fontId="2" fillId="0" borderId="0" xfId="0" applyNumberFormat="1" applyFont="1"/>
    <xf numFmtId="0" fontId="2" fillId="0" borderId="0" xfId="0" applyFont="1"/>
    <xf numFmtId="167" fontId="0" fillId="0" borderId="0" xfId="0" applyNumberFormat="1"/>
    <xf numFmtId="167" fontId="2" fillId="0" borderId="0" xfId="0" applyNumberFormat="1" applyFont="1"/>
    <xf numFmtId="0" fontId="9" fillId="0" borderId="0" xfId="0" applyFont="1"/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5"/>
  <sheetViews>
    <sheetView tabSelected="1" workbookViewId="0">
      <selection activeCell="P26" sqref="P26"/>
    </sheetView>
  </sheetViews>
  <sheetFormatPr baseColWidth="10" defaultRowHeight="14.4" x14ac:dyDescent="0.3"/>
  <cols>
    <col min="1" max="1" width="8.88671875" customWidth="1"/>
    <col min="2" max="2" width="33.5546875" bestFit="1" customWidth="1"/>
    <col min="16" max="16" width="9.109375" customWidth="1"/>
  </cols>
  <sheetData>
    <row r="3" spans="1:16" x14ac:dyDescent="0.3"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 t="s">
        <v>14</v>
      </c>
      <c r="O3" s="26" t="s">
        <v>15</v>
      </c>
      <c r="P3" s="25" t="s">
        <v>39</v>
      </c>
    </row>
    <row r="4" spans="1:16" x14ac:dyDescent="0.3">
      <c r="A4" s="29">
        <v>2018</v>
      </c>
      <c r="B4" s="5" t="s">
        <v>17</v>
      </c>
      <c r="C4" s="13">
        <v>15327</v>
      </c>
      <c r="D4" s="13">
        <v>14218</v>
      </c>
      <c r="E4" s="13">
        <v>16826.5</v>
      </c>
      <c r="F4" s="13">
        <v>15334</v>
      </c>
      <c r="G4" s="13">
        <v>16640</v>
      </c>
      <c r="H4" s="13">
        <v>15576</v>
      </c>
      <c r="I4" s="13">
        <v>15054</v>
      </c>
      <c r="J4" s="13">
        <v>15583.5</v>
      </c>
      <c r="K4" s="13">
        <v>13377.75</v>
      </c>
      <c r="L4" s="13">
        <v>14903.5</v>
      </c>
      <c r="M4" s="13">
        <v>14416</v>
      </c>
      <c r="N4" s="13">
        <v>14648</v>
      </c>
      <c r="O4" s="14">
        <v>181904.25</v>
      </c>
      <c r="P4" s="30">
        <f>O4/O$11</f>
        <v>0.92930499164079294</v>
      </c>
    </row>
    <row r="5" spans="1:16" x14ac:dyDescent="0.3">
      <c r="B5" s="5" t="s">
        <v>18</v>
      </c>
      <c r="C5" s="13">
        <v>1052</v>
      </c>
      <c r="D5" s="13">
        <v>602</v>
      </c>
      <c r="E5" s="13">
        <v>803</v>
      </c>
      <c r="F5" s="13">
        <v>627</v>
      </c>
      <c r="G5" s="13">
        <v>686</v>
      </c>
      <c r="H5" s="13">
        <v>774</v>
      </c>
      <c r="I5" s="13">
        <v>962</v>
      </c>
      <c r="J5" s="13">
        <v>1307</v>
      </c>
      <c r="K5" s="13">
        <v>1300</v>
      </c>
      <c r="L5" s="13">
        <v>1364</v>
      </c>
      <c r="M5" s="13">
        <v>831</v>
      </c>
      <c r="N5" s="13">
        <v>904</v>
      </c>
      <c r="O5" s="14">
        <v>11212</v>
      </c>
      <c r="P5" s="30">
        <f t="shared" ref="P5:P10" si="0">O5/O$11</f>
        <v>5.7279406975244231E-2</v>
      </c>
    </row>
    <row r="6" spans="1:16" x14ac:dyDescent="0.3">
      <c r="B6" s="5" t="s">
        <v>19</v>
      </c>
      <c r="C6" s="13">
        <v>163</v>
      </c>
      <c r="D6" s="13">
        <v>129</v>
      </c>
      <c r="E6" s="13">
        <v>44</v>
      </c>
      <c r="F6" s="13">
        <v>86</v>
      </c>
      <c r="G6" s="13">
        <v>125</v>
      </c>
      <c r="H6" s="13">
        <v>135</v>
      </c>
      <c r="I6" s="13">
        <v>138</v>
      </c>
      <c r="J6" s="13">
        <v>70</v>
      </c>
      <c r="K6" s="13">
        <v>46</v>
      </c>
      <c r="L6" s="13">
        <v>95</v>
      </c>
      <c r="M6" s="13">
        <v>107</v>
      </c>
      <c r="N6" s="13">
        <v>110</v>
      </c>
      <c r="O6" s="14">
        <v>1248</v>
      </c>
      <c r="P6" s="30">
        <f t="shared" si="0"/>
        <v>6.3757313507942209E-3</v>
      </c>
    </row>
    <row r="7" spans="1:16" x14ac:dyDescent="0.3">
      <c r="B7" s="5" t="s">
        <v>20</v>
      </c>
      <c r="C7" s="13">
        <v>172</v>
      </c>
      <c r="D7" s="13">
        <v>180</v>
      </c>
      <c r="E7" s="13">
        <v>22</v>
      </c>
      <c r="F7" s="13"/>
      <c r="G7" s="13"/>
      <c r="H7" s="13"/>
      <c r="I7" s="13"/>
      <c r="J7" s="13">
        <v>115</v>
      </c>
      <c r="K7" s="13">
        <v>34</v>
      </c>
      <c r="L7" s="13"/>
      <c r="M7" s="13"/>
      <c r="N7" s="13"/>
      <c r="O7" s="14">
        <v>523</v>
      </c>
      <c r="P7" s="30">
        <f t="shared" si="0"/>
        <v>2.6718810067831548E-3</v>
      </c>
    </row>
    <row r="8" spans="1:16" x14ac:dyDescent="0.3">
      <c r="B8" s="5" t="s">
        <v>21</v>
      </c>
      <c r="C8" s="13">
        <v>69</v>
      </c>
      <c r="D8" s="13">
        <v>37</v>
      </c>
      <c r="E8" s="13">
        <v>4</v>
      </c>
      <c r="F8" s="13"/>
      <c r="G8" s="13"/>
      <c r="H8" s="13">
        <v>16</v>
      </c>
      <c r="I8" s="13">
        <v>32</v>
      </c>
      <c r="J8" s="13">
        <v>49</v>
      </c>
      <c r="K8" s="13"/>
      <c r="L8" s="13"/>
      <c r="M8" s="13">
        <v>35</v>
      </c>
      <c r="N8" s="13">
        <v>136.5</v>
      </c>
      <c r="O8" s="14">
        <v>378.5</v>
      </c>
      <c r="P8" s="30">
        <f t="shared" si="0"/>
        <v>1.9336653175285356E-3</v>
      </c>
    </row>
    <row r="9" spans="1:16" x14ac:dyDescent="0.3">
      <c r="B9" s="5" t="s">
        <v>22</v>
      </c>
      <c r="C9" s="13">
        <v>43</v>
      </c>
      <c r="D9" s="13">
        <v>44</v>
      </c>
      <c r="E9" s="13"/>
      <c r="F9" s="13"/>
      <c r="G9" s="13"/>
      <c r="H9" s="13"/>
      <c r="I9" s="13">
        <v>40</v>
      </c>
      <c r="J9" s="13">
        <v>43</v>
      </c>
      <c r="K9" s="13">
        <v>34</v>
      </c>
      <c r="L9" s="13">
        <v>77</v>
      </c>
      <c r="M9" s="13"/>
      <c r="N9" s="13">
        <v>39.5</v>
      </c>
      <c r="O9" s="14">
        <v>320.5</v>
      </c>
      <c r="P9" s="30">
        <f t="shared" si="0"/>
        <v>1.6373572900076504E-3</v>
      </c>
    </row>
    <row r="10" spans="1:16" x14ac:dyDescent="0.3">
      <c r="B10" s="5" t="s">
        <v>23</v>
      </c>
      <c r="C10" s="13">
        <v>82</v>
      </c>
      <c r="D10" s="13">
        <v>61</v>
      </c>
      <c r="E10" s="13">
        <v>13</v>
      </c>
      <c r="F10" s="13"/>
      <c r="G10" s="13"/>
      <c r="H10" s="13"/>
      <c r="I10" s="13"/>
      <c r="J10" s="13"/>
      <c r="K10" s="13"/>
      <c r="L10" s="13"/>
      <c r="M10" s="13"/>
      <c r="N10" s="13"/>
      <c r="O10" s="14">
        <v>156</v>
      </c>
      <c r="P10" s="30">
        <f t="shared" si="0"/>
        <v>7.9696641884927761E-4</v>
      </c>
    </row>
    <row r="11" spans="1:16" x14ac:dyDescent="0.3">
      <c r="B11" s="27" t="s">
        <v>38</v>
      </c>
      <c r="C11" s="28">
        <f>SUM(C4:C10)</f>
        <v>16908</v>
      </c>
      <c r="D11" s="28">
        <f t="shared" ref="D11:P11" si="1">SUM(D4:D10)</f>
        <v>15271</v>
      </c>
      <c r="E11" s="28">
        <f t="shared" si="1"/>
        <v>17712.5</v>
      </c>
      <c r="F11" s="28">
        <f t="shared" si="1"/>
        <v>16047</v>
      </c>
      <c r="G11" s="28">
        <f t="shared" si="1"/>
        <v>17451</v>
      </c>
      <c r="H11" s="28">
        <f t="shared" si="1"/>
        <v>16501</v>
      </c>
      <c r="I11" s="28">
        <f t="shared" si="1"/>
        <v>16226</v>
      </c>
      <c r="J11" s="28">
        <f t="shared" si="1"/>
        <v>17167.5</v>
      </c>
      <c r="K11" s="28">
        <f t="shared" si="1"/>
        <v>14791.75</v>
      </c>
      <c r="L11" s="28">
        <f t="shared" si="1"/>
        <v>16439.5</v>
      </c>
      <c r="M11" s="28">
        <f t="shared" si="1"/>
        <v>15389</v>
      </c>
      <c r="N11" s="28">
        <f t="shared" si="1"/>
        <v>15838</v>
      </c>
      <c r="O11" s="28">
        <f t="shared" si="1"/>
        <v>195742.25</v>
      </c>
      <c r="P11" s="31">
        <f t="shared" si="1"/>
        <v>1</v>
      </c>
    </row>
    <row r="12" spans="1:16" x14ac:dyDescent="0.3"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1"/>
    </row>
    <row r="13" spans="1:16" x14ac:dyDescent="0.3">
      <c r="C13" s="25" t="s">
        <v>3</v>
      </c>
      <c r="D13" s="25" t="s">
        <v>4</v>
      </c>
      <c r="E13" s="25" t="s">
        <v>5</v>
      </c>
      <c r="F13" s="25" t="s">
        <v>6</v>
      </c>
      <c r="G13" s="25" t="s">
        <v>7</v>
      </c>
      <c r="H13" s="25" t="s">
        <v>8</v>
      </c>
      <c r="I13" s="25" t="s">
        <v>9</v>
      </c>
      <c r="J13" s="25" t="s">
        <v>10</v>
      </c>
      <c r="K13" s="25" t="s">
        <v>11</v>
      </c>
      <c r="L13" s="25" t="s">
        <v>12</v>
      </c>
      <c r="M13" s="25" t="s">
        <v>13</v>
      </c>
      <c r="N13" s="25" t="s">
        <v>14</v>
      </c>
      <c r="O13" s="26" t="s">
        <v>15</v>
      </c>
      <c r="P13" s="25" t="s">
        <v>39</v>
      </c>
    </row>
    <row r="14" spans="1:16" x14ac:dyDescent="0.3">
      <c r="A14" s="29">
        <v>2019</v>
      </c>
      <c r="B14" s="5" t="s">
        <v>17</v>
      </c>
      <c r="C14" s="13">
        <v>13770.5</v>
      </c>
      <c r="D14" s="13">
        <v>12955.5</v>
      </c>
      <c r="E14" s="13">
        <v>12857</v>
      </c>
      <c r="F14" s="13">
        <v>13989</v>
      </c>
      <c r="G14" s="13">
        <v>16075</v>
      </c>
      <c r="H14" s="13">
        <v>14158</v>
      </c>
      <c r="I14" s="13">
        <v>17459</v>
      </c>
      <c r="J14" s="13">
        <v>16910.5</v>
      </c>
      <c r="K14" s="13">
        <v>18203.75</v>
      </c>
      <c r="L14" s="13">
        <v>17698</v>
      </c>
      <c r="M14" s="13">
        <v>15717</v>
      </c>
      <c r="N14" s="13">
        <v>16635</v>
      </c>
      <c r="O14" s="14">
        <v>186428.25</v>
      </c>
      <c r="P14" s="30">
        <f>O14/O$20</f>
        <v>0.95440147131662101</v>
      </c>
    </row>
    <row r="15" spans="1:16" x14ac:dyDescent="0.3">
      <c r="B15" s="5" t="s">
        <v>18</v>
      </c>
      <c r="C15" s="13">
        <v>809</v>
      </c>
      <c r="D15" s="13">
        <v>602</v>
      </c>
      <c r="E15" s="13">
        <v>481</v>
      </c>
      <c r="F15" s="13">
        <v>465</v>
      </c>
      <c r="G15" s="13">
        <v>620</v>
      </c>
      <c r="H15" s="13">
        <v>496</v>
      </c>
      <c r="I15" s="13">
        <v>572</v>
      </c>
      <c r="J15" s="13">
        <v>528</v>
      </c>
      <c r="K15" s="13">
        <v>392</v>
      </c>
      <c r="L15" s="13">
        <v>510</v>
      </c>
      <c r="M15" s="13">
        <v>449</v>
      </c>
      <c r="N15" s="13">
        <v>565</v>
      </c>
      <c r="O15" s="14">
        <v>6489</v>
      </c>
      <c r="P15" s="30">
        <f t="shared" ref="P15:P19" si="2">O15/O$20</f>
        <v>3.3219810556466382E-2</v>
      </c>
    </row>
    <row r="16" spans="1:16" x14ac:dyDescent="0.3">
      <c r="B16" s="5" t="s">
        <v>19</v>
      </c>
      <c r="C16" s="13">
        <v>82</v>
      </c>
      <c r="D16" s="13">
        <v>56</v>
      </c>
      <c r="E16" s="13">
        <v>95</v>
      </c>
      <c r="F16" s="13">
        <v>74</v>
      </c>
      <c r="G16" s="13">
        <v>71</v>
      </c>
      <c r="H16" s="13">
        <v>57</v>
      </c>
      <c r="I16" s="13">
        <v>74</v>
      </c>
      <c r="J16" s="13">
        <v>77</v>
      </c>
      <c r="K16" s="13">
        <v>55</v>
      </c>
      <c r="L16" s="13">
        <v>55</v>
      </c>
      <c r="M16" s="13">
        <v>76</v>
      </c>
      <c r="N16" s="13">
        <v>62</v>
      </c>
      <c r="O16" s="14">
        <v>834</v>
      </c>
      <c r="P16" s="30">
        <f t="shared" si="2"/>
        <v>4.2695826790095492E-3</v>
      </c>
    </row>
    <row r="17" spans="2:16" x14ac:dyDescent="0.3">
      <c r="B17" s="5" t="s">
        <v>21</v>
      </c>
      <c r="C17" s="13">
        <v>94</v>
      </c>
      <c r="D17" s="13">
        <v>84</v>
      </c>
      <c r="E17" s="13">
        <v>32</v>
      </c>
      <c r="F17" s="13">
        <v>56.5</v>
      </c>
      <c r="G17" s="13">
        <v>29</v>
      </c>
      <c r="H17" s="13">
        <v>48</v>
      </c>
      <c r="I17" s="13">
        <v>42</v>
      </c>
      <c r="J17" s="13">
        <v>65</v>
      </c>
      <c r="K17" s="13">
        <v>52</v>
      </c>
      <c r="L17" s="13">
        <v>41</v>
      </c>
      <c r="M17" s="13">
        <v>54</v>
      </c>
      <c r="N17" s="13">
        <v>182.5</v>
      </c>
      <c r="O17" s="14">
        <v>780</v>
      </c>
      <c r="P17" s="30">
        <f t="shared" si="2"/>
        <v>3.9931348796492187E-3</v>
      </c>
    </row>
    <row r="18" spans="2:16" x14ac:dyDescent="0.3">
      <c r="B18" s="5" t="s">
        <v>22</v>
      </c>
      <c r="C18" s="13">
        <v>61</v>
      </c>
      <c r="D18" s="13">
        <v>61</v>
      </c>
      <c r="E18" s="13">
        <v>56</v>
      </c>
      <c r="F18" s="13">
        <v>52</v>
      </c>
      <c r="G18" s="13">
        <v>71</v>
      </c>
      <c r="H18" s="13">
        <v>47</v>
      </c>
      <c r="I18" s="13">
        <v>50</v>
      </c>
      <c r="J18" s="13">
        <v>42</v>
      </c>
      <c r="K18" s="13">
        <v>55</v>
      </c>
      <c r="L18" s="13">
        <v>53</v>
      </c>
      <c r="M18" s="13">
        <v>37</v>
      </c>
      <c r="N18" s="13">
        <v>56</v>
      </c>
      <c r="O18" s="14">
        <v>641</v>
      </c>
      <c r="P18" s="30">
        <f t="shared" si="2"/>
        <v>3.2815377664809605E-3</v>
      </c>
    </row>
    <row r="19" spans="2:16" x14ac:dyDescent="0.3">
      <c r="B19" s="5" t="s">
        <v>20</v>
      </c>
      <c r="C19" s="13"/>
      <c r="D19" s="13"/>
      <c r="E19" s="13"/>
      <c r="F19" s="13"/>
      <c r="G19" s="13"/>
      <c r="H19" s="13"/>
      <c r="I19" s="13"/>
      <c r="J19" s="13"/>
      <c r="K19" s="13">
        <v>24</v>
      </c>
      <c r="L19" s="13">
        <v>41</v>
      </c>
      <c r="M19" s="13">
        <v>14</v>
      </c>
      <c r="N19" s="13">
        <v>84</v>
      </c>
      <c r="O19" s="14">
        <v>163</v>
      </c>
      <c r="P19" s="30">
        <f t="shared" si="2"/>
        <v>8.3446280177284951E-4</v>
      </c>
    </row>
    <row r="20" spans="2:16" x14ac:dyDescent="0.3">
      <c r="B20" s="27" t="s">
        <v>38</v>
      </c>
      <c r="C20" s="28">
        <f>SUM(C14:C19)</f>
        <v>14816.5</v>
      </c>
      <c r="D20" s="28">
        <f t="shared" ref="D20:P20" si="3">SUM(D14:D19)</f>
        <v>13758.5</v>
      </c>
      <c r="E20" s="28">
        <f t="shared" si="3"/>
        <v>13521</v>
      </c>
      <c r="F20" s="28">
        <f t="shared" si="3"/>
        <v>14636.5</v>
      </c>
      <c r="G20" s="28">
        <f t="shared" si="3"/>
        <v>16866</v>
      </c>
      <c r="H20" s="28">
        <f t="shared" si="3"/>
        <v>14806</v>
      </c>
      <c r="I20" s="28">
        <f t="shared" si="3"/>
        <v>18197</v>
      </c>
      <c r="J20" s="28">
        <f t="shared" si="3"/>
        <v>17622.5</v>
      </c>
      <c r="K20" s="28">
        <f t="shared" si="3"/>
        <v>18781.75</v>
      </c>
      <c r="L20" s="28">
        <f t="shared" si="3"/>
        <v>18398</v>
      </c>
      <c r="M20" s="28">
        <f t="shared" si="3"/>
        <v>16347</v>
      </c>
      <c r="N20" s="28">
        <f t="shared" si="3"/>
        <v>17584.5</v>
      </c>
      <c r="O20" s="28">
        <f t="shared" si="3"/>
        <v>195335.25</v>
      </c>
      <c r="P20" s="31">
        <f t="shared" si="3"/>
        <v>1</v>
      </c>
    </row>
    <row r="22" spans="2:16" x14ac:dyDescent="0.3">
      <c r="F22" s="32" t="s">
        <v>40</v>
      </c>
    </row>
    <row r="24" spans="2:16" x14ac:dyDescent="0.3">
      <c r="C24" s="32" t="s">
        <v>41</v>
      </c>
    </row>
    <row r="25" spans="2:16" x14ac:dyDescent="0.3">
      <c r="C25" s="3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S56"/>
  <sheetViews>
    <sheetView topLeftCell="C1" workbookViewId="0">
      <pane ySplit="2" topLeftCell="A3" activePane="bottomLeft" state="frozen"/>
      <selection pane="bottomLeft" activeCell="C15" sqref="C15"/>
    </sheetView>
  </sheetViews>
  <sheetFormatPr baseColWidth="10" defaultRowHeight="14.4" x14ac:dyDescent="0.3"/>
  <cols>
    <col min="1" max="1" width="11.21875" customWidth="1"/>
    <col min="2" max="2" width="18.5546875" customWidth="1"/>
    <col min="3" max="3" width="38.44140625" customWidth="1"/>
    <col min="4" max="4" width="8.88671875" customWidth="1"/>
    <col min="5" max="5" width="11.21875" bestFit="1" customWidth="1"/>
    <col min="6" max="6" width="13" bestFit="1" customWidth="1"/>
    <col min="7" max="7" width="11.88671875" bestFit="1" customWidth="1"/>
    <col min="8" max="8" width="10.33203125" bestFit="1" customWidth="1"/>
    <col min="9" max="9" width="10.77734375" bestFit="1" customWidth="1"/>
    <col min="10" max="10" width="10.6640625" bestFit="1" customWidth="1"/>
    <col min="11" max="11" width="10.21875" bestFit="1" customWidth="1"/>
    <col min="12" max="12" width="8.109375" bestFit="1" customWidth="1"/>
    <col min="13" max="13" width="11.6640625" bestFit="1" customWidth="1"/>
    <col min="14" max="14" width="9" bestFit="1" customWidth="1"/>
    <col min="15" max="15" width="11.44140625" bestFit="1" customWidth="1"/>
    <col min="16" max="16" width="10.44140625" bestFit="1" customWidth="1"/>
    <col min="17" max="17" width="10.88671875" customWidth="1"/>
  </cols>
  <sheetData>
    <row r="2" spans="1:17" x14ac:dyDescent="0.3">
      <c r="A2" s="1" t="s">
        <v>0</v>
      </c>
      <c r="B2" s="1" t="s">
        <v>1</v>
      </c>
      <c r="C2" s="1" t="s">
        <v>2</v>
      </c>
      <c r="D2" s="1" t="s">
        <v>16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3" t="s">
        <v>15</v>
      </c>
    </row>
    <row r="3" spans="1:17" s="5" customFormat="1" hidden="1" x14ac:dyDescent="0.3">
      <c r="A3" s="3">
        <v>1695</v>
      </c>
      <c r="B3" s="4">
        <v>30710014287</v>
      </c>
      <c r="C3" s="5" t="s">
        <v>17</v>
      </c>
      <c r="D3" s="5">
        <v>2018</v>
      </c>
      <c r="E3" s="13">
        <v>15327</v>
      </c>
      <c r="F3" s="13">
        <v>14218</v>
      </c>
      <c r="G3" s="13">
        <v>16826.5</v>
      </c>
      <c r="H3" s="13">
        <v>15334</v>
      </c>
      <c r="I3" s="13">
        <v>16640</v>
      </c>
      <c r="J3" s="13">
        <v>15576</v>
      </c>
      <c r="K3" s="13">
        <v>15054</v>
      </c>
      <c r="L3" s="13">
        <v>15583.5</v>
      </c>
      <c r="M3" s="13">
        <v>13377.75</v>
      </c>
      <c r="N3" s="13">
        <v>14903.5</v>
      </c>
      <c r="O3" s="13">
        <v>14416</v>
      </c>
      <c r="P3" s="13">
        <v>14648</v>
      </c>
      <c r="Q3" s="14">
        <v>181904.25</v>
      </c>
    </row>
    <row r="4" spans="1:17" s="5" customFormat="1" hidden="1" x14ac:dyDescent="0.3">
      <c r="A4" s="3">
        <v>1181</v>
      </c>
      <c r="B4" s="4">
        <v>30708419695</v>
      </c>
      <c r="C4" s="5" t="s">
        <v>18</v>
      </c>
      <c r="D4" s="5">
        <v>2018</v>
      </c>
      <c r="E4" s="13">
        <v>1052</v>
      </c>
      <c r="F4" s="13">
        <v>602</v>
      </c>
      <c r="G4" s="13">
        <v>803</v>
      </c>
      <c r="H4" s="13">
        <v>627</v>
      </c>
      <c r="I4" s="13">
        <v>686</v>
      </c>
      <c r="J4" s="13">
        <v>774</v>
      </c>
      <c r="K4" s="13">
        <v>962</v>
      </c>
      <c r="L4" s="13">
        <v>1307</v>
      </c>
      <c r="M4" s="13">
        <v>1300</v>
      </c>
      <c r="N4" s="13">
        <v>1364</v>
      </c>
      <c r="O4" s="13">
        <v>831</v>
      </c>
      <c r="P4" s="13">
        <v>904</v>
      </c>
      <c r="Q4" s="14">
        <v>11212</v>
      </c>
    </row>
    <row r="5" spans="1:17" s="5" customFormat="1" hidden="1" x14ac:dyDescent="0.3">
      <c r="A5" s="3">
        <v>800</v>
      </c>
      <c r="B5" s="4">
        <v>30999135060</v>
      </c>
      <c r="C5" s="5" t="s">
        <v>19</v>
      </c>
      <c r="D5" s="5">
        <v>2018</v>
      </c>
      <c r="E5" s="13">
        <v>163</v>
      </c>
      <c r="F5" s="13">
        <v>129</v>
      </c>
      <c r="G5" s="13">
        <v>44</v>
      </c>
      <c r="H5" s="13">
        <v>86</v>
      </c>
      <c r="I5" s="13">
        <v>125</v>
      </c>
      <c r="J5" s="13">
        <v>135</v>
      </c>
      <c r="K5" s="13">
        <v>138</v>
      </c>
      <c r="L5" s="13">
        <v>70</v>
      </c>
      <c r="M5" s="13">
        <v>46</v>
      </c>
      <c r="N5" s="13">
        <v>95</v>
      </c>
      <c r="O5" s="13">
        <v>107</v>
      </c>
      <c r="P5" s="13">
        <v>110</v>
      </c>
      <c r="Q5" s="14">
        <v>1248</v>
      </c>
    </row>
    <row r="6" spans="1:17" s="5" customFormat="1" hidden="1" x14ac:dyDescent="0.3">
      <c r="A6" s="3">
        <v>509</v>
      </c>
      <c r="B6" s="4">
        <v>30675074417</v>
      </c>
      <c r="C6" s="5" t="s">
        <v>20</v>
      </c>
      <c r="D6" s="5">
        <v>2018</v>
      </c>
      <c r="E6" s="13">
        <v>172</v>
      </c>
      <c r="F6" s="13">
        <v>180</v>
      </c>
      <c r="G6" s="13">
        <v>22</v>
      </c>
      <c r="H6" s="13"/>
      <c r="I6" s="13"/>
      <c r="J6" s="13"/>
      <c r="K6" s="13"/>
      <c r="L6" s="13">
        <v>115</v>
      </c>
      <c r="M6" s="13">
        <v>34</v>
      </c>
      <c r="N6" s="13"/>
      <c r="O6" s="13"/>
      <c r="P6" s="13"/>
      <c r="Q6" s="14">
        <v>523</v>
      </c>
    </row>
    <row r="7" spans="1:17" s="5" customFormat="1" hidden="1" x14ac:dyDescent="0.3">
      <c r="A7" s="3">
        <v>257</v>
      </c>
      <c r="B7" s="4">
        <v>30675058721</v>
      </c>
      <c r="C7" s="5" t="s">
        <v>21</v>
      </c>
      <c r="D7" s="5">
        <v>2018</v>
      </c>
      <c r="E7" s="13">
        <v>69</v>
      </c>
      <c r="F7" s="13">
        <v>37</v>
      </c>
      <c r="G7" s="13">
        <v>4</v>
      </c>
      <c r="H7" s="13"/>
      <c r="I7" s="13"/>
      <c r="J7" s="13">
        <v>16</v>
      </c>
      <c r="K7" s="13">
        <v>32</v>
      </c>
      <c r="L7" s="13">
        <v>49</v>
      </c>
      <c r="M7" s="13"/>
      <c r="N7" s="13"/>
      <c r="O7" s="13">
        <v>35</v>
      </c>
      <c r="P7" s="13">
        <v>136.5</v>
      </c>
      <c r="Q7" s="14">
        <v>378.5</v>
      </c>
    </row>
    <row r="8" spans="1:17" s="5" customFormat="1" hidden="1" x14ac:dyDescent="0.3">
      <c r="A8" s="3">
        <v>1618</v>
      </c>
      <c r="B8" s="4">
        <v>33686659599</v>
      </c>
      <c r="C8" s="5" t="s">
        <v>22</v>
      </c>
      <c r="D8" s="5">
        <v>2018</v>
      </c>
      <c r="E8" s="13">
        <v>43</v>
      </c>
      <c r="F8" s="13">
        <v>44</v>
      </c>
      <c r="G8" s="13"/>
      <c r="H8" s="13"/>
      <c r="I8" s="13"/>
      <c r="J8" s="13"/>
      <c r="K8" s="13">
        <v>40</v>
      </c>
      <c r="L8" s="13">
        <v>43</v>
      </c>
      <c r="M8" s="13">
        <v>34</v>
      </c>
      <c r="N8" s="13">
        <v>77</v>
      </c>
      <c r="O8" s="13"/>
      <c r="P8" s="13">
        <v>39.5</v>
      </c>
      <c r="Q8" s="14">
        <v>320.5</v>
      </c>
    </row>
    <row r="9" spans="1:17" s="5" customFormat="1" hidden="1" x14ac:dyDescent="0.3">
      <c r="A9" s="3">
        <v>1491</v>
      </c>
      <c r="B9" s="4">
        <v>30999092825</v>
      </c>
      <c r="C9" s="5" t="s">
        <v>23</v>
      </c>
      <c r="D9" s="5">
        <v>2018</v>
      </c>
      <c r="E9" s="13">
        <v>82</v>
      </c>
      <c r="F9" s="13">
        <v>61</v>
      </c>
      <c r="G9" s="13">
        <v>13</v>
      </c>
      <c r="H9" s="13"/>
      <c r="I9" s="13"/>
      <c r="J9" s="13"/>
      <c r="K9" s="13"/>
      <c r="L9" s="13"/>
      <c r="M9" s="13"/>
      <c r="N9" s="13"/>
      <c r="O9" s="13"/>
      <c r="P9" s="13"/>
      <c r="Q9" s="14">
        <v>156</v>
      </c>
    </row>
    <row r="10" spans="1:17" s="5" customFormat="1" x14ac:dyDescent="0.3">
      <c r="A10" s="3">
        <v>1695</v>
      </c>
      <c r="B10" s="4">
        <v>30710014287</v>
      </c>
      <c r="C10" s="5" t="s">
        <v>17</v>
      </c>
      <c r="D10" s="5">
        <v>2019</v>
      </c>
      <c r="E10" s="13">
        <v>13770.5</v>
      </c>
      <c r="F10" s="13">
        <v>12955.5</v>
      </c>
      <c r="G10" s="13">
        <v>12857</v>
      </c>
      <c r="H10" s="13">
        <v>13989</v>
      </c>
      <c r="I10" s="13">
        <v>16075</v>
      </c>
      <c r="J10" s="13">
        <v>14158</v>
      </c>
      <c r="K10" s="13">
        <v>17459</v>
      </c>
      <c r="L10" s="13">
        <v>16910.5</v>
      </c>
      <c r="M10" s="13">
        <v>18203.75</v>
      </c>
      <c r="N10" s="13">
        <v>17698</v>
      </c>
      <c r="O10" s="13">
        <v>15717</v>
      </c>
      <c r="P10" s="13">
        <v>16635</v>
      </c>
      <c r="Q10" s="14">
        <v>186428.25</v>
      </c>
    </row>
    <row r="11" spans="1:17" s="5" customFormat="1" x14ac:dyDescent="0.3">
      <c r="A11" s="3">
        <v>1181</v>
      </c>
      <c r="B11" s="4">
        <v>30708419695</v>
      </c>
      <c r="C11" s="5" t="s">
        <v>18</v>
      </c>
      <c r="D11" s="5">
        <v>2019</v>
      </c>
      <c r="E11" s="13">
        <v>809</v>
      </c>
      <c r="F11" s="13">
        <v>602</v>
      </c>
      <c r="G11" s="13">
        <v>481</v>
      </c>
      <c r="H11" s="13">
        <v>465</v>
      </c>
      <c r="I11" s="13">
        <v>620</v>
      </c>
      <c r="J11" s="13">
        <v>496</v>
      </c>
      <c r="K11" s="13">
        <v>572</v>
      </c>
      <c r="L11" s="13">
        <v>528</v>
      </c>
      <c r="M11" s="13">
        <v>392</v>
      </c>
      <c r="N11" s="13">
        <v>510</v>
      </c>
      <c r="O11" s="13">
        <v>449</v>
      </c>
      <c r="P11" s="13">
        <v>565</v>
      </c>
      <c r="Q11" s="14">
        <v>6489</v>
      </c>
    </row>
    <row r="12" spans="1:17" s="5" customFormat="1" x14ac:dyDescent="0.3">
      <c r="A12" s="3">
        <v>800</v>
      </c>
      <c r="B12" s="4">
        <v>30999135060</v>
      </c>
      <c r="C12" s="5" t="s">
        <v>19</v>
      </c>
      <c r="D12" s="5">
        <v>2019</v>
      </c>
      <c r="E12" s="13">
        <v>82</v>
      </c>
      <c r="F12" s="13">
        <v>56</v>
      </c>
      <c r="G12" s="13">
        <v>95</v>
      </c>
      <c r="H12" s="13">
        <v>74</v>
      </c>
      <c r="I12" s="13">
        <v>71</v>
      </c>
      <c r="J12" s="13">
        <v>57</v>
      </c>
      <c r="K12" s="13">
        <v>74</v>
      </c>
      <c r="L12" s="13">
        <v>77</v>
      </c>
      <c r="M12" s="13">
        <v>55</v>
      </c>
      <c r="N12" s="13">
        <v>55</v>
      </c>
      <c r="O12" s="13">
        <v>76</v>
      </c>
      <c r="P12" s="13">
        <v>62</v>
      </c>
      <c r="Q12" s="14">
        <v>834</v>
      </c>
    </row>
    <row r="13" spans="1:17" s="5" customFormat="1" x14ac:dyDescent="0.3">
      <c r="A13" s="3">
        <v>257</v>
      </c>
      <c r="B13" s="4">
        <v>30675058721</v>
      </c>
      <c r="C13" s="5" t="s">
        <v>21</v>
      </c>
      <c r="D13" s="5">
        <v>2019</v>
      </c>
      <c r="E13" s="13">
        <v>94</v>
      </c>
      <c r="F13" s="13">
        <v>84</v>
      </c>
      <c r="G13" s="13">
        <v>32</v>
      </c>
      <c r="H13" s="13">
        <v>56.5</v>
      </c>
      <c r="I13" s="13">
        <v>29</v>
      </c>
      <c r="J13" s="13">
        <v>48</v>
      </c>
      <c r="K13" s="13">
        <v>42</v>
      </c>
      <c r="L13" s="13">
        <v>65</v>
      </c>
      <c r="M13" s="13">
        <v>52</v>
      </c>
      <c r="N13" s="13">
        <v>41</v>
      </c>
      <c r="O13" s="13">
        <v>54</v>
      </c>
      <c r="P13" s="13">
        <v>182.5</v>
      </c>
      <c r="Q13" s="14">
        <v>780</v>
      </c>
    </row>
    <row r="14" spans="1:17" s="5" customFormat="1" x14ac:dyDescent="0.3">
      <c r="A14" s="3">
        <v>1618</v>
      </c>
      <c r="B14" s="4">
        <v>33686659599</v>
      </c>
      <c r="C14" s="5" t="s">
        <v>22</v>
      </c>
      <c r="D14" s="5">
        <v>2019</v>
      </c>
      <c r="E14" s="13">
        <v>61</v>
      </c>
      <c r="F14" s="13">
        <v>61</v>
      </c>
      <c r="G14" s="13">
        <v>56</v>
      </c>
      <c r="H14" s="13">
        <v>52</v>
      </c>
      <c r="I14" s="13">
        <v>71</v>
      </c>
      <c r="J14" s="13">
        <v>47</v>
      </c>
      <c r="K14" s="13">
        <v>50</v>
      </c>
      <c r="L14" s="13">
        <v>42</v>
      </c>
      <c r="M14" s="13">
        <v>55</v>
      </c>
      <c r="N14" s="13">
        <v>53</v>
      </c>
      <c r="O14" s="13">
        <v>37</v>
      </c>
      <c r="P14" s="13">
        <v>56</v>
      </c>
      <c r="Q14" s="14">
        <v>641</v>
      </c>
    </row>
    <row r="15" spans="1:17" s="5" customFormat="1" x14ac:dyDescent="0.3">
      <c r="A15" s="3">
        <v>509</v>
      </c>
      <c r="B15" s="4">
        <v>30675074417</v>
      </c>
      <c r="C15" s="5" t="s">
        <v>20</v>
      </c>
      <c r="D15" s="5">
        <v>2019</v>
      </c>
      <c r="E15" s="13"/>
      <c r="F15" s="13"/>
      <c r="G15" s="13"/>
      <c r="H15" s="13"/>
      <c r="I15" s="13"/>
      <c r="J15" s="13"/>
      <c r="K15" s="13"/>
      <c r="L15" s="13"/>
      <c r="M15" s="13">
        <v>24</v>
      </c>
      <c r="N15" s="13">
        <v>41</v>
      </c>
      <c r="O15" s="13">
        <v>14</v>
      </c>
      <c r="P15" s="13">
        <v>84</v>
      </c>
      <c r="Q15" s="14">
        <v>163</v>
      </c>
    </row>
    <row r="16" spans="1:17" s="5" customFormat="1" hidden="1" x14ac:dyDescent="0.3">
      <c r="A16" s="3">
        <v>1695</v>
      </c>
      <c r="B16" s="4">
        <v>30710014287</v>
      </c>
      <c r="C16" s="5" t="s">
        <v>24</v>
      </c>
      <c r="D16" s="5">
        <v>2020</v>
      </c>
      <c r="E16" s="13">
        <v>13364</v>
      </c>
      <c r="F16" s="13">
        <v>11579</v>
      </c>
      <c r="G16" s="13">
        <v>12154</v>
      </c>
      <c r="H16" s="13">
        <v>15835</v>
      </c>
      <c r="I16" s="13">
        <v>14316</v>
      </c>
      <c r="J16" s="13">
        <v>15829.5</v>
      </c>
      <c r="K16" s="13">
        <v>17591.75</v>
      </c>
      <c r="L16" s="13">
        <v>13813</v>
      </c>
      <c r="M16" s="13">
        <v>15927</v>
      </c>
      <c r="N16" s="13">
        <v>13935</v>
      </c>
      <c r="O16" s="13">
        <v>12323</v>
      </c>
      <c r="P16" s="13">
        <v>14322</v>
      </c>
      <c r="Q16" s="14">
        <v>170989.25</v>
      </c>
    </row>
    <row r="17" spans="1:19" s="5" customFormat="1" hidden="1" x14ac:dyDescent="0.3">
      <c r="A17" s="3">
        <v>1181</v>
      </c>
      <c r="B17" s="4">
        <v>30708419695</v>
      </c>
      <c r="C17" s="5" t="s">
        <v>25</v>
      </c>
      <c r="D17" s="5">
        <v>2020</v>
      </c>
      <c r="E17" s="13">
        <v>445</v>
      </c>
      <c r="F17" s="13">
        <v>458</v>
      </c>
      <c r="G17" s="13">
        <v>230</v>
      </c>
      <c r="H17" s="13">
        <v>417</v>
      </c>
      <c r="I17" s="13">
        <v>275</v>
      </c>
      <c r="J17" s="13">
        <v>546</v>
      </c>
      <c r="K17" s="13">
        <v>915</v>
      </c>
      <c r="L17" s="13">
        <v>714</v>
      </c>
      <c r="M17" s="13">
        <v>904</v>
      </c>
      <c r="N17" s="13">
        <v>840</v>
      </c>
      <c r="O17" s="13">
        <v>708</v>
      </c>
      <c r="P17" s="13">
        <v>711</v>
      </c>
      <c r="Q17" s="14">
        <v>7163</v>
      </c>
    </row>
    <row r="18" spans="1:19" s="5" customFormat="1" hidden="1" x14ac:dyDescent="0.3">
      <c r="A18" s="3">
        <v>257</v>
      </c>
      <c r="B18" s="4">
        <v>30675058721</v>
      </c>
      <c r="C18" s="5" t="s">
        <v>21</v>
      </c>
      <c r="D18" s="5">
        <v>2020</v>
      </c>
      <c r="E18" s="13">
        <v>191</v>
      </c>
      <c r="F18" s="13">
        <v>176</v>
      </c>
      <c r="G18" s="13">
        <v>201</v>
      </c>
      <c r="H18" s="13">
        <v>262</v>
      </c>
      <c r="I18" s="13">
        <v>228.5</v>
      </c>
      <c r="J18" s="13">
        <v>243</v>
      </c>
      <c r="K18" s="13">
        <v>276.5</v>
      </c>
      <c r="L18" s="13">
        <v>283</v>
      </c>
      <c r="M18" s="13">
        <v>282</v>
      </c>
      <c r="N18" s="13">
        <v>299</v>
      </c>
      <c r="O18" s="13">
        <v>302</v>
      </c>
      <c r="P18" s="13">
        <v>267</v>
      </c>
      <c r="Q18" s="14">
        <v>3011</v>
      </c>
    </row>
    <row r="19" spans="1:19" s="5" customFormat="1" hidden="1" x14ac:dyDescent="0.3">
      <c r="A19" s="3">
        <v>509</v>
      </c>
      <c r="B19" s="4">
        <v>30675074417</v>
      </c>
      <c r="C19" s="5" t="s">
        <v>20</v>
      </c>
      <c r="D19" s="5">
        <v>2020</v>
      </c>
      <c r="E19" s="13">
        <v>92</v>
      </c>
      <c r="F19" s="13">
        <v>104</v>
      </c>
      <c r="G19" s="13">
        <v>127</v>
      </c>
      <c r="H19" s="13">
        <v>246</v>
      </c>
      <c r="I19" s="13">
        <v>173</v>
      </c>
      <c r="J19" s="13">
        <v>159</v>
      </c>
      <c r="K19" s="13">
        <v>164</v>
      </c>
      <c r="L19" s="13">
        <v>154</v>
      </c>
      <c r="M19" s="13">
        <v>158</v>
      </c>
      <c r="N19" s="13">
        <v>205</v>
      </c>
      <c r="O19" s="13">
        <v>223</v>
      </c>
      <c r="P19" s="13">
        <v>179</v>
      </c>
      <c r="Q19" s="14">
        <v>1984</v>
      </c>
    </row>
    <row r="20" spans="1:19" s="5" customFormat="1" hidden="1" x14ac:dyDescent="0.3">
      <c r="A20" s="3">
        <v>800</v>
      </c>
      <c r="B20" s="4">
        <v>30999135060</v>
      </c>
      <c r="C20" s="5" t="s">
        <v>19</v>
      </c>
      <c r="D20" s="5">
        <v>2020</v>
      </c>
      <c r="E20" s="13">
        <v>97</v>
      </c>
      <c r="F20" s="13">
        <v>61</v>
      </c>
      <c r="G20" s="13">
        <v>29</v>
      </c>
      <c r="H20" s="13">
        <v>21</v>
      </c>
      <c r="I20" s="13">
        <v>93</v>
      </c>
      <c r="J20" s="13">
        <v>78</v>
      </c>
      <c r="K20" s="13">
        <v>91</v>
      </c>
      <c r="L20" s="13">
        <v>64</v>
      </c>
      <c r="M20" s="13">
        <v>58</v>
      </c>
      <c r="N20" s="13">
        <v>82</v>
      </c>
      <c r="O20" s="13">
        <v>51</v>
      </c>
      <c r="P20" s="13">
        <v>98</v>
      </c>
      <c r="Q20" s="14">
        <v>823</v>
      </c>
    </row>
    <row r="21" spans="1:19" s="5" customFormat="1" hidden="1" x14ac:dyDescent="0.3">
      <c r="A21" s="3">
        <v>1618</v>
      </c>
      <c r="B21" s="4">
        <v>33686659599</v>
      </c>
      <c r="C21" s="5" t="s">
        <v>22</v>
      </c>
      <c r="D21" s="5">
        <v>2020</v>
      </c>
      <c r="E21" s="13">
        <v>58</v>
      </c>
      <c r="F21" s="13">
        <v>41</v>
      </c>
      <c r="G21" s="13">
        <v>49.5</v>
      </c>
      <c r="H21" s="13">
        <v>54</v>
      </c>
      <c r="I21" s="13">
        <v>67</v>
      </c>
      <c r="J21" s="13">
        <v>56</v>
      </c>
      <c r="K21" s="13">
        <v>61</v>
      </c>
      <c r="L21" s="13">
        <v>47.5</v>
      </c>
      <c r="M21" s="13">
        <v>37.5</v>
      </c>
      <c r="N21" s="13"/>
      <c r="O21" s="13"/>
      <c r="P21" s="13"/>
      <c r="Q21" s="14">
        <v>471.5</v>
      </c>
    </row>
    <row r="22" spans="1:19" s="5" customFormat="1" ht="15" hidden="1" customHeight="1" x14ac:dyDescent="0.3">
      <c r="A22" s="3">
        <v>1695</v>
      </c>
      <c r="B22" s="4">
        <v>30710014287</v>
      </c>
      <c r="C22" s="5" t="s">
        <v>17</v>
      </c>
      <c r="D22" s="5">
        <v>2021</v>
      </c>
      <c r="E22" s="13">
        <v>13485</v>
      </c>
      <c r="F22" s="13">
        <v>13578</v>
      </c>
      <c r="G22" s="13">
        <v>16214</v>
      </c>
      <c r="H22" s="13">
        <v>14264</v>
      </c>
      <c r="I22" s="15">
        <v>12093.5</v>
      </c>
      <c r="J22" s="15">
        <v>12259</v>
      </c>
      <c r="K22" s="15">
        <v>12181</v>
      </c>
      <c r="L22" s="15">
        <v>13501</v>
      </c>
      <c r="M22" s="15">
        <v>13527</v>
      </c>
      <c r="N22" s="14">
        <v>15106.75</v>
      </c>
      <c r="O22" s="14">
        <v>15061.5</v>
      </c>
      <c r="P22" s="14">
        <v>16710</v>
      </c>
      <c r="Q22" s="14">
        <v>167980.75</v>
      </c>
    </row>
    <row r="23" spans="1:19" s="5" customFormat="1" ht="15" hidden="1" customHeight="1" x14ac:dyDescent="0.3">
      <c r="A23" s="3">
        <v>1181</v>
      </c>
      <c r="B23" s="4">
        <v>30708419695</v>
      </c>
      <c r="C23" s="5" t="s">
        <v>18</v>
      </c>
      <c r="D23" s="5">
        <v>2021</v>
      </c>
      <c r="E23" s="13">
        <v>499</v>
      </c>
      <c r="F23" s="13">
        <v>399</v>
      </c>
      <c r="G23" s="13">
        <v>445</v>
      </c>
      <c r="H23" s="13">
        <v>321</v>
      </c>
      <c r="I23" s="15">
        <v>192</v>
      </c>
      <c r="J23" s="15">
        <v>295</v>
      </c>
      <c r="K23" s="15">
        <v>557</v>
      </c>
      <c r="L23" s="15">
        <v>362</v>
      </c>
      <c r="M23" s="15">
        <v>454</v>
      </c>
      <c r="N23" s="14">
        <v>613</v>
      </c>
      <c r="O23" s="14">
        <v>424</v>
      </c>
      <c r="P23" s="14">
        <v>792</v>
      </c>
      <c r="Q23" s="14">
        <v>5353</v>
      </c>
    </row>
    <row r="24" spans="1:19" s="5" customFormat="1" ht="15" hidden="1" customHeight="1" x14ac:dyDescent="0.3">
      <c r="A24" s="3">
        <v>257</v>
      </c>
      <c r="B24" s="4">
        <v>30675058721</v>
      </c>
      <c r="C24" s="5" t="s">
        <v>21</v>
      </c>
      <c r="D24" s="5">
        <v>2021</v>
      </c>
      <c r="E24" s="13">
        <v>308</v>
      </c>
      <c r="F24" s="13">
        <v>227</v>
      </c>
      <c r="G24" s="13">
        <v>199</v>
      </c>
      <c r="H24" s="13">
        <v>171</v>
      </c>
      <c r="I24" s="15">
        <v>200</v>
      </c>
      <c r="J24" s="15">
        <v>246</v>
      </c>
      <c r="K24" s="15">
        <v>127</v>
      </c>
      <c r="L24" s="15">
        <v>201</v>
      </c>
      <c r="M24" s="15">
        <v>78</v>
      </c>
      <c r="N24" s="14">
        <v>5</v>
      </c>
      <c r="O24" s="14"/>
      <c r="P24" s="14"/>
      <c r="Q24" s="14">
        <v>1762</v>
      </c>
    </row>
    <row r="25" spans="1:19" s="5" customFormat="1" ht="15" hidden="1" customHeight="1" x14ac:dyDescent="0.3">
      <c r="A25" s="3">
        <v>509</v>
      </c>
      <c r="B25" s="4">
        <v>30675074417</v>
      </c>
      <c r="C25" s="5" t="s">
        <v>20</v>
      </c>
      <c r="D25" s="5">
        <v>2021</v>
      </c>
      <c r="E25" s="13">
        <v>133</v>
      </c>
      <c r="F25" s="13">
        <v>128</v>
      </c>
      <c r="G25" s="13">
        <v>148</v>
      </c>
      <c r="H25" s="13">
        <v>103</v>
      </c>
      <c r="I25" s="15">
        <v>94</v>
      </c>
      <c r="J25" s="15">
        <v>95</v>
      </c>
      <c r="K25" s="15">
        <v>110</v>
      </c>
      <c r="L25" s="15">
        <v>119</v>
      </c>
      <c r="M25" s="15">
        <v>124</v>
      </c>
      <c r="N25" s="14">
        <v>123</v>
      </c>
      <c r="O25" s="14">
        <v>123</v>
      </c>
      <c r="P25" s="14">
        <v>134</v>
      </c>
      <c r="Q25" s="14">
        <v>1434</v>
      </c>
      <c r="S25" s="6"/>
    </row>
    <row r="26" spans="1:19" s="5" customFormat="1" ht="15" hidden="1" customHeight="1" x14ac:dyDescent="0.3">
      <c r="A26" s="3">
        <v>1618</v>
      </c>
      <c r="B26" s="4">
        <v>33686659599</v>
      </c>
      <c r="C26" s="5" t="s">
        <v>22</v>
      </c>
      <c r="D26" s="5">
        <v>2021</v>
      </c>
      <c r="E26" s="13"/>
      <c r="F26" s="13"/>
      <c r="G26" s="13"/>
      <c r="H26" s="13">
        <v>1</v>
      </c>
      <c r="I26" s="15"/>
      <c r="J26" s="15"/>
      <c r="K26" s="15">
        <v>39</v>
      </c>
      <c r="L26" s="15">
        <v>65</v>
      </c>
      <c r="M26" s="15">
        <v>83</v>
      </c>
      <c r="N26" s="14">
        <v>67</v>
      </c>
      <c r="O26" s="14">
        <v>62</v>
      </c>
      <c r="P26" s="14">
        <v>97</v>
      </c>
      <c r="Q26" s="14">
        <v>414</v>
      </c>
    </row>
    <row r="27" spans="1:19" s="5" customFormat="1" ht="15" hidden="1" customHeight="1" x14ac:dyDescent="0.3">
      <c r="A27" s="3">
        <v>800</v>
      </c>
      <c r="B27" s="4">
        <v>30999135060</v>
      </c>
      <c r="C27" s="5" t="s">
        <v>19</v>
      </c>
      <c r="D27" s="5">
        <v>2021</v>
      </c>
      <c r="E27" s="13">
        <v>33</v>
      </c>
      <c r="F27" s="13">
        <v>30.5</v>
      </c>
      <c r="G27" s="13">
        <v>57</v>
      </c>
      <c r="H27" s="13">
        <v>34</v>
      </c>
      <c r="I27" s="15">
        <v>58</v>
      </c>
      <c r="J27" s="15">
        <v>65</v>
      </c>
      <c r="K27" s="15"/>
      <c r="L27" s="15"/>
      <c r="M27" s="15"/>
      <c r="N27" s="14"/>
      <c r="O27" s="14"/>
      <c r="P27" s="14"/>
      <c r="Q27" s="14">
        <v>277.5</v>
      </c>
      <c r="S27" s="6"/>
    </row>
    <row r="28" spans="1:19" s="5" customFormat="1" hidden="1" x14ac:dyDescent="0.3">
      <c r="A28" s="3">
        <v>1695</v>
      </c>
      <c r="B28" s="4">
        <v>30710014287</v>
      </c>
      <c r="C28" s="5" t="s">
        <v>17</v>
      </c>
      <c r="D28" s="5">
        <v>2022</v>
      </c>
      <c r="E28" s="13">
        <v>15800</v>
      </c>
      <c r="F28" s="13">
        <v>14924</v>
      </c>
      <c r="G28" s="13">
        <v>15938</v>
      </c>
      <c r="H28" s="13">
        <v>14929</v>
      </c>
      <c r="I28" s="13">
        <v>14665.5</v>
      </c>
      <c r="J28" s="13">
        <v>13241</v>
      </c>
      <c r="K28" s="13">
        <v>13602</v>
      </c>
      <c r="L28" s="13">
        <v>17202</v>
      </c>
      <c r="M28" s="13">
        <v>13035</v>
      </c>
      <c r="N28" s="13">
        <v>11529.5</v>
      </c>
      <c r="O28" s="13">
        <v>14847</v>
      </c>
      <c r="P28" s="13">
        <v>16198</v>
      </c>
      <c r="Q28" s="14">
        <v>175911</v>
      </c>
    </row>
    <row r="29" spans="1:19" s="5" customFormat="1" hidden="1" x14ac:dyDescent="0.3">
      <c r="A29" s="3">
        <v>1181</v>
      </c>
      <c r="B29" s="4">
        <v>30708419695</v>
      </c>
      <c r="C29" s="5" t="s">
        <v>18</v>
      </c>
      <c r="D29" s="5">
        <v>2022</v>
      </c>
      <c r="E29" s="13">
        <v>606</v>
      </c>
      <c r="F29" s="13">
        <v>428</v>
      </c>
      <c r="G29" s="13">
        <v>448</v>
      </c>
      <c r="H29" s="13">
        <v>372</v>
      </c>
      <c r="I29" s="13">
        <v>306</v>
      </c>
      <c r="J29" s="13">
        <v>536</v>
      </c>
      <c r="K29" s="13">
        <v>367</v>
      </c>
      <c r="L29" s="13">
        <v>539</v>
      </c>
      <c r="M29" s="13">
        <v>495</v>
      </c>
      <c r="N29" s="13">
        <v>585</v>
      </c>
      <c r="O29" s="13">
        <v>633</v>
      </c>
      <c r="P29" s="13">
        <v>820</v>
      </c>
      <c r="Q29" s="14">
        <v>6135</v>
      </c>
    </row>
    <row r="30" spans="1:19" s="5" customFormat="1" hidden="1" x14ac:dyDescent="0.3">
      <c r="A30" s="3">
        <v>257</v>
      </c>
      <c r="B30" s="4">
        <v>30675058721</v>
      </c>
      <c r="C30" s="5" t="s">
        <v>21</v>
      </c>
      <c r="D30" s="5">
        <v>2022</v>
      </c>
      <c r="E30" s="13">
        <v>156</v>
      </c>
      <c r="F30" s="13">
        <v>127</v>
      </c>
      <c r="G30" s="13">
        <v>199</v>
      </c>
      <c r="H30" s="13">
        <v>109</v>
      </c>
      <c r="I30" s="13">
        <v>2</v>
      </c>
      <c r="J30" s="13">
        <v>168</v>
      </c>
      <c r="K30" s="13">
        <v>353.5</v>
      </c>
      <c r="L30" s="13">
        <v>195.5</v>
      </c>
      <c r="M30" s="13">
        <v>220</v>
      </c>
      <c r="N30" s="13">
        <v>189.5</v>
      </c>
      <c r="O30" s="13">
        <v>156</v>
      </c>
      <c r="P30" s="13">
        <v>183.5</v>
      </c>
      <c r="Q30" s="20">
        <v>2059</v>
      </c>
    </row>
    <row r="31" spans="1:19" s="5" customFormat="1" hidden="1" x14ac:dyDescent="0.3">
      <c r="A31" s="3">
        <v>509</v>
      </c>
      <c r="B31" s="4">
        <v>30675074417</v>
      </c>
      <c r="C31" s="5" t="s">
        <v>20</v>
      </c>
      <c r="D31" s="5">
        <v>2022</v>
      </c>
      <c r="E31" s="13">
        <v>148</v>
      </c>
      <c r="F31" s="13">
        <v>145</v>
      </c>
      <c r="G31" s="13">
        <v>155</v>
      </c>
      <c r="H31" s="13">
        <v>136</v>
      </c>
      <c r="I31" s="13">
        <v>108</v>
      </c>
      <c r="J31" s="13">
        <v>168</v>
      </c>
      <c r="K31" s="13">
        <v>152</v>
      </c>
      <c r="L31" s="13">
        <v>152</v>
      </c>
      <c r="M31" s="13">
        <v>150</v>
      </c>
      <c r="N31" s="13">
        <v>156</v>
      </c>
      <c r="O31" s="13">
        <v>213</v>
      </c>
      <c r="P31" s="13">
        <v>294</v>
      </c>
      <c r="Q31" s="20">
        <v>1977</v>
      </c>
    </row>
    <row r="32" spans="1:19" s="5" customFormat="1" hidden="1" x14ac:dyDescent="0.3">
      <c r="A32" s="3">
        <v>1618</v>
      </c>
      <c r="B32" s="4">
        <v>33686659599</v>
      </c>
      <c r="C32" s="5" t="s">
        <v>22</v>
      </c>
      <c r="D32" s="5">
        <v>2022</v>
      </c>
      <c r="E32" s="13">
        <v>122</v>
      </c>
      <c r="F32" s="13">
        <v>137</v>
      </c>
      <c r="G32" s="13">
        <v>131</v>
      </c>
      <c r="H32" s="13">
        <v>115</v>
      </c>
      <c r="I32" s="13">
        <v>130</v>
      </c>
      <c r="J32" s="13">
        <v>129</v>
      </c>
      <c r="K32" s="13">
        <v>112</v>
      </c>
      <c r="L32" s="13">
        <v>141</v>
      </c>
      <c r="M32" s="13">
        <v>120</v>
      </c>
      <c r="N32" s="13">
        <v>134</v>
      </c>
      <c r="O32" s="13">
        <v>146</v>
      </c>
      <c r="P32" s="13">
        <v>138</v>
      </c>
      <c r="Q32" s="20">
        <v>1555</v>
      </c>
    </row>
    <row r="33" spans="1:17" s="5" customFormat="1" hidden="1" x14ac:dyDescent="0.3">
      <c r="A33" s="3">
        <v>800</v>
      </c>
      <c r="B33" s="4">
        <v>30999135060</v>
      </c>
      <c r="C33" s="5" t="s">
        <v>19</v>
      </c>
      <c r="D33" s="5">
        <v>2022</v>
      </c>
      <c r="E33" s="13"/>
      <c r="F33" s="13"/>
      <c r="G33" s="13"/>
      <c r="H33" s="13"/>
      <c r="I33" s="13"/>
      <c r="J33" s="13">
        <v>15</v>
      </c>
      <c r="K33" s="13"/>
      <c r="L33" s="13"/>
      <c r="M33" s="13"/>
      <c r="N33" s="13"/>
      <c r="O33" s="13"/>
      <c r="P33" s="13"/>
      <c r="Q33" s="20">
        <v>15</v>
      </c>
    </row>
    <row r="34" spans="1:17" s="9" customFormat="1" ht="15" hidden="1" customHeight="1" x14ac:dyDescent="0.3">
      <c r="A34" s="7">
        <v>1695</v>
      </c>
      <c r="B34" s="8">
        <v>30710014287</v>
      </c>
      <c r="C34" s="9" t="s">
        <v>26</v>
      </c>
      <c r="D34" s="5">
        <v>2023</v>
      </c>
      <c r="E34" s="16">
        <v>19061.5</v>
      </c>
      <c r="F34" s="16">
        <v>14945.5</v>
      </c>
      <c r="G34" s="16">
        <v>17597</v>
      </c>
      <c r="H34" s="16">
        <v>15356.5</v>
      </c>
      <c r="I34" s="16">
        <v>15116</v>
      </c>
      <c r="J34" s="16">
        <v>15826.5</v>
      </c>
      <c r="K34" s="16">
        <v>17584.5</v>
      </c>
      <c r="L34" s="16">
        <v>16481</v>
      </c>
      <c r="M34" s="16">
        <v>14643.5</v>
      </c>
      <c r="N34" s="16">
        <v>13775</v>
      </c>
      <c r="O34" s="16">
        <v>15539</v>
      </c>
      <c r="P34" s="17">
        <v>14318.5</v>
      </c>
      <c r="Q34" s="21">
        <v>190244.5</v>
      </c>
    </row>
    <row r="35" spans="1:17" s="9" customFormat="1" ht="15" hidden="1" customHeight="1" x14ac:dyDescent="0.3">
      <c r="A35" s="7">
        <v>1181</v>
      </c>
      <c r="B35" s="8">
        <v>30708419695</v>
      </c>
      <c r="C35" s="9" t="s">
        <v>25</v>
      </c>
      <c r="D35" s="5">
        <v>2023</v>
      </c>
      <c r="E35" s="16">
        <v>605</v>
      </c>
      <c r="F35" s="16">
        <v>368</v>
      </c>
      <c r="G35" s="16">
        <v>594</v>
      </c>
      <c r="H35" s="16">
        <v>537</v>
      </c>
      <c r="I35" s="16">
        <v>609</v>
      </c>
      <c r="J35" s="16">
        <v>611</v>
      </c>
      <c r="K35" s="16">
        <v>476</v>
      </c>
      <c r="L35" s="16">
        <v>365</v>
      </c>
      <c r="M35" s="16">
        <v>521</v>
      </c>
      <c r="N35" s="16">
        <v>739</v>
      </c>
      <c r="O35" s="16">
        <v>580</v>
      </c>
      <c r="P35" s="17">
        <v>420</v>
      </c>
      <c r="Q35" s="21">
        <v>6425</v>
      </c>
    </row>
    <row r="36" spans="1:17" s="9" customFormat="1" ht="15" hidden="1" customHeight="1" x14ac:dyDescent="0.3">
      <c r="A36" s="7">
        <v>509</v>
      </c>
      <c r="B36" s="8">
        <v>30675074417</v>
      </c>
      <c r="C36" s="9" t="s">
        <v>20</v>
      </c>
      <c r="D36" s="5">
        <v>2023</v>
      </c>
      <c r="E36" s="16">
        <v>318</v>
      </c>
      <c r="F36" s="16">
        <v>260</v>
      </c>
      <c r="G36" s="16">
        <v>251</v>
      </c>
      <c r="H36" s="16">
        <v>250</v>
      </c>
      <c r="I36" s="16">
        <v>289</v>
      </c>
      <c r="J36" s="16">
        <v>319</v>
      </c>
      <c r="K36" s="16">
        <v>284</v>
      </c>
      <c r="L36" s="16">
        <v>290</v>
      </c>
      <c r="M36" s="16">
        <v>314</v>
      </c>
      <c r="N36" s="16">
        <v>338</v>
      </c>
      <c r="O36" s="16">
        <v>315</v>
      </c>
      <c r="P36" s="17">
        <v>321</v>
      </c>
      <c r="Q36" s="21">
        <v>3549</v>
      </c>
    </row>
    <row r="37" spans="1:17" s="9" customFormat="1" ht="15" hidden="1" customHeight="1" x14ac:dyDescent="0.3">
      <c r="A37" s="7">
        <v>257</v>
      </c>
      <c r="B37" s="8">
        <v>30675058721</v>
      </c>
      <c r="C37" s="9" t="s">
        <v>21</v>
      </c>
      <c r="D37" s="5">
        <v>2023</v>
      </c>
      <c r="E37" s="16">
        <v>212</v>
      </c>
      <c r="F37" s="16">
        <v>134</v>
      </c>
      <c r="G37" s="16">
        <v>111</v>
      </c>
      <c r="H37" s="16">
        <v>105</v>
      </c>
      <c r="I37" s="16">
        <v>244</v>
      </c>
      <c r="J37" s="16">
        <v>305</v>
      </c>
      <c r="K37" s="16">
        <v>187</v>
      </c>
      <c r="L37" s="16">
        <v>239</v>
      </c>
      <c r="M37" s="16">
        <v>248</v>
      </c>
      <c r="N37" s="16">
        <v>190</v>
      </c>
      <c r="O37" s="16">
        <v>123</v>
      </c>
      <c r="P37" s="17">
        <v>100</v>
      </c>
      <c r="Q37" s="21">
        <v>2198</v>
      </c>
    </row>
    <row r="38" spans="1:17" s="9" customFormat="1" ht="15" hidden="1" customHeight="1" x14ac:dyDescent="0.3">
      <c r="A38" s="7">
        <v>1618</v>
      </c>
      <c r="B38" s="8">
        <v>33686659599</v>
      </c>
      <c r="C38" s="9" t="s">
        <v>22</v>
      </c>
      <c r="D38" s="5">
        <v>2023</v>
      </c>
      <c r="E38" s="16">
        <v>154</v>
      </c>
      <c r="F38" s="16">
        <v>117</v>
      </c>
      <c r="G38" s="16">
        <v>44</v>
      </c>
      <c r="H38" s="16">
        <v>34</v>
      </c>
      <c r="I38" s="16">
        <v>137</v>
      </c>
      <c r="J38" s="16">
        <v>145</v>
      </c>
      <c r="K38" s="16">
        <v>128</v>
      </c>
      <c r="L38" s="16">
        <v>148</v>
      </c>
      <c r="M38" s="16">
        <v>151</v>
      </c>
      <c r="N38" s="16">
        <v>130</v>
      </c>
      <c r="O38" s="16">
        <v>154</v>
      </c>
      <c r="P38" s="17">
        <v>164</v>
      </c>
      <c r="Q38" s="21">
        <v>1506</v>
      </c>
    </row>
    <row r="39" spans="1:17" s="5" customFormat="1" hidden="1" x14ac:dyDescent="0.3">
      <c r="A39" s="7">
        <v>1695</v>
      </c>
      <c r="B39" s="7">
        <v>30710014287</v>
      </c>
      <c r="C39" s="10" t="s">
        <v>26</v>
      </c>
      <c r="D39" s="7">
        <v>2024</v>
      </c>
      <c r="E39" s="16">
        <v>14269.25</v>
      </c>
      <c r="F39" s="16">
        <v>14123.5</v>
      </c>
      <c r="G39" s="16">
        <v>12136</v>
      </c>
      <c r="H39" s="16">
        <v>12897</v>
      </c>
      <c r="I39" s="16">
        <v>14356</v>
      </c>
      <c r="J39" s="16">
        <v>12686</v>
      </c>
      <c r="K39" s="16">
        <v>16175</v>
      </c>
      <c r="L39" s="16">
        <v>18292</v>
      </c>
      <c r="M39" s="16">
        <v>15336</v>
      </c>
      <c r="N39" s="16">
        <v>15637</v>
      </c>
      <c r="O39" s="16">
        <v>11181</v>
      </c>
      <c r="P39" s="16">
        <v>13536.75</v>
      </c>
      <c r="Q39" s="21">
        <v>170625.5</v>
      </c>
    </row>
    <row r="40" spans="1:17" s="5" customFormat="1" hidden="1" x14ac:dyDescent="0.3">
      <c r="A40" s="7">
        <v>1181</v>
      </c>
      <c r="B40" s="7">
        <v>30708419695</v>
      </c>
      <c r="C40" s="10" t="s">
        <v>25</v>
      </c>
      <c r="D40" s="7">
        <v>2024</v>
      </c>
      <c r="E40" s="16">
        <v>368</v>
      </c>
      <c r="F40" s="16">
        <v>270</v>
      </c>
      <c r="G40" s="16">
        <v>364</v>
      </c>
      <c r="H40" s="16">
        <v>415</v>
      </c>
      <c r="I40" s="16">
        <v>321</v>
      </c>
      <c r="J40" s="16">
        <v>392</v>
      </c>
      <c r="K40" s="16">
        <v>727</v>
      </c>
      <c r="L40" s="16">
        <v>637</v>
      </c>
      <c r="M40" s="16">
        <v>576</v>
      </c>
      <c r="N40" s="16">
        <v>557</v>
      </c>
      <c r="O40" s="16">
        <v>307</v>
      </c>
      <c r="P40" s="16">
        <v>763</v>
      </c>
      <c r="Q40" s="21">
        <v>5697</v>
      </c>
    </row>
    <row r="41" spans="1:17" s="5" customFormat="1" hidden="1" x14ac:dyDescent="0.3">
      <c r="A41" s="7">
        <v>509</v>
      </c>
      <c r="B41" s="7">
        <v>30675074417</v>
      </c>
      <c r="C41" s="10" t="s">
        <v>20</v>
      </c>
      <c r="D41" s="7">
        <v>2024</v>
      </c>
      <c r="E41" s="16">
        <v>325</v>
      </c>
      <c r="F41" s="16">
        <v>247</v>
      </c>
      <c r="G41" s="16">
        <v>287</v>
      </c>
      <c r="H41" s="16">
        <v>273</v>
      </c>
      <c r="I41" s="16">
        <v>285</v>
      </c>
      <c r="J41" s="16">
        <v>266</v>
      </c>
      <c r="K41" s="16">
        <v>294</v>
      </c>
      <c r="L41" s="16">
        <v>273</v>
      </c>
      <c r="M41" s="16">
        <v>303</v>
      </c>
      <c r="N41" s="16">
        <v>351</v>
      </c>
      <c r="O41" s="16">
        <v>307</v>
      </c>
      <c r="P41" s="16">
        <v>331</v>
      </c>
      <c r="Q41" s="21">
        <v>3542</v>
      </c>
    </row>
    <row r="42" spans="1:17" s="5" customFormat="1" hidden="1" x14ac:dyDescent="0.3">
      <c r="A42" s="7">
        <v>257</v>
      </c>
      <c r="B42" s="7">
        <v>30675058721</v>
      </c>
      <c r="C42" s="10" t="s">
        <v>21</v>
      </c>
      <c r="D42" s="7">
        <v>2024</v>
      </c>
      <c r="E42" s="16">
        <v>100</v>
      </c>
      <c r="F42" s="16"/>
      <c r="G42" s="16"/>
      <c r="H42" s="16"/>
      <c r="I42" s="16">
        <v>22</v>
      </c>
      <c r="J42" s="16">
        <v>864.5</v>
      </c>
      <c r="K42" s="16">
        <v>216</v>
      </c>
      <c r="L42" s="16">
        <v>169</v>
      </c>
      <c r="M42" s="16">
        <v>464</v>
      </c>
      <c r="N42" s="16">
        <v>127</v>
      </c>
      <c r="O42" s="16"/>
      <c r="P42" s="16"/>
      <c r="Q42" s="21">
        <v>1962.5</v>
      </c>
    </row>
    <row r="43" spans="1:17" s="5" customFormat="1" hidden="1" x14ac:dyDescent="0.3">
      <c r="A43" s="7">
        <v>1618</v>
      </c>
      <c r="B43" s="7">
        <v>33686659599</v>
      </c>
      <c r="C43" s="10" t="s">
        <v>22</v>
      </c>
      <c r="D43" s="7">
        <v>2024</v>
      </c>
      <c r="E43" s="16">
        <v>149</v>
      </c>
      <c r="F43" s="16">
        <v>120</v>
      </c>
      <c r="G43" s="16">
        <v>163</v>
      </c>
      <c r="H43" s="16">
        <v>147</v>
      </c>
      <c r="I43" s="16">
        <v>178</v>
      </c>
      <c r="J43" s="16">
        <v>159</v>
      </c>
      <c r="K43" s="16">
        <v>180</v>
      </c>
      <c r="L43" s="16">
        <v>161</v>
      </c>
      <c r="M43" s="16">
        <v>172</v>
      </c>
      <c r="N43" s="16">
        <v>192</v>
      </c>
      <c r="O43" s="16">
        <v>165</v>
      </c>
      <c r="P43" s="16">
        <v>47</v>
      </c>
      <c r="Q43" s="21">
        <v>1833</v>
      </c>
    </row>
    <row r="44" spans="1:17" s="9" customFormat="1" ht="15" hidden="1" customHeight="1" x14ac:dyDescent="0.3">
      <c r="A44" s="7">
        <v>1695</v>
      </c>
      <c r="B44" s="7">
        <v>30710014287</v>
      </c>
      <c r="C44" s="10" t="s">
        <v>26</v>
      </c>
      <c r="D44" s="7">
        <v>2025</v>
      </c>
      <c r="E44" s="16">
        <v>10999</v>
      </c>
      <c r="F44" s="16">
        <v>11632</v>
      </c>
      <c r="G44" s="16">
        <v>12739</v>
      </c>
      <c r="H44" s="16">
        <v>14273</v>
      </c>
      <c r="I44" s="16">
        <v>12801.5</v>
      </c>
      <c r="J44" s="16">
        <v>14590</v>
      </c>
      <c r="K44" s="16">
        <v>18197</v>
      </c>
      <c r="L44" s="16">
        <v>13999</v>
      </c>
      <c r="M44" s="16">
        <v>15376</v>
      </c>
      <c r="N44" s="16">
        <v>14020</v>
      </c>
      <c r="O44" s="16">
        <v>10908</v>
      </c>
      <c r="P44" s="16">
        <v>12693</v>
      </c>
      <c r="Q44" s="21">
        <v>162227.5</v>
      </c>
    </row>
    <row r="45" spans="1:17" s="9" customFormat="1" ht="15" hidden="1" customHeight="1" x14ac:dyDescent="0.3">
      <c r="A45" s="7">
        <v>1181</v>
      </c>
      <c r="B45" s="7">
        <v>30708419695</v>
      </c>
      <c r="C45" s="10" t="s">
        <v>25</v>
      </c>
      <c r="D45" s="7">
        <v>2025</v>
      </c>
      <c r="E45" s="16">
        <v>607</v>
      </c>
      <c r="F45" s="16">
        <v>671</v>
      </c>
      <c r="G45" s="16">
        <v>566</v>
      </c>
      <c r="H45" s="16">
        <v>565</v>
      </c>
      <c r="I45" s="16">
        <v>537</v>
      </c>
      <c r="J45" s="16">
        <v>701</v>
      </c>
      <c r="K45" s="16">
        <v>928</v>
      </c>
      <c r="L45" s="16">
        <v>896</v>
      </c>
      <c r="M45" s="16">
        <v>840</v>
      </c>
      <c r="N45" s="16">
        <v>1014</v>
      </c>
      <c r="O45" s="16">
        <v>670</v>
      </c>
      <c r="P45" s="16">
        <v>798</v>
      </c>
      <c r="Q45" s="21">
        <v>8793</v>
      </c>
    </row>
    <row r="46" spans="1:17" s="9" customFormat="1" ht="15" hidden="1" customHeight="1" x14ac:dyDescent="0.3">
      <c r="A46" s="7">
        <v>509</v>
      </c>
      <c r="B46" s="7">
        <v>30675074417</v>
      </c>
      <c r="C46" s="10" t="s">
        <v>20</v>
      </c>
      <c r="D46" s="7">
        <v>2025</v>
      </c>
      <c r="E46" s="16">
        <v>292</v>
      </c>
      <c r="F46" s="16">
        <v>293</v>
      </c>
      <c r="G46" s="16">
        <v>243</v>
      </c>
      <c r="H46" s="16">
        <v>258</v>
      </c>
      <c r="I46" s="16">
        <v>312</v>
      </c>
      <c r="J46" s="16">
        <v>445</v>
      </c>
      <c r="K46" s="16">
        <v>515</v>
      </c>
      <c r="L46" s="16">
        <v>489</v>
      </c>
      <c r="M46" s="16">
        <v>509</v>
      </c>
      <c r="N46" s="16">
        <v>490</v>
      </c>
      <c r="O46" s="16">
        <v>379</v>
      </c>
      <c r="P46" s="16">
        <v>462</v>
      </c>
      <c r="Q46" s="21">
        <v>4687</v>
      </c>
    </row>
    <row r="47" spans="1:17" s="9" customFormat="1" ht="15" hidden="1" customHeight="1" x14ac:dyDescent="0.3">
      <c r="A47" s="7">
        <v>257</v>
      </c>
      <c r="B47" s="7">
        <v>30675058721</v>
      </c>
      <c r="C47" s="10" t="s">
        <v>21</v>
      </c>
      <c r="D47" s="7">
        <v>2025</v>
      </c>
      <c r="E47" s="16"/>
      <c r="F47" s="16">
        <v>451.5</v>
      </c>
      <c r="G47" s="16">
        <v>276.5</v>
      </c>
      <c r="H47" s="16">
        <v>272</v>
      </c>
      <c r="I47" s="16">
        <v>237</v>
      </c>
      <c r="J47" s="16">
        <v>230</v>
      </c>
      <c r="K47" s="16">
        <v>148</v>
      </c>
      <c r="L47" s="16">
        <v>297</v>
      </c>
      <c r="M47" s="16">
        <v>265</v>
      </c>
      <c r="N47" s="16">
        <v>194</v>
      </c>
      <c r="O47" s="16">
        <v>153</v>
      </c>
      <c r="P47" s="16">
        <v>171</v>
      </c>
      <c r="Q47" s="21">
        <v>2695</v>
      </c>
    </row>
    <row r="48" spans="1:17" s="9" customFormat="1" ht="15" hidden="1" customHeight="1" x14ac:dyDescent="0.3">
      <c r="A48" s="7">
        <v>1618</v>
      </c>
      <c r="B48" s="7">
        <v>33686659599</v>
      </c>
      <c r="C48" s="10" t="s">
        <v>22</v>
      </c>
      <c r="D48" s="7">
        <v>2025</v>
      </c>
      <c r="E48" s="16">
        <v>57</v>
      </c>
      <c r="F48" s="16">
        <v>129</v>
      </c>
      <c r="G48" s="16">
        <v>129</v>
      </c>
      <c r="H48" s="16">
        <v>134</v>
      </c>
      <c r="I48" s="16">
        <v>115</v>
      </c>
      <c r="J48" s="16">
        <v>112</v>
      </c>
      <c r="K48" s="16">
        <v>115</v>
      </c>
      <c r="L48" s="16">
        <v>113</v>
      </c>
      <c r="M48" s="16">
        <v>97</v>
      </c>
      <c r="N48" s="16">
        <v>136</v>
      </c>
      <c r="O48" s="16">
        <v>81</v>
      </c>
      <c r="P48" s="16">
        <v>116</v>
      </c>
      <c r="Q48" s="21">
        <v>1334</v>
      </c>
    </row>
    <row r="49" spans="1:17" s="5" customFormat="1" ht="15" hidden="1" customHeight="1" x14ac:dyDescent="0.3">
      <c r="A49" s="11" t="s">
        <v>27</v>
      </c>
      <c r="B49" s="11">
        <v>30710014287</v>
      </c>
      <c r="C49" s="12" t="s">
        <v>28</v>
      </c>
      <c r="D49" s="11">
        <v>2026</v>
      </c>
      <c r="E49" s="18">
        <v>10442</v>
      </c>
      <c r="F49" s="18">
        <v>12333</v>
      </c>
      <c r="G49" s="18">
        <v>12151</v>
      </c>
      <c r="H49" s="18">
        <v>11175.5</v>
      </c>
      <c r="I49" s="18">
        <v>12928</v>
      </c>
      <c r="J49" s="18">
        <v>13786</v>
      </c>
      <c r="K49" s="19"/>
      <c r="L49" s="13"/>
      <c r="M49" s="13"/>
      <c r="N49" s="13"/>
      <c r="O49" s="13"/>
      <c r="P49" s="13"/>
      <c r="Q49" s="22"/>
    </row>
    <row r="50" spans="1:17" s="5" customFormat="1" ht="15" hidden="1" customHeight="1" x14ac:dyDescent="0.3">
      <c r="A50" s="11" t="s">
        <v>29</v>
      </c>
      <c r="B50" s="11" t="s">
        <v>30</v>
      </c>
      <c r="C50" s="12" t="s">
        <v>25</v>
      </c>
      <c r="D50" s="11">
        <v>2026</v>
      </c>
      <c r="E50" s="18">
        <v>565</v>
      </c>
      <c r="F50" s="18">
        <v>355</v>
      </c>
      <c r="G50" s="18">
        <v>517</v>
      </c>
      <c r="H50" s="18">
        <v>407</v>
      </c>
      <c r="I50" s="18">
        <v>346</v>
      </c>
      <c r="J50" s="18">
        <v>533</v>
      </c>
      <c r="K50" s="19"/>
      <c r="L50" s="13"/>
      <c r="M50" s="13"/>
      <c r="N50" s="13"/>
      <c r="O50" s="13"/>
      <c r="P50" s="13"/>
      <c r="Q50" s="22"/>
    </row>
    <row r="51" spans="1:17" s="5" customFormat="1" ht="15" hidden="1" customHeight="1" x14ac:dyDescent="0.3">
      <c r="A51" s="11" t="s">
        <v>31</v>
      </c>
      <c r="B51" s="11" t="s">
        <v>32</v>
      </c>
      <c r="C51" s="12" t="s">
        <v>33</v>
      </c>
      <c r="D51" s="11">
        <v>2026</v>
      </c>
      <c r="E51" s="18">
        <v>322</v>
      </c>
      <c r="F51" s="18">
        <v>251</v>
      </c>
      <c r="G51" s="18">
        <v>194</v>
      </c>
      <c r="H51" s="18">
        <v>168</v>
      </c>
      <c r="I51" s="18">
        <v>153</v>
      </c>
      <c r="J51" s="18">
        <v>190</v>
      </c>
      <c r="K51" s="19"/>
      <c r="L51" s="13"/>
      <c r="M51" s="13"/>
      <c r="N51" s="13"/>
      <c r="O51" s="13"/>
      <c r="P51" s="13"/>
      <c r="Q51" s="22"/>
    </row>
    <row r="52" spans="1:17" s="5" customFormat="1" ht="15" hidden="1" customHeight="1" x14ac:dyDescent="0.3">
      <c r="A52" s="11" t="s">
        <v>34</v>
      </c>
      <c r="B52" s="11" t="s">
        <v>35</v>
      </c>
      <c r="C52" s="12" t="s">
        <v>21</v>
      </c>
      <c r="D52" s="11">
        <v>2026</v>
      </c>
      <c r="E52" s="18">
        <v>212</v>
      </c>
      <c r="F52" s="18">
        <v>271</v>
      </c>
      <c r="G52" s="18">
        <v>287</v>
      </c>
      <c r="H52" s="18">
        <v>124.5</v>
      </c>
      <c r="I52" s="18">
        <v>182.5</v>
      </c>
      <c r="J52" s="18">
        <v>180</v>
      </c>
      <c r="K52" s="19"/>
      <c r="L52" s="13"/>
      <c r="M52" s="13"/>
      <c r="N52" s="13"/>
      <c r="O52" s="13"/>
      <c r="P52" s="13"/>
      <c r="Q52" s="22"/>
    </row>
    <row r="53" spans="1:17" s="5" customFormat="1" ht="15" hidden="1" customHeight="1" x14ac:dyDescent="0.3">
      <c r="A53" s="11" t="s">
        <v>36</v>
      </c>
      <c r="B53" s="11" t="s">
        <v>37</v>
      </c>
      <c r="C53" s="12" t="s">
        <v>22</v>
      </c>
      <c r="D53" s="11">
        <v>2026</v>
      </c>
      <c r="E53" s="18">
        <v>95</v>
      </c>
      <c r="F53" s="18">
        <v>79</v>
      </c>
      <c r="G53" s="18">
        <v>85</v>
      </c>
      <c r="H53" s="18">
        <v>92</v>
      </c>
      <c r="I53" s="18">
        <v>90</v>
      </c>
      <c r="J53" s="18">
        <v>115</v>
      </c>
      <c r="K53" s="19"/>
      <c r="L53" s="13"/>
      <c r="M53" s="13"/>
      <c r="N53" s="13"/>
      <c r="O53" s="13"/>
      <c r="P53" s="13"/>
      <c r="Q53" s="22"/>
    </row>
    <row r="56" spans="1:17" x14ac:dyDescent="0.3">
      <c r="E56" s="24">
        <f>SUBTOTAL(9,E3:E53)</f>
        <v>14816.5</v>
      </c>
      <c r="F56" s="24">
        <f t="shared" ref="F56:Q56" si="0">SUBTOTAL(9,F3:F53)</f>
        <v>13758.5</v>
      </c>
      <c r="G56" s="24">
        <f t="shared" si="0"/>
        <v>13521</v>
      </c>
      <c r="H56" s="24">
        <f t="shared" si="0"/>
        <v>14636.5</v>
      </c>
      <c r="I56" s="24">
        <f t="shared" si="0"/>
        <v>16866</v>
      </c>
      <c r="J56" s="24">
        <f t="shared" si="0"/>
        <v>14806</v>
      </c>
      <c r="K56" s="24">
        <f t="shared" si="0"/>
        <v>18197</v>
      </c>
      <c r="L56" s="24">
        <f t="shared" si="0"/>
        <v>17622.5</v>
      </c>
      <c r="M56" s="24">
        <f t="shared" si="0"/>
        <v>18781.75</v>
      </c>
      <c r="N56" s="24">
        <f t="shared" si="0"/>
        <v>18398</v>
      </c>
      <c r="O56" s="24">
        <f t="shared" si="0"/>
        <v>16347</v>
      </c>
      <c r="P56" s="24">
        <f t="shared" si="0"/>
        <v>17584.5</v>
      </c>
      <c r="Q56" s="24">
        <f t="shared" si="0"/>
        <v>195335.25</v>
      </c>
    </row>
  </sheetData>
  <autoFilter ref="A2:S53">
    <filterColumn colId="3">
      <filters>
        <filter val="20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2026-07-11T16:01:31Z</dcterms:created>
  <dcterms:modified xsi:type="dcterms:W3CDTF">2026-07-18T00:06:17Z</dcterms:modified>
</cp:coreProperties>
</file>