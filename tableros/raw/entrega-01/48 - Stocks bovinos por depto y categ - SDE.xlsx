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 01" sheetId="4" r:id="rId1"/>
    <sheet name="Data stock SDE" sheetId="1" r:id="rId2"/>
    <sheet name="Estratificación" sheetId="3" r:id="rId3"/>
  </sheets>
  <externalReferences>
    <externalReference r:id="rId4"/>
  </externalReferences>
  <definedNames>
    <definedName name="_xlnm._FilterDatabase" localSheetId="2" hidden="1">Estratificación!$B$4:$AR$84</definedName>
    <definedName name="_ftn1" localSheetId="2">#N/A</definedName>
    <definedName name="_ftnref1" localSheetId="2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1" i="4" l="1"/>
  <c r="H311" i="4"/>
  <c r="G311" i="4"/>
  <c r="F311" i="4"/>
  <c r="E311" i="4"/>
  <c r="D311" i="4"/>
  <c r="C311" i="4"/>
  <c r="H310" i="4"/>
  <c r="G310" i="4"/>
  <c r="F310" i="4"/>
  <c r="E310" i="4"/>
  <c r="D310" i="4"/>
  <c r="I309" i="4"/>
  <c r="H309" i="4"/>
  <c r="G309" i="4"/>
  <c r="F309" i="4"/>
  <c r="E309" i="4"/>
  <c r="D309" i="4"/>
  <c r="H308" i="4"/>
  <c r="G308" i="4"/>
  <c r="F308" i="4"/>
  <c r="E308" i="4"/>
  <c r="D308" i="4"/>
  <c r="C308" i="4"/>
  <c r="H307" i="4"/>
  <c r="H306" i="4"/>
  <c r="G306" i="4"/>
  <c r="F306" i="4"/>
  <c r="E306" i="4"/>
  <c r="D306" i="4"/>
  <c r="I305" i="4"/>
  <c r="H305" i="4"/>
  <c r="G305" i="4"/>
  <c r="F305" i="4"/>
  <c r="E305" i="4"/>
  <c r="D305" i="4"/>
  <c r="C305" i="4"/>
  <c r="H304" i="4"/>
  <c r="G304" i="4"/>
  <c r="F304" i="4"/>
  <c r="E304" i="4"/>
  <c r="D304" i="4"/>
  <c r="C304" i="4"/>
  <c r="I303" i="4"/>
  <c r="H303" i="4"/>
  <c r="G303" i="4"/>
  <c r="F303" i="4"/>
  <c r="E303" i="4"/>
  <c r="D303" i="4"/>
  <c r="C303" i="4"/>
  <c r="H302" i="4"/>
  <c r="G302" i="4"/>
  <c r="F302" i="4"/>
  <c r="E302" i="4"/>
  <c r="D302" i="4"/>
  <c r="C302" i="4"/>
  <c r="H301" i="4"/>
  <c r="G301" i="4"/>
  <c r="F301" i="4"/>
  <c r="E301" i="4"/>
  <c r="D301" i="4"/>
  <c r="C301" i="4"/>
  <c r="H299" i="4"/>
  <c r="G299" i="4"/>
  <c r="F299" i="4"/>
  <c r="E299" i="4"/>
  <c r="D299" i="4"/>
  <c r="H298" i="4"/>
  <c r="G298" i="4"/>
  <c r="F298" i="4"/>
  <c r="E298" i="4"/>
  <c r="D298" i="4"/>
  <c r="I297" i="4"/>
  <c r="H297" i="4"/>
  <c r="G297" i="4"/>
  <c r="F297" i="4"/>
  <c r="E297" i="4"/>
  <c r="D297" i="4"/>
  <c r="C297" i="4"/>
  <c r="I295" i="4"/>
  <c r="H295" i="4"/>
  <c r="G295" i="4"/>
  <c r="F295" i="4"/>
  <c r="E295" i="4"/>
  <c r="D295" i="4"/>
  <c r="C295" i="4"/>
  <c r="A295" i="4"/>
  <c r="H294" i="4"/>
  <c r="G294" i="4"/>
  <c r="F294" i="4"/>
  <c r="E294" i="4"/>
  <c r="D294" i="4"/>
  <c r="C294" i="4"/>
  <c r="H293" i="4"/>
  <c r="E293" i="4"/>
  <c r="A293" i="4"/>
  <c r="H292" i="4"/>
  <c r="G292" i="4"/>
  <c r="F292" i="4"/>
  <c r="E292" i="4"/>
  <c r="D292" i="4"/>
  <c r="C292" i="4"/>
  <c r="H291" i="4"/>
  <c r="G291" i="4"/>
  <c r="F291" i="4"/>
  <c r="E291" i="4"/>
  <c r="D291" i="4"/>
  <c r="H290" i="4"/>
  <c r="G290" i="4"/>
  <c r="F290" i="4"/>
  <c r="E290" i="4"/>
  <c r="D290" i="4"/>
  <c r="I289" i="4"/>
  <c r="H289" i="4"/>
  <c r="G289" i="4"/>
  <c r="F289" i="4"/>
  <c r="E289" i="4"/>
  <c r="D289" i="4"/>
  <c r="C289" i="4"/>
  <c r="A289" i="4"/>
  <c r="I287" i="4"/>
  <c r="H287" i="4"/>
  <c r="G287" i="4"/>
  <c r="F287" i="4"/>
  <c r="E287" i="4"/>
  <c r="D287" i="4"/>
  <c r="C287" i="4"/>
  <c r="H286" i="4"/>
  <c r="G286" i="4"/>
  <c r="F286" i="4"/>
  <c r="E286" i="4"/>
  <c r="D286" i="4"/>
  <c r="I285" i="4"/>
  <c r="H285" i="4"/>
  <c r="G285" i="4"/>
  <c r="F285" i="4"/>
  <c r="E285" i="4"/>
  <c r="D285" i="4"/>
  <c r="C285" i="4"/>
  <c r="H284" i="4"/>
  <c r="G284" i="4"/>
  <c r="F284" i="4"/>
  <c r="E284" i="4"/>
  <c r="D284" i="4"/>
  <c r="C284" i="4"/>
  <c r="A284" i="4"/>
  <c r="I283" i="4"/>
  <c r="H283" i="4"/>
  <c r="G283" i="4"/>
  <c r="F283" i="4"/>
  <c r="E283" i="4"/>
  <c r="D283" i="4"/>
  <c r="H282" i="4"/>
  <c r="G282" i="4"/>
  <c r="F282" i="4"/>
  <c r="E282" i="4"/>
  <c r="D282" i="4"/>
  <c r="H281" i="4"/>
  <c r="G281" i="4"/>
  <c r="F281" i="4"/>
  <c r="E281" i="4"/>
  <c r="D281" i="4"/>
  <c r="C281" i="4"/>
  <c r="H280" i="4"/>
  <c r="G280" i="4"/>
  <c r="F280" i="4"/>
  <c r="E280" i="4"/>
  <c r="D280" i="4"/>
  <c r="C280" i="4"/>
  <c r="H279" i="4"/>
  <c r="G279" i="4"/>
  <c r="F279" i="4"/>
  <c r="E279" i="4"/>
  <c r="D279" i="4"/>
  <c r="C279" i="4"/>
  <c r="J273" i="4"/>
  <c r="K273" i="4" s="1"/>
  <c r="I273" i="4"/>
  <c r="H273" i="4"/>
  <c r="G273" i="4"/>
  <c r="F273" i="4"/>
  <c r="E273" i="4"/>
  <c r="D273" i="4"/>
  <c r="C273" i="4"/>
  <c r="M273" i="4" s="1"/>
  <c r="M272" i="4"/>
  <c r="L272" i="4"/>
  <c r="K272" i="4"/>
  <c r="D272" i="4"/>
  <c r="M271" i="4"/>
  <c r="L271" i="4"/>
  <c r="K271" i="4"/>
  <c r="D271" i="4"/>
  <c r="M270" i="4"/>
  <c r="L270" i="4"/>
  <c r="K270" i="4"/>
  <c r="D270" i="4"/>
  <c r="M269" i="4"/>
  <c r="L269" i="4"/>
  <c r="K269" i="4"/>
  <c r="D269" i="4"/>
  <c r="J268" i="4"/>
  <c r="K268" i="4" s="1"/>
  <c r="I268" i="4"/>
  <c r="H268" i="4"/>
  <c r="G268" i="4"/>
  <c r="F268" i="4"/>
  <c r="E268" i="4"/>
  <c r="D268" i="4"/>
  <c r="C268" i="4"/>
  <c r="M268" i="4" s="1"/>
  <c r="A268" i="4"/>
  <c r="A307" i="4" s="1"/>
  <c r="M267" i="4"/>
  <c r="L267" i="4"/>
  <c r="K267" i="4"/>
  <c r="D267" i="4"/>
  <c r="M266" i="4"/>
  <c r="L266" i="4"/>
  <c r="K266" i="4"/>
  <c r="D266" i="4"/>
  <c r="M265" i="4"/>
  <c r="L265" i="4"/>
  <c r="K265" i="4"/>
  <c r="D265" i="4"/>
  <c r="M264" i="4"/>
  <c r="L264" i="4"/>
  <c r="K264" i="4"/>
  <c r="D264" i="4"/>
  <c r="M263" i="4"/>
  <c r="L263" i="4"/>
  <c r="K263" i="4"/>
  <c r="D263" i="4"/>
  <c r="M262" i="4"/>
  <c r="L262" i="4"/>
  <c r="K262" i="4"/>
  <c r="D262" i="4"/>
  <c r="L261" i="4"/>
  <c r="J261" i="4"/>
  <c r="M261" i="4" s="1"/>
  <c r="I261" i="4"/>
  <c r="H261" i="4"/>
  <c r="G261" i="4"/>
  <c r="F261" i="4"/>
  <c r="E261" i="4"/>
  <c r="C261" i="4"/>
  <c r="D261" i="4" s="1"/>
  <c r="M260" i="4"/>
  <c r="L260" i="4"/>
  <c r="K260" i="4"/>
  <c r="D260" i="4"/>
  <c r="M259" i="4"/>
  <c r="L259" i="4"/>
  <c r="K259" i="4"/>
  <c r="D259" i="4"/>
  <c r="M258" i="4"/>
  <c r="L258" i="4"/>
  <c r="K258" i="4"/>
  <c r="D258" i="4"/>
  <c r="K257" i="4"/>
  <c r="J257" i="4"/>
  <c r="I257" i="4"/>
  <c r="H257" i="4"/>
  <c r="G257" i="4"/>
  <c r="F257" i="4"/>
  <c r="E257" i="4"/>
  <c r="C257" i="4"/>
  <c r="D257" i="4" s="1"/>
  <c r="M256" i="4"/>
  <c r="L256" i="4"/>
  <c r="K256" i="4"/>
  <c r="D256" i="4"/>
  <c r="M255" i="4"/>
  <c r="L255" i="4"/>
  <c r="K255" i="4"/>
  <c r="D255" i="4"/>
  <c r="M254" i="4"/>
  <c r="L254" i="4"/>
  <c r="K254" i="4"/>
  <c r="J254" i="4"/>
  <c r="I254" i="4"/>
  <c r="H254" i="4"/>
  <c r="G254" i="4"/>
  <c r="F254" i="4"/>
  <c r="E254" i="4"/>
  <c r="D254" i="4"/>
  <c r="C254" i="4"/>
  <c r="M253" i="4"/>
  <c r="L253" i="4"/>
  <c r="K253" i="4"/>
  <c r="D253" i="4"/>
  <c r="A253" i="4"/>
  <c r="A292" i="4" s="1"/>
  <c r="M252" i="4"/>
  <c r="L252" i="4"/>
  <c r="K252" i="4"/>
  <c r="D252" i="4"/>
  <c r="M251" i="4"/>
  <c r="L251" i="4"/>
  <c r="K251" i="4"/>
  <c r="D251" i="4"/>
  <c r="M250" i="4"/>
  <c r="L250" i="4"/>
  <c r="K250" i="4"/>
  <c r="D250" i="4"/>
  <c r="J249" i="4"/>
  <c r="K249" i="4" s="1"/>
  <c r="I249" i="4"/>
  <c r="H249" i="4"/>
  <c r="G249" i="4"/>
  <c r="F249" i="4"/>
  <c r="E249" i="4"/>
  <c r="D249" i="4"/>
  <c r="C249" i="4"/>
  <c r="M248" i="4"/>
  <c r="L248" i="4"/>
  <c r="K248" i="4"/>
  <c r="D248" i="4"/>
  <c r="A248" i="4"/>
  <c r="A287" i="4" s="1"/>
  <c r="M247" i="4"/>
  <c r="L247" i="4"/>
  <c r="K247" i="4"/>
  <c r="D247" i="4"/>
  <c r="M246" i="4"/>
  <c r="L246" i="4"/>
  <c r="K246" i="4"/>
  <c r="D246" i="4"/>
  <c r="M245" i="4"/>
  <c r="L245" i="4"/>
  <c r="K245" i="4"/>
  <c r="D245" i="4"/>
  <c r="M244" i="4"/>
  <c r="L244" i="4"/>
  <c r="K244" i="4"/>
  <c r="D244" i="4"/>
  <c r="M243" i="4"/>
  <c r="L243" i="4"/>
  <c r="K243" i="4"/>
  <c r="D243" i="4"/>
  <c r="M242" i="4"/>
  <c r="L242" i="4"/>
  <c r="K242" i="4"/>
  <c r="D242" i="4"/>
  <c r="M241" i="4"/>
  <c r="L241" i="4"/>
  <c r="K241" i="4"/>
  <c r="D241" i="4"/>
  <c r="M240" i="4"/>
  <c r="L240" i="4"/>
  <c r="K240" i="4"/>
  <c r="D240" i="4"/>
  <c r="O235" i="4"/>
  <c r="G235" i="4"/>
  <c r="H235" i="4" s="1"/>
  <c r="O234" i="4"/>
  <c r="M234" i="4"/>
  <c r="N234" i="4" s="1"/>
  <c r="K234" i="4"/>
  <c r="I234" i="4"/>
  <c r="J234" i="4" s="1"/>
  <c r="G234" i="4"/>
  <c r="H234" i="4" s="1"/>
  <c r="E234" i="4"/>
  <c r="F234" i="4" s="1"/>
  <c r="O233" i="4"/>
  <c r="M233" i="4"/>
  <c r="K233" i="4"/>
  <c r="I233" i="4"/>
  <c r="J233" i="4" s="1"/>
  <c r="G233" i="4"/>
  <c r="H233" i="4" s="1"/>
  <c r="E233" i="4"/>
  <c r="F233" i="4" s="1"/>
  <c r="O232" i="4"/>
  <c r="M232" i="4"/>
  <c r="N232" i="4" s="1"/>
  <c r="K232" i="4"/>
  <c r="L232" i="4" s="1"/>
  <c r="I232" i="4"/>
  <c r="J232" i="4" s="1"/>
  <c r="H232" i="4"/>
  <c r="G232" i="4"/>
  <c r="E232" i="4"/>
  <c r="F232" i="4" s="1"/>
  <c r="M231" i="4"/>
  <c r="N231" i="4" s="1"/>
  <c r="K231" i="4"/>
  <c r="I231" i="4"/>
  <c r="J231" i="4" s="1"/>
  <c r="G231" i="4"/>
  <c r="H231" i="4" s="1"/>
  <c r="E231" i="4"/>
  <c r="F231" i="4" s="1"/>
  <c r="M230" i="4"/>
  <c r="N230" i="4" s="1"/>
  <c r="K230" i="4"/>
  <c r="L230" i="4" s="1"/>
  <c r="M229" i="4"/>
  <c r="N229" i="4" s="1"/>
  <c r="K229" i="4"/>
  <c r="I229" i="4"/>
  <c r="J229" i="4" s="1"/>
  <c r="H229" i="4"/>
  <c r="G229" i="4"/>
  <c r="E229" i="4"/>
  <c r="F229" i="4" s="1"/>
  <c r="O228" i="4"/>
  <c r="M228" i="4"/>
  <c r="N228" i="4" s="1"/>
  <c r="K228" i="4"/>
  <c r="L228" i="4" s="1"/>
  <c r="I228" i="4"/>
  <c r="G228" i="4"/>
  <c r="H228" i="4" s="1"/>
  <c r="E228" i="4"/>
  <c r="F228" i="4" s="1"/>
  <c r="O227" i="4"/>
  <c r="M227" i="4"/>
  <c r="N227" i="4" s="1"/>
  <c r="K227" i="4"/>
  <c r="L227" i="4" s="1"/>
  <c r="I227" i="4"/>
  <c r="G227" i="4"/>
  <c r="H227" i="4" s="1"/>
  <c r="E227" i="4"/>
  <c r="F227" i="4" s="1"/>
  <c r="O226" i="4"/>
  <c r="N226" i="4"/>
  <c r="M226" i="4"/>
  <c r="K226" i="4"/>
  <c r="I226" i="4"/>
  <c r="J226" i="4" s="1"/>
  <c r="G226" i="4"/>
  <c r="H226" i="4" s="1"/>
  <c r="E226" i="4"/>
  <c r="F226" i="4" s="1"/>
  <c r="O225" i="4"/>
  <c r="M225" i="4"/>
  <c r="N225" i="4" s="1"/>
  <c r="K225" i="4"/>
  <c r="I225" i="4"/>
  <c r="J225" i="4" s="1"/>
  <c r="G225" i="4"/>
  <c r="H225" i="4" s="1"/>
  <c r="E225" i="4"/>
  <c r="F225" i="4" s="1"/>
  <c r="M224" i="4"/>
  <c r="K224" i="4"/>
  <c r="I224" i="4"/>
  <c r="J224" i="4" s="1"/>
  <c r="G224" i="4"/>
  <c r="H224" i="4" s="1"/>
  <c r="E224" i="4"/>
  <c r="F224" i="4" s="1"/>
  <c r="O223" i="4"/>
  <c r="M223" i="4"/>
  <c r="N223" i="4" s="1"/>
  <c r="K223" i="4"/>
  <c r="L223" i="4" s="1"/>
  <c r="I223" i="4"/>
  <c r="J223" i="4" s="1"/>
  <c r="H223" i="4"/>
  <c r="G223" i="4"/>
  <c r="M222" i="4"/>
  <c r="N222" i="4" s="1"/>
  <c r="K222" i="4"/>
  <c r="I222" i="4"/>
  <c r="J222" i="4" s="1"/>
  <c r="G222" i="4"/>
  <c r="H222" i="4" s="1"/>
  <c r="E222" i="4"/>
  <c r="F222" i="4" s="1"/>
  <c r="M221" i="4"/>
  <c r="N221" i="4" s="1"/>
  <c r="K221" i="4"/>
  <c r="L221" i="4" s="1"/>
  <c r="I221" i="4"/>
  <c r="J221" i="4" s="1"/>
  <c r="G221" i="4"/>
  <c r="E221" i="4"/>
  <c r="F221" i="4" s="1"/>
  <c r="O220" i="4"/>
  <c r="M220" i="4"/>
  <c r="N220" i="4" s="1"/>
  <c r="K220" i="4"/>
  <c r="I220" i="4"/>
  <c r="J220" i="4" s="1"/>
  <c r="H220" i="4"/>
  <c r="G220" i="4"/>
  <c r="E220" i="4"/>
  <c r="F220" i="4" s="1"/>
  <c r="M219" i="4"/>
  <c r="N219" i="4" s="1"/>
  <c r="K219" i="4"/>
  <c r="L219" i="4" s="1"/>
  <c r="M218" i="4"/>
  <c r="N218" i="4" s="1"/>
  <c r="K218" i="4"/>
  <c r="I218" i="4"/>
  <c r="J218" i="4" s="1"/>
  <c r="G218" i="4"/>
  <c r="H218" i="4" s="1"/>
  <c r="E218" i="4"/>
  <c r="F218" i="4" s="1"/>
  <c r="O217" i="4"/>
  <c r="M217" i="4"/>
  <c r="N217" i="4" s="1"/>
  <c r="K217" i="4"/>
  <c r="I217" i="4"/>
  <c r="G217" i="4"/>
  <c r="H217" i="4" s="1"/>
  <c r="E217" i="4"/>
  <c r="F217" i="4" s="1"/>
  <c r="M216" i="4"/>
  <c r="N216" i="4" s="1"/>
  <c r="K216" i="4"/>
  <c r="L216" i="4" s="1"/>
  <c r="I216" i="4"/>
  <c r="J216" i="4" s="1"/>
  <c r="G216" i="4"/>
  <c r="H216" i="4" s="1"/>
  <c r="O215" i="4"/>
  <c r="N215" i="4"/>
  <c r="M215" i="4"/>
  <c r="K215" i="4"/>
  <c r="I215" i="4"/>
  <c r="J215" i="4" s="1"/>
  <c r="G215" i="4"/>
  <c r="H215" i="4" s="1"/>
  <c r="E215" i="4"/>
  <c r="F215" i="4" s="1"/>
  <c r="M214" i="4"/>
  <c r="N214" i="4" s="1"/>
  <c r="K214" i="4"/>
  <c r="I214" i="4"/>
  <c r="J214" i="4" s="1"/>
  <c r="G214" i="4"/>
  <c r="H214" i="4" s="1"/>
  <c r="E214" i="4"/>
  <c r="F214" i="4" s="1"/>
  <c r="M213" i="4"/>
  <c r="K213" i="4"/>
  <c r="I213" i="4"/>
  <c r="J213" i="4" s="1"/>
  <c r="G213" i="4"/>
  <c r="H213" i="4" s="1"/>
  <c r="E213" i="4"/>
  <c r="F213" i="4" s="1"/>
  <c r="O212" i="4"/>
  <c r="M212" i="4"/>
  <c r="N212" i="4" s="1"/>
  <c r="K212" i="4"/>
  <c r="L212" i="4" s="1"/>
  <c r="I212" i="4"/>
  <c r="J212" i="4" s="1"/>
  <c r="H212" i="4"/>
  <c r="G212" i="4"/>
  <c r="E212" i="4"/>
  <c r="F212" i="4" s="1"/>
  <c r="I211" i="4"/>
  <c r="J211" i="4" s="1"/>
  <c r="G211" i="4"/>
  <c r="H211" i="4" s="1"/>
  <c r="O210" i="4"/>
  <c r="M210" i="4"/>
  <c r="N210" i="4" s="1"/>
  <c r="K210" i="4"/>
  <c r="L210" i="4" s="1"/>
  <c r="I210" i="4"/>
  <c r="J210" i="4" s="1"/>
  <c r="G210" i="4"/>
  <c r="E210" i="4"/>
  <c r="F210" i="4" s="1"/>
  <c r="M209" i="4"/>
  <c r="N209" i="4" s="1"/>
  <c r="K209" i="4"/>
  <c r="I209" i="4"/>
  <c r="J209" i="4" s="1"/>
  <c r="H209" i="4"/>
  <c r="G209" i="4"/>
  <c r="E209" i="4"/>
  <c r="F209" i="4" s="1"/>
  <c r="O208" i="4"/>
  <c r="M208" i="4"/>
  <c r="N208" i="4" s="1"/>
  <c r="K208" i="4"/>
  <c r="L208" i="4" s="1"/>
  <c r="I208" i="4"/>
  <c r="G208" i="4"/>
  <c r="H208" i="4" s="1"/>
  <c r="E208" i="4"/>
  <c r="F208" i="4" s="1"/>
  <c r="O207" i="4"/>
  <c r="M207" i="4"/>
  <c r="N207" i="4" s="1"/>
  <c r="K207" i="4"/>
  <c r="L207" i="4" s="1"/>
  <c r="I207" i="4"/>
  <c r="G207" i="4"/>
  <c r="H207" i="4" s="1"/>
  <c r="E207" i="4"/>
  <c r="F207" i="4" s="1"/>
  <c r="O206" i="4"/>
  <c r="P206" i="4" s="1"/>
  <c r="M206" i="4"/>
  <c r="K206" i="4"/>
  <c r="I206" i="4"/>
  <c r="J206" i="4" s="1"/>
  <c r="G206" i="4"/>
  <c r="H206" i="4" s="1"/>
  <c r="E206" i="4"/>
  <c r="F206" i="4" s="1"/>
  <c r="O205" i="4"/>
  <c r="N205" i="4"/>
  <c r="M205" i="4"/>
  <c r="K205" i="4"/>
  <c r="I205" i="4"/>
  <c r="J205" i="4" s="1"/>
  <c r="G205" i="4"/>
  <c r="H205" i="4" s="1"/>
  <c r="E205" i="4"/>
  <c r="F205" i="4" s="1"/>
  <c r="M204" i="4"/>
  <c r="N204" i="4" s="1"/>
  <c r="K204" i="4"/>
  <c r="I204" i="4"/>
  <c r="J204" i="4" s="1"/>
  <c r="G204" i="4"/>
  <c r="H204" i="4" s="1"/>
  <c r="E204" i="4"/>
  <c r="F204" i="4" s="1"/>
  <c r="O203" i="4"/>
  <c r="M203" i="4"/>
  <c r="N203" i="4" s="1"/>
  <c r="K203" i="4"/>
  <c r="L203" i="4" s="1"/>
  <c r="I203" i="4"/>
  <c r="J203" i="4" s="1"/>
  <c r="G203" i="4"/>
  <c r="E203" i="4"/>
  <c r="F203" i="4" s="1"/>
  <c r="M202" i="4"/>
  <c r="N206" i="4" s="1"/>
  <c r="K202" i="4"/>
  <c r="L202" i="4" s="1"/>
  <c r="I202" i="4"/>
  <c r="J228" i="4" s="1"/>
  <c r="G202" i="4"/>
  <c r="H221" i="4" s="1"/>
  <c r="E202" i="4"/>
  <c r="F202" i="4" s="1"/>
  <c r="I196" i="4"/>
  <c r="I312" i="4" s="1"/>
  <c r="H196" i="4"/>
  <c r="H312" i="4" s="1"/>
  <c r="G196" i="4"/>
  <c r="G312" i="4" s="1"/>
  <c r="F196" i="4"/>
  <c r="F312" i="4" s="1"/>
  <c r="E196" i="4"/>
  <c r="E312" i="4" s="1"/>
  <c r="D196" i="4"/>
  <c r="C196" i="4"/>
  <c r="K195" i="4"/>
  <c r="R234" i="4" s="1"/>
  <c r="I195" i="4"/>
  <c r="C195" i="4"/>
  <c r="C234" i="4" s="1"/>
  <c r="I194" i="4"/>
  <c r="I310" i="4" s="1"/>
  <c r="C194" i="4"/>
  <c r="J193" i="4"/>
  <c r="Q232" i="4" s="1"/>
  <c r="I193" i="4"/>
  <c r="C193" i="4"/>
  <c r="C232" i="4" s="1"/>
  <c r="K192" i="4"/>
  <c r="R231" i="4" s="1"/>
  <c r="J192" i="4"/>
  <c r="Q231" i="4" s="1"/>
  <c r="I192" i="4"/>
  <c r="I308" i="4" s="1"/>
  <c r="C192" i="4"/>
  <c r="C231" i="4" s="1"/>
  <c r="H191" i="4"/>
  <c r="G191" i="4"/>
  <c r="G307" i="4" s="1"/>
  <c r="F191" i="4"/>
  <c r="F307" i="4" s="1"/>
  <c r="E191" i="4"/>
  <c r="E307" i="4" s="1"/>
  <c r="D191" i="4"/>
  <c r="E230" i="4" s="1"/>
  <c r="F230" i="4" s="1"/>
  <c r="A191" i="4"/>
  <c r="J190" i="4"/>
  <c r="Q229" i="4" s="1"/>
  <c r="I190" i="4"/>
  <c r="I306" i="4" s="1"/>
  <c r="C190" i="4"/>
  <c r="K190" i="4" s="1"/>
  <c r="R229" i="4" s="1"/>
  <c r="I189" i="4"/>
  <c r="C189" i="4"/>
  <c r="K189" i="4" s="1"/>
  <c r="R228" i="4" s="1"/>
  <c r="J188" i="4"/>
  <c r="Q227" i="4" s="1"/>
  <c r="I188" i="4"/>
  <c r="I304" i="4" s="1"/>
  <c r="C188" i="4"/>
  <c r="C227" i="4" s="1"/>
  <c r="I187" i="4"/>
  <c r="C187" i="4"/>
  <c r="C226" i="4" s="1"/>
  <c r="I186" i="4"/>
  <c r="I302" i="4" s="1"/>
  <c r="C186" i="4"/>
  <c r="K186" i="4" s="1"/>
  <c r="R225" i="4" s="1"/>
  <c r="J185" i="4"/>
  <c r="Q224" i="4" s="1"/>
  <c r="I185" i="4"/>
  <c r="O224" i="4" s="1"/>
  <c r="C185" i="4"/>
  <c r="A185" i="4"/>
  <c r="A262" i="4" s="1"/>
  <c r="A301" i="4" s="1"/>
  <c r="I184" i="4"/>
  <c r="H184" i="4"/>
  <c r="G184" i="4"/>
  <c r="F184" i="4"/>
  <c r="F300" i="4" s="1"/>
  <c r="E184" i="4"/>
  <c r="E300" i="4" s="1"/>
  <c r="D184" i="4"/>
  <c r="E223" i="4" s="1"/>
  <c r="F223" i="4" s="1"/>
  <c r="I183" i="4"/>
  <c r="I299" i="4" s="1"/>
  <c r="C183" i="4"/>
  <c r="A183" i="4"/>
  <c r="A260" i="4" s="1"/>
  <c r="A299" i="4" s="1"/>
  <c r="I182" i="4"/>
  <c r="I298" i="4" s="1"/>
  <c r="C182" i="4"/>
  <c r="A182" i="4"/>
  <c r="A259" i="4" s="1"/>
  <c r="A298" i="4" s="1"/>
  <c r="K181" i="4"/>
  <c r="R220" i="4" s="1"/>
  <c r="J181" i="4"/>
  <c r="Q220" i="4" s="1"/>
  <c r="I181" i="4"/>
  <c r="C181" i="4"/>
  <c r="C220" i="4" s="1"/>
  <c r="H180" i="4"/>
  <c r="H296" i="4" s="1"/>
  <c r="G180" i="4"/>
  <c r="G296" i="4" s="1"/>
  <c r="F180" i="4"/>
  <c r="F296" i="4" s="1"/>
  <c r="E180" i="4"/>
  <c r="E296" i="4" s="1"/>
  <c r="D180" i="4"/>
  <c r="E219" i="4" s="1"/>
  <c r="F219" i="4" s="1"/>
  <c r="C180" i="4"/>
  <c r="K179" i="4"/>
  <c r="R218" i="4" s="1"/>
  <c r="I179" i="4"/>
  <c r="O218" i="4" s="1"/>
  <c r="C179" i="4"/>
  <c r="C218" i="4" s="1"/>
  <c r="I178" i="4"/>
  <c r="I294" i="4" s="1"/>
  <c r="C178" i="4"/>
  <c r="K178" i="4" s="1"/>
  <c r="R217" i="4" s="1"/>
  <c r="H177" i="4"/>
  <c r="G177" i="4"/>
  <c r="G293" i="4" s="1"/>
  <c r="F177" i="4"/>
  <c r="F293" i="4" s="1"/>
  <c r="E177" i="4"/>
  <c r="D177" i="4"/>
  <c r="E216" i="4" s="1"/>
  <c r="F216" i="4" s="1"/>
  <c r="C177" i="4"/>
  <c r="C216" i="4" s="1"/>
  <c r="I176" i="4"/>
  <c r="I292" i="4" s="1"/>
  <c r="C176" i="4"/>
  <c r="K176" i="4" s="1"/>
  <c r="R215" i="4" s="1"/>
  <c r="J175" i="4"/>
  <c r="Q214" i="4" s="1"/>
  <c r="I175" i="4"/>
  <c r="O214" i="4" s="1"/>
  <c r="C175" i="4"/>
  <c r="C214" i="4" s="1"/>
  <c r="K174" i="4"/>
  <c r="R213" i="4" s="1"/>
  <c r="J174" i="4"/>
  <c r="Q213" i="4" s="1"/>
  <c r="I174" i="4"/>
  <c r="I290" i="4" s="1"/>
  <c r="C174" i="4"/>
  <c r="I173" i="4"/>
  <c r="C173" i="4"/>
  <c r="K173" i="4" s="1"/>
  <c r="R212" i="4" s="1"/>
  <c r="I172" i="4"/>
  <c r="O211" i="4" s="1"/>
  <c r="H172" i="4"/>
  <c r="H288" i="4" s="1"/>
  <c r="G172" i="4"/>
  <c r="G288" i="4" s="1"/>
  <c r="F172" i="4"/>
  <c r="F288" i="4" s="1"/>
  <c r="E172" i="4"/>
  <c r="E288" i="4" s="1"/>
  <c r="D172" i="4"/>
  <c r="C172" i="4"/>
  <c r="A172" i="4"/>
  <c r="A249" i="4" s="1"/>
  <c r="A288" i="4" s="1"/>
  <c r="K171" i="4"/>
  <c r="R210" i="4" s="1"/>
  <c r="I171" i="4"/>
  <c r="C171" i="4"/>
  <c r="C210" i="4" s="1"/>
  <c r="I170" i="4"/>
  <c r="I286" i="4" s="1"/>
  <c r="C170" i="4"/>
  <c r="I169" i="4"/>
  <c r="C169" i="4"/>
  <c r="C208" i="4" s="1"/>
  <c r="K168" i="4"/>
  <c r="R207" i="4" s="1"/>
  <c r="I168" i="4"/>
  <c r="I284" i="4" s="1"/>
  <c r="C168" i="4"/>
  <c r="C207" i="4" s="1"/>
  <c r="I167" i="4"/>
  <c r="C167" i="4"/>
  <c r="A167" i="4"/>
  <c r="A244" i="4" s="1"/>
  <c r="A283" i="4" s="1"/>
  <c r="K166" i="4"/>
  <c r="R205" i="4" s="1"/>
  <c r="I166" i="4"/>
  <c r="I282" i="4" s="1"/>
  <c r="C166" i="4"/>
  <c r="I165" i="4"/>
  <c r="O204" i="4" s="1"/>
  <c r="C165" i="4"/>
  <c r="C204" i="4" s="1"/>
  <c r="I164" i="4"/>
  <c r="I280" i="4" s="1"/>
  <c r="C164" i="4"/>
  <c r="K164" i="4" s="1"/>
  <c r="R203" i="4" s="1"/>
  <c r="J163" i="4"/>
  <c r="Q202" i="4" s="1"/>
  <c r="I163" i="4"/>
  <c r="O202" i="4" s="1"/>
  <c r="P202" i="4" s="1"/>
  <c r="C163" i="4"/>
  <c r="C202" i="4" s="1"/>
  <c r="D202" i="4" s="1"/>
  <c r="N157" i="4"/>
  <c r="M157" i="4"/>
  <c r="B157" i="4"/>
  <c r="D157" i="4" s="1"/>
  <c r="A157" i="4"/>
  <c r="A196" i="4" s="1"/>
  <c r="A273" i="4" s="1"/>
  <c r="A312" i="4" s="1"/>
  <c r="N156" i="4"/>
  <c r="M156" i="4"/>
  <c r="L156" i="4"/>
  <c r="K156" i="4"/>
  <c r="J156" i="4"/>
  <c r="I156" i="4"/>
  <c r="H156" i="4"/>
  <c r="G156" i="4"/>
  <c r="F156" i="4"/>
  <c r="E156" i="4"/>
  <c r="D156" i="4"/>
  <c r="C156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153" i="4"/>
  <c r="A192" i="4" s="1"/>
  <c r="A269" i="4" s="1"/>
  <c r="A308" i="4" s="1"/>
  <c r="F152" i="4"/>
  <c r="E152" i="4"/>
  <c r="D152" i="4"/>
  <c r="B152" i="4"/>
  <c r="A152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A151" i="4"/>
  <c r="A190" i="4" s="1"/>
  <c r="A267" i="4" s="1"/>
  <c r="A306" i="4" s="1"/>
  <c r="N150" i="4"/>
  <c r="M150" i="4"/>
  <c r="L150" i="4"/>
  <c r="K150" i="4"/>
  <c r="J150" i="4"/>
  <c r="I150" i="4"/>
  <c r="H150" i="4"/>
  <c r="G150" i="4"/>
  <c r="F150" i="4"/>
  <c r="E150" i="4"/>
  <c r="D150" i="4"/>
  <c r="C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A146" i="4"/>
  <c r="M145" i="4"/>
  <c r="B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N141" i="4"/>
  <c r="G141" i="4"/>
  <c r="F141" i="4"/>
  <c r="E141" i="4"/>
  <c r="D141" i="4"/>
  <c r="B141" i="4"/>
  <c r="C141" i="4" s="1"/>
  <c r="N140" i="4"/>
  <c r="M140" i="4"/>
  <c r="L140" i="4"/>
  <c r="K140" i="4"/>
  <c r="J140" i="4"/>
  <c r="I140" i="4"/>
  <c r="H140" i="4"/>
  <c r="G140" i="4"/>
  <c r="F140" i="4"/>
  <c r="E140" i="4"/>
  <c r="D140" i="4"/>
  <c r="C140" i="4"/>
  <c r="A140" i="4"/>
  <c r="A179" i="4" s="1"/>
  <c r="A256" i="4" s="1"/>
  <c r="N139" i="4"/>
  <c r="M139" i="4"/>
  <c r="L139" i="4"/>
  <c r="K139" i="4"/>
  <c r="J139" i="4"/>
  <c r="I139" i="4"/>
  <c r="H139" i="4"/>
  <c r="G139" i="4"/>
  <c r="F139" i="4"/>
  <c r="E139" i="4"/>
  <c r="D139" i="4"/>
  <c r="C139" i="4"/>
  <c r="J138" i="4"/>
  <c r="B138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136" i="4"/>
  <c r="A175" i="4" s="1"/>
  <c r="A252" i="4" s="1"/>
  <c r="A291" i="4" s="1"/>
  <c r="N135" i="4"/>
  <c r="M135" i="4"/>
  <c r="L135" i="4"/>
  <c r="K135" i="4"/>
  <c r="J135" i="4"/>
  <c r="I135" i="4"/>
  <c r="H135" i="4"/>
  <c r="G135" i="4"/>
  <c r="F135" i="4"/>
  <c r="E135" i="4"/>
  <c r="D135" i="4"/>
  <c r="C135" i="4"/>
  <c r="A135" i="4"/>
  <c r="A174" i="4" s="1"/>
  <c r="A251" i="4" s="1"/>
  <c r="A290" i="4" s="1"/>
  <c r="N134" i="4"/>
  <c r="M134" i="4"/>
  <c r="L134" i="4"/>
  <c r="K134" i="4"/>
  <c r="J134" i="4"/>
  <c r="I134" i="4"/>
  <c r="H134" i="4"/>
  <c r="G134" i="4"/>
  <c r="F134" i="4"/>
  <c r="E134" i="4"/>
  <c r="D134" i="4"/>
  <c r="C134" i="4"/>
  <c r="A134" i="4"/>
  <c r="A173" i="4" s="1"/>
  <c r="A250" i="4" s="1"/>
  <c r="N133" i="4"/>
  <c r="M133" i="4"/>
  <c r="L133" i="4"/>
  <c r="K133" i="4"/>
  <c r="H133" i="4"/>
  <c r="B133" i="4"/>
  <c r="A133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R117" i="4"/>
  <c r="J196" i="4" s="1"/>
  <c r="Q235" i="4" s="1"/>
  <c r="Q117" i="4"/>
  <c r="P117" i="4"/>
  <c r="D117" i="4"/>
  <c r="C117" i="4"/>
  <c r="A117" i="4"/>
  <c r="R116" i="4"/>
  <c r="J195" i="4" s="1"/>
  <c r="Q234" i="4" s="1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116" i="4"/>
  <c r="A156" i="4" s="1"/>
  <c r="A195" i="4" s="1"/>
  <c r="A272" i="4" s="1"/>
  <c r="A311" i="4" s="1"/>
  <c r="R115" i="4"/>
  <c r="J194" i="4" s="1"/>
  <c r="Q233" i="4" s="1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115" i="4"/>
  <c r="A155" i="4" s="1"/>
  <c r="A194" i="4" s="1"/>
  <c r="A271" i="4" s="1"/>
  <c r="A310" i="4" s="1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114" i="4"/>
  <c r="A154" i="4" s="1"/>
  <c r="A193" i="4" s="1"/>
  <c r="A270" i="4" s="1"/>
  <c r="A309" i="4" s="1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113" i="4"/>
  <c r="N112" i="4"/>
  <c r="M112" i="4"/>
  <c r="L112" i="4"/>
  <c r="K112" i="4"/>
  <c r="J112" i="4"/>
  <c r="I112" i="4"/>
  <c r="H112" i="4"/>
  <c r="G112" i="4"/>
  <c r="F112" i="4"/>
  <c r="E112" i="4"/>
  <c r="A112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111" i="4"/>
  <c r="R110" i="4"/>
  <c r="J189" i="4" s="1"/>
  <c r="Q228" i="4" s="1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110" i="4"/>
  <c r="A150" i="4" s="1"/>
  <c r="A189" i="4" s="1"/>
  <c r="A266" i="4" s="1"/>
  <c r="A305" i="4" s="1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109" i="4"/>
  <c r="A149" i="4" s="1"/>
  <c r="A188" i="4" s="1"/>
  <c r="A265" i="4" s="1"/>
  <c r="A304" i="4" s="1"/>
  <c r="R108" i="4"/>
  <c r="J187" i="4" s="1"/>
  <c r="Q226" i="4" s="1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108" i="4"/>
  <c r="A148" i="4" s="1"/>
  <c r="A187" i="4" s="1"/>
  <c r="A264" i="4" s="1"/>
  <c r="A303" i="4" s="1"/>
  <c r="R107" i="4"/>
  <c r="J186" i="4" s="1"/>
  <c r="Q225" i="4" s="1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107" i="4"/>
  <c r="A147" i="4" s="1"/>
  <c r="A186" i="4" s="1"/>
  <c r="A263" i="4" s="1"/>
  <c r="A302" i="4" s="1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106" i="4"/>
  <c r="L105" i="4"/>
  <c r="E105" i="4"/>
  <c r="D105" i="4"/>
  <c r="C105" i="4"/>
  <c r="A105" i="4"/>
  <c r="A145" i="4" s="1"/>
  <c r="A184" i="4" s="1"/>
  <c r="A261" i="4" s="1"/>
  <c r="A300" i="4" s="1"/>
  <c r="R104" i="4"/>
  <c r="J183" i="4" s="1"/>
  <c r="Q222" i="4" s="1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104" i="4"/>
  <c r="A144" i="4" s="1"/>
  <c r="R103" i="4"/>
  <c r="J182" i="4" s="1"/>
  <c r="Q221" i="4" s="1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103" i="4"/>
  <c r="A143" i="4" s="1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102" i="4"/>
  <c r="A142" i="4" s="1"/>
  <c r="A181" i="4" s="1"/>
  <c r="A258" i="4" s="1"/>
  <c r="A297" i="4" s="1"/>
  <c r="R101" i="4"/>
  <c r="J180" i="4" s="1"/>
  <c r="Q219" i="4" s="1"/>
  <c r="Q101" i="4"/>
  <c r="P101" i="4"/>
  <c r="D101" i="4"/>
  <c r="C101" i="4"/>
  <c r="A101" i="4"/>
  <c r="A141" i="4" s="1"/>
  <c r="A180" i="4" s="1"/>
  <c r="A257" i="4" s="1"/>
  <c r="A296" i="4" s="1"/>
  <c r="R100" i="4"/>
  <c r="J179" i="4" s="1"/>
  <c r="Q218" i="4" s="1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A100" i="4"/>
  <c r="R99" i="4"/>
  <c r="J178" i="4" s="1"/>
  <c r="Q217" i="4" s="1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A99" i="4"/>
  <c r="A139" i="4" s="1"/>
  <c r="A178" i="4" s="1"/>
  <c r="A255" i="4" s="1"/>
  <c r="A294" i="4" s="1"/>
  <c r="J98" i="4"/>
  <c r="I98" i="4"/>
  <c r="H98" i="4"/>
  <c r="G98" i="4"/>
  <c r="F98" i="4"/>
  <c r="E98" i="4"/>
  <c r="A98" i="4"/>
  <c r="A138" i="4" s="1"/>
  <c r="A177" i="4" s="1"/>
  <c r="A254" i="4" s="1"/>
  <c r="R97" i="4"/>
  <c r="J176" i="4" s="1"/>
  <c r="Q215" i="4" s="1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A97" i="4"/>
  <c r="A137" i="4" s="1"/>
  <c r="A176" i="4" s="1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A96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A95" i="4"/>
  <c r="R94" i="4"/>
  <c r="J173" i="4" s="1"/>
  <c r="Q212" i="4" s="1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A94" i="4"/>
  <c r="Q93" i="4"/>
  <c r="P93" i="4"/>
  <c r="O93" i="4"/>
  <c r="J93" i="4"/>
  <c r="I93" i="4"/>
  <c r="A93" i="4"/>
  <c r="R92" i="4"/>
  <c r="J171" i="4" s="1"/>
  <c r="Q210" i="4" s="1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A92" i="4"/>
  <c r="A132" i="4" s="1"/>
  <c r="A171" i="4" s="1"/>
  <c r="R91" i="4"/>
  <c r="J170" i="4" s="1"/>
  <c r="Q209" i="4" s="1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A91" i="4"/>
  <c r="A131" i="4" s="1"/>
  <c r="A170" i="4" s="1"/>
  <c r="A247" i="4" s="1"/>
  <c r="A286" i="4" s="1"/>
  <c r="R90" i="4"/>
  <c r="J169" i="4" s="1"/>
  <c r="Q208" i="4" s="1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A90" i="4"/>
  <c r="A130" i="4" s="1"/>
  <c r="A169" i="4" s="1"/>
  <c r="A246" i="4" s="1"/>
  <c r="A285" i="4" s="1"/>
  <c r="R89" i="4"/>
  <c r="J168" i="4" s="1"/>
  <c r="Q207" i="4" s="1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A89" i="4"/>
  <c r="A129" i="4" s="1"/>
  <c r="A168" i="4" s="1"/>
  <c r="A245" i="4" s="1"/>
  <c r="R88" i="4"/>
  <c r="J167" i="4" s="1"/>
  <c r="Q206" i="4" s="1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A88" i="4"/>
  <c r="R87" i="4"/>
  <c r="J166" i="4" s="1"/>
  <c r="Q205" i="4" s="1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A87" i="4"/>
  <c r="A127" i="4" s="1"/>
  <c r="A166" i="4" s="1"/>
  <c r="A243" i="4" s="1"/>
  <c r="A282" i="4" s="1"/>
  <c r="R86" i="4"/>
  <c r="J165" i="4" s="1"/>
  <c r="Q204" i="4" s="1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A86" i="4"/>
  <c r="A126" i="4" s="1"/>
  <c r="A165" i="4" s="1"/>
  <c r="A242" i="4" s="1"/>
  <c r="A281" i="4" s="1"/>
  <c r="R85" i="4"/>
  <c r="J164" i="4" s="1"/>
  <c r="Q203" i="4" s="1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A85" i="4"/>
  <c r="A125" i="4" s="1"/>
  <c r="A164" i="4" s="1"/>
  <c r="A241" i="4" s="1"/>
  <c r="A280" i="4" s="1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A84" i="4"/>
  <c r="A124" i="4" s="1"/>
  <c r="A163" i="4" s="1"/>
  <c r="A240" i="4" s="1"/>
  <c r="A279" i="4" s="1"/>
  <c r="A83" i="4"/>
  <c r="A123" i="4" s="1"/>
  <c r="R77" i="4"/>
  <c r="T77" i="4" s="1"/>
  <c r="Q77" i="4"/>
  <c r="S77" i="4" s="1"/>
  <c r="P77" i="4"/>
  <c r="O77" i="4"/>
  <c r="O117" i="4" s="1"/>
  <c r="N77" i="4"/>
  <c r="M77" i="4"/>
  <c r="L77" i="4"/>
  <c r="J157" i="4" s="1"/>
  <c r="K77" i="4"/>
  <c r="J77" i="4"/>
  <c r="I77" i="4"/>
  <c r="J117" i="4" s="1"/>
  <c r="H77" i="4"/>
  <c r="L157" i="4" s="1"/>
  <c r="G77" i="4"/>
  <c r="G117" i="4" s="1"/>
  <c r="F77" i="4"/>
  <c r="H157" i="4" s="1"/>
  <c r="E77" i="4"/>
  <c r="D77" i="4"/>
  <c r="F157" i="4" s="1"/>
  <c r="C77" i="4"/>
  <c r="E157" i="4" s="1"/>
  <c r="T76" i="4"/>
  <c r="S76" i="4"/>
  <c r="T75" i="4"/>
  <c r="S75" i="4"/>
  <c r="T74" i="4"/>
  <c r="S74" i="4"/>
  <c r="T73" i="4"/>
  <c r="S73" i="4"/>
  <c r="R72" i="4"/>
  <c r="Q72" i="4"/>
  <c r="S72" i="4" s="1"/>
  <c r="P72" i="4"/>
  <c r="N152" i="4" s="1"/>
  <c r="O72" i="4"/>
  <c r="M152" i="4" s="1"/>
  <c r="N72" i="4"/>
  <c r="M72" i="4"/>
  <c r="L72" i="4"/>
  <c r="J152" i="4" s="1"/>
  <c r="K72" i="4"/>
  <c r="I152" i="4" s="1"/>
  <c r="J72" i="4"/>
  <c r="I72" i="4"/>
  <c r="H72" i="4"/>
  <c r="L152" i="4" s="1"/>
  <c r="G72" i="4"/>
  <c r="F72" i="4"/>
  <c r="H152" i="4" s="1"/>
  <c r="E72" i="4"/>
  <c r="D72" i="4"/>
  <c r="C72" i="4"/>
  <c r="T71" i="4"/>
  <c r="S71" i="4"/>
  <c r="T70" i="4"/>
  <c r="S70" i="4"/>
  <c r="T69" i="4"/>
  <c r="S69" i="4"/>
  <c r="T68" i="4"/>
  <c r="S68" i="4"/>
  <c r="T67" i="4"/>
  <c r="S67" i="4"/>
  <c r="T66" i="4"/>
  <c r="S66" i="4"/>
  <c r="T65" i="4"/>
  <c r="R65" i="4"/>
  <c r="D145" i="4" s="1"/>
  <c r="Q65" i="4"/>
  <c r="P65" i="4"/>
  <c r="N145" i="4" s="1"/>
  <c r="O65" i="4"/>
  <c r="P105" i="4" s="1"/>
  <c r="N65" i="4"/>
  <c r="J145" i="4" s="1"/>
  <c r="M65" i="4"/>
  <c r="I145" i="4" s="1"/>
  <c r="L65" i="4"/>
  <c r="K65" i="4"/>
  <c r="K105" i="4" s="1"/>
  <c r="J65" i="4"/>
  <c r="I65" i="4"/>
  <c r="J105" i="4" s="1"/>
  <c r="H65" i="4"/>
  <c r="G65" i="4"/>
  <c r="H105" i="4" s="1"/>
  <c r="F65" i="4"/>
  <c r="H145" i="4" s="1"/>
  <c r="E65" i="4"/>
  <c r="D65" i="4"/>
  <c r="F145" i="4" s="1"/>
  <c r="C65" i="4"/>
  <c r="T64" i="4"/>
  <c r="S64" i="4"/>
  <c r="T63" i="4"/>
  <c r="S63" i="4"/>
  <c r="T62" i="4"/>
  <c r="S62" i="4"/>
  <c r="R61" i="4"/>
  <c r="T61" i="4" s="1"/>
  <c r="Q61" i="4"/>
  <c r="S61" i="4" s="1"/>
  <c r="P61" i="4"/>
  <c r="O61" i="4"/>
  <c r="M141" i="4" s="1"/>
  <c r="N61" i="4"/>
  <c r="M61" i="4"/>
  <c r="L61" i="4"/>
  <c r="K61" i="4"/>
  <c r="J61" i="4"/>
  <c r="I61" i="4"/>
  <c r="J101" i="4" s="1"/>
  <c r="H61" i="4"/>
  <c r="L141" i="4" s="1"/>
  <c r="G61" i="4"/>
  <c r="K141" i="4" s="1"/>
  <c r="F61" i="4"/>
  <c r="H141" i="4" s="1"/>
  <c r="E61" i="4"/>
  <c r="E101" i="4" s="1"/>
  <c r="D61" i="4"/>
  <c r="C61" i="4"/>
  <c r="T60" i="4"/>
  <c r="S60" i="4"/>
  <c r="T59" i="4"/>
  <c r="S59" i="4"/>
  <c r="T58" i="4"/>
  <c r="S58" i="4"/>
  <c r="R58" i="4"/>
  <c r="D138" i="4" s="1"/>
  <c r="Q58" i="4"/>
  <c r="P58" i="4"/>
  <c r="O58" i="4"/>
  <c r="N58" i="4"/>
  <c r="M58" i="4"/>
  <c r="L58" i="4"/>
  <c r="K58" i="4"/>
  <c r="I138" i="4" s="1"/>
  <c r="J58" i="4"/>
  <c r="I58" i="4"/>
  <c r="H58" i="4"/>
  <c r="G58" i="4"/>
  <c r="F58" i="4"/>
  <c r="E58" i="4"/>
  <c r="D58" i="4"/>
  <c r="H138" i="4" s="1"/>
  <c r="C58" i="4"/>
  <c r="G138" i="4" s="1"/>
  <c r="T57" i="4"/>
  <c r="S57" i="4"/>
  <c r="T56" i="4"/>
  <c r="S56" i="4"/>
  <c r="T55" i="4"/>
  <c r="S55" i="4"/>
  <c r="T54" i="4"/>
  <c r="S54" i="4"/>
  <c r="R53" i="4"/>
  <c r="T53" i="4" s="1"/>
  <c r="Q53" i="4"/>
  <c r="S53" i="4" s="1"/>
  <c r="P53" i="4"/>
  <c r="O53" i="4"/>
  <c r="N53" i="4"/>
  <c r="M53" i="4"/>
  <c r="M93" i="4" s="1"/>
  <c r="L53" i="4"/>
  <c r="J133" i="4" s="1"/>
  <c r="K53" i="4"/>
  <c r="K93" i="4" s="1"/>
  <c r="J53" i="4"/>
  <c r="I53" i="4"/>
  <c r="H53" i="4"/>
  <c r="G53" i="4"/>
  <c r="G93" i="4" s="1"/>
  <c r="F53" i="4"/>
  <c r="E53" i="4"/>
  <c r="D53" i="4"/>
  <c r="F133" i="4" s="1"/>
  <c r="C53" i="4"/>
  <c r="E133" i="4" s="1"/>
  <c r="T52" i="4"/>
  <c r="S52" i="4"/>
  <c r="T51" i="4"/>
  <c r="S51" i="4"/>
  <c r="T50" i="4"/>
  <c r="S50" i="4"/>
  <c r="T49" i="4"/>
  <c r="S49" i="4"/>
  <c r="T48" i="4"/>
  <c r="S48" i="4"/>
  <c r="T47" i="4"/>
  <c r="S47" i="4"/>
  <c r="T46" i="4"/>
  <c r="S46" i="4"/>
  <c r="T45" i="4"/>
  <c r="S45" i="4"/>
  <c r="T44" i="4"/>
  <c r="S44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37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36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35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34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32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31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30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29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28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27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26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25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24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23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22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21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20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A19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18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17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16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12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11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10" i="4"/>
  <c r="P218" i="4" l="1"/>
  <c r="P204" i="4"/>
  <c r="P214" i="4"/>
  <c r="P224" i="4"/>
  <c r="P211" i="4"/>
  <c r="L138" i="4"/>
  <c r="L93" i="4"/>
  <c r="I133" i="4"/>
  <c r="M138" i="4"/>
  <c r="C211" i="4"/>
  <c r="D211" i="4" s="1"/>
  <c r="K172" i="4"/>
  <c r="R211" i="4" s="1"/>
  <c r="C288" i="4"/>
  <c r="P217" i="4"/>
  <c r="L249" i="4"/>
  <c r="N93" i="4"/>
  <c r="N138" i="4"/>
  <c r="K163" i="4"/>
  <c r="R202" i="4" s="1"/>
  <c r="D207" i="4"/>
  <c r="E211" i="4"/>
  <c r="F211" i="4" s="1"/>
  <c r="D288" i="4"/>
  <c r="D218" i="4"/>
  <c r="C221" i="4"/>
  <c r="D221" i="4" s="1"/>
  <c r="C298" i="4"/>
  <c r="K193" i="4"/>
  <c r="R232" i="4" s="1"/>
  <c r="P208" i="4"/>
  <c r="P228" i="4"/>
  <c r="M249" i="4"/>
  <c r="K98" i="4"/>
  <c r="K175" i="4"/>
  <c r="R214" i="4" s="1"/>
  <c r="L205" i="4"/>
  <c r="C293" i="4"/>
  <c r="G157" i="4"/>
  <c r="E117" i="4"/>
  <c r="L98" i="4"/>
  <c r="K182" i="4"/>
  <c r="R221" i="4" s="1"/>
  <c r="C233" i="4"/>
  <c r="D233" i="4" s="1"/>
  <c r="K194" i="4"/>
  <c r="R233" i="4" s="1"/>
  <c r="C310" i="4"/>
  <c r="H202" i="4"/>
  <c r="P203" i="4"/>
  <c r="P210" i="4"/>
  <c r="L214" i="4"/>
  <c r="O221" i="4"/>
  <c r="P221" i="4" s="1"/>
  <c r="L225" i="4"/>
  <c r="L234" i="4"/>
  <c r="K261" i="4"/>
  <c r="C291" i="4"/>
  <c r="D293" i="4"/>
  <c r="D204" i="4"/>
  <c r="L218" i="4"/>
  <c r="H117" i="4"/>
  <c r="C157" i="4"/>
  <c r="G133" i="4"/>
  <c r="F93" i="4"/>
  <c r="E93" i="4"/>
  <c r="N98" i="4"/>
  <c r="M98" i="4"/>
  <c r="C184" i="4"/>
  <c r="C145" i="4"/>
  <c r="Q105" i="4"/>
  <c r="D112" i="4"/>
  <c r="C112" i="4"/>
  <c r="M105" i="4"/>
  <c r="I117" i="4"/>
  <c r="K165" i="4"/>
  <c r="R204" i="4" s="1"/>
  <c r="K169" i="4"/>
  <c r="R208" i="4" s="1"/>
  <c r="K187" i="4"/>
  <c r="R226" i="4" s="1"/>
  <c r="N202" i="4"/>
  <c r="P207" i="4"/>
  <c r="K211" i="4"/>
  <c r="L211" i="4" s="1"/>
  <c r="P227" i="4"/>
  <c r="L231" i="4"/>
  <c r="I279" i="4"/>
  <c r="C309" i="4"/>
  <c r="D232" i="4"/>
  <c r="J207" i="4"/>
  <c r="D226" i="4"/>
  <c r="I191" i="4"/>
  <c r="T72" i="4"/>
  <c r="I157" i="4"/>
  <c r="L117" i="4"/>
  <c r="K117" i="4"/>
  <c r="F101" i="4"/>
  <c r="N105" i="4"/>
  <c r="K157" i="4"/>
  <c r="D227" i="4"/>
  <c r="D231" i="4"/>
  <c r="L204" i="4"/>
  <c r="M211" i="4"/>
  <c r="N211" i="4" s="1"/>
  <c r="L222" i="4"/>
  <c r="I235" i="4"/>
  <c r="J235" i="4" s="1"/>
  <c r="I291" i="4"/>
  <c r="P112" i="4"/>
  <c r="O112" i="4"/>
  <c r="D216" i="4"/>
  <c r="I301" i="4"/>
  <c r="L209" i="4"/>
  <c r="P98" i="4"/>
  <c r="O98" i="4"/>
  <c r="E145" i="4"/>
  <c r="S65" i="4"/>
  <c r="G152" i="4"/>
  <c r="C98" i="4"/>
  <c r="G101" i="4"/>
  <c r="O105" i="4"/>
  <c r="F138" i="4"/>
  <c r="C205" i="4"/>
  <c r="D205" i="4" s="1"/>
  <c r="C282" i="4"/>
  <c r="C209" i="4"/>
  <c r="D209" i="4" s="1"/>
  <c r="K170" i="4"/>
  <c r="R209" i="4" s="1"/>
  <c r="C286" i="4"/>
  <c r="G300" i="4"/>
  <c r="C235" i="4"/>
  <c r="D235" i="4" s="1"/>
  <c r="K196" i="4"/>
  <c r="R235" i="4" s="1"/>
  <c r="C312" i="4"/>
  <c r="O209" i="4"/>
  <c r="P209" i="4" s="1"/>
  <c r="L213" i="4"/>
  <c r="G219" i="4"/>
  <c r="H219" i="4" s="1"/>
  <c r="P220" i="4"/>
  <c r="L224" i="4"/>
  <c r="O229" i="4"/>
  <c r="P229" i="4" s="1"/>
  <c r="L233" i="4"/>
  <c r="P235" i="4"/>
  <c r="C206" i="4"/>
  <c r="D206" i="4" s="1"/>
  <c r="K167" i="4"/>
  <c r="R206" i="4" s="1"/>
  <c r="D214" i="4"/>
  <c r="C306" i="4"/>
  <c r="C229" i="4"/>
  <c r="D229" i="4" s="1"/>
  <c r="P215" i="4"/>
  <c r="J227" i="4"/>
  <c r="F117" i="4"/>
  <c r="J202" i="4"/>
  <c r="P205" i="4"/>
  <c r="D208" i="4"/>
  <c r="P234" i="4"/>
  <c r="L220" i="4"/>
  <c r="L229" i="4"/>
  <c r="I281" i="4"/>
  <c r="N117" i="4"/>
  <c r="M117" i="4"/>
  <c r="D98" i="4"/>
  <c r="H101" i="4"/>
  <c r="C213" i="4"/>
  <c r="D213" i="4" s="1"/>
  <c r="C290" i="4"/>
  <c r="I177" i="4"/>
  <c r="H300" i="4"/>
  <c r="E235" i="4"/>
  <c r="F235" i="4" s="1"/>
  <c r="D312" i="4"/>
  <c r="L206" i="4"/>
  <c r="G230" i="4"/>
  <c r="H230" i="4" s="1"/>
  <c r="O231" i="4"/>
  <c r="P231" i="4" s="1"/>
  <c r="K235" i="4"/>
  <c r="L235" i="4" s="1"/>
  <c r="N101" i="4"/>
  <c r="M101" i="4"/>
  <c r="C224" i="4"/>
  <c r="D224" i="4" s="1"/>
  <c r="K185" i="4"/>
  <c r="R224" i="4" s="1"/>
  <c r="P212" i="4"/>
  <c r="P223" i="4"/>
  <c r="P232" i="4"/>
  <c r="C222" i="4"/>
  <c r="D222" i="4" s="1"/>
  <c r="K183" i="4"/>
  <c r="R222" i="4" s="1"/>
  <c r="D234" i="4"/>
  <c r="R112" i="4"/>
  <c r="J191" i="4" s="1"/>
  <c r="Q230" i="4" s="1"/>
  <c r="Q112" i="4"/>
  <c r="C191" i="4"/>
  <c r="I288" i="4"/>
  <c r="C219" i="4"/>
  <c r="D219" i="4" s="1"/>
  <c r="C296" i="4"/>
  <c r="P225" i="4"/>
  <c r="L257" i="4"/>
  <c r="M257" i="4"/>
  <c r="R98" i="4"/>
  <c r="J177" i="4" s="1"/>
  <c r="Q216" i="4" s="1"/>
  <c r="Q98" i="4"/>
  <c r="C138" i="4"/>
  <c r="L101" i="4"/>
  <c r="I141" i="4"/>
  <c r="K101" i="4"/>
  <c r="G145" i="4"/>
  <c r="F105" i="4"/>
  <c r="K152" i="4"/>
  <c r="H93" i="4"/>
  <c r="I101" i="4"/>
  <c r="R105" i="4"/>
  <c r="J184" i="4" s="1"/>
  <c r="Q223" i="4" s="1"/>
  <c r="K145" i="4"/>
  <c r="D210" i="4"/>
  <c r="D220" i="4"/>
  <c r="I300" i="4"/>
  <c r="K188" i="4"/>
  <c r="R227" i="4" s="1"/>
  <c r="N213" i="4"/>
  <c r="L215" i="4"/>
  <c r="J217" i="4"/>
  <c r="I219" i="4"/>
  <c r="J219" i="4" s="1"/>
  <c r="O222" i="4"/>
  <c r="P222" i="4" s="1"/>
  <c r="N224" i="4"/>
  <c r="L226" i="4"/>
  <c r="N233" i="4"/>
  <c r="M235" i="4"/>
  <c r="N235" i="4" s="1"/>
  <c r="D307" i="4"/>
  <c r="E138" i="4"/>
  <c r="K138" i="4"/>
  <c r="P226" i="4"/>
  <c r="C283" i="4"/>
  <c r="C299" i="4"/>
  <c r="J141" i="4"/>
  <c r="L145" i="4"/>
  <c r="C152" i="4"/>
  <c r="K177" i="4"/>
  <c r="R216" i="4" s="1"/>
  <c r="H203" i="4"/>
  <c r="J208" i="4"/>
  <c r="H210" i="4"/>
  <c r="O213" i="4"/>
  <c r="P213" i="4" s="1"/>
  <c r="L217" i="4"/>
  <c r="I230" i="4"/>
  <c r="J230" i="4" s="1"/>
  <c r="P233" i="4"/>
  <c r="R93" i="4"/>
  <c r="J172" i="4" s="1"/>
  <c r="Q211" i="4" s="1"/>
  <c r="I180" i="4"/>
  <c r="D296" i="4"/>
  <c r="D300" i="4"/>
  <c r="C93" i="4"/>
  <c r="G105" i="4"/>
  <c r="C133" i="4"/>
  <c r="D93" i="4"/>
  <c r="D133" i="4"/>
  <c r="C203" i="4"/>
  <c r="D203" i="4" s="1"/>
  <c r="C212" i="4"/>
  <c r="D212" i="4" s="1"/>
  <c r="C215" i="4"/>
  <c r="D215" i="4" s="1"/>
  <c r="C217" i="4"/>
  <c r="D217" i="4" s="1"/>
  <c r="C225" i="4"/>
  <c r="D225" i="4" s="1"/>
  <c r="C228" i="4"/>
  <c r="D228" i="4" s="1"/>
  <c r="I105" i="4"/>
  <c r="L268" i="4"/>
  <c r="L273" i="4"/>
  <c r="O101" i="4"/>
  <c r="I307" i="4" l="1"/>
  <c r="O230" i="4"/>
  <c r="P230" i="4" s="1"/>
  <c r="I296" i="4"/>
  <c r="O219" i="4"/>
  <c r="P219" i="4" s="1"/>
  <c r="K191" i="4"/>
  <c r="R230" i="4" s="1"/>
  <c r="C230" i="4"/>
  <c r="D230" i="4" s="1"/>
  <c r="C307" i="4"/>
  <c r="C223" i="4"/>
  <c r="D223" i="4" s="1"/>
  <c r="C300" i="4"/>
  <c r="K184" i="4"/>
  <c r="R223" i="4" s="1"/>
  <c r="K180" i="4"/>
  <c r="R219" i="4" s="1"/>
  <c r="O216" i="4"/>
  <c r="P216" i="4" s="1"/>
  <c r="I293" i="4"/>
</calcChain>
</file>

<file path=xl/sharedStrings.xml><?xml version="1.0" encoding="utf-8"?>
<sst xmlns="http://schemas.openxmlformats.org/spreadsheetml/2006/main" count="1296" uniqueCount="161">
  <si>
    <t>Santiago del Estero</t>
  </si>
  <si>
    <t>Total</t>
  </si>
  <si>
    <t>Moreno</t>
  </si>
  <si>
    <t>Alberdi</t>
  </si>
  <si>
    <t>Rivadavia</t>
  </si>
  <si>
    <t>Aguirre</t>
  </si>
  <si>
    <t>Ojo de Agua</t>
  </si>
  <si>
    <t>Quebrachos</t>
  </si>
  <si>
    <t>Juan F. Ibarra</t>
  </si>
  <si>
    <t>Jiménez</t>
  </si>
  <si>
    <t>Mitre</t>
  </si>
  <si>
    <t>Belgrano</t>
  </si>
  <si>
    <t>General Taboada</t>
  </si>
  <si>
    <t>Copo</t>
  </si>
  <si>
    <t>Robles</t>
  </si>
  <si>
    <t>Pellegrini</t>
  </si>
  <si>
    <t>La Banda</t>
  </si>
  <si>
    <t>Salavina</t>
  </si>
  <si>
    <t>Guasayán</t>
  </si>
  <si>
    <t>Choya</t>
  </si>
  <si>
    <t>Avellaneda</t>
  </si>
  <si>
    <t>Figueroa</t>
  </si>
  <si>
    <t>Loreto</t>
  </si>
  <si>
    <t>Capital</t>
  </si>
  <si>
    <t>Sarmiento</t>
  </si>
  <si>
    <t>San Martín</t>
  </si>
  <si>
    <t>Silípica</t>
  </si>
  <si>
    <t>Atamisqui</t>
  </si>
  <si>
    <t>Río Hondo</t>
  </si>
  <si>
    <t>Ojo de agua</t>
  </si>
  <si>
    <t>Río hondo</t>
  </si>
  <si>
    <t>Ojo De Agua</t>
  </si>
  <si>
    <t>Año</t>
  </si>
  <si>
    <t>Provincia</t>
  </si>
  <si>
    <t xml:space="preserve">Partido/Departamento </t>
  </si>
  <si>
    <t>Vacas</t>
  </si>
  <si>
    <t>Vaquillonas</t>
  </si>
  <si>
    <t>Novillos</t>
  </si>
  <si>
    <t>Novillitos</t>
  </si>
  <si>
    <t>Terneros</t>
  </si>
  <si>
    <t>Terneras</t>
  </si>
  <si>
    <t>Toros</t>
  </si>
  <si>
    <t>Toritos</t>
  </si>
  <si>
    <t>Bueyes</t>
  </si>
  <si>
    <t>Cantidad de UP</t>
  </si>
  <si>
    <t>Estratificación de establecimientos con existencias bovinas según stock total - Diciembre</t>
  </si>
  <si>
    <t>Hasta 20</t>
  </si>
  <si>
    <t>Entre 21 y 100</t>
  </si>
  <si>
    <t>Entre 101 y 250</t>
  </si>
  <si>
    <t>Entre 251 y 500</t>
  </si>
  <si>
    <t>Entre 501 y 750</t>
  </si>
  <si>
    <t>Entre 751 y 1000</t>
  </si>
  <si>
    <t>Entre 1001 y 2000</t>
  </si>
  <si>
    <t>Entre 2001 y 4000</t>
  </si>
  <si>
    <t>Más de 4000</t>
  </si>
  <si>
    <r>
      <t xml:space="preserve">Provincia
</t>
    </r>
    <r>
      <rPr>
        <i/>
        <sz val="12"/>
        <color indexed="8"/>
        <rFont val="Calibri"/>
        <family val="2"/>
      </rPr>
      <t>(sin tilde)</t>
    </r>
  </si>
  <si>
    <t>Estableci-mientos</t>
  </si>
  <si>
    <t>Total Bovinos</t>
  </si>
  <si>
    <t>Buenos Aires</t>
  </si>
  <si>
    <t>BUENOS AIRES</t>
  </si>
  <si>
    <t>Ciudad Autónoma de Buenos Aires</t>
  </si>
  <si>
    <t>CIUDAD AUTONOMA DE BUENOS AIRES</t>
  </si>
  <si>
    <t>Catamarca</t>
  </si>
  <si>
    <t>CATAMARCA</t>
  </si>
  <si>
    <t>Jujuy</t>
  </si>
  <si>
    <t>JUJUY</t>
  </si>
  <si>
    <t>Salta</t>
  </si>
  <si>
    <t>SALTA</t>
  </si>
  <si>
    <t>SANTIAGO DEL ESTERO</t>
  </si>
  <si>
    <t>Tucumán</t>
  </si>
  <si>
    <t>TUCUMAN</t>
  </si>
  <si>
    <t>Total País</t>
  </si>
  <si>
    <t>TOTAL PAIS</t>
  </si>
  <si>
    <t>Fuente: SENASA</t>
  </si>
  <si>
    <t>Tabla 1 – Composición del Stock por categoría y totales por departamento, total provincial y participación – comparativo años 2008 y 2014</t>
  </si>
  <si>
    <t>ORDEN ALFABETICO ORIGINAL</t>
  </si>
  <si>
    <t>ZONIFICADO ABAJO - VA AL TEXTO</t>
  </si>
  <si>
    <t>VACAS</t>
  </si>
  <si>
    <t>VAQUILLONAS</t>
  </si>
  <si>
    <t>NOVILLOS</t>
  </si>
  <si>
    <t>NOVILLITOS</t>
  </si>
  <si>
    <t>TERNEROS</t>
  </si>
  <si>
    <t>TERNERAS</t>
  </si>
  <si>
    <t>TOROS</t>
  </si>
  <si>
    <t>TOTAL</t>
  </si>
  <si>
    <t>%</t>
  </si>
  <si>
    <t>Departamento</t>
  </si>
  <si>
    <t>ZONA</t>
  </si>
  <si>
    <t>AA</t>
  </si>
  <si>
    <t>Sudeste</t>
  </si>
  <si>
    <t>Este</t>
  </si>
  <si>
    <t>Sur</t>
  </si>
  <si>
    <t>Centro</t>
  </si>
  <si>
    <t>Oeste</t>
  </si>
  <si>
    <t>Noroeste</t>
  </si>
  <si>
    <t>GRAFICOS</t>
  </si>
  <si>
    <t>CAPITAL</t>
  </si>
  <si>
    <t>FIGUEROA</t>
  </si>
  <si>
    <t>LA BANDA</t>
  </si>
  <si>
    <t>LORETO</t>
  </si>
  <si>
    <t>ROBLES</t>
  </si>
  <si>
    <t>SAN MARTIN</t>
  </si>
  <si>
    <t>SARMIENTO</t>
  </si>
  <si>
    <t>SILIPICA</t>
  </si>
  <si>
    <t>Total Centro</t>
  </si>
  <si>
    <t>ALBERDI</t>
  </si>
  <si>
    <t>COPO</t>
  </si>
  <si>
    <t>JUAN F. IBARRA</t>
  </si>
  <si>
    <t>MORENO</t>
  </si>
  <si>
    <t>Total Este</t>
  </si>
  <si>
    <t>JIMENEZ</t>
  </si>
  <si>
    <t>PELLEGRINI</t>
  </si>
  <si>
    <t>Total Noroeste</t>
  </si>
  <si>
    <t>CHOYA</t>
  </si>
  <si>
    <t>GUASAYAN</t>
  </si>
  <si>
    <t>RIO HONDO</t>
  </si>
  <si>
    <t>Total Oeste</t>
  </si>
  <si>
    <t>AGUIRRE</t>
  </si>
  <si>
    <t>AVELLANEDA</t>
  </si>
  <si>
    <t>BELGRANO</t>
  </si>
  <si>
    <t>GENERAL TABOADA</t>
  </si>
  <si>
    <t>MITRE</t>
  </si>
  <si>
    <t>RIVADAVIA</t>
  </si>
  <si>
    <t>Total Sudeste</t>
  </si>
  <si>
    <t>ATAMISQUI</t>
  </si>
  <si>
    <t>OJO DE AGUA</t>
  </si>
  <si>
    <t>QUEBRACHOS</t>
  </si>
  <si>
    <t>SALAVINA</t>
  </si>
  <si>
    <t>Total Sur</t>
  </si>
  <si>
    <t>Diferencias y variaciones</t>
  </si>
  <si>
    <t xml:space="preserve"> Vacas</t>
  </si>
  <si>
    <t>Var %</t>
  </si>
  <si>
    <t xml:space="preserve"> Vaquillonas</t>
  </si>
  <si>
    <t xml:space="preserve"> Novillos</t>
  </si>
  <si>
    <t xml:space="preserve"> Novillitos</t>
  </si>
  <si>
    <t xml:space="preserve"> Terneros</t>
  </si>
  <si>
    <t xml:space="preserve"> Terneras</t>
  </si>
  <si>
    <t xml:space="preserve"> Toros</t>
  </si>
  <si>
    <t xml:space="preserve"> Total </t>
  </si>
  <si>
    <t>RELACIONES ENTRE CATEGORIAS</t>
  </si>
  <si>
    <t>Densidad:</t>
  </si>
  <si>
    <t>Cab/ha</t>
  </si>
  <si>
    <t>Vaca/</t>
  </si>
  <si>
    <t>Stock</t>
  </si>
  <si>
    <t>Vaquill/</t>
  </si>
  <si>
    <t>Vaca</t>
  </si>
  <si>
    <t>Tern/</t>
  </si>
  <si>
    <t>Nto+Nov/</t>
  </si>
  <si>
    <t>Toro/</t>
  </si>
  <si>
    <t>Superficie (Has)</t>
  </si>
  <si>
    <t>EVOLUCION ANUAL DEL STOCK TOTAL</t>
  </si>
  <si>
    <t>Variaciones</t>
  </si>
  <si>
    <t>2014/08</t>
  </si>
  <si>
    <t>Prom Anual</t>
  </si>
  <si>
    <t>EVOLUCION ANUAL DEL STOCK TOTAL Y PARTICIPACION</t>
  </si>
  <si>
    <t>%/Total</t>
  </si>
  <si>
    <t>EVOLUCION ANUAL DE LA CANTIDAD DE ESTABLECIMIENTOS</t>
  </si>
  <si>
    <t>PROMEDIO DE STOCK POR ESTABLECIMIENTO</t>
  </si>
  <si>
    <t>????</t>
  </si>
  <si>
    <t>Zona</t>
  </si>
  <si>
    <t>LUEGO VEMOS LOS GRAFICOS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</si>
</sst>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_ ;\-#,##0\ "/>
    <numFmt numFmtId="165" formatCode="_ * #,##0_ ;_ * \-#,##0_ ;_ * \-??_ ;_ @_ "/>
    <numFmt numFmtId="166" formatCode="0.0%"/>
    <numFmt numFmtId="167" formatCode="_ * #,##0.00_ ;_ * \-#,##0.00_ ;_ * \-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indexed="8"/>
      <name val="Calibri"/>
      <family val="2"/>
    </font>
    <font>
      <i/>
      <sz val="12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7" fontId="6" fillId="0" borderId="0" applyFill="0" applyBorder="0" applyProtection="0"/>
    <xf numFmtId="0" fontId="21" fillId="0" borderId="0"/>
  </cellStyleXfs>
  <cellXfs count="73">
    <xf numFmtId="0" fontId="0" fillId="0" borderId="0" xfId="0"/>
    <xf numFmtId="165" fontId="0" fillId="0" borderId="0" xfId="1" applyNumberFormat="1" applyFont="1" applyFill="1" applyBorder="1" applyProtection="1"/>
    <xf numFmtId="165" fontId="0" fillId="0" borderId="0" xfId="1" applyNumberFormat="1" applyFont="1" applyFill="1" applyBorder="1"/>
    <xf numFmtId="165" fontId="0" fillId="0" borderId="0" xfId="1" applyNumberFormat="1" applyFont="1" applyFill="1"/>
    <xf numFmtId="0" fontId="0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164" fontId="3" fillId="0" borderId="0" xfId="1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/>
    <xf numFmtId="0" fontId="3" fillId="0" borderId="0" xfId="0" applyFont="1" applyFill="1"/>
    <xf numFmtId="166" fontId="4" fillId="0" borderId="0" xfId="2" applyNumberFormat="1" applyFont="1" applyFill="1" applyBorder="1"/>
    <xf numFmtId="0" fontId="5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/>
    <xf numFmtId="0" fontId="7" fillId="0" borderId="0" xfId="3" applyFont="1" applyFill="1" applyBorder="1" applyAlignment="1">
      <alignment horizontal="left" vertical="center"/>
    </xf>
    <xf numFmtId="0" fontId="8" fillId="0" borderId="0" xfId="3" applyFont="1" applyFill="1" applyBorder="1"/>
    <xf numFmtId="0" fontId="9" fillId="0" borderId="0" xfId="3" applyFont="1" applyFill="1" applyBorder="1"/>
    <xf numFmtId="0" fontId="7" fillId="0" borderId="0" xfId="3" applyFont="1" applyFill="1" applyBorder="1" applyAlignment="1">
      <alignment vertical="center"/>
    </xf>
    <xf numFmtId="0" fontId="9" fillId="0" borderId="0" xfId="3" applyFont="1" applyFill="1" applyBorder="1" applyAlignment="1">
      <alignment horizontal="center" vertical="center" wrapText="1"/>
    </xf>
    <xf numFmtId="0" fontId="9" fillId="0" borderId="0" xfId="3" applyFont="1" applyFill="1" applyBorder="1" applyAlignment="1">
      <alignment horizontal="left" vertical="center" wrapText="1"/>
    </xf>
    <xf numFmtId="0" fontId="9" fillId="0" borderId="1" xfId="3" applyFont="1" applyFill="1" applyBorder="1" applyAlignment="1">
      <alignment horizontal="center" vertical="center" wrapText="1"/>
    </xf>
    <xf numFmtId="0" fontId="9" fillId="0" borderId="2" xfId="3" applyFont="1" applyFill="1" applyBorder="1" applyAlignment="1">
      <alignment horizontal="center" vertical="center" wrapText="1"/>
    </xf>
    <xf numFmtId="0" fontId="8" fillId="0" borderId="0" xfId="3" applyFont="1" applyFill="1" applyBorder="1" applyAlignment="1">
      <alignment horizontal="center"/>
    </xf>
    <xf numFmtId="164" fontId="8" fillId="0" borderId="0" xfId="4" applyNumberFormat="1" applyFont="1" applyFill="1" applyBorder="1" applyAlignment="1" applyProtection="1">
      <alignment horizontal="left" vertical="center"/>
    </xf>
    <xf numFmtId="3" fontId="8" fillId="0" borderId="1" xfId="4" applyNumberFormat="1" applyFont="1" applyFill="1" applyBorder="1" applyAlignment="1" applyProtection="1">
      <alignment horizontal="right"/>
    </xf>
    <xf numFmtId="3" fontId="8" fillId="0" borderId="0" xfId="4" applyNumberFormat="1" applyFont="1" applyFill="1" applyBorder="1" applyAlignment="1" applyProtection="1">
      <alignment horizontal="right"/>
    </xf>
    <xf numFmtId="3" fontId="8" fillId="0" borderId="2" xfId="4" applyNumberFormat="1" applyFont="1" applyFill="1" applyBorder="1" applyAlignment="1" applyProtection="1">
      <alignment horizontal="right"/>
    </xf>
    <xf numFmtId="3" fontId="8" fillId="0" borderId="0" xfId="4" applyNumberFormat="1" applyFont="1" applyFill="1" applyBorder="1" applyAlignment="1" applyProtection="1">
      <alignment horizontal="center"/>
    </xf>
    <xf numFmtId="165" fontId="8" fillId="0" borderId="1" xfId="4" applyNumberFormat="1" applyFont="1" applyFill="1" applyBorder="1" applyAlignment="1" applyProtection="1">
      <alignment horizontal="right"/>
    </xf>
    <xf numFmtId="165" fontId="8" fillId="0" borderId="0" xfId="4" applyNumberFormat="1" applyFont="1" applyFill="1" applyBorder="1" applyAlignment="1" applyProtection="1">
      <alignment horizontal="right"/>
    </xf>
    <xf numFmtId="165" fontId="8" fillId="0" borderId="2" xfId="4" applyNumberFormat="1" applyFont="1" applyFill="1" applyBorder="1" applyAlignment="1" applyProtection="1">
      <alignment horizontal="right"/>
    </xf>
    <xf numFmtId="165" fontId="8" fillId="0" borderId="1" xfId="4" applyNumberFormat="1" applyFont="1" applyFill="1" applyBorder="1" applyAlignment="1">
      <alignment horizontal="right"/>
    </xf>
    <xf numFmtId="165" fontId="8" fillId="0" borderId="0" xfId="4" applyNumberFormat="1" applyFont="1" applyFill="1" applyBorder="1" applyAlignment="1">
      <alignment horizontal="right"/>
    </xf>
    <xf numFmtId="165" fontId="8" fillId="0" borderId="2" xfId="4" applyNumberFormat="1" applyFont="1" applyFill="1" applyBorder="1" applyAlignment="1">
      <alignment horizontal="right"/>
    </xf>
    <xf numFmtId="165" fontId="6" fillId="0" borderId="1" xfId="4" applyNumberFormat="1" applyFill="1" applyBorder="1"/>
    <xf numFmtId="165" fontId="6" fillId="0" borderId="0" xfId="4" applyNumberFormat="1" applyFill="1" applyBorder="1"/>
    <xf numFmtId="165" fontId="6" fillId="0" borderId="2" xfId="4" applyNumberFormat="1" applyFill="1" applyBorder="1"/>
    <xf numFmtId="165" fontId="6" fillId="0" borderId="0" xfId="4" applyNumberFormat="1" applyFill="1" applyBorder="1" applyProtection="1"/>
    <xf numFmtId="165" fontId="8" fillId="0" borderId="0" xfId="3" applyNumberFormat="1" applyFont="1" applyFill="1" applyBorder="1"/>
    <xf numFmtId="0" fontId="11" fillId="0" borderId="0" xfId="3" applyFont="1" applyFill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3" fontId="12" fillId="0" borderId="0" xfId="0" applyNumberFormat="1" applyFont="1"/>
    <xf numFmtId="0" fontId="16" fillId="0" borderId="0" xfId="0" applyFont="1"/>
    <xf numFmtId="3" fontId="15" fillId="0" borderId="0" xfId="0" applyNumberFormat="1" applyFont="1"/>
    <xf numFmtId="10" fontId="15" fillId="0" borderId="0" xfId="0" applyNumberFormat="1" applyFont="1"/>
    <xf numFmtId="10" fontId="12" fillId="0" borderId="0" xfId="0" applyNumberFormat="1" applyFont="1"/>
    <xf numFmtId="0" fontId="15" fillId="0" borderId="0" xfId="0" applyFont="1" applyAlignment="1">
      <alignment horizontal="right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2" borderId="6" xfId="0" applyFont="1" applyFill="1" applyBorder="1" applyAlignment="1">
      <alignment horizontal="center" wrapText="1"/>
    </xf>
    <xf numFmtId="3" fontId="18" fillId="0" borderId="0" xfId="0" applyNumberFormat="1" applyFont="1"/>
    <xf numFmtId="10" fontId="18" fillId="0" borderId="0" xfId="0" applyNumberFormat="1" applyFont="1"/>
    <xf numFmtId="3" fontId="19" fillId="0" borderId="0" xfId="0" applyNumberFormat="1" applyFont="1"/>
    <xf numFmtId="10" fontId="19" fillId="0" borderId="0" xfId="0" applyNumberFormat="1" applyFont="1"/>
    <xf numFmtId="2" fontId="15" fillId="0" borderId="0" xfId="0" applyNumberFormat="1" applyFont="1"/>
    <xf numFmtId="2" fontId="12" fillId="0" borderId="0" xfId="0" applyNumberFormat="1" applyFont="1"/>
    <xf numFmtId="0" fontId="12" fillId="3" borderId="0" xfId="0" applyFont="1" applyFill="1"/>
    <xf numFmtId="0" fontId="20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1" fillId="0" borderId="0" xfId="5" applyBorder="1" applyAlignment="1">
      <alignment horizontal="left" indent="1"/>
    </xf>
    <xf numFmtId="0" fontId="22" fillId="0" borderId="0" xfId="0" applyFont="1"/>
    <xf numFmtId="0" fontId="7" fillId="0" borderId="1" xfId="3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/>
    </xf>
  </cellXfs>
  <cellStyles count="6">
    <cellStyle name="Millares" xfId="1" builtinId="3"/>
    <cellStyle name="Millares 2" xfId="4"/>
    <cellStyle name="Normal" xfId="0" builtinId="0"/>
    <cellStyle name="Normal 2" xfId="3"/>
    <cellStyle name="Normal_Existencias  Estratificacion por pcia y departamento Año 2009" xfId="5"/>
    <cellStyle name="Porcentaje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60960</xdr:colOff>
      <xdr:row>39</xdr:row>
      <xdr:rowOff>45720</xdr:rowOff>
    </xdr:from>
    <xdr:to>
      <xdr:col>15</xdr:col>
      <xdr:colOff>266700</xdr:colOff>
      <xdr:row>39</xdr:row>
      <xdr:rowOff>91439</xdr:rowOff>
    </xdr:to>
    <xdr:sp macro="" textlink="">
      <xdr:nvSpPr>
        <xdr:cNvPr id="2" name="1 Flecha derecha"/>
        <xdr:cNvSpPr/>
      </xdr:nvSpPr>
      <xdr:spPr>
        <a:xfrm>
          <a:off x="8976360" y="6385560"/>
          <a:ext cx="20574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co%20JC/000000000000000000000%20-%2002%20-%20SECTORIAL%20-%20OK/Bovinos-Senasa/000%20-%20TRABAJO%202014/SgoEst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"/>
      <sheetName val="Zonas"/>
      <sheetName val="Graficos"/>
      <sheetName val="Pr01"/>
      <sheetName val="Pr02"/>
      <sheetName val="ID14"/>
      <sheetName val="ID13"/>
      <sheetName val="ID12"/>
      <sheetName val="ID11"/>
      <sheetName val="ID10"/>
      <sheetName val="ID09"/>
      <sheetName val="ID08"/>
      <sheetName val="TB-14"/>
      <sheetName val="TB-13"/>
      <sheetName val="TB12"/>
      <sheetName val="TB11"/>
      <sheetName val="TB10"/>
      <sheetName val="TB09"/>
      <sheetName val="TB08"/>
      <sheetName val="Hoja15"/>
      <sheetName val="Hoja17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SANTIAGO DEL ESTERO</v>
          </cell>
          <cell r="AB4">
            <v>588867</v>
          </cell>
          <cell r="AC4">
            <v>199443</v>
          </cell>
          <cell r="AD4">
            <v>70781</v>
          </cell>
          <cell r="AE4">
            <v>102477</v>
          </cell>
          <cell r="AF4">
            <v>147977</v>
          </cell>
          <cell r="AG4">
            <v>150158</v>
          </cell>
          <cell r="AH4">
            <v>33885</v>
          </cell>
          <cell r="AI4">
            <v>1293588</v>
          </cell>
        </row>
        <row r="5">
          <cell r="A5" t="str">
            <v>AGUIRRE</v>
          </cell>
          <cell r="AB5">
            <v>41830</v>
          </cell>
          <cell r="AC5">
            <v>13470</v>
          </cell>
          <cell r="AD5">
            <v>4282</v>
          </cell>
          <cell r="AE5">
            <v>4862</v>
          </cell>
          <cell r="AF5">
            <v>9865</v>
          </cell>
          <cell r="AG5">
            <v>10874</v>
          </cell>
          <cell r="AH5">
            <v>2294</v>
          </cell>
          <cell r="AI5">
            <v>87477</v>
          </cell>
        </row>
        <row r="6">
          <cell r="A6" t="str">
            <v>ALBERDI</v>
          </cell>
          <cell r="AB6">
            <v>50474</v>
          </cell>
          <cell r="AC6">
            <v>18345</v>
          </cell>
          <cell r="AD6">
            <v>11957</v>
          </cell>
          <cell r="AE6">
            <v>15401</v>
          </cell>
          <cell r="AF6">
            <v>17647</v>
          </cell>
          <cell r="AG6">
            <v>13751</v>
          </cell>
          <cell r="AH6">
            <v>3296</v>
          </cell>
          <cell r="AI6">
            <v>130871</v>
          </cell>
        </row>
        <row r="7">
          <cell r="A7" t="str">
            <v>ATAMISQUI</v>
          </cell>
          <cell r="AB7">
            <v>1657</v>
          </cell>
          <cell r="AC7">
            <v>696</v>
          </cell>
          <cell r="AD7">
            <v>266</v>
          </cell>
          <cell r="AE7">
            <v>249</v>
          </cell>
          <cell r="AF7">
            <v>526</v>
          </cell>
          <cell r="AG7">
            <v>391</v>
          </cell>
          <cell r="AH7">
            <v>161</v>
          </cell>
          <cell r="AI7">
            <v>3946</v>
          </cell>
        </row>
        <row r="8">
          <cell r="A8" t="str">
            <v>AVELLANEDA</v>
          </cell>
          <cell r="AB8">
            <v>7916</v>
          </cell>
          <cell r="AC8">
            <v>2132</v>
          </cell>
          <cell r="AD8">
            <v>467</v>
          </cell>
          <cell r="AE8">
            <v>875</v>
          </cell>
          <cell r="AF8">
            <v>1788</v>
          </cell>
          <cell r="AG8">
            <v>1626</v>
          </cell>
          <cell r="AH8">
            <v>653</v>
          </cell>
          <cell r="AI8">
            <v>15457</v>
          </cell>
        </row>
        <row r="9">
          <cell r="A9" t="str">
            <v>BELGRANO</v>
          </cell>
          <cell r="AB9">
            <v>20460</v>
          </cell>
          <cell r="AC9">
            <v>9604</v>
          </cell>
          <cell r="AD9">
            <v>2537</v>
          </cell>
          <cell r="AE9">
            <v>3716</v>
          </cell>
          <cell r="AF9">
            <v>3878</v>
          </cell>
          <cell r="AG9">
            <v>3829</v>
          </cell>
          <cell r="AH9">
            <v>1003</v>
          </cell>
          <cell r="AI9">
            <v>45027</v>
          </cell>
        </row>
        <row r="10">
          <cell r="A10" t="str">
            <v>CAPITAL</v>
          </cell>
          <cell r="AB10">
            <v>4742</v>
          </cell>
          <cell r="AC10">
            <v>1102</v>
          </cell>
          <cell r="AD10">
            <v>276</v>
          </cell>
          <cell r="AE10">
            <v>215</v>
          </cell>
          <cell r="AF10">
            <v>851</v>
          </cell>
          <cell r="AG10">
            <v>1018</v>
          </cell>
          <cell r="AH10">
            <v>283</v>
          </cell>
          <cell r="AI10">
            <v>8487</v>
          </cell>
        </row>
        <row r="11">
          <cell r="A11" t="str">
            <v>CHOYA</v>
          </cell>
          <cell r="AB11">
            <v>14767</v>
          </cell>
          <cell r="AC11">
            <v>4476</v>
          </cell>
          <cell r="AD11">
            <v>1997</v>
          </cell>
          <cell r="AE11">
            <v>4532</v>
          </cell>
          <cell r="AF11">
            <v>3685</v>
          </cell>
          <cell r="AG11">
            <v>2859</v>
          </cell>
          <cell r="AH11">
            <v>805</v>
          </cell>
          <cell r="AI11">
            <v>33121</v>
          </cell>
        </row>
        <row r="12">
          <cell r="A12" t="str">
            <v>COPO</v>
          </cell>
          <cell r="AB12">
            <v>30942</v>
          </cell>
          <cell r="AC12">
            <v>8637</v>
          </cell>
          <cell r="AD12">
            <v>4932</v>
          </cell>
          <cell r="AE12">
            <v>5232</v>
          </cell>
          <cell r="AF12">
            <v>7680</v>
          </cell>
          <cell r="AG12">
            <v>7780</v>
          </cell>
          <cell r="AH12">
            <v>2339</v>
          </cell>
          <cell r="AI12">
            <v>67542</v>
          </cell>
        </row>
        <row r="13">
          <cell r="A13" t="str">
            <v>FIGUEROA</v>
          </cell>
          <cell r="AB13">
            <v>7903</v>
          </cell>
          <cell r="AC13">
            <v>2644</v>
          </cell>
          <cell r="AD13">
            <v>342</v>
          </cell>
          <cell r="AE13">
            <v>880</v>
          </cell>
          <cell r="AF13">
            <v>1765</v>
          </cell>
          <cell r="AG13">
            <v>2174</v>
          </cell>
          <cell r="AH13">
            <v>572</v>
          </cell>
          <cell r="AI13">
            <v>16280</v>
          </cell>
        </row>
        <row r="14">
          <cell r="A14" t="str">
            <v>GENERAL TABOADA</v>
          </cell>
          <cell r="AB14">
            <v>20884</v>
          </cell>
          <cell r="AC14">
            <v>7922</v>
          </cell>
          <cell r="AD14">
            <v>3222</v>
          </cell>
          <cell r="AE14">
            <v>4003</v>
          </cell>
          <cell r="AF14">
            <v>4498</v>
          </cell>
          <cell r="AG14">
            <v>5088</v>
          </cell>
          <cell r="AH14">
            <v>1383</v>
          </cell>
          <cell r="AI14">
            <v>47000</v>
          </cell>
        </row>
        <row r="15">
          <cell r="A15" t="str">
            <v>GUASAYAN</v>
          </cell>
          <cell r="AB15">
            <v>13920</v>
          </cell>
          <cell r="AC15">
            <v>1875</v>
          </cell>
          <cell r="AD15">
            <v>317</v>
          </cell>
          <cell r="AE15">
            <v>859</v>
          </cell>
          <cell r="AF15">
            <v>2095</v>
          </cell>
          <cell r="AG15">
            <v>2925</v>
          </cell>
          <cell r="AH15">
            <v>950</v>
          </cell>
          <cell r="AI15">
            <v>22941</v>
          </cell>
        </row>
        <row r="16">
          <cell r="A16" t="str">
            <v>JIMENEZ</v>
          </cell>
          <cell r="AB16">
            <v>23487</v>
          </cell>
          <cell r="AC16">
            <v>7120</v>
          </cell>
          <cell r="AD16">
            <v>215</v>
          </cell>
          <cell r="AE16">
            <v>1368</v>
          </cell>
          <cell r="AF16">
            <v>7349</v>
          </cell>
          <cell r="AG16">
            <v>8651</v>
          </cell>
          <cell r="AH16">
            <v>1214</v>
          </cell>
          <cell r="AI16">
            <v>49404</v>
          </cell>
        </row>
        <row r="17">
          <cell r="A17" t="str">
            <v>JUAN F. IBARRA</v>
          </cell>
          <cell r="AB17">
            <v>26616</v>
          </cell>
          <cell r="AC17">
            <v>9348</v>
          </cell>
          <cell r="AD17">
            <v>1663</v>
          </cell>
          <cell r="AE17">
            <v>4718</v>
          </cell>
          <cell r="AF17">
            <v>6975</v>
          </cell>
          <cell r="AG17">
            <v>7570</v>
          </cell>
          <cell r="AH17">
            <v>1752</v>
          </cell>
          <cell r="AI17">
            <v>58642</v>
          </cell>
        </row>
        <row r="18">
          <cell r="A18" t="str">
            <v>LA BANDA</v>
          </cell>
          <cell r="AB18">
            <v>13001</v>
          </cell>
          <cell r="AC18">
            <v>4878</v>
          </cell>
          <cell r="AD18">
            <v>1047</v>
          </cell>
          <cell r="AE18">
            <v>2679</v>
          </cell>
          <cell r="AF18">
            <v>3079</v>
          </cell>
          <cell r="AG18">
            <v>3686</v>
          </cell>
          <cell r="AH18">
            <v>1008</v>
          </cell>
          <cell r="AI18">
            <v>29378</v>
          </cell>
        </row>
        <row r="19">
          <cell r="A19" t="str">
            <v>LORETO</v>
          </cell>
          <cell r="AB19">
            <v>5303</v>
          </cell>
          <cell r="AC19">
            <v>1801</v>
          </cell>
          <cell r="AD19">
            <v>651</v>
          </cell>
          <cell r="AE19">
            <v>931</v>
          </cell>
          <cell r="AF19">
            <v>2113</v>
          </cell>
          <cell r="AG19">
            <v>1541</v>
          </cell>
          <cell r="AH19">
            <v>327</v>
          </cell>
          <cell r="AI19">
            <v>12667</v>
          </cell>
        </row>
        <row r="20">
          <cell r="A20" t="str">
            <v>MITRE</v>
          </cell>
          <cell r="AB20">
            <v>29460</v>
          </cell>
          <cell r="AC20">
            <v>7328</v>
          </cell>
          <cell r="AD20">
            <v>1307</v>
          </cell>
          <cell r="AE20">
            <v>2978</v>
          </cell>
          <cell r="AF20">
            <v>3624</v>
          </cell>
          <cell r="AG20">
            <v>4106</v>
          </cell>
          <cell r="AH20">
            <v>1203</v>
          </cell>
          <cell r="AI20">
            <v>50006</v>
          </cell>
        </row>
        <row r="21">
          <cell r="A21" t="str">
            <v>MORENO</v>
          </cell>
          <cell r="AB21">
            <v>103546</v>
          </cell>
          <cell r="AC21">
            <v>41530</v>
          </cell>
          <cell r="AD21">
            <v>16854</v>
          </cell>
          <cell r="AE21">
            <v>22373</v>
          </cell>
          <cell r="AF21">
            <v>28407</v>
          </cell>
          <cell r="AG21">
            <v>28839</v>
          </cell>
          <cell r="AH21">
            <v>6515</v>
          </cell>
          <cell r="AI21">
            <v>248064</v>
          </cell>
        </row>
        <row r="22">
          <cell r="A22" t="str">
            <v>OJO DE AGUA</v>
          </cell>
          <cell r="AB22">
            <v>30164</v>
          </cell>
          <cell r="AC22">
            <v>8024</v>
          </cell>
          <cell r="AD22">
            <v>1491</v>
          </cell>
          <cell r="AE22">
            <v>2282</v>
          </cell>
          <cell r="AF22">
            <v>9009</v>
          </cell>
          <cell r="AG22">
            <v>8067</v>
          </cell>
          <cell r="AH22">
            <v>1615</v>
          </cell>
          <cell r="AI22">
            <v>60652</v>
          </cell>
        </row>
        <row r="23">
          <cell r="A23" t="str">
            <v>PELLEGRINI</v>
          </cell>
          <cell r="AB23">
            <v>24280</v>
          </cell>
          <cell r="AC23">
            <v>5079</v>
          </cell>
          <cell r="AD23">
            <v>1013</v>
          </cell>
          <cell r="AE23">
            <v>2568</v>
          </cell>
          <cell r="AF23">
            <v>3568</v>
          </cell>
          <cell r="AG23">
            <v>3508</v>
          </cell>
          <cell r="AH23">
            <v>1402</v>
          </cell>
          <cell r="AI23">
            <v>41418</v>
          </cell>
        </row>
        <row r="24">
          <cell r="A24" t="str">
            <v>QUEBRACHOS</v>
          </cell>
          <cell r="AB24">
            <v>34936</v>
          </cell>
          <cell r="AC24">
            <v>9039</v>
          </cell>
          <cell r="AD24">
            <v>1403</v>
          </cell>
          <cell r="AE24">
            <v>3025</v>
          </cell>
          <cell r="AF24">
            <v>8932</v>
          </cell>
          <cell r="AG24">
            <v>8844</v>
          </cell>
          <cell r="AH24">
            <v>1708</v>
          </cell>
          <cell r="AI24">
            <v>67887</v>
          </cell>
        </row>
        <row r="25">
          <cell r="A25" t="str">
            <v>RIO HONDO</v>
          </cell>
          <cell r="AB25">
            <v>749</v>
          </cell>
          <cell r="AC25">
            <v>127</v>
          </cell>
          <cell r="AD25">
            <v>723</v>
          </cell>
          <cell r="AE25">
            <v>153</v>
          </cell>
          <cell r="AF25">
            <v>174</v>
          </cell>
          <cell r="AG25">
            <v>114</v>
          </cell>
          <cell r="AH25">
            <v>32</v>
          </cell>
          <cell r="AI25">
            <v>2072</v>
          </cell>
        </row>
        <row r="26">
          <cell r="A26" t="str">
            <v>RIVADAVIA</v>
          </cell>
          <cell r="AB26">
            <v>42507</v>
          </cell>
          <cell r="AC26">
            <v>18716</v>
          </cell>
          <cell r="AD26">
            <v>8856</v>
          </cell>
          <cell r="AE26">
            <v>9815</v>
          </cell>
          <cell r="AF26">
            <v>9703</v>
          </cell>
          <cell r="AG26">
            <v>11444</v>
          </cell>
          <cell r="AH26">
            <v>1311</v>
          </cell>
          <cell r="AI26">
            <v>102352</v>
          </cell>
        </row>
        <row r="27">
          <cell r="A27" t="str">
            <v>ROBLES</v>
          </cell>
          <cell r="AB27">
            <v>15835</v>
          </cell>
          <cell r="AC27">
            <v>7666</v>
          </cell>
          <cell r="AD27">
            <v>2446</v>
          </cell>
          <cell r="AE27">
            <v>5741</v>
          </cell>
          <cell r="AF27">
            <v>3854</v>
          </cell>
          <cell r="AG27">
            <v>5001</v>
          </cell>
          <cell r="AH27">
            <v>813</v>
          </cell>
          <cell r="AI27">
            <v>41356</v>
          </cell>
        </row>
        <row r="28">
          <cell r="A28" t="str">
            <v>SALAVINA</v>
          </cell>
          <cell r="AB28">
            <v>13563</v>
          </cell>
          <cell r="AC28">
            <v>4103</v>
          </cell>
          <cell r="AD28">
            <v>1434</v>
          </cell>
          <cell r="AE28">
            <v>1436</v>
          </cell>
          <cell r="AF28">
            <v>4130</v>
          </cell>
          <cell r="AG28">
            <v>3692</v>
          </cell>
          <cell r="AH28">
            <v>700</v>
          </cell>
          <cell r="AI28">
            <v>29058</v>
          </cell>
        </row>
        <row r="29">
          <cell r="A29" t="str">
            <v>SAN MARTIN</v>
          </cell>
          <cell r="AB29">
            <v>3319</v>
          </cell>
          <cell r="AC29">
            <v>798</v>
          </cell>
          <cell r="AD29">
            <v>67</v>
          </cell>
          <cell r="AE29">
            <v>398</v>
          </cell>
          <cell r="AF29">
            <v>968</v>
          </cell>
          <cell r="AG29">
            <v>826</v>
          </cell>
          <cell r="AH29">
            <v>160</v>
          </cell>
          <cell r="AI29">
            <v>6536</v>
          </cell>
        </row>
        <row r="30">
          <cell r="A30" t="str">
            <v>SARMIENTO</v>
          </cell>
          <cell r="AB30">
            <v>3492</v>
          </cell>
          <cell r="AC30">
            <v>1951</v>
          </cell>
          <cell r="AD30">
            <v>669</v>
          </cell>
          <cell r="AE30">
            <v>890</v>
          </cell>
          <cell r="AF30">
            <v>1190</v>
          </cell>
          <cell r="AG30">
            <v>1142</v>
          </cell>
          <cell r="AH30">
            <v>218</v>
          </cell>
          <cell r="AI30">
            <v>9552</v>
          </cell>
        </row>
        <row r="31">
          <cell r="A31" t="str">
            <v>SILIPICA</v>
          </cell>
          <cell r="AB31">
            <v>3114</v>
          </cell>
          <cell r="AC31">
            <v>1032</v>
          </cell>
          <cell r="AD31">
            <v>347</v>
          </cell>
          <cell r="AE31">
            <v>298</v>
          </cell>
          <cell r="AF31">
            <v>624</v>
          </cell>
          <cell r="AG31">
            <v>812</v>
          </cell>
          <cell r="AH31">
            <v>168</v>
          </cell>
          <cell r="AI31">
            <v>6395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AB4">
            <v>573379</v>
          </cell>
          <cell r="AC4">
            <v>246353</v>
          </cell>
          <cell r="AD4">
            <v>125076</v>
          </cell>
          <cell r="AE4">
            <v>134309</v>
          </cell>
          <cell r="AF4">
            <v>136085</v>
          </cell>
          <cell r="AG4">
            <v>141437</v>
          </cell>
          <cell r="AH4">
            <v>32416</v>
          </cell>
          <cell r="AI4">
            <v>1389095</v>
          </cell>
        </row>
        <row r="5">
          <cell r="AB5">
            <v>46866</v>
          </cell>
          <cell r="AC5">
            <v>19079</v>
          </cell>
          <cell r="AD5">
            <v>5377</v>
          </cell>
          <cell r="AE5">
            <v>8295</v>
          </cell>
          <cell r="AF5">
            <v>9690</v>
          </cell>
          <cell r="AG5">
            <v>9020</v>
          </cell>
          <cell r="AH5">
            <v>2469</v>
          </cell>
          <cell r="AI5">
            <v>100797</v>
          </cell>
        </row>
        <row r="6">
          <cell r="AB6">
            <v>37575</v>
          </cell>
          <cell r="AC6">
            <v>18223</v>
          </cell>
          <cell r="AD6">
            <v>11080</v>
          </cell>
          <cell r="AE6">
            <v>11831</v>
          </cell>
          <cell r="AF6">
            <v>11714</v>
          </cell>
          <cell r="AG6">
            <v>8693</v>
          </cell>
          <cell r="AH6">
            <v>2663</v>
          </cell>
          <cell r="AI6">
            <v>101780</v>
          </cell>
        </row>
        <row r="7">
          <cell r="AB7">
            <v>978</v>
          </cell>
          <cell r="AC7">
            <v>556</v>
          </cell>
          <cell r="AD7">
            <v>73</v>
          </cell>
          <cell r="AE7">
            <v>112</v>
          </cell>
          <cell r="AF7">
            <v>228</v>
          </cell>
          <cell r="AG7">
            <v>199</v>
          </cell>
          <cell r="AH7">
            <v>90</v>
          </cell>
          <cell r="AI7">
            <v>2253</v>
          </cell>
        </row>
        <row r="8">
          <cell r="AB8">
            <v>1802</v>
          </cell>
          <cell r="AC8">
            <v>1076</v>
          </cell>
          <cell r="AD8">
            <v>299</v>
          </cell>
          <cell r="AE8">
            <v>306</v>
          </cell>
          <cell r="AF8">
            <v>333</v>
          </cell>
          <cell r="AG8">
            <v>408</v>
          </cell>
          <cell r="AH8">
            <v>93</v>
          </cell>
          <cell r="AI8">
            <v>4317</v>
          </cell>
        </row>
        <row r="9">
          <cell r="AB9">
            <v>26780</v>
          </cell>
          <cell r="AC9">
            <v>10167</v>
          </cell>
          <cell r="AD9">
            <v>6474</v>
          </cell>
          <cell r="AE9">
            <v>8149</v>
          </cell>
          <cell r="AF9">
            <v>5510</v>
          </cell>
          <cell r="AG9">
            <v>5756</v>
          </cell>
          <cell r="AH9">
            <v>1639</v>
          </cell>
          <cell r="AI9">
            <v>64485</v>
          </cell>
        </row>
        <row r="10">
          <cell r="AB10">
            <v>4916</v>
          </cell>
          <cell r="AC10">
            <v>2223</v>
          </cell>
          <cell r="AD10">
            <v>777</v>
          </cell>
          <cell r="AE10">
            <v>816</v>
          </cell>
          <cell r="AF10">
            <v>973</v>
          </cell>
          <cell r="AG10">
            <v>1270</v>
          </cell>
          <cell r="AH10">
            <v>351</v>
          </cell>
          <cell r="AI10">
            <v>11326</v>
          </cell>
        </row>
        <row r="11">
          <cell r="AB11">
            <v>10621</v>
          </cell>
          <cell r="AC11">
            <v>4148</v>
          </cell>
          <cell r="AD11">
            <v>1629</v>
          </cell>
          <cell r="AE11">
            <v>2731</v>
          </cell>
          <cell r="AF11">
            <v>2282</v>
          </cell>
          <cell r="AG11">
            <v>2032</v>
          </cell>
          <cell r="AH11">
            <v>491</v>
          </cell>
          <cell r="AI11">
            <v>23934</v>
          </cell>
        </row>
        <row r="12">
          <cell r="AB12">
            <v>24830</v>
          </cell>
          <cell r="AC12">
            <v>7984</v>
          </cell>
          <cell r="AD12">
            <v>4383</v>
          </cell>
          <cell r="AE12">
            <v>4650</v>
          </cell>
          <cell r="AF12">
            <v>6094</v>
          </cell>
          <cell r="AG12">
            <v>5919</v>
          </cell>
          <cell r="AH12">
            <v>1937</v>
          </cell>
          <cell r="AI12">
            <v>55797</v>
          </cell>
        </row>
        <row r="13">
          <cell r="AB13">
            <v>7238</v>
          </cell>
          <cell r="AC13">
            <v>1589</v>
          </cell>
          <cell r="AD13">
            <v>582</v>
          </cell>
          <cell r="AE13">
            <v>729</v>
          </cell>
          <cell r="AF13">
            <v>1785</v>
          </cell>
          <cell r="AG13">
            <v>1954</v>
          </cell>
          <cell r="AH13">
            <v>416</v>
          </cell>
          <cell r="AI13">
            <v>14297</v>
          </cell>
        </row>
        <row r="14">
          <cell r="AB14">
            <v>20222</v>
          </cell>
          <cell r="AC14">
            <v>11154</v>
          </cell>
          <cell r="AD14">
            <v>6345</v>
          </cell>
          <cell r="AE14">
            <v>7231</v>
          </cell>
          <cell r="AF14">
            <v>4555</v>
          </cell>
          <cell r="AG14">
            <v>4089</v>
          </cell>
          <cell r="AH14">
            <v>1271</v>
          </cell>
          <cell r="AI14">
            <v>54868</v>
          </cell>
        </row>
        <row r="15">
          <cell r="AB15">
            <v>16231</v>
          </cell>
          <cell r="AC15">
            <v>6292</v>
          </cell>
          <cell r="AD15">
            <v>1312</v>
          </cell>
          <cell r="AE15">
            <v>1579</v>
          </cell>
          <cell r="AF15">
            <v>1518</v>
          </cell>
          <cell r="AG15">
            <v>3087</v>
          </cell>
          <cell r="AH15">
            <v>747</v>
          </cell>
          <cell r="AI15">
            <v>30766</v>
          </cell>
        </row>
        <row r="16">
          <cell r="AB16">
            <v>25904</v>
          </cell>
          <cell r="AC16">
            <v>11032</v>
          </cell>
          <cell r="AD16">
            <v>2101</v>
          </cell>
          <cell r="AE16">
            <v>2330</v>
          </cell>
          <cell r="AF16">
            <v>6740</v>
          </cell>
          <cell r="AG16">
            <v>8536</v>
          </cell>
          <cell r="AH16">
            <v>1303</v>
          </cell>
          <cell r="AI16">
            <v>57946</v>
          </cell>
        </row>
        <row r="17">
          <cell r="AB17">
            <v>25611</v>
          </cell>
          <cell r="AC17">
            <v>12873</v>
          </cell>
          <cell r="AD17">
            <v>3910</v>
          </cell>
          <cell r="AE17">
            <v>5016</v>
          </cell>
          <cell r="AF17">
            <v>5562</v>
          </cell>
          <cell r="AG17">
            <v>6438</v>
          </cell>
          <cell r="AH17">
            <v>1528</v>
          </cell>
          <cell r="AI17">
            <v>60938</v>
          </cell>
        </row>
        <row r="18">
          <cell r="AB18">
            <v>13158</v>
          </cell>
          <cell r="AC18">
            <v>4657</v>
          </cell>
          <cell r="AD18">
            <v>1411</v>
          </cell>
          <cell r="AE18">
            <v>942</v>
          </cell>
          <cell r="AF18">
            <v>2491</v>
          </cell>
          <cell r="AG18">
            <v>2362</v>
          </cell>
          <cell r="AH18">
            <v>785</v>
          </cell>
          <cell r="AI18">
            <v>25807</v>
          </cell>
        </row>
        <row r="19">
          <cell r="AB19">
            <v>7241</v>
          </cell>
          <cell r="AC19">
            <v>3437</v>
          </cell>
          <cell r="AD19">
            <v>1864</v>
          </cell>
          <cell r="AE19">
            <v>1047</v>
          </cell>
          <cell r="AF19">
            <v>1554</v>
          </cell>
          <cell r="AG19">
            <v>1816</v>
          </cell>
          <cell r="AH19">
            <v>362</v>
          </cell>
          <cell r="AI19">
            <v>17321</v>
          </cell>
        </row>
        <row r="20">
          <cell r="AB20">
            <v>32864</v>
          </cell>
          <cell r="AC20">
            <v>10777</v>
          </cell>
          <cell r="AD20">
            <v>4182</v>
          </cell>
          <cell r="AE20">
            <v>5368</v>
          </cell>
          <cell r="AF20">
            <v>4608</v>
          </cell>
          <cell r="AG20">
            <v>4913</v>
          </cell>
          <cell r="AH20">
            <v>1070</v>
          </cell>
          <cell r="AI20">
            <v>63782</v>
          </cell>
        </row>
        <row r="21">
          <cell r="AB21">
            <v>99420</v>
          </cell>
          <cell r="AC21">
            <v>51302</v>
          </cell>
          <cell r="AD21">
            <v>29890</v>
          </cell>
          <cell r="AE21">
            <v>29992</v>
          </cell>
          <cell r="AF21">
            <v>27134</v>
          </cell>
          <cell r="AG21">
            <v>29453</v>
          </cell>
          <cell r="AH21">
            <v>5982</v>
          </cell>
          <cell r="AI21">
            <v>273173</v>
          </cell>
        </row>
        <row r="22">
          <cell r="AB22">
            <v>31335</v>
          </cell>
          <cell r="AC22">
            <v>13034</v>
          </cell>
          <cell r="AD22">
            <v>4275</v>
          </cell>
          <cell r="AE22">
            <v>5227</v>
          </cell>
          <cell r="AF22">
            <v>8591</v>
          </cell>
          <cell r="AG22">
            <v>7600</v>
          </cell>
          <cell r="AH22">
            <v>2708</v>
          </cell>
          <cell r="AI22">
            <v>72771</v>
          </cell>
        </row>
        <row r="23">
          <cell r="AB23">
            <v>18955</v>
          </cell>
          <cell r="AC23">
            <v>7250</v>
          </cell>
          <cell r="AD23">
            <v>2017</v>
          </cell>
          <cell r="AE23">
            <v>2918</v>
          </cell>
          <cell r="AF23">
            <v>2798</v>
          </cell>
          <cell r="AG23">
            <v>3830</v>
          </cell>
          <cell r="AH23">
            <v>1108</v>
          </cell>
          <cell r="AI23">
            <v>38876</v>
          </cell>
        </row>
        <row r="24">
          <cell r="AB24">
            <v>35232</v>
          </cell>
          <cell r="AC24">
            <v>13085</v>
          </cell>
          <cell r="AD24">
            <v>5747</v>
          </cell>
          <cell r="AE24">
            <v>6174</v>
          </cell>
          <cell r="AF24">
            <v>7580</v>
          </cell>
          <cell r="AG24">
            <v>7190</v>
          </cell>
          <cell r="AH24">
            <v>1665</v>
          </cell>
          <cell r="AI24">
            <v>76673</v>
          </cell>
        </row>
        <row r="25">
          <cell r="AB25">
            <v>551</v>
          </cell>
          <cell r="AC25">
            <v>166</v>
          </cell>
          <cell r="AD25">
            <v>1019</v>
          </cell>
          <cell r="AE25">
            <v>167</v>
          </cell>
          <cell r="AF25">
            <v>73</v>
          </cell>
          <cell r="AG25">
            <v>53</v>
          </cell>
          <cell r="AH25">
            <v>21</v>
          </cell>
          <cell r="AI25">
            <v>2050</v>
          </cell>
        </row>
        <row r="26">
          <cell r="AB26">
            <v>50490</v>
          </cell>
          <cell r="AC26">
            <v>21415</v>
          </cell>
          <cell r="AD26">
            <v>25339</v>
          </cell>
          <cell r="AE26">
            <v>22622</v>
          </cell>
          <cell r="AF26">
            <v>14817</v>
          </cell>
          <cell r="AG26">
            <v>16529</v>
          </cell>
          <cell r="AH26">
            <v>1576</v>
          </cell>
          <cell r="AI26">
            <v>152791</v>
          </cell>
        </row>
        <row r="27">
          <cell r="AB27">
            <v>13893</v>
          </cell>
          <cell r="AC27">
            <v>6769</v>
          </cell>
          <cell r="AD27">
            <v>2657</v>
          </cell>
          <cell r="AE27">
            <v>3402</v>
          </cell>
          <cell r="AF27">
            <v>4281</v>
          </cell>
          <cell r="AG27">
            <v>5193</v>
          </cell>
          <cell r="AH27">
            <v>887</v>
          </cell>
          <cell r="AI27">
            <v>37082</v>
          </cell>
        </row>
        <row r="28">
          <cell r="AB28">
            <v>12875</v>
          </cell>
          <cell r="AC28">
            <v>4738</v>
          </cell>
          <cell r="AD28">
            <v>1237</v>
          </cell>
          <cell r="AE28">
            <v>1593</v>
          </cell>
          <cell r="AF28">
            <v>3053</v>
          </cell>
          <cell r="AG28">
            <v>2978</v>
          </cell>
          <cell r="AH28">
            <v>692</v>
          </cell>
          <cell r="AI28">
            <v>27167</v>
          </cell>
        </row>
        <row r="29">
          <cell r="AB29">
            <v>2576</v>
          </cell>
          <cell r="AC29">
            <v>468</v>
          </cell>
          <cell r="AD29">
            <v>47</v>
          </cell>
          <cell r="AE29">
            <v>342</v>
          </cell>
          <cell r="AF29">
            <v>536</v>
          </cell>
          <cell r="AG29">
            <v>588</v>
          </cell>
          <cell r="AH29">
            <v>101</v>
          </cell>
          <cell r="AI29">
            <v>4658</v>
          </cell>
        </row>
        <row r="30">
          <cell r="AB30">
            <v>2420</v>
          </cell>
          <cell r="AC30">
            <v>1263</v>
          </cell>
          <cell r="AD30">
            <v>493</v>
          </cell>
          <cell r="AE30">
            <v>539</v>
          </cell>
          <cell r="AF30">
            <v>1061</v>
          </cell>
          <cell r="AG30">
            <v>897</v>
          </cell>
          <cell r="AH30">
            <v>269</v>
          </cell>
          <cell r="AI30">
            <v>6942</v>
          </cell>
        </row>
        <row r="31">
          <cell r="AB31">
            <v>2795</v>
          </cell>
          <cell r="AC31">
            <v>1596</v>
          </cell>
          <cell r="AD31">
            <v>556</v>
          </cell>
          <cell r="AE31">
            <v>201</v>
          </cell>
          <cell r="AF31">
            <v>524</v>
          </cell>
          <cell r="AG31">
            <v>634</v>
          </cell>
          <cell r="AH31">
            <v>192</v>
          </cell>
          <cell r="AI31">
            <v>6498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46"/>
  <sheetViews>
    <sheetView workbookViewId="0">
      <selection activeCell="S11" sqref="S11"/>
    </sheetView>
  </sheetViews>
  <sheetFormatPr baseColWidth="10" defaultRowHeight="12" x14ac:dyDescent="0.25"/>
  <cols>
    <col min="1" max="1" width="17.33203125" style="40" customWidth="1"/>
    <col min="2" max="2" width="13" style="40" customWidth="1"/>
    <col min="3" max="18" width="7.6640625" style="40" customWidth="1"/>
    <col min="19" max="19" width="9" style="40" customWidth="1"/>
    <col min="20" max="20" width="8" style="40" customWidth="1"/>
    <col min="21" max="16384" width="11.5546875" style="40"/>
  </cols>
  <sheetData>
    <row r="3" spans="1:20" s="69" customFormat="1" ht="23.4" x14ac:dyDescent="0.45">
      <c r="D3" s="69" t="s">
        <v>160</v>
      </c>
    </row>
    <row r="5" spans="1:20" x14ac:dyDescent="0.25">
      <c r="D5" s="40" t="s">
        <v>74</v>
      </c>
    </row>
    <row r="6" spans="1:20" x14ac:dyDescent="0.25">
      <c r="I6" s="41" t="s">
        <v>75</v>
      </c>
    </row>
    <row r="7" spans="1:20" ht="14.4" x14ac:dyDescent="0.3">
      <c r="I7" s="42" t="s">
        <v>76</v>
      </c>
    </row>
    <row r="8" spans="1:20" s="43" customFormat="1" x14ac:dyDescent="0.25">
      <c r="D8" s="43" t="s">
        <v>77</v>
      </c>
      <c r="F8" s="43" t="s">
        <v>78</v>
      </c>
      <c r="H8" s="43" t="s">
        <v>79</v>
      </c>
      <c r="J8" s="43" t="s">
        <v>80</v>
      </c>
      <c r="L8" s="43" t="s">
        <v>81</v>
      </c>
      <c r="N8" s="43" t="s">
        <v>82</v>
      </c>
      <c r="P8" s="43" t="s">
        <v>83</v>
      </c>
      <c r="R8" s="43" t="s">
        <v>84</v>
      </c>
      <c r="T8" s="43" t="s">
        <v>85</v>
      </c>
    </row>
    <row r="9" spans="1:20" s="43" customFormat="1" x14ac:dyDescent="0.25">
      <c r="A9" s="43" t="s">
        <v>86</v>
      </c>
      <c r="B9" s="44" t="s">
        <v>87</v>
      </c>
      <c r="C9" s="44">
        <v>2014</v>
      </c>
      <c r="D9" s="44">
        <v>2008</v>
      </c>
      <c r="E9" s="44">
        <v>2014</v>
      </c>
      <c r="F9" s="44">
        <v>2008</v>
      </c>
      <c r="G9" s="44">
        <v>2014</v>
      </c>
      <c r="H9" s="44">
        <v>2008</v>
      </c>
      <c r="I9" s="44">
        <v>2014</v>
      </c>
      <c r="J9" s="44">
        <v>2008</v>
      </c>
      <c r="K9" s="44">
        <v>2014</v>
      </c>
      <c r="L9" s="44">
        <v>2008</v>
      </c>
      <c r="M9" s="44">
        <v>2014</v>
      </c>
      <c r="N9" s="44">
        <v>2008</v>
      </c>
      <c r="O9" s="44">
        <v>2014</v>
      </c>
      <c r="P9" s="44">
        <v>2008</v>
      </c>
      <c r="Q9" s="44">
        <v>2014</v>
      </c>
      <c r="R9" s="44">
        <v>2008</v>
      </c>
      <c r="S9" s="44">
        <v>2014</v>
      </c>
      <c r="T9" s="44">
        <v>2008</v>
      </c>
    </row>
    <row r="10" spans="1:20" x14ac:dyDescent="0.25">
      <c r="A10" s="40" t="str">
        <f>[1]ID14!A4</f>
        <v>SANTIAGO DEL ESTERO</v>
      </c>
      <c r="B10" s="40" t="s">
        <v>88</v>
      </c>
      <c r="C10" s="45">
        <f>[1]ID14!AB4</f>
        <v>588867</v>
      </c>
      <c r="D10" s="45">
        <f>[1]ID08!AB4</f>
        <v>573379</v>
      </c>
      <c r="E10" s="45">
        <f>[1]ID14!AC4</f>
        <v>199443</v>
      </c>
      <c r="F10" s="45">
        <f>[1]ID08!AC4</f>
        <v>246353</v>
      </c>
      <c r="G10" s="45">
        <f>[1]ID14!AD4</f>
        <v>70781</v>
      </c>
      <c r="H10" s="45">
        <f>[1]ID08!AD4</f>
        <v>125076</v>
      </c>
      <c r="I10" s="45">
        <f>[1]ID14!AE4</f>
        <v>102477</v>
      </c>
      <c r="J10" s="45">
        <f>[1]ID08!AE4</f>
        <v>134309</v>
      </c>
      <c r="K10" s="45">
        <f>[1]ID14!AF4</f>
        <v>147977</v>
      </c>
      <c r="L10" s="45">
        <f>[1]ID08!AF4</f>
        <v>136085</v>
      </c>
      <c r="M10" s="45">
        <f>[1]ID14!AG4</f>
        <v>150158</v>
      </c>
      <c r="N10" s="45">
        <f>[1]ID08!AG4</f>
        <v>141437</v>
      </c>
      <c r="O10" s="45">
        <f>[1]ID14!AH4</f>
        <v>33885</v>
      </c>
      <c r="P10" s="45">
        <f>[1]ID08!AH4</f>
        <v>32416</v>
      </c>
      <c r="Q10" s="45">
        <f>[1]ID14!AI4</f>
        <v>1293588</v>
      </c>
      <c r="R10" s="45">
        <f>[1]ID08!AI4</f>
        <v>1389095</v>
      </c>
    </row>
    <row r="11" spans="1:20" ht="14.4" x14ac:dyDescent="0.3">
      <c r="A11" s="40" t="str">
        <f>[1]ID14!A5</f>
        <v>AGUIRRE</v>
      </c>
      <c r="B11" t="s">
        <v>89</v>
      </c>
      <c r="C11" s="45">
        <f>[1]ID14!AB5</f>
        <v>41830</v>
      </c>
      <c r="D11" s="45">
        <f>[1]ID08!AB5</f>
        <v>46866</v>
      </c>
      <c r="E11" s="45">
        <f>[1]ID14!AC5</f>
        <v>13470</v>
      </c>
      <c r="F11" s="45">
        <f>[1]ID08!AC5</f>
        <v>19079</v>
      </c>
      <c r="G11" s="45">
        <f>[1]ID14!AD5</f>
        <v>4282</v>
      </c>
      <c r="H11" s="45">
        <f>[1]ID08!AD5</f>
        <v>5377</v>
      </c>
      <c r="I11" s="45">
        <f>[1]ID14!AE5</f>
        <v>4862</v>
      </c>
      <c r="J11" s="45">
        <f>[1]ID08!AE5</f>
        <v>8295</v>
      </c>
      <c r="K11" s="45">
        <f>[1]ID14!AF5</f>
        <v>9865</v>
      </c>
      <c r="L11" s="45">
        <f>[1]ID08!AF5</f>
        <v>9690</v>
      </c>
      <c r="M11" s="45">
        <f>[1]ID14!AG5</f>
        <v>10874</v>
      </c>
      <c r="N11" s="45">
        <f>[1]ID08!AG5</f>
        <v>9020</v>
      </c>
      <c r="O11" s="45">
        <f>[1]ID14!AH5</f>
        <v>2294</v>
      </c>
      <c r="P11" s="45">
        <f>[1]ID08!AH5</f>
        <v>2469</v>
      </c>
      <c r="Q11" s="45">
        <f>[1]ID14!AI5</f>
        <v>87477</v>
      </c>
      <c r="R11" s="45">
        <f>[1]ID08!AI5</f>
        <v>100797</v>
      </c>
    </row>
    <row r="12" spans="1:20" ht="14.4" x14ac:dyDescent="0.3">
      <c r="A12" s="40" t="str">
        <f>[1]ID14!A6</f>
        <v>ALBERDI</v>
      </c>
      <c r="B12" t="s">
        <v>90</v>
      </c>
      <c r="C12" s="45">
        <f>[1]ID14!AB6</f>
        <v>50474</v>
      </c>
      <c r="D12" s="45">
        <f>[1]ID08!AB6</f>
        <v>37575</v>
      </c>
      <c r="E12" s="45">
        <f>[1]ID14!AC6</f>
        <v>18345</v>
      </c>
      <c r="F12" s="45">
        <f>[1]ID08!AC6</f>
        <v>18223</v>
      </c>
      <c r="G12" s="45">
        <f>[1]ID14!AD6</f>
        <v>11957</v>
      </c>
      <c r="H12" s="45">
        <f>[1]ID08!AD6</f>
        <v>11080</v>
      </c>
      <c r="I12" s="45">
        <f>[1]ID14!AE6</f>
        <v>15401</v>
      </c>
      <c r="J12" s="45">
        <f>[1]ID08!AE6</f>
        <v>11831</v>
      </c>
      <c r="K12" s="45">
        <f>[1]ID14!AF6</f>
        <v>17647</v>
      </c>
      <c r="L12" s="45">
        <f>[1]ID08!AF6</f>
        <v>11714</v>
      </c>
      <c r="M12" s="45">
        <f>[1]ID14!AG6</f>
        <v>13751</v>
      </c>
      <c r="N12" s="45">
        <f>[1]ID08!AG6</f>
        <v>8693</v>
      </c>
      <c r="O12" s="45">
        <f>[1]ID14!AH6</f>
        <v>3296</v>
      </c>
      <c r="P12" s="45">
        <f>[1]ID08!AH6</f>
        <v>2663</v>
      </c>
      <c r="Q12" s="45">
        <f>[1]ID14!AI6</f>
        <v>130871</v>
      </c>
      <c r="R12" s="45">
        <f>[1]ID08!AI6</f>
        <v>101780</v>
      </c>
    </row>
    <row r="13" spans="1:20" ht="14.4" x14ac:dyDescent="0.3">
      <c r="A13" s="40" t="str">
        <f>[1]ID14!A7</f>
        <v>ATAMISQUI</v>
      </c>
      <c r="B13" t="s">
        <v>91</v>
      </c>
      <c r="C13" s="45">
        <f>[1]ID14!AB7</f>
        <v>1657</v>
      </c>
      <c r="D13" s="45">
        <f>[1]ID08!AB7</f>
        <v>978</v>
      </c>
      <c r="E13" s="45">
        <f>[1]ID14!AC7</f>
        <v>696</v>
      </c>
      <c r="F13" s="45">
        <f>[1]ID08!AC7</f>
        <v>556</v>
      </c>
      <c r="G13" s="45">
        <f>[1]ID14!AD7</f>
        <v>266</v>
      </c>
      <c r="H13" s="45">
        <f>[1]ID08!AD7</f>
        <v>73</v>
      </c>
      <c r="I13" s="45">
        <f>[1]ID14!AE7</f>
        <v>249</v>
      </c>
      <c r="J13" s="45">
        <f>[1]ID08!AE7</f>
        <v>112</v>
      </c>
      <c r="K13" s="45">
        <f>[1]ID14!AF7</f>
        <v>526</v>
      </c>
      <c r="L13" s="45">
        <f>[1]ID08!AF7</f>
        <v>228</v>
      </c>
      <c r="M13" s="45">
        <f>[1]ID14!AG7</f>
        <v>391</v>
      </c>
      <c r="N13" s="45">
        <f>[1]ID08!AG7</f>
        <v>199</v>
      </c>
      <c r="O13" s="45">
        <f>[1]ID14!AH7</f>
        <v>161</v>
      </c>
      <c r="P13" s="45">
        <f>[1]ID08!AH7</f>
        <v>90</v>
      </c>
      <c r="Q13" s="45">
        <f>[1]ID14!AI7</f>
        <v>3946</v>
      </c>
      <c r="R13" s="45">
        <f>[1]ID08!AI7</f>
        <v>2253</v>
      </c>
    </row>
    <row r="14" spans="1:20" ht="14.4" x14ac:dyDescent="0.3">
      <c r="A14" s="40" t="str">
        <f>[1]ID14!A8</f>
        <v>AVELLANEDA</v>
      </c>
      <c r="B14" t="s">
        <v>89</v>
      </c>
      <c r="C14" s="45">
        <f>[1]ID14!AB8</f>
        <v>7916</v>
      </c>
      <c r="D14" s="45">
        <f>[1]ID08!AB8</f>
        <v>1802</v>
      </c>
      <c r="E14" s="45">
        <f>[1]ID14!AC8</f>
        <v>2132</v>
      </c>
      <c r="F14" s="45">
        <f>[1]ID08!AC8</f>
        <v>1076</v>
      </c>
      <c r="G14" s="45">
        <f>[1]ID14!AD8</f>
        <v>467</v>
      </c>
      <c r="H14" s="45">
        <f>[1]ID08!AD8</f>
        <v>299</v>
      </c>
      <c r="I14" s="45">
        <f>[1]ID14!AE8</f>
        <v>875</v>
      </c>
      <c r="J14" s="45">
        <f>[1]ID08!AE8</f>
        <v>306</v>
      </c>
      <c r="K14" s="45">
        <f>[1]ID14!AF8</f>
        <v>1788</v>
      </c>
      <c r="L14" s="45">
        <f>[1]ID08!AF8</f>
        <v>333</v>
      </c>
      <c r="M14" s="45">
        <f>[1]ID14!AG8</f>
        <v>1626</v>
      </c>
      <c r="N14" s="45">
        <f>[1]ID08!AG8</f>
        <v>408</v>
      </c>
      <c r="O14" s="45">
        <f>[1]ID14!AH8</f>
        <v>653</v>
      </c>
      <c r="P14" s="45">
        <f>[1]ID08!AH8</f>
        <v>93</v>
      </c>
      <c r="Q14" s="45">
        <f>[1]ID14!AI8</f>
        <v>15457</v>
      </c>
      <c r="R14" s="45">
        <f>[1]ID08!AI8</f>
        <v>4317</v>
      </c>
    </row>
    <row r="15" spans="1:20" ht="14.4" x14ac:dyDescent="0.3">
      <c r="A15" s="40" t="str">
        <f>[1]ID14!A9</f>
        <v>BELGRANO</v>
      </c>
      <c r="B15" t="s">
        <v>89</v>
      </c>
      <c r="C15" s="45">
        <f>[1]ID14!AB9</f>
        <v>20460</v>
      </c>
      <c r="D15" s="45">
        <f>[1]ID08!AB9</f>
        <v>26780</v>
      </c>
      <c r="E15" s="45">
        <f>[1]ID14!AC9</f>
        <v>9604</v>
      </c>
      <c r="F15" s="45">
        <f>[1]ID08!AC9</f>
        <v>10167</v>
      </c>
      <c r="G15" s="45">
        <f>[1]ID14!AD9</f>
        <v>2537</v>
      </c>
      <c r="H15" s="45">
        <f>[1]ID08!AD9</f>
        <v>6474</v>
      </c>
      <c r="I15" s="45">
        <f>[1]ID14!AE9</f>
        <v>3716</v>
      </c>
      <c r="J15" s="45">
        <f>[1]ID08!AE9</f>
        <v>8149</v>
      </c>
      <c r="K15" s="45">
        <f>[1]ID14!AF9</f>
        <v>3878</v>
      </c>
      <c r="L15" s="45">
        <f>[1]ID08!AF9</f>
        <v>5510</v>
      </c>
      <c r="M15" s="45">
        <f>[1]ID14!AG9</f>
        <v>3829</v>
      </c>
      <c r="N15" s="45">
        <f>[1]ID08!AG9</f>
        <v>5756</v>
      </c>
      <c r="O15" s="45">
        <f>[1]ID14!AH9</f>
        <v>1003</v>
      </c>
      <c r="P15" s="45">
        <f>[1]ID08!AH9</f>
        <v>1639</v>
      </c>
      <c r="Q15" s="45">
        <f>[1]ID14!AI9</f>
        <v>45027</v>
      </c>
      <c r="R15" s="45">
        <f>[1]ID08!AI9</f>
        <v>64485</v>
      </c>
    </row>
    <row r="16" spans="1:20" ht="14.4" x14ac:dyDescent="0.3">
      <c r="A16" s="40" t="str">
        <f>[1]ID14!A10</f>
        <v>CAPITAL</v>
      </c>
      <c r="B16" t="s">
        <v>92</v>
      </c>
      <c r="C16" s="45">
        <f>[1]ID14!AB10</f>
        <v>4742</v>
      </c>
      <c r="D16" s="45">
        <f>[1]ID08!AB10</f>
        <v>4916</v>
      </c>
      <c r="E16" s="45">
        <f>[1]ID14!AC10</f>
        <v>1102</v>
      </c>
      <c r="F16" s="45">
        <f>[1]ID08!AC10</f>
        <v>2223</v>
      </c>
      <c r="G16" s="45">
        <f>[1]ID14!AD10</f>
        <v>276</v>
      </c>
      <c r="H16" s="45">
        <f>[1]ID08!AD10</f>
        <v>777</v>
      </c>
      <c r="I16" s="45">
        <f>[1]ID14!AE10</f>
        <v>215</v>
      </c>
      <c r="J16" s="45">
        <f>[1]ID08!AE10</f>
        <v>816</v>
      </c>
      <c r="K16" s="45">
        <f>[1]ID14!AF10</f>
        <v>851</v>
      </c>
      <c r="L16" s="45">
        <f>[1]ID08!AF10</f>
        <v>973</v>
      </c>
      <c r="M16" s="45">
        <f>[1]ID14!AG10</f>
        <v>1018</v>
      </c>
      <c r="N16" s="45">
        <f>[1]ID08!AG10</f>
        <v>1270</v>
      </c>
      <c r="O16" s="45">
        <f>[1]ID14!AH10</f>
        <v>283</v>
      </c>
      <c r="P16" s="45">
        <f>[1]ID08!AH10</f>
        <v>351</v>
      </c>
      <c r="Q16" s="45">
        <f>[1]ID14!AI10</f>
        <v>8487</v>
      </c>
      <c r="R16" s="45">
        <f>[1]ID08!AI10</f>
        <v>11326</v>
      </c>
    </row>
    <row r="17" spans="1:18" ht="14.4" x14ac:dyDescent="0.3">
      <c r="A17" s="40" t="str">
        <f>[1]ID14!A11</f>
        <v>CHOYA</v>
      </c>
      <c r="B17" t="s">
        <v>93</v>
      </c>
      <c r="C17" s="45">
        <f>[1]ID14!AB11</f>
        <v>14767</v>
      </c>
      <c r="D17" s="45">
        <f>[1]ID08!AB11</f>
        <v>10621</v>
      </c>
      <c r="E17" s="45">
        <f>[1]ID14!AC11</f>
        <v>4476</v>
      </c>
      <c r="F17" s="45">
        <f>[1]ID08!AC11</f>
        <v>4148</v>
      </c>
      <c r="G17" s="45">
        <f>[1]ID14!AD11</f>
        <v>1997</v>
      </c>
      <c r="H17" s="45">
        <f>[1]ID08!AD11</f>
        <v>1629</v>
      </c>
      <c r="I17" s="45">
        <f>[1]ID14!AE11</f>
        <v>4532</v>
      </c>
      <c r="J17" s="45">
        <f>[1]ID08!AE11</f>
        <v>2731</v>
      </c>
      <c r="K17" s="45">
        <f>[1]ID14!AF11</f>
        <v>3685</v>
      </c>
      <c r="L17" s="45">
        <f>[1]ID08!AF11</f>
        <v>2282</v>
      </c>
      <c r="M17" s="45">
        <f>[1]ID14!AG11</f>
        <v>2859</v>
      </c>
      <c r="N17" s="45">
        <f>[1]ID08!AG11</f>
        <v>2032</v>
      </c>
      <c r="O17" s="45">
        <f>[1]ID14!AH11</f>
        <v>805</v>
      </c>
      <c r="P17" s="45">
        <f>[1]ID08!AH11</f>
        <v>491</v>
      </c>
      <c r="Q17" s="45">
        <f>[1]ID14!AI11</f>
        <v>33121</v>
      </c>
      <c r="R17" s="45">
        <f>[1]ID08!AI11</f>
        <v>23934</v>
      </c>
    </row>
    <row r="18" spans="1:18" ht="14.4" x14ac:dyDescent="0.3">
      <c r="A18" s="40" t="str">
        <f>[1]ID14!A12</f>
        <v>COPO</v>
      </c>
      <c r="B18" t="s">
        <v>90</v>
      </c>
      <c r="C18" s="45">
        <f>[1]ID14!AB12</f>
        <v>30942</v>
      </c>
      <c r="D18" s="45">
        <f>[1]ID08!AB12</f>
        <v>24830</v>
      </c>
      <c r="E18" s="45">
        <f>[1]ID14!AC12</f>
        <v>8637</v>
      </c>
      <c r="F18" s="45">
        <f>[1]ID08!AC12</f>
        <v>7984</v>
      </c>
      <c r="G18" s="45">
        <f>[1]ID14!AD12</f>
        <v>4932</v>
      </c>
      <c r="H18" s="45">
        <f>[1]ID08!AD12</f>
        <v>4383</v>
      </c>
      <c r="I18" s="45">
        <f>[1]ID14!AE12</f>
        <v>5232</v>
      </c>
      <c r="J18" s="45">
        <f>[1]ID08!AE12</f>
        <v>4650</v>
      </c>
      <c r="K18" s="45">
        <f>[1]ID14!AF12</f>
        <v>7680</v>
      </c>
      <c r="L18" s="45">
        <f>[1]ID08!AF12</f>
        <v>6094</v>
      </c>
      <c r="M18" s="45">
        <f>[1]ID14!AG12</f>
        <v>7780</v>
      </c>
      <c r="N18" s="45">
        <f>[1]ID08!AG12</f>
        <v>5919</v>
      </c>
      <c r="O18" s="45">
        <f>[1]ID14!AH12</f>
        <v>2339</v>
      </c>
      <c r="P18" s="45">
        <f>[1]ID08!AH12</f>
        <v>1937</v>
      </c>
      <c r="Q18" s="45">
        <f>[1]ID14!AI12</f>
        <v>67542</v>
      </c>
      <c r="R18" s="45">
        <f>[1]ID08!AI12</f>
        <v>55797</v>
      </c>
    </row>
    <row r="19" spans="1:18" ht="14.4" x14ac:dyDescent="0.3">
      <c r="A19" s="40" t="str">
        <f>[1]ID14!A13</f>
        <v>FIGUEROA</v>
      </c>
      <c r="B19" t="s">
        <v>92</v>
      </c>
      <c r="C19" s="45">
        <f>[1]ID14!AB13</f>
        <v>7903</v>
      </c>
      <c r="D19" s="45">
        <f>[1]ID08!AB13</f>
        <v>7238</v>
      </c>
      <c r="E19" s="45">
        <f>[1]ID14!AC13</f>
        <v>2644</v>
      </c>
      <c r="F19" s="45">
        <f>[1]ID08!AC13</f>
        <v>1589</v>
      </c>
      <c r="G19" s="45">
        <f>[1]ID14!AD13</f>
        <v>342</v>
      </c>
      <c r="H19" s="45">
        <f>[1]ID08!AD13</f>
        <v>582</v>
      </c>
      <c r="I19" s="45">
        <f>[1]ID14!AE13</f>
        <v>880</v>
      </c>
      <c r="J19" s="45">
        <f>[1]ID08!AE13</f>
        <v>729</v>
      </c>
      <c r="K19" s="45">
        <f>[1]ID14!AF13</f>
        <v>1765</v>
      </c>
      <c r="L19" s="45">
        <f>[1]ID08!AF13</f>
        <v>1785</v>
      </c>
      <c r="M19" s="45">
        <f>[1]ID14!AG13</f>
        <v>2174</v>
      </c>
      <c r="N19" s="45">
        <f>[1]ID08!AG13</f>
        <v>1954</v>
      </c>
      <c r="O19" s="45">
        <f>[1]ID14!AH13</f>
        <v>572</v>
      </c>
      <c r="P19" s="45">
        <f>[1]ID08!AH13</f>
        <v>416</v>
      </c>
      <c r="Q19" s="45">
        <f>[1]ID14!AI13</f>
        <v>16280</v>
      </c>
      <c r="R19" s="45">
        <f>[1]ID08!AI13</f>
        <v>14297</v>
      </c>
    </row>
    <row r="20" spans="1:18" ht="14.4" x14ac:dyDescent="0.3">
      <c r="A20" s="40" t="str">
        <f>[1]ID14!A14</f>
        <v>GENERAL TABOADA</v>
      </c>
      <c r="B20" t="s">
        <v>89</v>
      </c>
      <c r="C20" s="45">
        <f>[1]ID14!AB14</f>
        <v>20884</v>
      </c>
      <c r="D20" s="45">
        <f>[1]ID08!AB14</f>
        <v>20222</v>
      </c>
      <c r="E20" s="45">
        <f>[1]ID14!AC14</f>
        <v>7922</v>
      </c>
      <c r="F20" s="45">
        <f>[1]ID08!AC14</f>
        <v>11154</v>
      </c>
      <c r="G20" s="45">
        <f>[1]ID14!AD14</f>
        <v>3222</v>
      </c>
      <c r="H20" s="45">
        <f>[1]ID08!AD14</f>
        <v>6345</v>
      </c>
      <c r="I20" s="45">
        <f>[1]ID14!AE14</f>
        <v>4003</v>
      </c>
      <c r="J20" s="45">
        <f>[1]ID08!AE14</f>
        <v>7231</v>
      </c>
      <c r="K20" s="45">
        <f>[1]ID14!AF14</f>
        <v>4498</v>
      </c>
      <c r="L20" s="45">
        <f>[1]ID08!AF14</f>
        <v>4555</v>
      </c>
      <c r="M20" s="45">
        <f>[1]ID14!AG14</f>
        <v>5088</v>
      </c>
      <c r="N20" s="45">
        <f>[1]ID08!AG14</f>
        <v>4089</v>
      </c>
      <c r="O20" s="45">
        <f>[1]ID14!AH14</f>
        <v>1383</v>
      </c>
      <c r="P20" s="45">
        <f>[1]ID08!AH14</f>
        <v>1271</v>
      </c>
      <c r="Q20" s="45">
        <f>[1]ID14!AI14</f>
        <v>47000</v>
      </c>
      <c r="R20" s="45">
        <f>[1]ID08!AI14</f>
        <v>54868</v>
      </c>
    </row>
    <row r="21" spans="1:18" ht="14.4" x14ac:dyDescent="0.3">
      <c r="A21" s="40" t="str">
        <f>[1]ID14!A15</f>
        <v>GUASAYAN</v>
      </c>
      <c r="B21" t="s">
        <v>93</v>
      </c>
      <c r="C21" s="45">
        <f>[1]ID14!AB15</f>
        <v>13920</v>
      </c>
      <c r="D21" s="45">
        <f>[1]ID08!AB15</f>
        <v>16231</v>
      </c>
      <c r="E21" s="45">
        <f>[1]ID14!AC15</f>
        <v>1875</v>
      </c>
      <c r="F21" s="45">
        <f>[1]ID08!AC15</f>
        <v>6292</v>
      </c>
      <c r="G21" s="45">
        <f>[1]ID14!AD15</f>
        <v>317</v>
      </c>
      <c r="H21" s="45">
        <f>[1]ID08!AD15</f>
        <v>1312</v>
      </c>
      <c r="I21" s="45">
        <f>[1]ID14!AE15</f>
        <v>859</v>
      </c>
      <c r="J21" s="45">
        <f>[1]ID08!AE15</f>
        <v>1579</v>
      </c>
      <c r="K21" s="45">
        <f>[1]ID14!AF15</f>
        <v>2095</v>
      </c>
      <c r="L21" s="45">
        <f>[1]ID08!AF15</f>
        <v>1518</v>
      </c>
      <c r="M21" s="45">
        <f>[1]ID14!AG15</f>
        <v>2925</v>
      </c>
      <c r="N21" s="45">
        <f>[1]ID08!AG15</f>
        <v>3087</v>
      </c>
      <c r="O21" s="45">
        <f>[1]ID14!AH15</f>
        <v>950</v>
      </c>
      <c r="P21" s="45">
        <f>[1]ID08!AH15</f>
        <v>747</v>
      </c>
      <c r="Q21" s="45">
        <f>[1]ID14!AI15</f>
        <v>22941</v>
      </c>
      <c r="R21" s="45">
        <f>[1]ID08!AI15</f>
        <v>30766</v>
      </c>
    </row>
    <row r="22" spans="1:18" ht="14.4" x14ac:dyDescent="0.3">
      <c r="A22" s="40" t="str">
        <f>[1]ID14!A16</f>
        <v>JIMENEZ</v>
      </c>
      <c r="B22" t="s">
        <v>94</v>
      </c>
      <c r="C22" s="45">
        <f>[1]ID14!AB16</f>
        <v>23487</v>
      </c>
      <c r="D22" s="45">
        <f>[1]ID08!AB16</f>
        <v>25904</v>
      </c>
      <c r="E22" s="45">
        <f>[1]ID14!AC16</f>
        <v>7120</v>
      </c>
      <c r="F22" s="45">
        <f>[1]ID08!AC16</f>
        <v>11032</v>
      </c>
      <c r="G22" s="45">
        <f>[1]ID14!AD16</f>
        <v>215</v>
      </c>
      <c r="H22" s="45">
        <f>[1]ID08!AD16</f>
        <v>2101</v>
      </c>
      <c r="I22" s="45">
        <f>[1]ID14!AE16</f>
        <v>1368</v>
      </c>
      <c r="J22" s="45">
        <f>[1]ID08!AE16</f>
        <v>2330</v>
      </c>
      <c r="K22" s="45">
        <f>[1]ID14!AF16</f>
        <v>7349</v>
      </c>
      <c r="L22" s="45">
        <f>[1]ID08!AF16</f>
        <v>6740</v>
      </c>
      <c r="M22" s="45">
        <f>[1]ID14!AG16</f>
        <v>8651</v>
      </c>
      <c r="N22" s="45">
        <f>[1]ID08!AG16</f>
        <v>8536</v>
      </c>
      <c r="O22" s="45">
        <f>[1]ID14!AH16</f>
        <v>1214</v>
      </c>
      <c r="P22" s="45">
        <f>[1]ID08!AH16</f>
        <v>1303</v>
      </c>
      <c r="Q22" s="45">
        <f>[1]ID14!AI16</f>
        <v>49404</v>
      </c>
      <c r="R22" s="45">
        <f>[1]ID08!AI16</f>
        <v>57946</v>
      </c>
    </row>
    <row r="23" spans="1:18" ht="14.4" x14ac:dyDescent="0.3">
      <c r="A23" s="40" t="str">
        <f>[1]ID14!A17</f>
        <v>JUAN F. IBARRA</v>
      </c>
      <c r="B23" t="s">
        <v>90</v>
      </c>
      <c r="C23" s="45">
        <f>[1]ID14!AB17</f>
        <v>26616</v>
      </c>
      <c r="D23" s="45">
        <f>[1]ID08!AB17</f>
        <v>25611</v>
      </c>
      <c r="E23" s="45">
        <f>[1]ID14!AC17</f>
        <v>9348</v>
      </c>
      <c r="F23" s="45">
        <f>[1]ID08!AC17</f>
        <v>12873</v>
      </c>
      <c r="G23" s="45">
        <f>[1]ID14!AD17</f>
        <v>1663</v>
      </c>
      <c r="H23" s="45">
        <f>[1]ID08!AD17</f>
        <v>3910</v>
      </c>
      <c r="I23" s="45">
        <f>[1]ID14!AE17</f>
        <v>4718</v>
      </c>
      <c r="J23" s="45">
        <f>[1]ID08!AE17</f>
        <v>5016</v>
      </c>
      <c r="K23" s="45">
        <f>[1]ID14!AF17</f>
        <v>6975</v>
      </c>
      <c r="L23" s="45">
        <f>[1]ID08!AF17</f>
        <v>5562</v>
      </c>
      <c r="M23" s="45">
        <f>[1]ID14!AG17</f>
        <v>7570</v>
      </c>
      <c r="N23" s="45">
        <f>[1]ID08!AG17</f>
        <v>6438</v>
      </c>
      <c r="O23" s="45">
        <f>[1]ID14!AH17</f>
        <v>1752</v>
      </c>
      <c r="P23" s="45">
        <f>[1]ID08!AH17</f>
        <v>1528</v>
      </c>
      <c r="Q23" s="45">
        <f>[1]ID14!AI17</f>
        <v>58642</v>
      </c>
      <c r="R23" s="45">
        <f>[1]ID08!AI17</f>
        <v>60938</v>
      </c>
    </row>
    <row r="24" spans="1:18" ht="14.4" x14ac:dyDescent="0.3">
      <c r="A24" s="40" t="str">
        <f>[1]ID14!A18</f>
        <v>LA BANDA</v>
      </c>
      <c r="B24" t="s">
        <v>92</v>
      </c>
      <c r="C24" s="45">
        <f>[1]ID14!AB18</f>
        <v>13001</v>
      </c>
      <c r="D24" s="45">
        <f>[1]ID08!AB18</f>
        <v>13158</v>
      </c>
      <c r="E24" s="45">
        <f>[1]ID14!AC18</f>
        <v>4878</v>
      </c>
      <c r="F24" s="45">
        <f>[1]ID08!AC18</f>
        <v>4657</v>
      </c>
      <c r="G24" s="45">
        <f>[1]ID14!AD18</f>
        <v>1047</v>
      </c>
      <c r="H24" s="45">
        <f>[1]ID08!AD18</f>
        <v>1411</v>
      </c>
      <c r="I24" s="45">
        <f>[1]ID14!AE18</f>
        <v>2679</v>
      </c>
      <c r="J24" s="45">
        <f>[1]ID08!AE18</f>
        <v>942</v>
      </c>
      <c r="K24" s="45">
        <f>[1]ID14!AF18</f>
        <v>3079</v>
      </c>
      <c r="L24" s="45">
        <f>[1]ID08!AF18</f>
        <v>2491</v>
      </c>
      <c r="M24" s="45">
        <f>[1]ID14!AG18</f>
        <v>3686</v>
      </c>
      <c r="N24" s="45">
        <f>[1]ID08!AG18</f>
        <v>2362</v>
      </c>
      <c r="O24" s="45">
        <f>[1]ID14!AH18</f>
        <v>1008</v>
      </c>
      <c r="P24" s="45">
        <f>[1]ID08!AH18</f>
        <v>785</v>
      </c>
      <c r="Q24" s="45">
        <f>[1]ID14!AI18</f>
        <v>29378</v>
      </c>
      <c r="R24" s="45">
        <f>[1]ID08!AI18</f>
        <v>25807</v>
      </c>
    </row>
    <row r="25" spans="1:18" ht="14.4" x14ac:dyDescent="0.3">
      <c r="A25" s="40" t="str">
        <f>[1]ID14!A19</f>
        <v>LORETO</v>
      </c>
      <c r="B25" t="s">
        <v>92</v>
      </c>
      <c r="C25" s="45">
        <f>[1]ID14!AB19</f>
        <v>5303</v>
      </c>
      <c r="D25" s="45">
        <f>[1]ID08!AB19</f>
        <v>7241</v>
      </c>
      <c r="E25" s="45">
        <f>[1]ID14!AC19</f>
        <v>1801</v>
      </c>
      <c r="F25" s="45">
        <f>[1]ID08!AC19</f>
        <v>3437</v>
      </c>
      <c r="G25" s="45">
        <f>[1]ID14!AD19</f>
        <v>651</v>
      </c>
      <c r="H25" s="45">
        <f>[1]ID08!AD19</f>
        <v>1864</v>
      </c>
      <c r="I25" s="45">
        <f>[1]ID14!AE19</f>
        <v>931</v>
      </c>
      <c r="J25" s="45">
        <f>[1]ID08!AE19</f>
        <v>1047</v>
      </c>
      <c r="K25" s="45">
        <f>[1]ID14!AF19</f>
        <v>2113</v>
      </c>
      <c r="L25" s="45">
        <f>[1]ID08!AF19</f>
        <v>1554</v>
      </c>
      <c r="M25" s="45">
        <f>[1]ID14!AG19</f>
        <v>1541</v>
      </c>
      <c r="N25" s="45">
        <f>[1]ID08!AG19</f>
        <v>1816</v>
      </c>
      <c r="O25" s="45">
        <f>[1]ID14!AH19</f>
        <v>327</v>
      </c>
      <c r="P25" s="45">
        <f>[1]ID08!AH19</f>
        <v>362</v>
      </c>
      <c r="Q25" s="45">
        <f>[1]ID14!AI19</f>
        <v>12667</v>
      </c>
      <c r="R25" s="45">
        <f>[1]ID08!AI19</f>
        <v>17321</v>
      </c>
    </row>
    <row r="26" spans="1:18" ht="14.4" x14ac:dyDescent="0.3">
      <c r="A26" s="40" t="str">
        <f>[1]ID14!A20</f>
        <v>MITRE</v>
      </c>
      <c r="B26" t="s">
        <v>89</v>
      </c>
      <c r="C26" s="45">
        <f>[1]ID14!AB20</f>
        <v>29460</v>
      </c>
      <c r="D26" s="45">
        <f>[1]ID08!AB20</f>
        <v>32864</v>
      </c>
      <c r="E26" s="45">
        <f>[1]ID14!AC20</f>
        <v>7328</v>
      </c>
      <c r="F26" s="45">
        <f>[1]ID08!AC20</f>
        <v>10777</v>
      </c>
      <c r="G26" s="45">
        <f>[1]ID14!AD20</f>
        <v>1307</v>
      </c>
      <c r="H26" s="45">
        <f>[1]ID08!AD20</f>
        <v>4182</v>
      </c>
      <c r="I26" s="45">
        <f>[1]ID14!AE20</f>
        <v>2978</v>
      </c>
      <c r="J26" s="45">
        <f>[1]ID08!AE20</f>
        <v>5368</v>
      </c>
      <c r="K26" s="45">
        <f>[1]ID14!AF20</f>
        <v>3624</v>
      </c>
      <c r="L26" s="45">
        <f>[1]ID08!AF20</f>
        <v>4608</v>
      </c>
      <c r="M26" s="45">
        <f>[1]ID14!AG20</f>
        <v>4106</v>
      </c>
      <c r="N26" s="45">
        <f>[1]ID08!AG20</f>
        <v>4913</v>
      </c>
      <c r="O26" s="45">
        <f>[1]ID14!AH20</f>
        <v>1203</v>
      </c>
      <c r="P26" s="45">
        <f>[1]ID08!AH20</f>
        <v>1070</v>
      </c>
      <c r="Q26" s="45">
        <f>[1]ID14!AI20</f>
        <v>50006</v>
      </c>
      <c r="R26" s="45">
        <f>[1]ID08!AI20</f>
        <v>63782</v>
      </c>
    </row>
    <row r="27" spans="1:18" ht="14.4" x14ac:dyDescent="0.3">
      <c r="A27" s="40" t="str">
        <f>[1]ID14!A21</f>
        <v>MORENO</v>
      </c>
      <c r="B27" t="s">
        <v>90</v>
      </c>
      <c r="C27" s="45">
        <f>[1]ID14!AB21</f>
        <v>103546</v>
      </c>
      <c r="D27" s="45">
        <f>[1]ID08!AB21</f>
        <v>99420</v>
      </c>
      <c r="E27" s="45">
        <f>[1]ID14!AC21</f>
        <v>41530</v>
      </c>
      <c r="F27" s="45">
        <f>[1]ID08!AC21</f>
        <v>51302</v>
      </c>
      <c r="G27" s="45">
        <f>[1]ID14!AD21</f>
        <v>16854</v>
      </c>
      <c r="H27" s="45">
        <f>[1]ID08!AD21</f>
        <v>29890</v>
      </c>
      <c r="I27" s="45">
        <f>[1]ID14!AE21</f>
        <v>22373</v>
      </c>
      <c r="J27" s="45">
        <f>[1]ID08!AE21</f>
        <v>29992</v>
      </c>
      <c r="K27" s="45">
        <f>[1]ID14!AF21</f>
        <v>28407</v>
      </c>
      <c r="L27" s="45">
        <f>[1]ID08!AF21</f>
        <v>27134</v>
      </c>
      <c r="M27" s="45">
        <f>[1]ID14!AG21</f>
        <v>28839</v>
      </c>
      <c r="N27" s="45">
        <f>[1]ID08!AG21</f>
        <v>29453</v>
      </c>
      <c r="O27" s="45">
        <f>[1]ID14!AH21</f>
        <v>6515</v>
      </c>
      <c r="P27" s="45">
        <f>[1]ID08!AH21</f>
        <v>5982</v>
      </c>
      <c r="Q27" s="45">
        <f>[1]ID14!AI21</f>
        <v>248064</v>
      </c>
      <c r="R27" s="45">
        <f>[1]ID08!AI21</f>
        <v>273173</v>
      </c>
    </row>
    <row r="28" spans="1:18" ht="14.4" x14ac:dyDescent="0.3">
      <c r="A28" s="40" t="str">
        <f>[1]ID14!A22</f>
        <v>OJO DE AGUA</v>
      </c>
      <c r="B28" t="s">
        <v>91</v>
      </c>
      <c r="C28" s="45">
        <f>[1]ID14!AB22</f>
        <v>30164</v>
      </c>
      <c r="D28" s="45">
        <f>[1]ID08!AB22</f>
        <v>31335</v>
      </c>
      <c r="E28" s="45">
        <f>[1]ID14!AC22</f>
        <v>8024</v>
      </c>
      <c r="F28" s="45">
        <f>[1]ID08!AC22</f>
        <v>13034</v>
      </c>
      <c r="G28" s="45">
        <f>[1]ID14!AD22</f>
        <v>1491</v>
      </c>
      <c r="H28" s="45">
        <f>[1]ID08!AD22</f>
        <v>4275</v>
      </c>
      <c r="I28" s="45">
        <f>[1]ID14!AE22</f>
        <v>2282</v>
      </c>
      <c r="J28" s="45">
        <f>[1]ID08!AE22</f>
        <v>5227</v>
      </c>
      <c r="K28" s="45">
        <f>[1]ID14!AF22</f>
        <v>9009</v>
      </c>
      <c r="L28" s="45">
        <f>[1]ID08!AF22</f>
        <v>8591</v>
      </c>
      <c r="M28" s="45">
        <f>[1]ID14!AG22</f>
        <v>8067</v>
      </c>
      <c r="N28" s="45">
        <f>[1]ID08!AG22</f>
        <v>7600</v>
      </c>
      <c r="O28" s="45">
        <f>[1]ID14!AH22</f>
        <v>1615</v>
      </c>
      <c r="P28" s="45">
        <f>[1]ID08!AH22</f>
        <v>2708</v>
      </c>
      <c r="Q28" s="45">
        <f>[1]ID14!AI22</f>
        <v>60652</v>
      </c>
      <c r="R28" s="45">
        <f>[1]ID08!AI22</f>
        <v>72771</v>
      </c>
    </row>
    <row r="29" spans="1:18" ht="14.4" x14ac:dyDescent="0.3">
      <c r="A29" s="40" t="str">
        <f>[1]ID14!A23</f>
        <v>PELLEGRINI</v>
      </c>
      <c r="B29" t="s">
        <v>94</v>
      </c>
      <c r="C29" s="45">
        <f>[1]ID14!AB23</f>
        <v>24280</v>
      </c>
      <c r="D29" s="45">
        <f>[1]ID08!AB23</f>
        <v>18955</v>
      </c>
      <c r="E29" s="45">
        <f>[1]ID14!AC23</f>
        <v>5079</v>
      </c>
      <c r="F29" s="45">
        <f>[1]ID08!AC23</f>
        <v>7250</v>
      </c>
      <c r="G29" s="45">
        <f>[1]ID14!AD23</f>
        <v>1013</v>
      </c>
      <c r="H29" s="45">
        <f>[1]ID08!AD23</f>
        <v>2017</v>
      </c>
      <c r="I29" s="45">
        <f>[1]ID14!AE23</f>
        <v>2568</v>
      </c>
      <c r="J29" s="45">
        <f>[1]ID08!AE23</f>
        <v>2918</v>
      </c>
      <c r="K29" s="45">
        <f>[1]ID14!AF23</f>
        <v>3568</v>
      </c>
      <c r="L29" s="45">
        <f>[1]ID08!AF23</f>
        <v>2798</v>
      </c>
      <c r="M29" s="45">
        <f>[1]ID14!AG23</f>
        <v>3508</v>
      </c>
      <c r="N29" s="45">
        <f>[1]ID08!AG23</f>
        <v>3830</v>
      </c>
      <c r="O29" s="45">
        <f>[1]ID14!AH23</f>
        <v>1402</v>
      </c>
      <c r="P29" s="45">
        <f>[1]ID08!AH23</f>
        <v>1108</v>
      </c>
      <c r="Q29" s="45">
        <f>[1]ID14!AI23</f>
        <v>41418</v>
      </c>
      <c r="R29" s="45">
        <f>[1]ID08!AI23</f>
        <v>38876</v>
      </c>
    </row>
    <row r="30" spans="1:18" ht="14.4" x14ac:dyDescent="0.3">
      <c r="A30" s="40" t="str">
        <f>[1]ID14!A24</f>
        <v>QUEBRACHOS</v>
      </c>
      <c r="B30" t="s">
        <v>91</v>
      </c>
      <c r="C30" s="45">
        <f>[1]ID14!AB24</f>
        <v>34936</v>
      </c>
      <c r="D30" s="45">
        <f>[1]ID08!AB24</f>
        <v>35232</v>
      </c>
      <c r="E30" s="45">
        <f>[1]ID14!AC24</f>
        <v>9039</v>
      </c>
      <c r="F30" s="45">
        <f>[1]ID08!AC24</f>
        <v>13085</v>
      </c>
      <c r="G30" s="45">
        <f>[1]ID14!AD24</f>
        <v>1403</v>
      </c>
      <c r="H30" s="45">
        <f>[1]ID08!AD24</f>
        <v>5747</v>
      </c>
      <c r="I30" s="45">
        <f>[1]ID14!AE24</f>
        <v>3025</v>
      </c>
      <c r="J30" s="45">
        <f>[1]ID08!AE24</f>
        <v>6174</v>
      </c>
      <c r="K30" s="45">
        <f>[1]ID14!AF24</f>
        <v>8932</v>
      </c>
      <c r="L30" s="45">
        <f>[1]ID08!AF24</f>
        <v>7580</v>
      </c>
      <c r="M30" s="45">
        <f>[1]ID14!AG24</f>
        <v>8844</v>
      </c>
      <c r="N30" s="45">
        <f>[1]ID08!AG24</f>
        <v>7190</v>
      </c>
      <c r="O30" s="45">
        <f>[1]ID14!AH24</f>
        <v>1708</v>
      </c>
      <c r="P30" s="45">
        <f>[1]ID08!AH24</f>
        <v>1665</v>
      </c>
      <c r="Q30" s="45">
        <f>[1]ID14!AI24</f>
        <v>67887</v>
      </c>
      <c r="R30" s="45">
        <f>[1]ID08!AI24</f>
        <v>76673</v>
      </c>
    </row>
    <row r="31" spans="1:18" ht="14.4" x14ac:dyDescent="0.3">
      <c r="A31" s="40" t="str">
        <f>[1]ID14!A25</f>
        <v>RIO HONDO</v>
      </c>
      <c r="B31" t="s">
        <v>93</v>
      </c>
      <c r="C31" s="45">
        <f>[1]ID14!AB25</f>
        <v>749</v>
      </c>
      <c r="D31" s="45">
        <f>[1]ID08!AB25</f>
        <v>551</v>
      </c>
      <c r="E31" s="45">
        <f>[1]ID14!AC25</f>
        <v>127</v>
      </c>
      <c r="F31" s="45">
        <f>[1]ID08!AC25</f>
        <v>166</v>
      </c>
      <c r="G31" s="45">
        <f>[1]ID14!AD25</f>
        <v>723</v>
      </c>
      <c r="H31" s="45">
        <f>[1]ID08!AD25</f>
        <v>1019</v>
      </c>
      <c r="I31" s="45">
        <f>[1]ID14!AE25</f>
        <v>153</v>
      </c>
      <c r="J31" s="45">
        <f>[1]ID08!AE25</f>
        <v>167</v>
      </c>
      <c r="K31" s="45">
        <f>[1]ID14!AF25</f>
        <v>174</v>
      </c>
      <c r="L31" s="45">
        <f>[1]ID08!AF25</f>
        <v>73</v>
      </c>
      <c r="M31" s="45">
        <f>[1]ID14!AG25</f>
        <v>114</v>
      </c>
      <c r="N31" s="45">
        <f>[1]ID08!AG25</f>
        <v>53</v>
      </c>
      <c r="O31" s="45">
        <f>[1]ID14!AH25</f>
        <v>32</v>
      </c>
      <c r="P31" s="45">
        <f>[1]ID08!AH25</f>
        <v>21</v>
      </c>
      <c r="Q31" s="45">
        <f>[1]ID14!AI25</f>
        <v>2072</v>
      </c>
      <c r="R31" s="45">
        <f>[1]ID08!AI25</f>
        <v>2050</v>
      </c>
    </row>
    <row r="32" spans="1:18" ht="14.4" x14ac:dyDescent="0.3">
      <c r="A32" s="40" t="str">
        <f>[1]ID14!A26</f>
        <v>RIVADAVIA</v>
      </c>
      <c r="B32" t="s">
        <v>89</v>
      </c>
      <c r="C32" s="45">
        <f>[1]ID14!AB26</f>
        <v>42507</v>
      </c>
      <c r="D32" s="45">
        <f>[1]ID08!AB26</f>
        <v>50490</v>
      </c>
      <c r="E32" s="45">
        <f>[1]ID14!AC26</f>
        <v>18716</v>
      </c>
      <c r="F32" s="45">
        <f>[1]ID08!AC26</f>
        <v>21415</v>
      </c>
      <c r="G32" s="45">
        <f>[1]ID14!AD26</f>
        <v>8856</v>
      </c>
      <c r="H32" s="45">
        <f>[1]ID08!AD26</f>
        <v>25339</v>
      </c>
      <c r="I32" s="45">
        <f>[1]ID14!AE26</f>
        <v>9815</v>
      </c>
      <c r="J32" s="45">
        <f>[1]ID08!AE26</f>
        <v>22622</v>
      </c>
      <c r="K32" s="45">
        <f>[1]ID14!AF26</f>
        <v>9703</v>
      </c>
      <c r="L32" s="45">
        <f>[1]ID08!AF26</f>
        <v>14817</v>
      </c>
      <c r="M32" s="45">
        <f>[1]ID14!AG26</f>
        <v>11444</v>
      </c>
      <c r="N32" s="45">
        <f>[1]ID08!AG26</f>
        <v>16529</v>
      </c>
      <c r="O32" s="45">
        <f>[1]ID14!AH26</f>
        <v>1311</v>
      </c>
      <c r="P32" s="45">
        <f>[1]ID08!AH26</f>
        <v>1576</v>
      </c>
      <c r="Q32" s="45">
        <f>[1]ID14!AI26</f>
        <v>102352</v>
      </c>
      <c r="R32" s="45">
        <f>[1]ID08!AI26</f>
        <v>152791</v>
      </c>
    </row>
    <row r="33" spans="1:20" ht="14.4" x14ac:dyDescent="0.3">
      <c r="A33" s="40" t="str">
        <f>[1]ID14!A27</f>
        <v>ROBLES</v>
      </c>
      <c r="B33" t="s">
        <v>92</v>
      </c>
      <c r="C33" s="45">
        <f>[1]ID14!AB27</f>
        <v>15835</v>
      </c>
      <c r="D33" s="45">
        <f>[1]ID08!AB27</f>
        <v>13893</v>
      </c>
      <c r="E33" s="45">
        <f>[1]ID14!AC27</f>
        <v>7666</v>
      </c>
      <c r="F33" s="45">
        <f>[1]ID08!AC27</f>
        <v>6769</v>
      </c>
      <c r="G33" s="45">
        <f>[1]ID14!AD27</f>
        <v>2446</v>
      </c>
      <c r="H33" s="45">
        <f>[1]ID08!AD27</f>
        <v>2657</v>
      </c>
      <c r="I33" s="45">
        <f>[1]ID14!AE27</f>
        <v>5741</v>
      </c>
      <c r="J33" s="45">
        <f>[1]ID08!AE27</f>
        <v>3402</v>
      </c>
      <c r="K33" s="45">
        <f>[1]ID14!AF27</f>
        <v>3854</v>
      </c>
      <c r="L33" s="45">
        <f>[1]ID08!AF27</f>
        <v>4281</v>
      </c>
      <c r="M33" s="45">
        <f>[1]ID14!AG27</f>
        <v>5001</v>
      </c>
      <c r="N33" s="45">
        <f>[1]ID08!AG27</f>
        <v>5193</v>
      </c>
      <c r="O33" s="45">
        <f>[1]ID14!AH27</f>
        <v>813</v>
      </c>
      <c r="P33" s="45">
        <f>[1]ID08!AH27</f>
        <v>887</v>
      </c>
      <c r="Q33" s="45">
        <f>[1]ID14!AI27</f>
        <v>41356</v>
      </c>
      <c r="R33" s="45">
        <f>[1]ID08!AI27</f>
        <v>37082</v>
      </c>
    </row>
    <row r="34" spans="1:20" ht="14.4" x14ac:dyDescent="0.3">
      <c r="A34" s="40" t="str">
        <f>[1]ID14!A28</f>
        <v>SALAVINA</v>
      </c>
      <c r="B34" t="s">
        <v>91</v>
      </c>
      <c r="C34" s="45">
        <f>[1]ID14!AB28</f>
        <v>13563</v>
      </c>
      <c r="D34" s="45">
        <f>[1]ID08!AB28</f>
        <v>12875</v>
      </c>
      <c r="E34" s="45">
        <f>[1]ID14!AC28</f>
        <v>4103</v>
      </c>
      <c r="F34" s="45">
        <f>[1]ID08!AC28</f>
        <v>4738</v>
      </c>
      <c r="G34" s="45">
        <f>[1]ID14!AD28</f>
        <v>1434</v>
      </c>
      <c r="H34" s="45">
        <f>[1]ID08!AD28</f>
        <v>1237</v>
      </c>
      <c r="I34" s="45">
        <f>[1]ID14!AE28</f>
        <v>1436</v>
      </c>
      <c r="J34" s="45">
        <f>[1]ID08!AE28</f>
        <v>1593</v>
      </c>
      <c r="K34" s="45">
        <f>[1]ID14!AF28</f>
        <v>4130</v>
      </c>
      <c r="L34" s="45">
        <f>[1]ID08!AF28</f>
        <v>3053</v>
      </c>
      <c r="M34" s="45">
        <f>[1]ID14!AG28</f>
        <v>3692</v>
      </c>
      <c r="N34" s="45">
        <f>[1]ID08!AG28</f>
        <v>2978</v>
      </c>
      <c r="O34" s="45">
        <f>[1]ID14!AH28</f>
        <v>700</v>
      </c>
      <c r="P34" s="45">
        <f>[1]ID08!AH28</f>
        <v>692</v>
      </c>
      <c r="Q34" s="45">
        <f>[1]ID14!AI28</f>
        <v>29058</v>
      </c>
      <c r="R34" s="45">
        <f>[1]ID08!AI28</f>
        <v>27167</v>
      </c>
    </row>
    <row r="35" spans="1:20" ht="14.4" x14ac:dyDescent="0.3">
      <c r="A35" s="40" t="str">
        <f>[1]ID14!A29</f>
        <v>SAN MARTIN</v>
      </c>
      <c r="B35" t="s">
        <v>92</v>
      </c>
      <c r="C35" s="45">
        <f>[1]ID14!AB29</f>
        <v>3319</v>
      </c>
      <c r="D35" s="45">
        <f>[1]ID08!AB29</f>
        <v>2576</v>
      </c>
      <c r="E35" s="45">
        <f>[1]ID14!AC29</f>
        <v>798</v>
      </c>
      <c r="F35" s="45">
        <f>[1]ID08!AC29</f>
        <v>468</v>
      </c>
      <c r="G35" s="45">
        <f>[1]ID14!AD29</f>
        <v>67</v>
      </c>
      <c r="H35" s="45">
        <f>[1]ID08!AD29</f>
        <v>47</v>
      </c>
      <c r="I35" s="45">
        <f>[1]ID14!AE29</f>
        <v>398</v>
      </c>
      <c r="J35" s="45">
        <f>[1]ID08!AE29</f>
        <v>342</v>
      </c>
      <c r="K35" s="45">
        <f>[1]ID14!AF29</f>
        <v>968</v>
      </c>
      <c r="L35" s="45">
        <f>[1]ID08!AF29</f>
        <v>536</v>
      </c>
      <c r="M35" s="45">
        <f>[1]ID14!AG29</f>
        <v>826</v>
      </c>
      <c r="N35" s="45">
        <f>[1]ID08!AG29</f>
        <v>588</v>
      </c>
      <c r="O35" s="45">
        <f>[1]ID14!AH29</f>
        <v>160</v>
      </c>
      <c r="P35" s="45">
        <f>[1]ID08!AH29</f>
        <v>101</v>
      </c>
      <c r="Q35" s="45">
        <f>[1]ID14!AI29</f>
        <v>6536</v>
      </c>
      <c r="R35" s="45">
        <f>[1]ID08!AI29</f>
        <v>4658</v>
      </c>
    </row>
    <row r="36" spans="1:20" ht="14.4" x14ac:dyDescent="0.3">
      <c r="A36" s="40" t="str">
        <f>[1]ID14!A30</f>
        <v>SARMIENTO</v>
      </c>
      <c r="B36" t="s">
        <v>92</v>
      </c>
      <c r="C36" s="45">
        <f>[1]ID14!AB30</f>
        <v>3492</v>
      </c>
      <c r="D36" s="45">
        <f>[1]ID08!AB30</f>
        <v>2420</v>
      </c>
      <c r="E36" s="45">
        <f>[1]ID14!AC30</f>
        <v>1951</v>
      </c>
      <c r="F36" s="45">
        <f>[1]ID08!AC30</f>
        <v>1263</v>
      </c>
      <c r="G36" s="45">
        <f>[1]ID14!AD30</f>
        <v>669</v>
      </c>
      <c r="H36" s="45">
        <f>[1]ID08!AD30</f>
        <v>493</v>
      </c>
      <c r="I36" s="45">
        <f>[1]ID14!AE30</f>
        <v>890</v>
      </c>
      <c r="J36" s="45">
        <f>[1]ID08!AE30</f>
        <v>539</v>
      </c>
      <c r="K36" s="45">
        <f>[1]ID14!AF30</f>
        <v>1190</v>
      </c>
      <c r="L36" s="45">
        <f>[1]ID08!AF30</f>
        <v>1061</v>
      </c>
      <c r="M36" s="45">
        <f>[1]ID14!AG30</f>
        <v>1142</v>
      </c>
      <c r="N36" s="45">
        <f>[1]ID08!AG30</f>
        <v>897</v>
      </c>
      <c r="O36" s="45">
        <f>[1]ID14!AH30</f>
        <v>218</v>
      </c>
      <c r="P36" s="45">
        <f>[1]ID08!AH30</f>
        <v>269</v>
      </c>
      <c r="Q36" s="45">
        <f>[1]ID14!AI30</f>
        <v>9552</v>
      </c>
      <c r="R36" s="45">
        <f>[1]ID08!AI30</f>
        <v>6942</v>
      </c>
    </row>
    <row r="37" spans="1:20" ht="14.4" x14ac:dyDescent="0.3">
      <c r="A37" s="40" t="str">
        <f>[1]ID14!A31</f>
        <v>SILIPICA</v>
      </c>
      <c r="B37" t="s">
        <v>92</v>
      </c>
      <c r="C37" s="45">
        <f>[1]ID14!AB31</f>
        <v>3114</v>
      </c>
      <c r="D37" s="45">
        <f>[1]ID08!AB31</f>
        <v>2795</v>
      </c>
      <c r="E37" s="45">
        <f>[1]ID14!AC31</f>
        <v>1032</v>
      </c>
      <c r="F37" s="45">
        <f>[1]ID08!AC31</f>
        <v>1596</v>
      </c>
      <c r="G37" s="45">
        <f>[1]ID14!AD31</f>
        <v>347</v>
      </c>
      <c r="H37" s="45">
        <f>[1]ID08!AD31</f>
        <v>556</v>
      </c>
      <c r="I37" s="45">
        <f>[1]ID14!AE31</f>
        <v>298</v>
      </c>
      <c r="J37" s="45">
        <f>[1]ID08!AE31</f>
        <v>201</v>
      </c>
      <c r="K37" s="45">
        <f>[1]ID14!AF31</f>
        <v>624</v>
      </c>
      <c r="L37" s="45">
        <f>[1]ID08!AF31</f>
        <v>524</v>
      </c>
      <c r="M37" s="45">
        <f>[1]ID14!AG31</f>
        <v>812</v>
      </c>
      <c r="N37" s="45">
        <f>[1]ID08!AG31</f>
        <v>634</v>
      </c>
      <c r="O37" s="45">
        <f>[1]ID14!AH31</f>
        <v>168</v>
      </c>
      <c r="P37" s="45">
        <f>[1]ID08!AH31</f>
        <v>192</v>
      </c>
      <c r="Q37" s="45">
        <f>[1]ID14!AI31</f>
        <v>6395</v>
      </c>
      <c r="R37" s="45">
        <f>[1]ID08!AI31</f>
        <v>6498</v>
      </c>
    </row>
    <row r="38" spans="1:20" x14ac:dyDescent="0.25"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</row>
    <row r="40" spans="1:20" x14ac:dyDescent="0.25">
      <c r="B40" s="46" t="s">
        <v>74</v>
      </c>
      <c r="O40" s="46" t="s">
        <v>95</v>
      </c>
    </row>
    <row r="42" spans="1:20" s="43" customFormat="1" x14ac:dyDescent="0.25">
      <c r="D42" s="43" t="s">
        <v>77</v>
      </c>
      <c r="F42" s="43" t="s">
        <v>78</v>
      </c>
      <c r="H42" s="43" t="s">
        <v>79</v>
      </c>
      <c r="J42" s="43" t="s">
        <v>80</v>
      </c>
      <c r="L42" s="43" t="s">
        <v>81</v>
      </c>
      <c r="N42" s="43" t="s">
        <v>82</v>
      </c>
      <c r="P42" s="43" t="s">
        <v>83</v>
      </c>
      <c r="R42" s="43" t="s">
        <v>84</v>
      </c>
      <c r="T42" s="43" t="s">
        <v>85</v>
      </c>
    </row>
    <row r="43" spans="1:20" s="43" customFormat="1" x14ac:dyDescent="0.25">
      <c r="A43" s="43" t="s">
        <v>86</v>
      </c>
      <c r="B43" s="44" t="s">
        <v>87</v>
      </c>
      <c r="C43" s="44">
        <v>2014</v>
      </c>
      <c r="D43" s="44">
        <v>2008</v>
      </c>
      <c r="E43" s="44">
        <v>2014</v>
      </c>
      <c r="F43" s="44">
        <v>2008</v>
      </c>
      <c r="G43" s="44">
        <v>2014</v>
      </c>
      <c r="H43" s="44">
        <v>2008</v>
      </c>
      <c r="I43" s="44">
        <v>2014</v>
      </c>
      <c r="J43" s="44">
        <v>2008</v>
      </c>
      <c r="K43" s="44">
        <v>2014</v>
      </c>
      <c r="L43" s="44">
        <v>2008</v>
      </c>
      <c r="M43" s="44">
        <v>2014</v>
      </c>
      <c r="N43" s="44">
        <v>2008</v>
      </c>
      <c r="O43" s="44">
        <v>2014</v>
      </c>
      <c r="P43" s="44">
        <v>2008</v>
      </c>
      <c r="Q43" s="44">
        <v>2014</v>
      </c>
      <c r="R43" s="44">
        <v>2008</v>
      </c>
      <c r="S43" s="44">
        <v>2014</v>
      </c>
      <c r="T43" s="44">
        <v>2008</v>
      </c>
    </row>
    <row r="44" spans="1:20" s="43" customFormat="1" x14ac:dyDescent="0.25">
      <c r="A44" s="43" t="s">
        <v>68</v>
      </c>
      <c r="B44" s="43" t="s">
        <v>88</v>
      </c>
      <c r="C44" s="47">
        <v>588867</v>
      </c>
      <c r="D44" s="47">
        <v>573379</v>
      </c>
      <c r="E44" s="47">
        <v>199443</v>
      </c>
      <c r="F44" s="47">
        <v>246353</v>
      </c>
      <c r="G44" s="47">
        <v>70781</v>
      </c>
      <c r="H44" s="47">
        <v>125076</v>
      </c>
      <c r="I44" s="47">
        <v>102477</v>
      </c>
      <c r="J44" s="47">
        <v>134309</v>
      </c>
      <c r="K44" s="47">
        <v>147977</v>
      </c>
      <c r="L44" s="47">
        <v>136085</v>
      </c>
      <c r="M44" s="47">
        <v>150158</v>
      </c>
      <c r="N44" s="47">
        <v>141437</v>
      </c>
      <c r="O44" s="47">
        <v>33885</v>
      </c>
      <c r="P44" s="47">
        <v>32416</v>
      </c>
      <c r="Q44" s="47">
        <v>1293588</v>
      </c>
      <c r="R44" s="47">
        <v>1389095</v>
      </c>
      <c r="S44" s="48">
        <f>Q44/Q$44</f>
        <v>1</v>
      </c>
      <c r="T44" s="48">
        <f t="shared" ref="T44" si="0">R44/R$44</f>
        <v>1</v>
      </c>
    </row>
    <row r="45" spans="1:20" ht="14.4" x14ac:dyDescent="0.3">
      <c r="A45" s="40" t="s">
        <v>96</v>
      </c>
      <c r="B45" t="s">
        <v>92</v>
      </c>
      <c r="C45" s="45">
        <v>4742</v>
      </c>
      <c r="D45" s="45">
        <v>4916</v>
      </c>
      <c r="E45" s="45">
        <v>1102</v>
      </c>
      <c r="F45" s="45">
        <v>2223</v>
      </c>
      <c r="G45" s="45">
        <v>276</v>
      </c>
      <c r="H45" s="45">
        <v>777</v>
      </c>
      <c r="I45" s="45">
        <v>215</v>
      </c>
      <c r="J45" s="45">
        <v>816</v>
      </c>
      <c r="K45" s="45">
        <v>851</v>
      </c>
      <c r="L45" s="45">
        <v>973</v>
      </c>
      <c r="M45" s="45">
        <v>1018</v>
      </c>
      <c r="N45" s="45">
        <v>1270</v>
      </c>
      <c r="O45" s="45">
        <v>283</v>
      </c>
      <c r="P45" s="45">
        <v>351</v>
      </c>
      <c r="Q45" s="45">
        <v>8487</v>
      </c>
      <c r="R45" s="45">
        <v>11326</v>
      </c>
      <c r="S45" s="49">
        <f>Q45/Q$44</f>
        <v>6.5608215289566689E-3</v>
      </c>
      <c r="T45" s="49">
        <f>R45/R$44</f>
        <v>8.1535100191131634E-3</v>
      </c>
    </row>
    <row r="46" spans="1:20" ht="14.4" x14ac:dyDescent="0.3">
      <c r="A46" s="40" t="s">
        <v>97</v>
      </c>
      <c r="B46" t="s">
        <v>92</v>
      </c>
      <c r="C46" s="45">
        <v>7903</v>
      </c>
      <c r="D46" s="45">
        <v>7238</v>
      </c>
      <c r="E46" s="45">
        <v>2644</v>
      </c>
      <c r="F46" s="45">
        <v>1589</v>
      </c>
      <c r="G46" s="45">
        <v>342</v>
      </c>
      <c r="H46" s="45">
        <v>582</v>
      </c>
      <c r="I46" s="45">
        <v>880</v>
      </c>
      <c r="J46" s="45">
        <v>729</v>
      </c>
      <c r="K46" s="45">
        <v>1765</v>
      </c>
      <c r="L46" s="45">
        <v>1785</v>
      </c>
      <c r="M46" s="45">
        <v>2174</v>
      </c>
      <c r="N46" s="45">
        <v>1954</v>
      </c>
      <c r="O46" s="45">
        <v>572</v>
      </c>
      <c r="P46" s="45">
        <v>416</v>
      </c>
      <c r="Q46" s="45">
        <v>16280</v>
      </c>
      <c r="R46" s="45">
        <v>14297</v>
      </c>
      <c r="S46" s="49">
        <f t="shared" ref="S46:T61" si="1">Q46/Q$44</f>
        <v>1.2585150758974263E-2</v>
      </c>
      <c r="T46" s="49">
        <f t="shared" si="1"/>
        <v>1.0292312620807072E-2</v>
      </c>
    </row>
    <row r="47" spans="1:20" ht="14.4" x14ac:dyDescent="0.3">
      <c r="A47" s="40" t="s">
        <v>98</v>
      </c>
      <c r="B47" t="s">
        <v>92</v>
      </c>
      <c r="C47" s="45">
        <v>13001</v>
      </c>
      <c r="D47" s="45">
        <v>13158</v>
      </c>
      <c r="E47" s="45">
        <v>4878</v>
      </c>
      <c r="F47" s="45">
        <v>4657</v>
      </c>
      <c r="G47" s="45">
        <v>1047</v>
      </c>
      <c r="H47" s="45">
        <v>1411</v>
      </c>
      <c r="I47" s="45">
        <v>2679</v>
      </c>
      <c r="J47" s="45">
        <v>942</v>
      </c>
      <c r="K47" s="45">
        <v>3079</v>
      </c>
      <c r="L47" s="45">
        <v>2491</v>
      </c>
      <c r="M47" s="45">
        <v>3686</v>
      </c>
      <c r="N47" s="45">
        <v>2362</v>
      </c>
      <c r="O47" s="45">
        <v>1008</v>
      </c>
      <c r="P47" s="45">
        <v>785</v>
      </c>
      <c r="Q47" s="45">
        <v>29378</v>
      </c>
      <c r="R47" s="45">
        <v>25807</v>
      </c>
      <c r="S47" s="49">
        <f t="shared" si="1"/>
        <v>2.2710476596876285E-2</v>
      </c>
      <c r="T47" s="49">
        <f t="shared" si="1"/>
        <v>1.8578282982805353E-2</v>
      </c>
    </row>
    <row r="48" spans="1:20" ht="14.4" x14ac:dyDescent="0.3">
      <c r="A48" s="40" t="s">
        <v>99</v>
      </c>
      <c r="B48" t="s">
        <v>92</v>
      </c>
      <c r="C48" s="45">
        <v>5303</v>
      </c>
      <c r="D48" s="45">
        <v>7241</v>
      </c>
      <c r="E48" s="45">
        <v>1801</v>
      </c>
      <c r="F48" s="45">
        <v>3437</v>
      </c>
      <c r="G48" s="45">
        <v>651</v>
      </c>
      <c r="H48" s="45">
        <v>1864</v>
      </c>
      <c r="I48" s="45">
        <v>931</v>
      </c>
      <c r="J48" s="45">
        <v>1047</v>
      </c>
      <c r="K48" s="45">
        <v>2113</v>
      </c>
      <c r="L48" s="45">
        <v>1554</v>
      </c>
      <c r="M48" s="45">
        <v>1541</v>
      </c>
      <c r="N48" s="45">
        <v>1816</v>
      </c>
      <c r="O48" s="45">
        <v>327</v>
      </c>
      <c r="P48" s="45">
        <v>362</v>
      </c>
      <c r="Q48" s="45">
        <v>12667</v>
      </c>
      <c r="R48" s="45">
        <v>17321</v>
      </c>
      <c r="S48" s="49">
        <f t="shared" si="1"/>
        <v>9.7921440211257375E-3</v>
      </c>
      <c r="T48" s="49">
        <f t="shared" si="1"/>
        <v>1.2469269560397237E-2</v>
      </c>
    </row>
    <row r="49" spans="1:20" ht="14.4" x14ac:dyDescent="0.3">
      <c r="A49" s="40" t="s">
        <v>100</v>
      </c>
      <c r="B49" t="s">
        <v>92</v>
      </c>
      <c r="C49" s="45">
        <v>15835</v>
      </c>
      <c r="D49" s="45">
        <v>13893</v>
      </c>
      <c r="E49" s="45">
        <v>7666</v>
      </c>
      <c r="F49" s="45">
        <v>6769</v>
      </c>
      <c r="G49" s="45">
        <v>2446</v>
      </c>
      <c r="H49" s="45">
        <v>2657</v>
      </c>
      <c r="I49" s="45">
        <v>5741</v>
      </c>
      <c r="J49" s="45">
        <v>3402</v>
      </c>
      <c r="K49" s="45">
        <v>3854</v>
      </c>
      <c r="L49" s="45">
        <v>4281</v>
      </c>
      <c r="M49" s="45">
        <v>5001</v>
      </c>
      <c r="N49" s="45">
        <v>5193</v>
      </c>
      <c r="O49" s="45">
        <v>813</v>
      </c>
      <c r="P49" s="45">
        <v>887</v>
      </c>
      <c r="Q49" s="45">
        <v>41356</v>
      </c>
      <c r="R49" s="45">
        <v>37082</v>
      </c>
      <c r="S49" s="49">
        <f t="shared" si="1"/>
        <v>3.1969993537355017E-2</v>
      </c>
      <c r="T49" s="49">
        <f t="shared" si="1"/>
        <v>2.6695078450357967E-2</v>
      </c>
    </row>
    <row r="50" spans="1:20" ht="14.4" x14ac:dyDescent="0.3">
      <c r="A50" s="40" t="s">
        <v>101</v>
      </c>
      <c r="B50" t="s">
        <v>92</v>
      </c>
      <c r="C50" s="45">
        <v>3319</v>
      </c>
      <c r="D50" s="45">
        <v>2576</v>
      </c>
      <c r="E50" s="45">
        <v>798</v>
      </c>
      <c r="F50" s="45">
        <v>468</v>
      </c>
      <c r="G50" s="45">
        <v>67</v>
      </c>
      <c r="H50" s="45">
        <v>47</v>
      </c>
      <c r="I50" s="45">
        <v>398</v>
      </c>
      <c r="J50" s="45">
        <v>342</v>
      </c>
      <c r="K50" s="45">
        <v>968</v>
      </c>
      <c r="L50" s="45">
        <v>536</v>
      </c>
      <c r="M50" s="45">
        <v>826</v>
      </c>
      <c r="N50" s="45">
        <v>588</v>
      </c>
      <c r="O50" s="45">
        <v>160</v>
      </c>
      <c r="P50" s="45">
        <v>101</v>
      </c>
      <c r="Q50" s="45">
        <v>6536</v>
      </c>
      <c r="R50" s="45">
        <v>4658</v>
      </c>
      <c r="S50" s="49">
        <f t="shared" si="1"/>
        <v>5.0526133513916329E-3</v>
      </c>
      <c r="T50" s="49">
        <f t="shared" si="1"/>
        <v>3.3532623758634221E-3</v>
      </c>
    </row>
    <row r="51" spans="1:20" ht="14.4" x14ac:dyDescent="0.3">
      <c r="A51" s="40" t="s">
        <v>102</v>
      </c>
      <c r="B51" t="s">
        <v>92</v>
      </c>
      <c r="C51" s="45">
        <v>3492</v>
      </c>
      <c r="D51" s="45">
        <v>2420</v>
      </c>
      <c r="E51" s="45">
        <v>1951</v>
      </c>
      <c r="F51" s="45">
        <v>1263</v>
      </c>
      <c r="G51" s="45">
        <v>669</v>
      </c>
      <c r="H51" s="45">
        <v>493</v>
      </c>
      <c r="I51" s="45">
        <v>890</v>
      </c>
      <c r="J51" s="45">
        <v>539</v>
      </c>
      <c r="K51" s="45">
        <v>1190</v>
      </c>
      <c r="L51" s="45">
        <v>1061</v>
      </c>
      <c r="M51" s="45">
        <v>1142</v>
      </c>
      <c r="N51" s="45">
        <v>897</v>
      </c>
      <c r="O51" s="45">
        <v>218</v>
      </c>
      <c r="P51" s="45">
        <v>269</v>
      </c>
      <c r="Q51" s="45">
        <v>9552</v>
      </c>
      <c r="R51" s="45">
        <v>6942</v>
      </c>
      <c r="S51" s="49">
        <f t="shared" si="1"/>
        <v>7.3841130251672098E-3</v>
      </c>
      <c r="T51" s="49">
        <f t="shared" si="1"/>
        <v>4.9974983712417079E-3</v>
      </c>
    </row>
    <row r="52" spans="1:20" ht="14.4" x14ac:dyDescent="0.3">
      <c r="A52" s="40" t="s">
        <v>103</v>
      </c>
      <c r="B52" t="s">
        <v>92</v>
      </c>
      <c r="C52" s="45">
        <v>3114</v>
      </c>
      <c r="D52" s="45">
        <v>2795</v>
      </c>
      <c r="E52" s="45">
        <v>1032</v>
      </c>
      <c r="F52" s="45">
        <v>1596</v>
      </c>
      <c r="G52" s="45">
        <v>347</v>
      </c>
      <c r="H52" s="45">
        <v>556</v>
      </c>
      <c r="I52" s="45">
        <v>298</v>
      </c>
      <c r="J52" s="45">
        <v>201</v>
      </c>
      <c r="K52" s="45">
        <v>624</v>
      </c>
      <c r="L52" s="45">
        <v>524</v>
      </c>
      <c r="M52" s="45">
        <v>812</v>
      </c>
      <c r="N52" s="45">
        <v>634</v>
      </c>
      <c r="O52" s="45">
        <v>168</v>
      </c>
      <c r="P52" s="45">
        <v>192</v>
      </c>
      <c r="Q52" s="45">
        <v>6395</v>
      </c>
      <c r="R52" s="45">
        <v>6498</v>
      </c>
      <c r="S52" s="49">
        <f t="shared" si="1"/>
        <v>4.9436141955553079E-3</v>
      </c>
      <c r="T52" s="49">
        <f t="shared" si="1"/>
        <v>4.6778658047145804E-3</v>
      </c>
    </row>
    <row r="53" spans="1:20" ht="14.4" x14ac:dyDescent="0.3">
      <c r="A53" s="50" t="s">
        <v>104</v>
      </c>
      <c r="B53"/>
      <c r="C53" s="47">
        <f>SUM(C45:C52)</f>
        <v>56709</v>
      </c>
      <c r="D53" s="47">
        <f t="shared" ref="D53:R53" si="2">SUM(D45:D52)</f>
        <v>54237</v>
      </c>
      <c r="E53" s="47">
        <f t="shared" si="2"/>
        <v>21872</v>
      </c>
      <c r="F53" s="47">
        <f t="shared" si="2"/>
        <v>22002</v>
      </c>
      <c r="G53" s="47">
        <f t="shared" si="2"/>
        <v>5845</v>
      </c>
      <c r="H53" s="47">
        <f t="shared" si="2"/>
        <v>8387</v>
      </c>
      <c r="I53" s="47">
        <f t="shared" si="2"/>
        <v>12032</v>
      </c>
      <c r="J53" s="47">
        <f t="shared" si="2"/>
        <v>8018</v>
      </c>
      <c r="K53" s="47">
        <f t="shared" si="2"/>
        <v>14444</v>
      </c>
      <c r="L53" s="47">
        <f t="shared" si="2"/>
        <v>13205</v>
      </c>
      <c r="M53" s="47">
        <f t="shared" si="2"/>
        <v>16200</v>
      </c>
      <c r="N53" s="47">
        <f t="shared" si="2"/>
        <v>14714</v>
      </c>
      <c r="O53" s="47">
        <f t="shared" si="2"/>
        <v>3549</v>
      </c>
      <c r="P53" s="47">
        <f t="shared" si="2"/>
        <v>3363</v>
      </c>
      <c r="Q53" s="47">
        <f t="shared" si="2"/>
        <v>130651</v>
      </c>
      <c r="R53" s="47">
        <f t="shared" si="2"/>
        <v>123931</v>
      </c>
      <c r="S53" s="48">
        <f>Q53/Q$44</f>
        <v>0.10099892701540213</v>
      </c>
      <c r="T53" s="48">
        <f t="shared" si="1"/>
        <v>8.9217080185300501E-2</v>
      </c>
    </row>
    <row r="54" spans="1:20" ht="14.4" x14ac:dyDescent="0.3">
      <c r="A54" s="40" t="s">
        <v>105</v>
      </c>
      <c r="B54" t="s">
        <v>90</v>
      </c>
      <c r="C54" s="45">
        <v>50474</v>
      </c>
      <c r="D54" s="45">
        <v>37575</v>
      </c>
      <c r="E54" s="45">
        <v>18345</v>
      </c>
      <c r="F54" s="45">
        <v>18223</v>
      </c>
      <c r="G54" s="45">
        <v>11957</v>
      </c>
      <c r="H54" s="45">
        <v>11080</v>
      </c>
      <c r="I54" s="45">
        <v>15401</v>
      </c>
      <c r="J54" s="45">
        <v>11831</v>
      </c>
      <c r="K54" s="45">
        <v>17647</v>
      </c>
      <c r="L54" s="45">
        <v>11714</v>
      </c>
      <c r="M54" s="45">
        <v>13751</v>
      </c>
      <c r="N54" s="45">
        <v>8693</v>
      </c>
      <c r="O54" s="45">
        <v>3296</v>
      </c>
      <c r="P54" s="45">
        <v>2663</v>
      </c>
      <c r="Q54" s="45">
        <v>130871</v>
      </c>
      <c r="R54" s="45">
        <v>101780</v>
      </c>
      <c r="S54" s="49">
        <f t="shared" ref="S54:T77" si="3">Q54/Q$44</f>
        <v>0.10116899662025312</v>
      </c>
      <c r="T54" s="49">
        <f t="shared" si="1"/>
        <v>7.3270726624168975E-2</v>
      </c>
    </row>
    <row r="55" spans="1:20" ht="14.4" x14ac:dyDescent="0.3">
      <c r="A55" s="40" t="s">
        <v>106</v>
      </c>
      <c r="B55" t="s">
        <v>90</v>
      </c>
      <c r="C55" s="45">
        <v>30942</v>
      </c>
      <c r="D55" s="45">
        <v>24830</v>
      </c>
      <c r="E55" s="45">
        <v>8637</v>
      </c>
      <c r="F55" s="45">
        <v>7984</v>
      </c>
      <c r="G55" s="45">
        <v>4932</v>
      </c>
      <c r="H55" s="45">
        <v>4383</v>
      </c>
      <c r="I55" s="45">
        <v>5232</v>
      </c>
      <c r="J55" s="45">
        <v>4650</v>
      </c>
      <c r="K55" s="45">
        <v>7680</v>
      </c>
      <c r="L55" s="45">
        <v>6094</v>
      </c>
      <c r="M55" s="45">
        <v>7780</v>
      </c>
      <c r="N55" s="45">
        <v>5919</v>
      </c>
      <c r="O55" s="45">
        <v>2339</v>
      </c>
      <c r="P55" s="45">
        <v>1937</v>
      </c>
      <c r="Q55" s="45">
        <v>67542</v>
      </c>
      <c r="R55" s="45">
        <v>55797</v>
      </c>
      <c r="S55" s="49">
        <f t="shared" si="3"/>
        <v>5.2212914776574922E-2</v>
      </c>
      <c r="T55" s="49">
        <f t="shared" si="1"/>
        <v>4.0167879086743526E-2</v>
      </c>
    </row>
    <row r="56" spans="1:20" ht="14.4" x14ac:dyDescent="0.3">
      <c r="A56" s="40" t="s">
        <v>107</v>
      </c>
      <c r="B56" t="s">
        <v>90</v>
      </c>
      <c r="C56" s="45">
        <v>26616</v>
      </c>
      <c r="D56" s="45">
        <v>25611</v>
      </c>
      <c r="E56" s="45">
        <v>9348</v>
      </c>
      <c r="F56" s="45">
        <v>12873</v>
      </c>
      <c r="G56" s="45">
        <v>1663</v>
      </c>
      <c r="H56" s="45">
        <v>3910</v>
      </c>
      <c r="I56" s="45">
        <v>4718</v>
      </c>
      <c r="J56" s="45">
        <v>5016</v>
      </c>
      <c r="K56" s="45">
        <v>6975</v>
      </c>
      <c r="L56" s="45">
        <v>5562</v>
      </c>
      <c r="M56" s="45">
        <v>7570</v>
      </c>
      <c r="N56" s="45">
        <v>6438</v>
      </c>
      <c r="O56" s="45">
        <v>1752</v>
      </c>
      <c r="P56" s="45">
        <v>1528</v>
      </c>
      <c r="Q56" s="45">
        <v>58642</v>
      </c>
      <c r="R56" s="45">
        <v>60938</v>
      </c>
      <c r="S56" s="49">
        <f t="shared" si="3"/>
        <v>4.5332826216693413E-2</v>
      </c>
      <c r="T56" s="49">
        <f t="shared" si="1"/>
        <v>4.386884986268038E-2</v>
      </c>
    </row>
    <row r="57" spans="1:20" ht="14.4" x14ac:dyDescent="0.3">
      <c r="A57" s="40" t="s">
        <v>108</v>
      </c>
      <c r="B57" t="s">
        <v>90</v>
      </c>
      <c r="C57" s="45">
        <v>103546</v>
      </c>
      <c r="D57" s="45">
        <v>99420</v>
      </c>
      <c r="E57" s="45">
        <v>41530</v>
      </c>
      <c r="F57" s="45">
        <v>51302</v>
      </c>
      <c r="G57" s="45">
        <v>16854</v>
      </c>
      <c r="H57" s="45">
        <v>29890</v>
      </c>
      <c r="I57" s="45">
        <v>22373</v>
      </c>
      <c r="J57" s="45">
        <v>29992</v>
      </c>
      <c r="K57" s="45">
        <v>28407</v>
      </c>
      <c r="L57" s="45">
        <v>27134</v>
      </c>
      <c r="M57" s="45">
        <v>28839</v>
      </c>
      <c r="N57" s="45">
        <v>29453</v>
      </c>
      <c r="O57" s="45">
        <v>6515</v>
      </c>
      <c r="P57" s="45">
        <v>5982</v>
      </c>
      <c r="Q57" s="45">
        <v>248064</v>
      </c>
      <c r="R57" s="45">
        <v>273173</v>
      </c>
      <c r="S57" s="49">
        <f t="shared" si="3"/>
        <v>0.19176430208072431</v>
      </c>
      <c r="T57" s="49">
        <f t="shared" si="1"/>
        <v>0.19665537634215083</v>
      </c>
    </row>
    <row r="58" spans="1:20" ht="14.4" x14ac:dyDescent="0.3">
      <c r="A58" s="50" t="s">
        <v>109</v>
      </c>
      <c r="B58"/>
      <c r="C58" s="47">
        <f>SUM(C54:C57)</f>
        <v>211578</v>
      </c>
      <c r="D58" s="47">
        <f t="shared" ref="D58:R58" si="4">SUM(D54:D57)</f>
        <v>187436</v>
      </c>
      <c r="E58" s="47">
        <f t="shared" si="4"/>
        <v>77860</v>
      </c>
      <c r="F58" s="47">
        <f t="shared" si="4"/>
        <v>90382</v>
      </c>
      <c r="G58" s="47">
        <f t="shared" si="4"/>
        <v>35406</v>
      </c>
      <c r="H58" s="47">
        <f t="shared" si="4"/>
        <v>49263</v>
      </c>
      <c r="I58" s="47">
        <f t="shared" si="4"/>
        <v>47724</v>
      </c>
      <c r="J58" s="47">
        <f t="shared" si="4"/>
        <v>51489</v>
      </c>
      <c r="K58" s="47">
        <f t="shared" si="4"/>
        <v>60709</v>
      </c>
      <c r="L58" s="47">
        <f t="shared" si="4"/>
        <v>50504</v>
      </c>
      <c r="M58" s="47">
        <f t="shared" si="4"/>
        <v>57940</v>
      </c>
      <c r="N58" s="47">
        <f t="shared" si="4"/>
        <v>50503</v>
      </c>
      <c r="O58" s="47">
        <f t="shared" si="4"/>
        <v>13902</v>
      </c>
      <c r="P58" s="47">
        <f t="shared" si="4"/>
        <v>12110</v>
      </c>
      <c r="Q58" s="47">
        <f t="shared" si="4"/>
        <v>505119</v>
      </c>
      <c r="R58" s="47">
        <f t="shared" si="4"/>
        <v>491688</v>
      </c>
      <c r="S58" s="48">
        <f t="shared" si="3"/>
        <v>0.3904790396942458</v>
      </c>
      <c r="T58" s="48">
        <f t="shared" si="1"/>
        <v>0.35396283191574368</v>
      </c>
    </row>
    <row r="59" spans="1:20" ht="14.4" x14ac:dyDescent="0.3">
      <c r="A59" s="40" t="s">
        <v>110</v>
      </c>
      <c r="B59" t="s">
        <v>94</v>
      </c>
      <c r="C59" s="45">
        <v>23487</v>
      </c>
      <c r="D59" s="45">
        <v>25904</v>
      </c>
      <c r="E59" s="45">
        <v>7120</v>
      </c>
      <c r="F59" s="45">
        <v>11032</v>
      </c>
      <c r="G59" s="45">
        <v>215</v>
      </c>
      <c r="H59" s="45">
        <v>2101</v>
      </c>
      <c r="I59" s="45">
        <v>1368</v>
      </c>
      <c r="J59" s="45">
        <v>2330</v>
      </c>
      <c r="K59" s="45">
        <v>7349</v>
      </c>
      <c r="L59" s="45">
        <v>6740</v>
      </c>
      <c r="M59" s="45">
        <v>8651</v>
      </c>
      <c r="N59" s="45">
        <v>8536</v>
      </c>
      <c r="O59" s="45">
        <v>1214</v>
      </c>
      <c r="P59" s="45">
        <v>1303</v>
      </c>
      <c r="Q59" s="45">
        <v>49404</v>
      </c>
      <c r="R59" s="45">
        <v>57946</v>
      </c>
      <c r="S59" s="49">
        <f t="shared" si="3"/>
        <v>3.8191448900268092E-2</v>
      </c>
      <c r="T59" s="49">
        <f t="shared" si="1"/>
        <v>4.171492950446154E-2</v>
      </c>
    </row>
    <row r="60" spans="1:20" ht="14.4" x14ac:dyDescent="0.3">
      <c r="A60" s="40" t="s">
        <v>111</v>
      </c>
      <c r="B60" t="s">
        <v>94</v>
      </c>
      <c r="C60" s="45">
        <v>24280</v>
      </c>
      <c r="D60" s="45">
        <v>18955</v>
      </c>
      <c r="E60" s="45">
        <v>5079</v>
      </c>
      <c r="F60" s="45">
        <v>7250</v>
      </c>
      <c r="G60" s="45">
        <v>1013</v>
      </c>
      <c r="H60" s="45">
        <v>2017</v>
      </c>
      <c r="I60" s="45">
        <v>2568</v>
      </c>
      <c r="J60" s="45">
        <v>2918</v>
      </c>
      <c r="K60" s="45">
        <v>3568</v>
      </c>
      <c r="L60" s="45">
        <v>2798</v>
      </c>
      <c r="M60" s="45">
        <v>3508</v>
      </c>
      <c r="N60" s="45">
        <v>3830</v>
      </c>
      <c r="O60" s="45">
        <v>1402</v>
      </c>
      <c r="P60" s="45">
        <v>1108</v>
      </c>
      <c r="Q60" s="45">
        <v>41418</v>
      </c>
      <c r="R60" s="45">
        <v>38876</v>
      </c>
      <c r="S60" s="49">
        <f t="shared" si="3"/>
        <v>3.2017922244176662E-2</v>
      </c>
      <c r="T60" s="49">
        <f t="shared" si="1"/>
        <v>2.7986566793487846E-2</v>
      </c>
    </row>
    <row r="61" spans="1:20" ht="14.4" x14ac:dyDescent="0.3">
      <c r="A61" s="50" t="s">
        <v>112</v>
      </c>
      <c r="B61"/>
      <c r="C61" s="47">
        <f>SUM(C59:C60)</f>
        <v>47767</v>
      </c>
      <c r="D61" s="47">
        <f t="shared" ref="D61:R61" si="5">SUM(D59:D60)</f>
        <v>44859</v>
      </c>
      <c r="E61" s="47">
        <f t="shared" si="5"/>
        <v>12199</v>
      </c>
      <c r="F61" s="47">
        <f t="shared" si="5"/>
        <v>18282</v>
      </c>
      <c r="G61" s="47">
        <f t="shared" si="5"/>
        <v>1228</v>
      </c>
      <c r="H61" s="47">
        <f t="shared" si="5"/>
        <v>4118</v>
      </c>
      <c r="I61" s="47">
        <f t="shared" si="5"/>
        <v>3936</v>
      </c>
      <c r="J61" s="47">
        <f t="shared" si="5"/>
        <v>5248</v>
      </c>
      <c r="K61" s="47">
        <f t="shared" si="5"/>
        <v>10917</v>
      </c>
      <c r="L61" s="47">
        <f t="shared" si="5"/>
        <v>9538</v>
      </c>
      <c r="M61" s="47">
        <f t="shared" si="5"/>
        <v>12159</v>
      </c>
      <c r="N61" s="47">
        <f t="shared" si="5"/>
        <v>12366</v>
      </c>
      <c r="O61" s="47">
        <f t="shared" si="5"/>
        <v>2616</v>
      </c>
      <c r="P61" s="47">
        <f t="shared" si="5"/>
        <v>2411</v>
      </c>
      <c r="Q61" s="47">
        <f t="shared" si="5"/>
        <v>90822</v>
      </c>
      <c r="R61" s="47">
        <f t="shared" si="5"/>
        <v>96822</v>
      </c>
      <c r="S61" s="49">
        <f t="shared" si="3"/>
        <v>7.0209371144444754E-2</v>
      </c>
      <c r="T61" s="49">
        <f t="shared" si="1"/>
        <v>6.9701496297949389E-2</v>
      </c>
    </row>
    <row r="62" spans="1:20" ht="14.4" x14ac:dyDescent="0.3">
      <c r="A62" s="40" t="s">
        <v>113</v>
      </c>
      <c r="B62" t="s">
        <v>93</v>
      </c>
      <c r="C62" s="45">
        <v>14767</v>
      </c>
      <c r="D62" s="45">
        <v>10621</v>
      </c>
      <c r="E62" s="45">
        <v>4476</v>
      </c>
      <c r="F62" s="45">
        <v>4148</v>
      </c>
      <c r="G62" s="45">
        <v>1997</v>
      </c>
      <c r="H62" s="45">
        <v>1629</v>
      </c>
      <c r="I62" s="45">
        <v>4532</v>
      </c>
      <c r="J62" s="45">
        <v>2731</v>
      </c>
      <c r="K62" s="45">
        <v>3685</v>
      </c>
      <c r="L62" s="45">
        <v>2282</v>
      </c>
      <c r="M62" s="45">
        <v>2859</v>
      </c>
      <c r="N62" s="45">
        <v>2032</v>
      </c>
      <c r="O62" s="45">
        <v>805</v>
      </c>
      <c r="P62" s="45">
        <v>491</v>
      </c>
      <c r="Q62" s="45">
        <v>33121</v>
      </c>
      <c r="R62" s="45">
        <v>23934</v>
      </c>
      <c r="S62" s="49">
        <f t="shared" si="3"/>
        <v>2.5603979010318585E-2</v>
      </c>
      <c r="T62" s="49">
        <f t="shared" si="3"/>
        <v>1.7229923079415014E-2</v>
      </c>
    </row>
    <row r="63" spans="1:20" ht="14.4" x14ac:dyDescent="0.3">
      <c r="A63" s="40" t="s">
        <v>114</v>
      </c>
      <c r="B63" t="s">
        <v>93</v>
      </c>
      <c r="C63" s="45">
        <v>13920</v>
      </c>
      <c r="D63" s="45">
        <v>16231</v>
      </c>
      <c r="E63" s="45">
        <v>1875</v>
      </c>
      <c r="F63" s="45">
        <v>6292</v>
      </c>
      <c r="G63" s="45">
        <v>317</v>
      </c>
      <c r="H63" s="45">
        <v>1312</v>
      </c>
      <c r="I63" s="45">
        <v>859</v>
      </c>
      <c r="J63" s="45">
        <v>1579</v>
      </c>
      <c r="K63" s="45">
        <v>2095</v>
      </c>
      <c r="L63" s="45">
        <v>1518</v>
      </c>
      <c r="M63" s="45">
        <v>2925</v>
      </c>
      <c r="N63" s="45">
        <v>3087</v>
      </c>
      <c r="O63" s="45">
        <v>950</v>
      </c>
      <c r="P63" s="45">
        <v>747</v>
      </c>
      <c r="Q63" s="45">
        <v>22941</v>
      </c>
      <c r="R63" s="45">
        <v>30766</v>
      </c>
      <c r="S63" s="49">
        <f t="shared" si="3"/>
        <v>1.7734394567667604E-2</v>
      </c>
      <c r="T63" s="49">
        <f t="shared" si="3"/>
        <v>2.2148233202192794E-2</v>
      </c>
    </row>
    <row r="64" spans="1:20" ht="14.4" x14ac:dyDescent="0.3">
      <c r="A64" s="40" t="s">
        <v>115</v>
      </c>
      <c r="B64" t="s">
        <v>93</v>
      </c>
      <c r="C64" s="45">
        <v>749</v>
      </c>
      <c r="D64" s="45">
        <v>551</v>
      </c>
      <c r="E64" s="45">
        <v>127</v>
      </c>
      <c r="F64" s="45">
        <v>166</v>
      </c>
      <c r="G64" s="45">
        <v>723</v>
      </c>
      <c r="H64" s="45">
        <v>1019</v>
      </c>
      <c r="I64" s="45">
        <v>153</v>
      </c>
      <c r="J64" s="45">
        <v>167</v>
      </c>
      <c r="K64" s="45">
        <v>174</v>
      </c>
      <c r="L64" s="45">
        <v>73</v>
      </c>
      <c r="M64" s="45">
        <v>114</v>
      </c>
      <c r="N64" s="45">
        <v>53</v>
      </c>
      <c r="O64" s="45">
        <v>32</v>
      </c>
      <c r="P64" s="45">
        <v>21</v>
      </c>
      <c r="Q64" s="45">
        <v>2072</v>
      </c>
      <c r="R64" s="45">
        <v>2050</v>
      </c>
      <c r="S64" s="49">
        <f t="shared" si="3"/>
        <v>1.6017464602330882E-3</v>
      </c>
      <c r="T64" s="49">
        <f t="shared" si="3"/>
        <v>1.4757809941004754E-3</v>
      </c>
    </row>
    <row r="65" spans="1:20" ht="14.4" x14ac:dyDescent="0.3">
      <c r="A65" s="50" t="s">
        <v>116</v>
      </c>
      <c r="B65"/>
      <c r="C65" s="47">
        <f>SUM(C62:C64)</f>
        <v>29436</v>
      </c>
      <c r="D65" s="47">
        <f t="shared" ref="D65:R65" si="6">SUM(D62:D64)</f>
        <v>27403</v>
      </c>
      <c r="E65" s="47">
        <f t="shared" si="6"/>
        <v>6478</v>
      </c>
      <c r="F65" s="47">
        <f t="shared" si="6"/>
        <v>10606</v>
      </c>
      <c r="G65" s="47">
        <f t="shared" si="6"/>
        <v>3037</v>
      </c>
      <c r="H65" s="47">
        <f t="shared" si="6"/>
        <v>3960</v>
      </c>
      <c r="I65" s="47">
        <f t="shared" si="6"/>
        <v>5544</v>
      </c>
      <c r="J65" s="47">
        <f t="shared" si="6"/>
        <v>4477</v>
      </c>
      <c r="K65" s="47">
        <f t="shared" si="6"/>
        <v>5954</v>
      </c>
      <c r="L65" s="47">
        <f t="shared" si="6"/>
        <v>3873</v>
      </c>
      <c r="M65" s="47">
        <f t="shared" si="6"/>
        <v>5898</v>
      </c>
      <c r="N65" s="47">
        <f t="shared" si="6"/>
        <v>5172</v>
      </c>
      <c r="O65" s="47">
        <f t="shared" si="6"/>
        <v>1787</v>
      </c>
      <c r="P65" s="47">
        <f t="shared" si="6"/>
        <v>1259</v>
      </c>
      <c r="Q65" s="47">
        <f t="shared" si="6"/>
        <v>58134</v>
      </c>
      <c r="R65" s="47">
        <f t="shared" si="6"/>
        <v>56750</v>
      </c>
      <c r="S65" s="48">
        <f t="shared" si="3"/>
        <v>4.4940120038219275E-2</v>
      </c>
      <c r="T65" s="48">
        <f t="shared" si="3"/>
        <v>4.0853937275708282E-2</v>
      </c>
    </row>
    <row r="66" spans="1:20" ht="14.4" x14ac:dyDescent="0.3">
      <c r="A66" s="40" t="s">
        <v>117</v>
      </c>
      <c r="B66" t="s">
        <v>89</v>
      </c>
      <c r="C66" s="45">
        <v>41830</v>
      </c>
      <c r="D66" s="45">
        <v>46866</v>
      </c>
      <c r="E66" s="45">
        <v>13470</v>
      </c>
      <c r="F66" s="45">
        <v>19079</v>
      </c>
      <c r="G66" s="45">
        <v>4282</v>
      </c>
      <c r="H66" s="45">
        <v>5377</v>
      </c>
      <c r="I66" s="45">
        <v>4862</v>
      </c>
      <c r="J66" s="45">
        <v>8295</v>
      </c>
      <c r="K66" s="45">
        <v>9865</v>
      </c>
      <c r="L66" s="45">
        <v>9690</v>
      </c>
      <c r="M66" s="45">
        <v>10874</v>
      </c>
      <c r="N66" s="45">
        <v>9020</v>
      </c>
      <c r="O66" s="45">
        <v>2294</v>
      </c>
      <c r="P66" s="45">
        <v>2469</v>
      </c>
      <c r="Q66" s="45">
        <v>87477</v>
      </c>
      <c r="R66" s="45">
        <v>100797</v>
      </c>
      <c r="S66" s="49">
        <f t="shared" si="3"/>
        <v>6.7623540107051086E-2</v>
      </c>
      <c r="T66" s="49">
        <f t="shared" si="3"/>
        <v>7.2563071640168605E-2</v>
      </c>
    </row>
    <row r="67" spans="1:20" ht="14.4" x14ac:dyDescent="0.3">
      <c r="A67" s="40" t="s">
        <v>118</v>
      </c>
      <c r="B67" t="s">
        <v>89</v>
      </c>
      <c r="C67" s="45">
        <v>7916</v>
      </c>
      <c r="D67" s="45">
        <v>1802</v>
      </c>
      <c r="E67" s="45">
        <v>2132</v>
      </c>
      <c r="F67" s="45">
        <v>1076</v>
      </c>
      <c r="G67" s="45">
        <v>467</v>
      </c>
      <c r="H67" s="45">
        <v>299</v>
      </c>
      <c r="I67" s="45">
        <v>875</v>
      </c>
      <c r="J67" s="45">
        <v>306</v>
      </c>
      <c r="K67" s="45">
        <v>1788</v>
      </c>
      <c r="L67" s="45">
        <v>333</v>
      </c>
      <c r="M67" s="45">
        <v>1626</v>
      </c>
      <c r="N67" s="45">
        <v>408</v>
      </c>
      <c r="O67" s="45">
        <v>653</v>
      </c>
      <c r="P67" s="45">
        <v>93</v>
      </c>
      <c r="Q67" s="45">
        <v>15457</v>
      </c>
      <c r="R67" s="45">
        <v>4317</v>
      </c>
      <c r="S67" s="49">
        <f t="shared" si="3"/>
        <v>1.1948935828099827E-2</v>
      </c>
      <c r="T67" s="49">
        <f t="shared" si="3"/>
        <v>3.1077788056252452E-3</v>
      </c>
    </row>
    <row r="68" spans="1:20" ht="14.4" x14ac:dyDescent="0.3">
      <c r="A68" s="40" t="s">
        <v>119</v>
      </c>
      <c r="B68" t="s">
        <v>89</v>
      </c>
      <c r="C68" s="45">
        <v>20460</v>
      </c>
      <c r="D68" s="45">
        <v>26780</v>
      </c>
      <c r="E68" s="45">
        <v>9604</v>
      </c>
      <c r="F68" s="45">
        <v>10167</v>
      </c>
      <c r="G68" s="45">
        <v>2537</v>
      </c>
      <c r="H68" s="45">
        <v>6474</v>
      </c>
      <c r="I68" s="45">
        <v>3716</v>
      </c>
      <c r="J68" s="45">
        <v>8149</v>
      </c>
      <c r="K68" s="45">
        <v>3878</v>
      </c>
      <c r="L68" s="45">
        <v>5510</v>
      </c>
      <c r="M68" s="45">
        <v>3829</v>
      </c>
      <c r="N68" s="45">
        <v>5756</v>
      </c>
      <c r="O68" s="45">
        <v>1003</v>
      </c>
      <c r="P68" s="45">
        <v>1639</v>
      </c>
      <c r="Q68" s="45">
        <v>45027</v>
      </c>
      <c r="R68" s="45">
        <v>64485</v>
      </c>
      <c r="S68" s="49">
        <f t="shared" si="3"/>
        <v>3.4807836807391537E-2</v>
      </c>
      <c r="T68" s="49">
        <f t="shared" si="3"/>
        <v>4.642231092905813E-2</v>
      </c>
    </row>
    <row r="69" spans="1:20" ht="14.4" x14ac:dyDescent="0.3">
      <c r="A69" s="40" t="s">
        <v>120</v>
      </c>
      <c r="B69" t="s">
        <v>89</v>
      </c>
      <c r="C69" s="45">
        <v>20884</v>
      </c>
      <c r="D69" s="45">
        <v>20222</v>
      </c>
      <c r="E69" s="45">
        <v>7922</v>
      </c>
      <c r="F69" s="45">
        <v>11154</v>
      </c>
      <c r="G69" s="45">
        <v>3222</v>
      </c>
      <c r="H69" s="45">
        <v>6345</v>
      </c>
      <c r="I69" s="45">
        <v>4003</v>
      </c>
      <c r="J69" s="45">
        <v>7231</v>
      </c>
      <c r="K69" s="45">
        <v>4498</v>
      </c>
      <c r="L69" s="45">
        <v>4555</v>
      </c>
      <c r="M69" s="45">
        <v>5088</v>
      </c>
      <c r="N69" s="45">
        <v>4089</v>
      </c>
      <c r="O69" s="45">
        <v>1383</v>
      </c>
      <c r="P69" s="45">
        <v>1271</v>
      </c>
      <c r="Q69" s="45">
        <v>47000</v>
      </c>
      <c r="R69" s="45">
        <v>54868</v>
      </c>
      <c r="S69" s="49">
        <f t="shared" si="3"/>
        <v>3.6333051945441668E-2</v>
      </c>
      <c r="T69" s="49">
        <f t="shared" si="3"/>
        <v>3.9499098333807263E-2</v>
      </c>
    </row>
    <row r="70" spans="1:20" ht="14.4" x14ac:dyDescent="0.3">
      <c r="A70" s="40" t="s">
        <v>121</v>
      </c>
      <c r="B70" t="s">
        <v>89</v>
      </c>
      <c r="C70" s="45">
        <v>29460</v>
      </c>
      <c r="D70" s="45">
        <v>32864</v>
      </c>
      <c r="E70" s="45">
        <v>7328</v>
      </c>
      <c r="F70" s="45">
        <v>10777</v>
      </c>
      <c r="G70" s="45">
        <v>1307</v>
      </c>
      <c r="H70" s="45">
        <v>4182</v>
      </c>
      <c r="I70" s="45">
        <v>2978</v>
      </c>
      <c r="J70" s="45">
        <v>5368</v>
      </c>
      <c r="K70" s="45">
        <v>3624</v>
      </c>
      <c r="L70" s="45">
        <v>4608</v>
      </c>
      <c r="M70" s="45">
        <v>4106</v>
      </c>
      <c r="N70" s="45">
        <v>4913</v>
      </c>
      <c r="O70" s="45">
        <v>1203</v>
      </c>
      <c r="P70" s="45">
        <v>1070</v>
      </c>
      <c r="Q70" s="45">
        <v>50006</v>
      </c>
      <c r="R70" s="45">
        <v>63782</v>
      </c>
      <c r="S70" s="49">
        <f t="shared" si="3"/>
        <v>3.8656821182633111E-2</v>
      </c>
      <c r="T70" s="49">
        <f t="shared" si="3"/>
        <v>4.5916226032056841E-2</v>
      </c>
    </row>
    <row r="71" spans="1:20" ht="14.4" x14ac:dyDescent="0.3">
      <c r="A71" s="40" t="s">
        <v>122</v>
      </c>
      <c r="B71" t="s">
        <v>89</v>
      </c>
      <c r="C71" s="45">
        <v>42507</v>
      </c>
      <c r="D71" s="45">
        <v>50490</v>
      </c>
      <c r="E71" s="45">
        <v>18716</v>
      </c>
      <c r="F71" s="45">
        <v>21415</v>
      </c>
      <c r="G71" s="45">
        <v>8856</v>
      </c>
      <c r="H71" s="45">
        <v>25339</v>
      </c>
      <c r="I71" s="45">
        <v>9815</v>
      </c>
      <c r="J71" s="45">
        <v>22622</v>
      </c>
      <c r="K71" s="45">
        <v>9703</v>
      </c>
      <c r="L71" s="45">
        <v>14817</v>
      </c>
      <c r="M71" s="45">
        <v>11444</v>
      </c>
      <c r="N71" s="45">
        <v>16529</v>
      </c>
      <c r="O71" s="45">
        <v>1311</v>
      </c>
      <c r="P71" s="45">
        <v>1576</v>
      </c>
      <c r="Q71" s="45">
        <v>102352</v>
      </c>
      <c r="R71" s="45">
        <v>152791</v>
      </c>
      <c r="S71" s="49">
        <f t="shared" si="3"/>
        <v>7.9122564525954162E-2</v>
      </c>
      <c r="T71" s="49">
        <f t="shared" si="3"/>
        <v>0.10999319700956378</v>
      </c>
    </row>
    <row r="72" spans="1:20" ht="14.4" x14ac:dyDescent="0.3">
      <c r="A72" s="50" t="s">
        <v>123</v>
      </c>
      <c r="B72"/>
      <c r="C72" s="47">
        <f>SUM(C66:C71)</f>
        <v>163057</v>
      </c>
      <c r="D72" s="47">
        <f t="shared" ref="D72:R72" si="7">SUM(D66:D71)</f>
        <v>179024</v>
      </c>
      <c r="E72" s="47">
        <f t="shared" si="7"/>
        <v>59172</v>
      </c>
      <c r="F72" s="47">
        <f t="shared" si="7"/>
        <v>73668</v>
      </c>
      <c r="G72" s="47">
        <f t="shared" si="7"/>
        <v>20671</v>
      </c>
      <c r="H72" s="47">
        <f t="shared" si="7"/>
        <v>48016</v>
      </c>
      <c r="I72" s="47">
        <f t="shared" si="7"/>
        <v>26249</v>
      </c>
      <c r="J72" s="47">
        <f t="shared" si="7"/>
        <v>51971</v>
      </c>
      <c r="K72" s="47">
        <f t="shared" si="7"/>
        <v>33356</v>
      </c>
      <c r="L72" s="47">
        <f t="shared" si="7"/>
        <v>39513</v>
      </c>
      <c r="M72" s="47">
        <f t="shared" si="7"/>
        <v>36967</v>
      </c>
      <c r="N72" s="47">
        <f t="shared" si="7"/>
        <v>40715</v>
      </c>
      <c r="O72" s="47">
        <f t="shared" si="7"/>
        <v>7847</v>
      </c>
      <c r="P72" s="47">
        <f t="shared" si="7"/>
        <v>8118</v>
      </c>
      <c r="Q72" s="47">
        <f t="shared" si="7"/>
        <v>347319</v>
      </c>
      <c r="R72" s="47">
        <f t="shared" si="7"/>
        <v>441040</v>
      </c>
      <c r="S72" s="48">
        <f t="shared" si="3"/>
        <v>0.26849275039657139</v>
      </c>
      <c r="T72" s="48">
        <f t="shared" si="3"/>
        <v>0.31750168275027985</v>
      </c>
    </row>
    <row r="73" spans="1:20" ht="14.4" x14ac:dyDescent="0.3">
      <c r="A73" s="40" t="s">
        <v>124</v>
      </c>
      <c r="B73" t="s">
        <v>91</v>
      </c>
      <c r="C73" s="45">
        <v>1657</v>
      </c>
      <c r="D73" s="45">
        <v>978</v>
      </c>
      <c r="E73" s="45">
        <v>696</v>
      </c>
      <c r="F73" s="45">
        <v>556</v>
      </c>
      <c r="G73" s="45">
        <v>266</v>
      </c>
      <c r="H73" s="45">
        <v>73</v>
      </c>
      <c r="I73" s="45">
        <v>249</v>
      </c>
      <c r="J73" s="45">
        <v>112</v>
      </c>
      <c r="K73" s="45">
        <v>526</v>
      </c>
      <c r="L73" s="45">
        <v>228</v>
      </c>
      <c r="M73" s="45">
        <v>391</v>
      </c>
      <c r="N73" s="45">
        <v>199</v>
      </c>
      <c r="O73" s="45">
        <v>161</v>
      </c>
      <c r="P73" s="45">
        <v>90</v>
      </c>
      <c r="Q73" s="45">
        <v>3946</v>
      </c>
      <c r="R73" s="45">
        <v>2253</v>
      </c>
      <c r="S73" s="49">
        <f t="shared" si="3"/>
        <v>3.0504302761002731E-3</v>
      </c>
      <c r="T73" s="49">
        <f t="shared" si="3"/>
        <v>1.6219193071748152E-3</v>
      </c>
    </row>
    <row r="74" spans="1:20" ht="14.4" x14ac:dyDescent="0.3">
      <c r="A74" s="40" t="s">
        <v>125</v>
      </c>
      <c r="B74" t="s">
        <v>91</v>
      </c>
      <c r="C74" s="45">
        <v>30164</v>
      </c>
      <c r="D74" s="45">
        <v>31335</v>
      </c>
      <c r="E74" s="45">
        <v>8024</v>
      </c>
      <c r="F74" s="45">
        <v>13034</v>
      </c>
      <c r="G74" s="45">
        <v>1491</v>
      </c>
      <c r="H74" s="45">
        <v>4275</v>
      </c>
      <c r="I74" s="45">
        <v>2282</v>
      </c>
      <c r="J74" s="45">
        <v>5227</v>
      </c>
      <c r="K74" s="45">
        <v>9009</v>
      </c>
      <c r="L74" s="45">
        <v>8591</v>
      </c>
      <c r="M74" s="45">
        <v>8067</v>
      </c>
      <c r="N74" s="45">
        <v>7600</v>
      </c>
      <c r="O74" s="45">
        <v>1615</v>
      </c>
      <c r="P74" s="45">
        <v>2708</v>
      </c>
      <c r="Q74" s="45">
        <v>60652</v>
      </c>
      <c r="R74" s="45">
        <v>72771</v>
      </c>
      <c r="S74" s="49">
        <f t="shared" si="3"/>
        <v>4.6886643970104856E-2</v>
      </c>
      <c r="T74" s="49">
        <f t="shared" si="3"/>
        <v>5.2387345717895467E-2</v>
      </c>
    </row>
    <row r="75" spans="1:20" ht="14.4" x14ac:dyDescent="0.3">
      <c r="A75" s="40" t="s">
        <v>126</v>
      </c>
      <c r="B75" t="s">
        <v>91</v>
      </c>
      <c r="C75" s="45">
        <v>34936</v>
      </c>
      <c r="D75" s="45">
        <v>35232</v>
      </c>
      <c r="E75" s="45">
        <v>9039</v>
      </c>
      <c r="F75" s="45">
        <v>13085</v>
      </c>
      <c r="G75" s="45">
        <v>1403</v>
      </c>
      <c r="H75" s="45">
        <v>5747</v>
      </c>
      <c r="I75" s="45">
        <v>3025</v>
      </c>
      <c r="J75" s="45">
        <v>6174</v>
      </c>
      <c r="K75" s="45">
        <v>8932</v>
      </c>
      <c r="L75" s="45">
        <v>7580</v>
      </c>
      <c r="M75" s="45">
        <v>8844</v>
      </c>
      <c r="N75" s="45">
        <v>7190</v>
      </c>
      <c r="O75" s="45">
        <v>1708</v>
      </c>
      <c r="P75" s="45">
        <v>1665</v>
      </c>
      <c r="Q75" s="45">
        <v>67887</v>
      </c>
      <c r="R75" s="45">
        <v>76673</v>
      </c>
      <c r="S75" s="49">
        <f t="shared" si="3"/>
        <v>5.247961483872763E-2</v>
      </c>
      <c r="T75" s="49">
        <f t="shared" si="3"/>
        <v>5.5196368858861346E-2</v>
      </c>
    </row>
    <row r="76" spans="1:20" ht="14.4" x14ac:dyDescent="0.3">
      <c r="A76" s="40" t="s">
        <v>127</v>
      </c>
      <c r="B76" t="s">
        <v>91</v>
      </c>
      <c r="C76" s="45">
        <v>13563</v>
      </c>
      <c r="D76" s="45">
        <v>12875</v>
      </c>
      <c r="E76" s="45">
        <v>4103</v>
      </c>
      <c r="F76" s="45">
        <v>4738</v>
      </c>
      <c r="G76" s="45">
        <v>1434</v>
      </c>
      <c r="H76" s="45">
        <v>1237</v>
      </c>
      <c r="I76" s="45">
        <v>1436</v>
      </c>
      <c r="J76" s="45">
        <v>1593</v>
      </c>
      <c r="K76" s="45">
        <v>4130</v>
      </c>
      <c r="L76" s="45">
        <v>3053</v>
      </c>
      <c r="M76" s="45">
        <v>3692</v>
      </c>
      <c r="N76" s="45">
        <v>2978</v>
      </c>
      <c r="O76" s="45">
        <v>700</v>
      </c>
      <c r="P76" s="45">
        <v>692</v>
      </c>
      <c r="Q76" s="45">
        <v>29058</v>
      </c>
      <c r="R76" s="45">
        <v>27167</v>
      </c>
      <c r="S76" s="49">
        <f t="shared" si="3"/>
        <v>2.2463102626183916E-2</v>
      </c>
      <c r="T76" s="49">
        <f t="shared" si="3"/>
        <v>1.9557337691086644E-2</v>
      </c>
    </row>
    <row r="77" spans="1:20" x14ac:dyDescent="0.25">
      <c r="A77" s="50" t="s">
        <v>128</v>
      </c>
      <c r="C77" s="47">
        <f>SUM(C73:C76)</f>
        <v>80320</v>
      </c>
      <c r="D77" s="47">
        <f t="shared" ref="D77:R77" si="8">SUM(D73:D76)</f>
        <v>80420</v>
      </c>
      <c r="E77" s="47">
        <f t="shared" si="8"/>
        <v>21862</v>
      </c>
      <c r="F77" s="47">
        <f t="shared" si="8"/>
        <v>31413</v>
      </c>
      <c r="G77" s="47">
        <f t="shared" si="8"/>
        <v>4594</v>
      </c>
      <c r="H77" s="47">
        <f t="shared" si="8"/>
        <v>11332</v>
      </c>
      <c r="I77" s="47">
        <f t="shared" si="8"/>
        <v>6992</v>
      </c>
      <c r="J77" s="47">
        <f t="shared" si="8"/>
        <v>13106</v>
      </c>
      <c r="K77" s="47">
        <f t="shared" si="8"/>
        <v>22597</v>
      </c>
      <c r="L77" s="47">
        <f t="shared" si="8"/>
        <v>19452</v>
      </c>
      <c r="M77" s="47">
        <f t="shared" si="8"/>
        <v>20994</v>
      </c>
      <c r="N77" s="47">
        <f t="shared" si="8"/>
        <v>17967</v>
      </c>
      <c r="O77" s="47">
        <f t="shared" si="8"/>
        <v>4184</v>
      </c>
      <c r="P77" s="47">
        <f t="shared" si="8"/>
        <v>5155</v>
      </c>
      <c r="Q77" s="47">
        <f t="shared" si="8"/>
        <v>161543</v>
      </c>
      <c r="R77" s="47">
        <f t="shared" si="8"/>
        <v>178864</v>
      </c>
      <c r="S77" s="48">
        <f t="shared" si="3"/>
        <v>0.12487979171111668</v>
      </c>
      <c r="T77" s="48">
        <f t="shared" si="3"/>
        <v>0.12876297157501826</v>
      </c>
    </row>
    <row r="80" spans="1:20" x14ac:dyDescent="0.25">
      <c r="B80" s="46" t="s">
        <v>129</v>
      </c>
    </row>
    <row r="82" spans="1:18" ht="12.6" thickBot="1" x14ac:dyDescent="0.3"/>
    <row r="83" spans="1:18" ht="12.6" thickBot="1" x14ac:dyDescent="0.3">
      <c r="A83" s="43" t="str">
        <f>A43</f>
        <v>Departamento</v>
      </c>
      <c r="C83" s="51" t="s">
        <v>130</v>
      </c>
      <c r="D83" s="52" t="s">
        <v>131</v>
      </c>
      <c r="E83" s="51" t="s">
        <v>132</v>
      </c>
      <c r="F83" s="52" t="s">
        <v>131</v>
      </c>
      <c r="G83" s="51" t="s">
        <v>133</v>
      </c>
      <c r="H83" s="52" t="s">
        <v>131</v>
      </c>
      <c r="I83" s="51" t="s">
        <v>134</v>
      </c>
      <c r="J83" s="53" t="s">
        <v>131</v>
      </c>
      <c r="K83" s="54" t="s">
        <v>135</v>
      </c>
      <c r="L83" s="55" t="s">
        <v>131</v>
      </c>
      <c r="M83" s="55" t="s">
        <v>136</v>
      </c>
      <c r="N83" s="55" t="s">
        <v>131</v>
      </c>
      <c r="O83" s="55" t="s">
        <v>137</v>
      </c>
      <c r="P83" s="55" t="s">
        <v>131</v>
      </c>
      <c r="Q83" s="56" t="s">
        <v>138</v>
      </c>
      <c r="R83" s="56" t="s">
        <v>131</v>
      </c>
    </row>
    <row r="84" spans="1:18" s="43" customFormat="1" x14ac:dyDescent="0.25">
      <c r="A84" s="43" t="str">
        <f t="shared" ref="A84:A117" si="9">A44</f>
        <v>SANTIAGO DEL ESTERO</v>
      </c>
      <c r="C84" s="57">
        <f>C44-D44</f>
        <v>15488</v>
      </c>
      <c r="D84" s="58">
        <f>(C44-D44)/D44</f>
        <v>2.7011801966936356E-2</v>
      </c>
      <c r="E84" s="57">
        <f>E44-F44</f>
        <v>-46910</v>
      </c>
      <c r="F84" s="58">
        <f>(E44-F44)/F44</f>
        <v>-0.19041781508648159</v>
      </c>
      <c r="G84" s="57">
        <f>G44-H44</f>
        <v>-54295</v>
      </c>
      <c r="H84" s="58">
        <f>(G44-H44)/H44</f>
        <v>-0.43409606958968949</v>
      </c>
      <c r="I84" s="57">
        <f>I44-J44</f>
        <v>-31832</v>
      </c>
      <c r="J84" s="58">
        <f>(I44-J44)/J44</f>
        <v>-0.23700571071186591</v>
      </c>
      <c r="K84" s="57">
        <f>K44-L44</f>
        <v>11892</v>
      </c>
      <c r="L84" s="58">
        <f>(K44-L44)/L44</f>
        <v>8.7386559870669067E-2</v>
      </c>
      <c r="M84" s="57">
        <f>M44-N44</f>
        <v>8721</v>
      </c>
      <c r="N84" s="58">
        <f>(M44-N44)/N44</f>
        <v>6.1659961679051453E-2</v>
      </c>
      <c r="O84" s="57">
        <f>O44-P44</f>
        <v>1469</v>
      </c>
      <c r="P84" s="58">
        <f>(O44-P44)/P44</f>
        <v>4.5317127344521223E-2</v>
      </c>
      <c r="Q84" s="57">
        <f>Q44-R44</f>
        <v>-95507</v>
      </c>
      <c r="R84" s="58">
        <f>(Q44-R44)/R44</f>
        <v>-6.8754836782221523E-2</v>
      </c>
    </row>
    <row r="85" spans="1:18" x14ac:dyDescent="0.25">
      <c r="A85" s="40" t="str">
        <f t="shared" si="9"/>
        <v>CAPITAL</v>
      </c>
      <c r="C85" s="59">
        <f t="shared" ref="C85:C117" si="10">C45-D45</f>
        <v>-174</v>
      </c>
      <c r="D85" s="60">
        <f t="shared" ref="D85:D117" si="11">(C45-D45)/D45</f>
        <v>-3.5394629780309196E-2</v>
      </c>
      <c r="E85" s="59">
        <f t="shared" ref="E85:E117" si="12">E45-F45</f>
        <v>-1121</v>
      </c>
      <c r="F85" s="60">
        <f t="shared" ref="F85:F117" si="13">(E45-F45)/F45</f>
        <v>-0.50427350427350426</v>
      </c>
      <c r="G85" s="59">
        <f t="shared" ref="G85:G117" si="14">G45-H45</f>
        <v>-501</v>
      </c>
      <c r="H85" s="60">
        <f t="shared" ref="H85:H117" si="15">(G45-H45)/H45</f>
        <v>-0.64478764478764483</v>
      </c>
      <c r="I85" s="59">
        <f t="shared" ref="I85:I117" si="16">I45-J45</f>
        <v>-601</v>
      </c>
      <c r="J85" s="60">
        <f t="shared" ref="J85:J117" si="17">(I45-J45)/J45</f>
        <v>-0.7365196078431373</v>
      </c>
      <c r="K85" s="59">
        <f t="shared" ref="K85:K117" si="18">K45-L45</f>
        <v>-122</v>
      </c>
      <c r="L85" s="60">
        <f t="shared" ref="L85:L117" si="19">(K45-L45)/L45</f>
        <v>-0.12538540596094552</v>
      </c>
      <c r="M85" s="59">
        <f t="shared" ref="M85:M117" si="20">M45-N45</f>
        <v>-252</v>
      </c>
      <c r="N85" s="60">
        <f t="shared" ref="N85:N117" si="21">(M45-N45)/N45</f>
        <v>-0.1984251968503937</v>
      </c>
      <c r="O85" s="59">
        <f t="shared" ref="O85:O117" si="22">O45-P45</f>
        <v>-68</v>
      </c>
      <c r="P85" s="60">
        <f t="shared" ref="P85:P117" si="23">(O45-P45)/P45</f>
        <v>-0.19373219373219372</v>
      </c>
      <c r="Q85" s="59">
        <f t="shared" ref="Q85:Q117" si="24">Q45-R45</f>
        <v>-2839</v>
      </c>
      <c r="R85" s="60">
        <f t="shared" ref="R85:R117" si="25">(Q45-R45)/R45</f>
        <v>-0.25066219318382482</v>
      </c>
    </row>
    <row r="86" spans="1:18" x14ac:dyDescent="0.25">
      <c r="A86" s="40" t="str">
        <f t="shared" si="9"/>
        <v>FIGUEROA</v>
      </c>
      <c r="C86" s="59">
        <f t="shared" si="10"/>
        <v>665</v>
      </c>
      <c r="D86" s="60">
        <f t="shared" si="11"/>
        <v>9.187620889748549E-2</v>
      </c>
      <c r="E86" s="59">
        <f t="shared" si="12"/>
        <v>1055</v>
      </c>
      <c r="F86" s="60">
        <f t="shared" si="13"/>
        <v>0.66393958464443048</v>
      </c>
      <c r="G86" s="59">
        <f t="shared" si="14"/>
        <v>-240</v>
      </c>
      <c r="H86" s="60">
        <f t="shared" si="15"/>
        <v>-0.41237113402061853</v>
      </c>
      <c r="I86" s="59">
        <f t="shared" si="16"/>
        <v>151</v>
      </c>
      <c r="J86" s="60">
        <f t="shared" si="17"/>
        <v>0.20713305898491083</v>
      </c>
      <c r="K86" s="59">
        <f t="shared" si="18"/>
        <v>-20</v>
      </c>
      <c r="L86" s="60">
        <f t="shared" si="19"/>
        <v>-1.1204481792717087E-2</v>
      </c>
      <c r="M86" s="59">
        <f t="shared" si="20"/>
        <v>220</v>
      </c>
      <c r="N86" s="60">
        <f t="shared" si="21"/>
        <v>0.11258955987717502</v>
      </c>
      <c r="O86" s="59">
        <f t="shared" si="22"/>
        <v>156</v>
      </c>
      <c r="P86" s="60">
        <f t="shared" si="23"/>
        <v>0.375</v>
      </c>
      <c r="Q86" s="59">
        <f t="shared" si="24"/>
        <v>1983</v>
      </c>
      <c r="R86" s="60">
        <f t="shared" si="25"/>
        <v>0.13870042666293628</v>
      </c>
    </row>
    <row r="87" spans="1:18" x14ac:dyDescent="0.25">
      <c r="A87" s="40" t="str">
        <f t="shared" si="9"/>
        <v>LA BANDA</v>
      </c>
      <c r="C87" s="59">
        <f t="shared" si="10"/>
        <v>-157</v>
      </c>
      <c r="D87" s="60">
        <f t="shared" si="11"/>
        <v>-1.1931904544763642E-2</v>
      </c>
      <c r="E87" s="59">
        <f t="shared" si="12"/>
        <v>221</v>
      </c>
      <c r="F87" s="60">
        <f t="shared" si="13"/>
        <v>4.7455443418509768E-2</v>
      </c>
      <c r="G87" s="59">
        <f t="shared" si="14"/>
        <v>-364</v>
      </c>
      <c r="H87" s="60">
        <f t="shared" si="15"/>
        <v>-0.25797306874557052</v>
      </c>
      <c r="I87" s="59">
        <f t="shared" si="16"/>
        <v>1737</v>
      </c>
      <c r="J87" s="60">
        <f t="shared" si="17"/>
        <v>1.8439490445859872</v>
      </c>
      <c r="K87" s="59">
        <f t="shared" si="18"/>
        <v>588</v>
      </c>
      <c r="L87" s="60">
        <f t="shared" si="19"/>
        <v>0.2360497792051385</v>
      </c>
      <c r="M87" s="59">
        <f t="shared" si="20"/>
        <v>1324</v>
      </c>
      <c r="N87" s="60">
        <f t="shared" si="21"/>
        <v>0.56054191363251482</v>
      </c>
      <c r="O87" s="59">
        <f t="shared" si="22"/>
        <v>223</v>
      </c>
      <c r="P87" s="60">
        <f t="shared" si="23"/>
        <v>0.2840764331210191</v>
      </c>
      <c r="Q87" s="59">
        <f t="shared" si="24"/>
        <v>3571</v>
      </c>
      <c r="R87" s="60">
        <f t="shared" si="25"/>
        <v>0.1383733095671717</v>
      </c>
    </row>
    <row r="88" spans="1:18" x14ac:dyDescent="0.25">
      <c r="A88" s="40" t="str">
        <f t="shared" si="9"/>
        <v>LORETO</v>
      </c>
      <c r="C88" s="59">
        <f t="shared" si="10"/>
        <v>-1938</v>
      </c>
      <c r="D88" s="60">
        <f t="shared" si="11"/>
        <v>-0.26764259080237535</v>
      </c>
      <c r="E88" s="59">
        <f t="shared" si="12"/>
        <v>-1636</v>
      </c>
      <c r="F88" s="60">
        <f t="shared" si="13"/>
        <v>-0.47599650858306664</v>
      </c>
      <c r="G88" s="59">
        <f t="shared" si="14"/>
        <v>-1213</v>
      </c>
      <c r="H88" s="60">
        <f t="shared" si="15"/>
        <v>-0.65075107296137336</v>
      </c>
      <c r="I88" s="59">
        <f t="shared" si="16"/>
        <v>-116</v>
      </c>
      <c r="J88" s="60">
        <f t="shared" si="17"/>
        <v>-0.11079274116523401</v>
      </c>
      <c r="K88" s="59">
        <f t="shared" si="18"/>
        <v>559</v>
      </c>
      <c r="L88" s="60">
        <f t="shared" si="19"/>
        <v>0.35971685971685974</v>
      </c>
      <c r="M88" s="59">
        <f t="shared" si="20"/>
        <v>-275</v>
      </c>
      <c r="N88" s="60">
        <f t="shared" si="21"/>
        <v>-0.15143171806167402</v>
      </c>
      <c r="O88" s="59">
        <f t="shared" si="22"/>
        <v>-35</v>
      </c>
      <c r="P88" s="60">
        <f t="shared" si="23"/>
        <v>-9.668508287292818E-2</v>
      </c>
      <c r="Q88" s="59">
        <f t="shared" si="24"/>
        <v>-4654</v>
      </c>
      <c r="R88" s="60">
        <f t="shared" si="25"/>
        <v>-0.26869118411177184</v>
      </c>
    </row>
    <row r="89" spans="1:18" x14ac:dyDescent="0.25">
      <c r="A89" s="40" t="str">
        <f t="shared" si="9"/>
        <v>ROBLES</v>
      </c>
      <c r="C89" s="59">
        <f t="shared" si="10"/>
        <v>1942</v>
      </c>
      <c r="D89" s="60">
        <f t="shared" si="11"/>
        <v>0.13978262434319441</v>
      </c>
      <c r="E89" s="59">
        <f t="shared" si="12"/>
        <v>897</v>
      </c>
      <c r="F89" s="60">
        <f t="shared" si="13"/>
        <v>0.13251588122322353</v>
      </c>
      <c r="G89" s="59">
        <f t="shared" si="14"/>
        <v>-211</v>
      </c>
      <c r="H89" s="60">
        <f t="shared" si="15"/>
        <v>-7.9412871659766654E-2</v>
      </c>
      <c r="I89" s="59">
        <f t="shared" si="16"/>
        <v>2339</v>
      </c>
      <c r="J89" s="60">
        <f t="shared" si="17"/>
        <v>0.68753674309229862</v>
      </c>
      <c r="K89" s="59">
        <f t="shared" si="18"/>
        <v>-427</v>
      </c>
      <c r="L89" s="60">
        <f t="shared" si="19"/>
        <v>-9.9743050689091339E-2</v>
      </c>
      <c r="M89" s="59">
        <f t="shared" si="20"/>
        <v>-192</v>
      </c>
      <c r="N89" s="60">
        <f t="shared" si="21"/>
        <v>-3.6972848064702482E-2</v>
      </c>
      <c r="O89" s="59">
        <f t="shared" si="22"/>
        <v>-74</v>
      </c>
      <c r="P89" s="60">
        <f t="shared" si="23"/>
        <v>-8.3427282976324693E-2</v>
      </c>
      <c r="Q89" s="59">
        <f t="shared" si="24"/>
        <v>4274</v>
      </c>
      <c r="R89" s="60">
        <f t="shared" si="25"/>
        <v>0.11525807669489239</v>
      </c>
    </row>
    <row r="90" spans="1:18" x14ac:dyDescent="0.25">
      <c r="A90" s="40" t="str">
        <f t="shared" si="9"/>
        <v>SAN MARTIN</v>
      </c>
      <c r="C90" s="59">
        <f t="shared" si="10"/>
        <v>743</v>
      </c>
      <c r="D90" s="60">
        <f t="shared" si="11"/>
        <v>0.28843167701863354</v>
      </c>
      <c r="E90" s="59">
        <f t="shared" si="12"/>
        <v>330</v>
      </c>
      <c r="F90" s="60">
        <f t="shared" si="13"/>
        <v>0.70512820512820518</v>
      </c>
      <c r="G90" s="59">
        <f t="shared" si="14"/>
        <v>20</v>
      </c>
      <c r="H90" s="60">
        <f t="shared" si="15"/>
        <v>0.42553191489361702</v>
      </c>
      <c r="I90" s="59">
        <f t="shared" si="16"/>
        <v>56</v>
      </c>
      <c r="J90" s="60">
        <f t="shared" si="17"/>
        <v>0.16374269005847952</v>
      </c>
      <c r="K90" s="59">
        <f t="shared" si="18"/>
        <v>432</v>
      </c>
      <c r="L90" s="60">
        <f t="shared" si="19"/>
        <v>0.80597014925373134</v>
      </c>
      <c r="M90" s="59">
        <f t="shared" si="20"/>
        <v>238</v>
      </c>
      <c r="N90" s="60">
        <f t="shared" si="21"/>
        <v>0.40476190476190477</v>
      </c>
      <c r="O90" s="59">
        <f t="shared" si="22"/>
        <v>59</v>
      </c>
      <c r="P90" s="60">
        <f t="shared" si="23"/>
        <v>0.58415841584158412</v>
      </c>
      <c r="Q90" s="59">
        <f t="shared" si="24"/>
        <v>1878</v>
      </c>
      <c r="R90" s="60">
        <f t="shared" si="25"/>
        <v>0.40317732932589095</v>
      </c>
    </row>
    <row r="91" spans="1:18" x14ac:dyDescent="0.25">
      <c r="A91" s="40" t="str">
        <f t="shared" si="9"/>
        <v>SARMIENTO</v>
      </c>
      <c r="C91" s="59">
        <f t="shared" si="10"/>
        <v>1072</v>
      </c>
      <c r="D91" s="60">
        <f t="shared" si="11"/>
        <v>0.44297520661157025</v>
      </c>
      <c r="E91" s="59">
        <f t="shared" si="12"/>
        <v>688</v>
      </c>
      <c r="F91" s="60">
        <f t="shared" si="13"/>
        <v>0.54473475851148057</v>
      </c>
      <c r="G91" s="59">
        <f t="shared" si="14"/>
        <v>176</v>
      </c>
      <c r="H91" s="60">
        <f t="shared" si="15"/>
        <v>0.35699797160243407</v>
      </c>
      <c r="I91" s="59">
        <f t="shared" si="16"/>
        <v>351</v>
      </c>
      <c r="J91" s="60">
        <f t="shared" si="17"/>
        <v>0.65120593692022266</v>
      </c>
      <c r="K91" s="59">
        <f t="shared" si="18"/>
        <v>129</v>
      </c>
      <c r="L91" s="60">
        <f t="shared" si="19"/>
        <v>0.12158341187558906</v>
      </c>
      <c r="M91" s="59">
        <f t="shared" si="20"/>
        <v>245</v>
      </c>
      <c r="N91" s="60">
        <f t="shared" si="21"/>
        <v>0.27313266443701228</v>
      </c>
      <c r="O91" s="59">
        <f t="shared" si="22"/>
        <v>-51</v>
      </c>
      <c r="P91" s="60">
        <f t="shared" si="23"/>
        <v>-0.1895910780669145</v>
      </c>
      <c r="Q91" s="59">
        <f t="shared" si="24"/>
        <v>2610</v>
      </c>
      <c r="R91" s="60">
        <f t="shared" si="25"/>
        <v>0.37597234226447712</v>
      </c>
    </row>
    <row r="92" spans="1:18" x14ac:dyDescent="0.25">
      <c r="A92" s="40" t="str">
        <f t="shared" si="9"/>
        <v>SILIPICA</v>
      </c>
      <c r="C92" s="59">
        <f t="shared" si="10"/>
        <v>319</v>
      </c>
      <c r="D92" s="60">
        <f t="shared" si="11"/>
        <v>0.11413237924865832</v>
      </c>
      <c r="E92" s="59">
        <f t="shared" si="12"/>
        <v>-564</v>
      </c>
      <c r="F92" s="60">
        <f t="shared" si="13"/>
        <v>-0.35338345864661652</v>
      </c>
      <c r="G92" s="59">
        <f t="shared" si="14"/>
        <v>-209</v>
      </c>
      <c r="H92" s="60">
        <f t="shared" si="15"/>
        <v>-0.37589928057553956</v>
      </c>
      <c r="I92" s="59">
        <f t="shared" si="16"/>
        <v>97</v>
      </c>
      <c r="J92" s="60">
        <f t="shared" si="17"/>
        <v>0.48258706467661694</v>
      </c>
      <c r="K92" s="59">
        <f t="shared" si="18"/>
        <v>100</v>
      </c>
      <c r="L92" s="60">
        <f t="shared" si="19"/>
        <v>0.19083969465648856</v>
      </c>
      <c r="M92" s="59">
        <f t="shared" si="20"/>
        <v>178</v>
      </c>
      <c r="N92" s="60">
        <f t="shared" si="21"/>
        <v>0.28075709779179808</v>
      </c>
      <c r="O92" s="59">
        <f t="shared" si="22"/>
        <v>-24</v>
      </c>
      <c r="P92" s="60">
        <f t="shared" si="23"/>
        <v>-0.125</v>
      </c>
      <c r="Q92" s="59">
        <f t="shared" si="24"/>
        <v>-103</v>
      </c>
      <c r="R92" s="60">
        <f t="shared" si="25"/>
        <v>-1.5851031086488152E-2</v>
      </c>
    </row>
    <row r="93" spans="1:18" s="43" customFormat="1" x14ac:dyDescent="0.25">
      <c r="A93" s="50" t="str">
        <f t="shared" si="9"/>
        <v>Total Centro</v>
      </c>
      <c r="C93" s="57">
        <f t="shared" si="10"/>
        <v>2472</v>
      </c>
      <c r="D93" s="58">
        <f t="shared" si="11"/>
        <v>4.5577742131755077E-2</v>
      </c>
      <c r="E93" s="57">
        <f t="shared" si="12"/>
        <v>-130</v>
      </c>
      <c r="F93" s="58">
        <f t="shared" si="13"/>
        <v>-5.9085537678392874E-3</v>
      </c>
      <c r="G93" s="57">
        <f t="shared" si="14"/>
        <v>-2542</v>
      </c>
      <c r="H93" s="58">
        <f t="shared" si="15"/>
        <v>-0.30308811255514484</v>
      </c>
      <c r="I93" s="57">
        <f t="shared" si="16"/>
        <v>4014</v>
      </c>
      <c r="J93" s="58">
        <f t="shared" si="17"/>
        <v>0.50062359690695934</v>
      </c>
      <c r="K93" s="57">
        <f t="shared" si="18"/>
        <v>1239</v>
      </c>
      <c r="L93" s="58">
        <f t="shared" si="19"/>
        <v>9.3828095418402119E-2</v>
      </c>
      <c r="M93" s="57">
        <f t="shared" si="20"/>
        <v>1486</v>
      </c>
      <c r="N93" s="58">
        <f t="shared" si="21"/>
        <v>0.10099225227674324</v>
      </c>
      <c r="O93" s="57">
        <f t="shared" si="22"/>
        <v>186</v>
      </c>
      <c r="P93" s="58">
        <f t="shared" si="23"/>
        <v>5.5307760927743088E-2</v>
      </c>
      <c r="Q93" s="57">
        <f t="shared" si="24"/>
        <v>6720</v>
      </c>
      <c r="R93" s="58">
        <f t="shared" si="25"/>
        <v>5.422372126425188E-2</v>
      </c>
    </row>
    <row r="94" spans="1:18" x14ac:dyDescent="0.25">
      <c r="A94" s="40" t="str">
        <f t="shared" si="9"/>
        <v>ALBERDI</v>
      </c>
      <c r="C94" s="59">
        <f t="shared" si="10"/>
        <v>12899</v>
      </c>
      <c r="D94" s="60">
        <f t="shared" si="11"/>
        <v>0.34328675981370593</v>
      </c>
      <c r="E94" s="59">
        <f t="shared" si="12"/>
        <v>122</v>
      </c>
      <c r="F94" s="60">
        <f t="shared" si="13"/>
        <v>6.6948361960160237E-3</v>
      </c>
      <c r="G94" s="59">
        <f t="shared" si="14"/>
        <v>877</v>
      </c>
      <c r="H94" s="60">
        <f t="shared" si="15"/>
        <v>7.9151624548736463E-2</v>
      </c>
      <c r="I94" s="59">
        <f t="shared" si="16"/>
        <v>3570</v>
      </c>
      <c r="J94" s="60">
        <f t="shared" si="17"/>
        <v>0.30174964077423716</v>
      </c>
      <c r="K94" s="59">
        <f t="shared" si="18"/>
        <v>5933</v>
      </c>
      <c r="L94" s="60">
        <f t="shared" si="19"/>
        <v>0.50648796312105171</v>
      </c>
      <c r="M94" s="59">
        <f t="shared" si="20"/>
        <v>5058</v>
      </c>
      <c r="N94" s="60">
        <f t="shared" si="21"/>
        <v>0.58184746347636029</v>
      </c>
      <c r="O94" s="59">
        <f t="shared" si="22"/>
        <v>633</v>
      </c>
      <c r="P94" s="60">
        <f t="shared" si="23"/>
        <v>0.2377018400300413</v>
      </c>
      <c r="Q94" s="59">
        <f t="shared" si="24"/>
        <v>29091</v>
      </c>
      <c r="R94" s="60">
        <f t="shared" si="25"/>
        <v>0.28582236195716249</v>
      </c>
    </row>
    <row r="95" spans="1:18" x14ac:dyDescent="0.25">
      <c r="A95" s="40" t="str">
        <f t="shared" si="9"/>
        <v>COPO</v>
      </c>
      <c r="C95" s="59">
        <f t="shared" si="10"/>
        <v>6112</v>
      </c>
      <c r="D95" s="60">
        <f t="shared" si="11"/>
        <v>0.24615384615384617</v>
      </c>
      <c r="E95" s="59">
        <f t="shared" si="12"/>
        <v>653</v>
      </c>
      <c r="F95" s="60">
        <f t="shared" si="13"/>
        <v>8.1788577154308623E-2</v>
      </c>
      <c r="G95" s="59">
        <f t="shared" si="14"/>
        <v>549</v>
      </c>
      <c r="H95" s="60">
        <f t="shared" si="15"/>
        <v>0.12525667351129363</v>
      </c>
      <c r="I95" s="59">
        <f t="shared" si="16"/>
        <v>582</v>
      </c>
      <c r="J95" s="60">
        <f t="shared" si="17"/>
        <v>0.12516129032258064</v>
      </c>
      <c r="K95" s="59">
        <f t="shared" si="18"/>
        <v>1586</v>
      </c>
      <c r="L95" s="60">
        <f t="shared" si="19"/>
        <v>0.26025598949786677</v>
      </c>
      <c r="M95" s="59">
        <f t="shared" si="20"/>
        <v>1861</v>
      </c>
      <c r="N95" s="60">
        <f t="shared" si="21"/>
        <v>0.3144112181111674</v>
      </c>
      <c r="O95" s="59">
        <f t="shared" si="22"/>
        <v>402</v>
      </c>
      <c r="P95" s="60">
        <f t="shared" si="23"/>
        <v>0.20753742901393907</v>
      </c>
      <c r="Q95" s="59">
        <f t="shared" si="24"/>
        <v>11745</v>
      </c>
      <c r="R95" s="60">
        <f t="shared" si="25"/>
        <v>0.21049518791332866</v>
      </c>
    </row>
    <row r="96" spans="1:18" x14ac:dyDescent="0.25">
      <c r="A96" s="40" t="str">
        <f t="shared" si="9"/>
        <v>JUAN F. IBARRA</v>
      </c>
      <c r="C96" s="59">
        <f t="shared" si="10"/>
        <v>1005</v>
      </c>
      <c r="D96" s="60">
        <f t="shared" si="11"/>
        <v>3.92409511538011E-2</v>
      </c>
      <c r="E96" s="59">
        <f t="shared" si="12"/>
        <v>-3525</v>
      </c>
      <c r="F96" s="60">
        <f t="shared" si="13"/>
        <v>-0.27382894430202748</v>
      </c>
      <c r="G96" s="59">
        <f t="shared" si="14"/>
        <v>-2247</v>
      </c>
      <c r="H96" s="60">
        <f t="shared" si="15"/>
        <v>-0.57468030690537086</v>
      </c>
      <c r="I96" s="59">
        <f t="shared" si="16"/>
        <v>-298</v>
      </c>
      <c r="J96" s="60">
        <f t="shared" si="17"/>
        <v>-5.9409888357256781E-2</v>
      </c>
      <c r="K96" s="59">
        <f t="shared" si="18"/>
        <v>1413</v>
      </c>
      <c r="L96" s="60">
        <f t="shared" si="19"/>
        <v>0.25404530744336568</v>
      </c>
      <c r="M96" s="59">
        <f t="shared" si="20"/>
        <v>1132</v>
      </c>
      <c r="N96" s="60">
        <f t="shared" si="21"/>
        <v>0.17583100341721031</v>
      </c>
      <c r="O96" s="59">
        <f t="shared" si="22"/>
        <v>224</v>
      </c>
      <c r="P96" s="60">
        <f t="shared" si="23"/>
        <v>0.14659685863874344</v>
      </c>
      <c r="Q96" s="59">
        <f t="shared" si="24"/>
        <v>-2296</v>
      </c>
      <c r="R96" s="60">
        <f t="shared" si="25"/>
        <v>-3.7677639568085598E-2</v>
      </c>
    </row>
    <row r="97" spans="1:18" x14ac:dyDescent="0.25">
      <c r="A97" s="40" t="str">
        <f t="shared" si="9"/>
        <v>MORENO</v>
      </c>
      <c r="C97" s="59">
        <f t="shared" si="10"/>
        <v>4126</v>
      </c>
      <c r="D97" s="60">
        <f t="shared" si="11"/>
        <v>4.1500704083685377E-2</v>
      </c>
      <c r="E97" s="59">
        <f t="shared" si="12"/>
        <v>-9772</v>
      </c>
      <c r="F97" s="60">
        <f t="shared" si="13"/>
        <v>-0.19047990331760944</v>
      </c>
      <c r="G97" s="59">
        <f t="shared" si="14"/>
        <v>-13036</v>
      </c>
      <c r="H97" s="60">
        <f t="shared" si="15"/>
        <v>-0.43613248578119773</v>
      </c>
      <c r="I97" s="59">
        <f t="shared" si="16"/>
        <v>-7619</v>
      </c>
      <c r="J97" s="60">
        <f t="shared" si="17"/>
        <v>-0.25403440917578018</v>
      </c>
      <c r="K97" s="59">
        <f t="shared" si="18"/>
        <v>1273</v>
      </c>
      <c r="L97" s="60">
        <f t="shared" si="19"/>
        <v>4.6915309206162013E-2</v>
      </c>
      <c r="M97" s="59">
        <f t="shared" si="20"/>
        <v>-614</v>
      </c>
      <c r="N97" s="60">
        <f t="shared" si="21"/>
        <v>-2.0846772824500051E-2</v>
      </c>
      <c r="O97" s="59">
        <f t="shared" si="22"/>
        <v>533</v>
      </c>
      <c r="P97" s="60">
        <f t="shared" si="23"/>
        <v>8.9100635239050485E-2</v>
      </c>
      <c r="Q97" s="59">
        <f t="shared" si="24"/>
        <v>-25109</v>
      </c>
      <c r="R97" s="60">
        <f t="shared" si="25"/>
        <v>-9.1916111768000491E-2</v>
      </c>
    </row>
    <row r="98" spans="1:18" s="43" customFormat="1" x14ac:dyDescent="0.25">
      <c r="A98" s="50" t="str">
        <f t="shared" si="9"/>
        <v>Total Este</v>
      </c>
      <c r="C98" s="57">
        <f t="shared" si="10"/>
        <v>24142</v>
      </c>
      <c r="D98" s="58">
        <f t="shared" si="11"/>
        <v>0.12880129750954994</v>
      </c>
      <c r="E98" s="57">
        <f t="shared" si="12"/>
        <v>-12522</v>
      </c>
      <c r="F98" s="58">
        <f t="shared" si="13"/>
        <v>-0.13854528556571</v>
      </c>
      <c r="G98" s="57">
        <f t="shared" si="14"/>
        <v>-13857</v>
      </c>
      <c r="H98" s="58">
        <f t="shared" si="15"/>
        <v>-0.28128615796845502</v>
      </c>
      <c r="I98" s="57">
        <f t="shared" si="16"/>
        <v>-3765</v>
      </c>
      <c r="J98" s="58">
        <f t="shared" si="17"/>
        <v>-7.3122414496300178E-2</v>
      </c>
      <c r="K98" s="57">
        <f t="shared" si="18"/>
        <v>10205</v>
      </c>
      <c r="L98" s="58">
        <f t="shared" si="19"/>
        <v>0.20206320291462063</v>
      </c>
      <c r="M98" s="57">
        <f t="shared" si="20"/>
        <v>7437</v>
      </c>
      <c r="N98" s="58">
        <f t="shared" si="21"/>
        <v>0.14725857869829515</v>
      </c>
      <c r="O98" s="57">
        <f t="shared" si="22"/>
        <v>1792</v>
      </c>
      <c r="P98" s="58">
        <f t="shared" si="23"/>
        <v>0.14797687861271677</v>
      </c>
      <c r="Q98" s="57">
        <f t="shared" si="24"/>
        <v>13431</v>
      </c>
      <c r="R98" s="58">
        <f t="shared" si="25"/>
        <v>2.7316102894518475E-2</v>
      </c>
    </row>
    <row r="99" spans="1:18" x14ac:dyDescent="0.25">
      <c r="A99" s="40" t="str">
        <f t="shared" si="9"/>
        <v>JIMENEZ</v>
      </c>
      <c r="C99" s="59">
        <f t="shared" si="10"/>
        <v>-2417</v>
      </c>
      <c r="D99" s="60">
        <f t="shared" si="11"/>
        <v>-9.3306053119209392E-2</v>
      </c>
      <c r="E99" s="59">
        <f t="shared" si="12"/>
        <v>-3912</v>
      </c>
      <c r="F99" s="60">
        <f t="shared" si="13"/>
        <v>-0.3546047860768673</v>
      </c>
      <c r="G99" s="59">
        <f t="shared" si="14"/>
        <v>-1886</v>
      </c>
      <c r="H99" s="60">
        <f t="shared" si="15"/>
        <v>-0.8976677772489291</v>
      </c>
      <c r="I99" s="59">
        <f t="shared" si="16"/>
        <v>-962</v>
      </c>
      <c r="J99" s="60">
        <f t="shared" si="17"/>
        <v>-0.4128755364806867</v>
      </c>
      <c r="K99" s="59">
        <f t="shared" si="18"/>
        <v>609</v>
      </c>
      <c r="L99" s="60">
        <f t="shared" si="19"/>
        <v>9.0356083086053418E-2</v>
      </c>
      <c r="M99" s="59">
        <f t="shared" si="20"/>
        <v>115</v>
      </c>
      <c r="N99" s="60">
        <f t="shared" si="21"/>
        <v>1.3472352389878163E-2</v>
      </c>
      <c r="O99" s="59">
        <f t="shared" si="22"/>
        <v>-89</v>
      </c>
      <c r="P99" s="60">
        <f t="shared" si="23"/>
        <v>-6.8303914044512665E-2</v>
      </c>
      <c r="Q99" s="59">
        <f t="shared" si="24"/>
        <v>-8542</v>
      </c>
      <c r="R99" s="60">
        <f t="shared" si="25"/>
        <v>-0.14741310875642841</v>
      </c>
    </row>
    <row r="100" spans="1:18" x14ac:dyDescent="0.25">
      <c r="A100" s="40" t="str">
        <f>A60</f>
        <v>PELLEGRINI</v>
      </c>
      <c r="C100" s="59">
        <f t="shared" si="10"/>
        <v>5325</v>
      </c>
      <c r="D100" s="60">
        <f t="shared" si="11"/>
        <v>0.28092851490371934</v>
      </c>
      <c r="E100" s="59">
        <f t="shared" si="12"/>
        <v>-2171</v>
      </c>
      <c r="F100" s="60">
        <f t="shared" si="13"/>
        <v>-0.29944827586206896</v>
      </c>
      <c r="G100" s="59">
        <f t="shared" si="14"/>
        <v>-1004</v>
      </c>
      <c r="H100" s="60">
        <f t="shared" si="15"/>
        <v>-0.49776896380763508</v>
      </c>
      <c r="I100" s="59">
        <f t="shared" si="16"/>
        <v>-350</v>
      </c>
      <c r="J100" s="60">
        <f t="shared" si="17"/>
        <v>-0.11994516792323509</v>
      </c>
      <c r="K100" s="59">
        <f t="shared" si="18"/>
        <v>770</v>
      </c>
      <c r="L100" s="60">
        <f t="shared" si="19"/>
        <v>0.27519656897784134</v>
      </c>
      <c r="M100" s="59">
        <f t="shared" si="20"/>
        <v>-322</v>
      </c>
      <c r="N100" s="60">
        <f t="shared" si="21"/>
        <v>-8.4073107049608353E-2</v>
      </c>
      <c r="O100" s="59">
        <f t="shared" si="22"/>
        <v>294</v>
      </c>
      <c r="P100" s="60">
        <f t="shared" si="23"/>
        <v>0.26534296028880866</v>
      </c>
      <c r="Q100" s="59">
        <f t="shared" si="24"/>
        <v>2542</v>
      </c>
      <c r="R100" s="60">
        <f t="shared" si="25"/>
        <v>6.5387385533491105E-2</v>
      </c>
    </row>
    <row r="101" spans="1:18" s="43" customFormat="1" x14ac:dyDescent="0.25">
      <c r="A101" s="50" t="str">
        <f t="shared" si="9"/>
        <v>Total Noroeste</v>
      </c>
      <c r="C101" s="57">
        <f t="shared" si="10"/>
        <v>2908</v>
      </c>
      <c r="D101" s="58">
        <f t="shared" si="11"/>
        <v>6.4825341625983635E-2</v>
      </c>
      <c r="E101" s="57">
        <f t="shared" si="12"/>
        <v>-6083</v>
      </c>
      <c r="F101" s="58">
        <f t="shared" si="13"/>
        <v>-0.33273164861612514</v>
      </c>
      <c r="G101" s="57">
        <f t="shared" si="14"/>
        <v>-2890</v>
      </c>
      <c r="H101" s="58">
        <f t="shared" si="15"/>
        <v>-0.7017969888295289</v>
      </c>
      <c r="I101" s="57">
        <f t="shared" si="16"/>
        <v>-1312</v>
      </c>
      <c r="J101" s="58">
        <f t="shared" si="17"/>
        <v>-0.25</v>
      </c>
      <c r="K101" s="57">
        <f t="shared" si="18"/>
        <v>1379</v>
      </c>
      <c r="L101" s="58">
        <f t="shared" si="19"/>
        <v>0.14457957643111763</v>
      </c>
      <c r="M101" s="57">
        <f t="shared" si="20"/>
        <v>-207</v>
      </c>
      <c r="N101" s="58">
        <f t="shared" si="21"/>
        <v>-1.6739446870451237E-2</v>
      </c>
      <c r="O101" s="57">
        <f t="shared" si="22"/>
        <v>205</v>
      </c>
      <c r="P101" s="58">
        <f t="shared" si="23"/>
        <v>8.5026959767731225E-2</v>
      </c>
      <c r="Q101" s="57">
        <f t="shared" si="24"/>
        <v>-6000</v>
      </c>
      <c r="R101" s="58">
        <f t="shared" si="25"/>
        <v>-6.1969387122761357E-2</v>
      </c>
    </row>
    <row r="102" spans="1:18" x14ac:dyDescent="0.25">
      <c r="A102" s="40" t="str">
        <f t="shared" si="9"/>
        <v>CHOYA</v>
      </c>
      <c r="C102" s="59">
        <f t="shared" si="10"/>
        <v>4146</v>
      </c>
      <c r="D102" s="60">
        <f t="shared" si="11"/>
        <v>0.39035872328405991</v>
      </c>
      <c r="E102" s="59">
        <f t="shared" si="12"/>
        <v>328</v>
      </c>
      <c r="F102" s="60">
        <f t="shared" si="13"/>
        <v>7.9074252651880422E-2</v>
      </c>
      <c r="G102" s="59">
        <f t="shared" si="14"/>
        <v>368</v>
      </c>
      <c r="H102" s="60">
        <f t="shared" si="15"/>
        <v>0.22590546347452425</v>
      </c>
      <c r="I102" s="59">
        <f t="shared" si="16"/>
        <v>1801</v>
      </c>
      <c r="J102" s="60">
        <f t="shared" si="17"/>
        <v>0.65946539729036979</v>
      </c>
      <c r="K102" s="59">
        <f t="shared" si="18"/>
        <v>1403</v>
      </c>
      <c r="L102" s="60">
        <f t="shared" si="19"/>
        <v>0.61481156879929888</v>
      </c>
      <c r="M102" s="59">
        <f t="shared" si="20"/>
        <v>827</v>
      </c>
      <c r="N102" s="60">
        <f t="shared" si="21"/>
        <v>0.40698818897637795</v>
      </c>
      <c r="O102" s="59">
        <f t="shared" si="22"/>
        <v>314</v>
      </c>
      <c r="P102" s="60">
        <f t="shared" si="23"/>
        <v>0.63951120162932795</v>
      </c>
      <c r="Q102" s="59">
        <f t="shared" si="24"/>
        <v>9187</v>
      </c>
      <c r="R102" s="60">
        <f t="shared" si="25"/>
        <v>0.38384724659480235</v>
      </c>
    </row>
    <row r="103" spans="1:18" x14ac:dyDescent="0.25">
      <c r="A103" s="40" t="str">
        <f t="shared" si="9"/>
        <v>GUASAYAN</v>
      </c>
      <c r="C103" s="59">
        <f t="shared" si="10"/>
        <v>-2311</v>
      </c>
      <c r="D103" s="60">
        <f t="shared" si="11"/>
        <v>-0.14238186186926252</v>
      </c>
      <c r="E103" s="59">
        <f t="shared" si="12"/>
        <v>-4417</v>
      </c>
      <c r="F103" s="60">
        <f t="shared" si="13"/>
        <v>-0.70200254291163378</v>
      </c>
      <c r="G103" s="59">
        <f t="shared" si="14"/>
        <v>-995</v>
      </c>
      <c r="H103" s="60">
        <f t="shared" si="15"/>
        <v>-0.75838414634146345</v>
      </c>
      <c r="I103" s="59">
        <f t="shared" si="16"/>
        <v>-720</v>
      </c>
      <c r="J103" s="60">
        <f t="shared" si="17"/>
        <v>-0.4559848005066498</v>
      </c>
      <c r="K103" s="59">
        <f t="shared" si="18"/>
        <v>577</v>
      </c>
      <c r="L103" s="60">
        <f t="shared" si="19"/>
        <v>0.38010540184453229</v>
      </c>
      <c r="M103" s="59">
        <f t="shared" si="20"/>
        <v>-162</v>
      </c>
      <c r="N103" s="60">
        <f t="shared" si="21"/>
        <v>-5.2478134110787174E-2</v>
      </c>
      <c r="O103" s="59">
        <f t="shared" si="22"/>
        <v>203</v>
      </c>
      <c r="P103" s="60">
        <f t="shared" si="23"/>
        <v>0.2717536813922356</v>
      </c>
      <c r="Q103" s="59">
        <f t="shared" si="24"/>
        <v>-7825</v>
      </c>
      <c r="R103" s="60">
        <f t="shared" si="25"/>
        <v>-0.25433920561658974</v>
      </c>
    </row>
    <row r="104" spans="1:18" x14ac:dyDescent="0.25">
      <c r="A104" s="40" t="str">
        <f t="shared" si="9"/>
        <v>RIO HONDO</v>
      </c>
      <c r="C104" s="59">
        <f t="shared" si="10"/>
        <v>198</v>
      </c>
      <c r="D104" s="60">
        <f t="shared" si="11"/>
        <v>0.35934664246823955</v>
      </c>
      <c r="E104" s="59">
        <f t="shared" si="12"/>
        <v>-39</v>
      </c>
      <c r="F104" s="60">
        <f t="shared" si="13"/>
        <v>-0.23493975903614459</v>
      </c>
      <c r="G104" s="59">
        <f t="shared" si="14"/>
        <v>-296</v>
      </c>
      <c r="H104" s="60">
        <f t="shared" si="15"/>
        <v>-0.29048086359175662</v>
      </c>
      <c r="I104" s="59">
        <f t="shared" si="16"/>
        <v>-14</v>
      </c>
      <c r="J104" s="60">
        <f t="shared" si="17"/>
        <v>-8.3832335329341312E-2</v>
      </c>
      <c r="K104" s="59">
        <f t="shared" si="18"/>
        <v>101</v>
      </c>
      <c r="L104" s="60">
        <f t="shared" si="19"/>
        <v>1.3835616438356164</v>
      </c>
      <c r="M104" s="59">
        <f t="shared" si="20"/>
        <v>61</v>
      </c>
      <c r="N104" s="60">
        <f t="shared" si="21"/>
        <v>1.1509433962264151</v>
      </c>
      <c r="O104" s="59">
        <f t="shared" si="22"/>
        <v>11</v>
      </c>
      <c r="P104" s="60">
        <f t="shared" si="23"/>
        <v>0.52380952380952384</v>
      </c>
      <c r="Q104" s="59">
        <f t="shared" si="24"/>
        <v>22</v>
      </c>
      <c r="R104" s="60">
        <f t="shared" si="25"/>
        <v>1.0731707317073172E-2</v>
      </c>
    </row>
    <row r="105" spans="1:18" s="43" customFormat="1" x14ac:dyDescent="0.25">
      <c r="A105" s="50" t="str">
        <f t="shared" si="9"/>
        <v>Total Oeste</v>
      </c>
      <c r="C105" s="57">
        <f t="shared" si="10"/>
        <v>2033</v>
      </c>
      <c r="D105" s="58">
        <f t="shared" si="11"/>
        <v>7.4188957413421894E-2</v>
      </c>
      <c r="E105" s="57">
        <f t="shared" si="12"/>
        <v>-4128</v>
      </c>
      <c r="F105" s="58">
        <f t="shared" si="13"/>
        <v>-0.38921365264944369</v>
      </c>
      <c r="G105" s="57">
        <f t="shared" si="14"/>
        <v>-923</v>
      </c>
      <c r="H105" s="58">
        <f t="shared" si="15"/>
        <v>-0.23308080808080808</v>
      </c>
      <c r="I105" s="57">
        <f t="shared" si="16"/>
        <v>1067</v>
      </c>
      <c r="J105" s="58">
        <f t="shared" si="17"/>
        <v>0.23832923832923833</v>
      </c>
      <c r="K105" s="57">
        <f t="shared" si="18"/>
        <v>2081</v>
      </c>
      <c r="L105" s="58">
        <f t="shared" si="19"/>
        <v>0.53730957913761945</v>
      </c>
      <c r="M105" s="57">
        <f t="shared" si="20"/>
        <v>726</v>
      </c>
      <c r="N105" s="58">
        <f t="shared" si="21"/>
        <v>0.14037122969837587</v>
      </c>
      <c r="O105" s="57">
        <f t="shared" si="22"/>
        <v>528</v>
      </c>
      <c r="P105" s="58">
        <f t="shared" si="23"/>
        <v>0.41938046068308182</v>
      </c>
      <c r="Q105" s="57">
        <f t="shared" si="24"/>
        <v>1384</v>
      </c>
      <c r="R105" s="58">
        <f t="shared" si="25"/>
        <v>2.4387665198237884E-2</v>
      </c>
    </row>
    <row r="106" spans="1:18" x14ac:dyDescent="0.25">
      <c r="A106" s="40" t="str">
        <f t="shared" si="9"/>
        <v>AGUIRRE</v>
      </c>
      <c r="C106" s="59">
        <f t="shared" si="10"/>
        <v>-5036</v>
      </c>
      <c r="D106" s="60">
        <f t="shared" si="11"/>
        <v>-0.10745529808389878</v>
      </c>
      <c r="E106" s="59">
        <f t="shared" si="12"/>
        <v>-5609</v>
      </c>
      <c r="F106" s="60">
        <f t="shared" si="13"/>
        <v>-0.29398815451543581</v>
      </c>
      <c r="G106" s="59">
        <f t="shared" si="14"/>
        <v>-1095</v>
      </c>
      <c r="H106" s="60">
        <f t="shared" si="15"/>
        <v>-0.20364515529105448</v>
      </c>
      <c r="I106" s="59">
        <f t="shared" si="16"/>
        <v>-3433</v>
      </c>
      <c r="J106" s="60">
        <f t="shared" si="17"/>
        <v>-0.41386377335744423</v>
      </c>
      <c r="K106" s="59">
        <f t="shared" si="18"/>
        <v>175</v>
      </c>
      <c r="L106" s="60">
        <f t="shared" si="19"/>
        <v>1.805985552115583E-2</v>
      </c>
      <c r="M106" s="59">
        <f t="shared" si="20"/>
        <v>1854</v>
      </c>
      <c r="N106" s="60">
        <f t="shared" si="21"/>
        <v>0.20554323725055432</v>
      </c>
      <c r="O106" s="59">
        <f t="shared" si="22"/>
        <v>-175</v>
      </c>
      <c r="P106" s="60">
        <f t="shared" si="23"/>
        <v>-7.0878898339408664E-2</v>
      </c>
      <c r="Q106" s="59">
        <f t="shared" si="24"/>
        <v>-13320</v>
      </c>
      <c r="R106" s="60">
        <f t="shared" si="25"/>
        <v>-0.13214679008303817</v>
      </c>
    </row>
    <row r="107" spans="1:18" x14ac:dyDescent="0.25">
      <c r="A107" s="40" t="str">
        <f t="shared" si="9"/>
        <v>AVELLANEDA</v>
      </c>
      <c r="C107" s="59">
        <f t="shared" si="10"/>
        <v>6114</v>
      </c>
      <c r="D107" s="60">
        <f t="shared" si="11"/>
        <v>3.3928967813540512</v>
      </c>
      <c r="E107" s="59">
        <f t="shared" si="12"/>
        <v>1056</v>
      </c>
      <c r="F107" s="60">
        <f t="shared" si="13"/>
        <v>0.98141263940520451</v>
      </c>
      <c r="G107" s="59">
        <f t="shared" si="14"/>
        <v>168</v>
      </c>
      <c r="H107" s="60">
        <f t="shared" si="15"/>
        <v>0.56187290969899661</v>
      </c>
      <c r="I107" s="59">
        <f t="shared" si="16"/>
        <v>569</v>
      </c>
      <c r="J107" s="60">
        <f t="shared" si="17"/>
        <v>1.8594771241830066</v>
      </c>
      <c r="K107" s="59">
        <f t="shared" si="18"/>
        <v>1455</v>
      </c>
      <c r="L107" s="60">
        <f t="shared" si="19"/>
        <v>4.3693693693693696</v>
      </c>
      <c r="M107" s="59">
        <f t="shared" si="20"/>
        <v>1218</v>
      </c>
      <c r="N107" s="60">
        <f t="shared" si="21"/>
        <v>2.9852941176470589</v>
      </c>
      <c r="O107" s="59">
        <f t="shared" si="22"/>
        <v>560</v>
      </c>
      <c r="P107" s="60">
        <f t="shared" si="23"/>
        <v>6.021505376344086</v>
      </c>
      <c r="Q107" s="59">
        <f t="shared" si="24"/>
        <v>11140</v>
      </c>
      <c r="R107" s="60">
        <f t="shared" si="25"/>
        <v>2.5804957146166321</v>
      </c>
    </row>
    <row r="108" spans="1:18" x14ac:dyDescent="0.25">
      <c r="A108" s="40" t="str">
        <f>A68</f>
        <v>BELGRANO</v>
      </c>
      <c r="C108" s="59">
        <f t="shared" si="10"/>
        <v>-6320</v>
      </c>
      <c r="D108" s="60">
        <f t="shared" si="11"/>
        <v>-0.23599701269604181</v>
      </c>
      <c r="E108" s="59">
        <f t="shared" si="12"/>
        <v>-563</v>
      </c>
      <c r="F108" s="60">
        <f t="shared" si="13"/>
        <v>-5.5375233598898399E-2</v>
      </c>
      <c r="G108" s="59">
        <f t="shared" si="14"/>
        <v>-3937</v>
      </c>
      <c r="H108" s="60">
        <f t="shared" si="15"/>
        <v>-0.6081248069199876</v>
      </c>
      <c r="I108" s="59">
        <f t="shared" si="16"/>
        <v>-4433</v>
      </c>
      <c r="J108" s="60">
        <f t="shared" si="17"/>
        <v>-0.5439931279911645</v>
      </c>
      <c r="K108" s="59">
        <f t="shared" si="18"/>
        <v>-1632</v>
      </c>
      <c r="L108" s="60">
        <f t="shared" si="19"/>
        <v>-0.29618874773139747</v>
      </c>
      <c r="M108" s="59">
        <f t="shared" si="20"/>
        <v>-1927</v>
      </c>
      <c r="N108" s="60">
        <f t="shared" si="21"/>
        <v>-0.33478109798471162</v>
      </c>
      <c r="O108" s="59">
        <f t="shared" si="22"/>
        <v>-636</v>
      </c>
      <c r="P108" s="60">
        <f t="shared" si="23"/>
        <v>-0.38804148871262967</v>
      </c>
      <c r="Q108" s="59">
        <f t="shared" si="24"/>
        <v>-19458</v>
      </c>
      <c r="R108" s="60">
        <f t="shared" si="25"/>
        <v>-0.30174459176552687</v>
      </c>
    </row>
    <row r="109" spans="1:18" x14ac:dyDescent="0.25">
      <c r="A109" s="40" t="str">
        <f t="shared" si="9"/>
        <v>GENERAL TABOADA</v>
      </c>
      <c r="C109" s="59">
        <f t="shared" si="10"/>
        <v>662</v>
      </c>
      <c r="D109" s="60">
        <f t="shared" si="11"/>
        <v>3.2736623479378897E-2</v>
      </c>
      <c r="E109" s="59">
        <f t="shared" si="12"/>
        <v>-3232</v>
      </c>
      <c r="F109" s="60">
        <f t="shared" si="13"/>
        <v>-0.28976152053075133</v>
      </c>
      <c r="G109" s="59">
        <f t="shared" si="14"/>
        <v>-3123</v>
      </c>
      <c r="H109" s="60">
        <f t="shared" si="15"/>
        <v>-0.49219858156028368</v>
      </c>
      <c r="I109" s="59">
        <f t="shared" si="16"/>
        <v>-3228</v>
      </c>
      <c r="J109" s="60">
        <f t="shared" si="17"/>
        <v>-0.44641128474623148</v>
      </c>
      <c r="K109" s="59">
        <f t="shared" si="18"/>
        <v>-57</v>
      </c>
      <c r="L109" s="60">
        <f t="shared" si="19"/>
        <v>-1.2513721185510428E-2</v>
      </c>
      <c r="M109" s="59">
        <f t="shared" si="20"/>
        <v>999</v>
      </c>
      <c r="N109" s="60">
        <f t="shared" si="21"/>
        <v>0.24431401320616289</v>
      </c>
      <c r="O109" s="59">
        <f t="shared" si="22"/>
        <v>112</v>
      </c>
      <c r="P109" s="60">
        <f t="shared" si="23"/>
        <v>8.8119590873328088E-2</v>
      </c>
      <c r="Q109" s="59">
        <f t="shared" si="24"/>
        <v>-7868</v>
      </c>
      <c r="R109" s="60">
        <f t="shared" si="25"/>
        <v>-0.14339870234016183</v>
      </c>
    </row>
    <row r="110" spans="1:18" x14ac:dyDescent="0.25">
      <c r="A110" s="40" t="str">
        <f t="shared" si="9"/>
        <v>MITRE</v>
      </c>
      <c r="C110" s="59">
        <f>C70-D70</f>
        <v>-3404</v>
      </c>
      <c r="D110" s="60">
        <f>(C70-D70)/D70</f>
        <v>-0.10357838364167478</v>
      </c>
      <c r="E110" s="59">
        <f>E70-F70</f>
        <v>-3449</v>
      </c>
      <c r="F110" s="60">
        <f>(E70-F70)/F70</f>
        <v>-0.32003340447248768</v>
      </c>
      <c r="G110" s="59">
        <f>G70-H70</f>
        <v>-2875</v>
      </c>
      <c r="H110" s="60">
        <f>(G70-H70)/H70</f>
        <v>-0.68747010999521763</v>
      </c>
      <c r="I110" s="59">
        <f>I70-J70</f>
        <v>-2390</v>
      </c>
      <c r="J110" s="60">
        <f>(I70-J70)/J70</f>
        <v>-0.44523099850968706</v>
      </c>
      <c r="K110" s="59">
        <f>K70-L70</f>
        <v>-984</v>
      </c>
      <c r="L110" s="60">
        <f>(K70-L70)/L70</f>
        <v>-0.21354166666666666</v>
      </c>
      <c r="M110" s="59">
        <f>M70-N70</f>
        <v>-807</v>
      </c>
      <c r="N110" s="60">
        <f>(M70-N70)/N70</f>
        <v>-0.16425809077956441</v>
      </c>
      <c r="O110" s="59">
        <f>O70-P70</f>
        <v>133</v>
      </c>
      <c r="P110" s="60">
        <f>(O70-P70)/P70</f>
        <v>0.12429906542056075</v>
      </c>
      <c r="Q110" s="59">
        <f>Q70-R70</f>
        <v>-13776</v>
      </c>
      <c r="R110" s="60">
        <f>(Q70-R70)/R70</f>
        <v>-0.21598570129503622</v>
      </c>
    </row>
    <row r="111" spans="1:18" x14ac:dyDescent="0.25">
      <c r="A111" s="40" t="str">
        <f>A71</f>
        <v>RIVADAVIA</v>
      </c>
      <c r="C111" s="59">
        <f t="shared" si="10"/>
        <v>-7983</v>
      </c>
      <c r="D111" s="60">
        <f t="shared" si="11"/>
        <v>-0.15811051693404635</v>
      </c>
      <c r="E111" s="59">
        <f t="shared" si="12"/>
        <v>-2699</v>
      </c>
      <c r="F111" s="60">
        <f t="shared" si="13"/>
        <v>-0.12603315433107634</v>
      </c>
      <c r="G111" s="59">
        <f t="shared" si="14"/>
        <v>-16483</v>
      </c>
      <c r="H111" s="60">
        <f t="shared" si="15"/>
        <v>-0.65049923043529734</v>
      </c>
      <c r="I111" s="59">
        <f t="shared" si="16"/>
        <v>-12807</v>
      </c>
      <c r="J111" s="60">
        <f t="shared" si="17"/>
        <v>-0.56613031562196092</v>
      </c>
      <c r="K111" s="59">
        <f t="shared" si="18"/>
        <v>-5114</v>
      </c>
      <c r="L111" s="60">
        <f t="shared" si="19"/>
        <v>-0.34514409124654116</v>
      </c>
      <c r="M111" s="59">
        <f t="shared" si="20"/>
        <v>-5085</v>
      </c>
      <c r="N111" s="60">
        <f t="shared" si="21"/>
        <v>-0.30764111561497975</v>
      </c>
      <c r="O111" s="59">
        <f t="shared" si="22"/>
        <v>-265</v>
      </c>
      <c r="P111" s="60">
        <f t="shared" si="23"/>
        <v>-0.1681472081218274</v>
      </c>
      <c r="Q111" s="59">
        <f t="shared" si="24"/>
        <v>-50439</v>
      </c>
      <c r="R111" s="60">
        <f t="shared" si="25"/>
        <v>-0.33011761163942904</v>
      </c>
    </row>
    <row r="112" spans="1:18" s="43" customFormat="1" x14ac:dyDescent="0.25">
      <c r="A112" s="50" t="str">
        <f t="shared" si="9"/>
        <v>Total Sudeste</v>
      </c>
      <c r="C112" s="57">
        <f t="shared" si="10"/>
        <v>-15967</v>
      </c>
      <c r="D112" s="58">
        <f t="shared" si="11"/>
        <v>-8.9189158995441956E-2</v>
      </c>
      <c r="E112" s="57">
        <f t="shared" si="12"/>
        <v>-14496</v>
      </c>
      <c r="F112" s="58">
        <f t="shared" si="13"/>
        <v>-0.19677471900961069</v>
      </c>
      <c r="G112" s="57">
        <f t="shared" si="14"/>
        <v>-27345</v>
      </c>
      <c r="H112" s="58">
        <f t="shared" si="15"/>
        <v>-0.56949766744418528</v>
      </c>
      <c r="I112" s="57">
        <f t="shared" si="16"/>
        <v>-25722</v>
      </c>
      <c r="J112" s="58">
        <f t="shared" si="17"/>
        <v>-0.49492986473225453</v>
      </c>
      <c r="K112" s="57">
        <f t="shared" si="18"/>
        <v>-6157</v>
      </c>
      <c r="L112" s="58">
        <f t="shared" si="19"/>
        <v>-0.15582213448738391</v>
      </c>
      <c r="M112" s="57">
        <f t="shared" si="20"/>
        <v>-3748</v>
      </c>
      <c r="N112" s="58">
        <f t="shared" si="21"/>
        <v>-9.205452535920422E-2</v>
      </c>
      <c r="O112" s="57">
        <f t="shared" si="22"/>
        <v>-271</v>
      </c>
      <c r="P112" s="58">
        <f t="shared" si="23"/>
        <v>-3.3382606553338259E-2</v>
      </c>
      <c r="Q112" s="57">
        <f>Q72-R72</f>
        <v>-93721</v>
      </c>
      <c r="R112" s="58">
        <f>(Q72-R72)/R72</f>
        <v>-0.21249999999999999</v>
      </c>
    </row>
    <row r="113" spans="1:18" x14ac:dyDescent="0.25">
      <c r="A113" s="40" t="str">
        <f t="shared" si="9"/>
        <v>ATAMISQUI</v>
      </c>
      <c r="C113" s="59">
        <f t="shared" si="10"/>
        <v>679</v>
      </c>
      <c r="D113" s="60">
        <f t="shared" si="11"/>
        <v>0.69427402862985688</v>
      </c>
      <c r="E113" s="59">
        <f t="shared" si="12"/>
        <v>140</v>
      </c>
      <c r="F113" s="60">
        <f t="shared" si="13"/>
        <v>0.25179856115107913</v>
      </c>
      <c r="G113" s="59">
        <f t="shared" si="14"/>
        <v>193</v>
      </c>
      <c r="H113" s="60">
        <f t="shared" si="15"/>
        <v>2.6438356164383561</v>
      </c>
      <c r="I113" s="59">
        <f t="shared" si="16"/>
        <v>137</v>
      </c>
      <c r="J113" s="60">
        <f t="shared" si="17"/>
        <v>1.2232142857142858</v>
      </c>
      <c r="K113" s="59">
        <f t="shared" si="18"/>
        <v>298</v>
      </c>
      <c r="L113" s="60">
        <f t="shared" si="19"/>
        <v>1.3070175438596492</v>
      </c>
      <c r="M113" s="59">
        <f t="shared" si="20"/>
        <v>192</v>
      </c>
      <c r="N113" s="60">
        <f t="shared" si="21"/>
        <v>0.96482412060301503</v>
      </c>
      <c r="O113" s="59">
        <f t="shared" si="22"/>
        <v>71</v>
      </c>
      <c r="P113" s="60">
        <f t="shared" si="23"/>
        <v>0.78888888888888886</v>
      </c>
      <c r="Q113" s="59">
        <f t="shared" si="24"/>
        <v>1693</v>
      </c>
      <c r="R113" s="60">
        <f t="shared" si="25"/>
        <v>0.75144252108300047</v>
      </c>
    </row>
    <row r="114" spans="1:18" x14ac:dyDescent="0.25">
      <c r="A114" s="40" t="str">
        <f t="shared" si="9"/>
        <v>OJO DE AGUA</v>
      </c>
      <c r="C114" s="59">
        <f t="shared" si="10"/>
        <v>-1171</v>
      </c>
      <c r="D114" s="60">
        <f t="shared" si="11"/>
        <v>-3.7370352640816978E-2</v>
      </c>
      <c r="E114" s="59">
        <f t="shared" si="12"/>
        <v>-5010</v>
      </c>
      <c r="F114" s="60">
        <f t="shared" si="13"/>
        <v>-0.38437931563602884</v>
      </c>
      <c r="G114" s="59">
        <f t="shared" si="14"/>
        <v>-2784</v>
      </c>
      <c r="H114" s="60">
        <f t="shared" si="15"/>
        <v>-0.6512280701754386</v>
      </c>
      <c r="I114" s="59">
        <f t="shared" si="16"/>
        <v>-2945</v>
      </c>
      <c r="J114" s="60">
        <f t="shared" si="17"/>
        <v>-0.56342070021044577</v>
      </c>
      <c r="K114" s="59">
        <f t="shared" si="18"/>
        <v>418</v>
      </c>
      <c r="L114" s="60">
        <f t="shared" si="19"/>
        <v>4.8655569782330349E-2</v>
      </c>
      <c r="M114" s="59">
        <f t="shared" si="20"/>
        <v>467</v>
      </c>
      <c r="N114" s="60">
        <f t="shared" si="21"/>
        <v>6.1447368421052632E-2</v>
      </c>
      <c r="O114" s="59">
        <f t="shared" si="22"/>
        <v>-1093</v>
      </c>
      <c r="P114" s="60">
        <f t="shared" si="23"/>
        <v>-0.40361890694239289</v>
      </c>
      <c r="Q114" s="59">
        <f t="shared" si="24"/>
        <v>-12119</v>
      </c>
      <c r="R114" s="60">
        <f t="shared" si="25"/>
        <v>-0.16653612015775515</v>
      </c>
    </row>
    <row r="115" spans="1:18" x14ac:dyDescent="0.25">
      <c r="A115" s="40" t="str">
        <f t="shared" si="9"/>
        <v>QUEBRACHOS</v>
      </c>
      <c r="C115" s="59">
        <f t="shared" si="10"/>
        <v>-296</v>
      </c>
      <c r="D115" s="60">
        <f t="shared" si="11"/>
        <v>-8.4014532243415069E-3</v>
      </c>
      <c r="E115" s="59">
        <f t="shared" si="12"/>
        <v>-4046</v>
      </c>
      <c r="F115" s="60">
        <f t="shared" si="13"/>
        <v>-0.30920901795949562</v>
      </c>
      <c r="G115" s="59">
        <f t="shared" si="14"/>
        <v>-4344</v>
      </c>
      <c r="H115" s="60">
        <f t="shared" si="15"/>
        <v>-0.75587262919784237</v>
      </c>
      <c r="I115" s="59">
        <f t="shared" si="16"/>
        <v>-3149</v>
      </c>
      <c r="J115" s="60">
        <f t="shared" si="17"/>
        <v>-0.51004211208292838</v>
      </c>
      <c r="K115" s="59">
        <f t="shared" si="18"/>
        <v>1352</v>
      </c>
      <c r="L115" s="60">
        <f t="shared" si="19"/>
        <v>0.17836411609498681</v>
      </c>
      <c r="M115" s="59">
        <f t="shared" si="20"/>
        <v>1654</v>
      </c>
      <c r="N115" s="60">
        <f t="shared" si="21"/>
        <v>0.23004172461752434</v>
      </c>
      <c r="O115" s="59">
        <f t="shared" si="22"/>
        <v>43</v>
      </c>
      <c r="P115" s="60">
        <f t="shared" si="23"/>
        <v>2.5825825825825825E-2</v>
      </c>
      <c r="Q115" s="59">
        <f t="shared" si="24"/>
        <v>-8786</v>
      </c>
      <c r="R115" s="60">
        <f t="shared" si="25"/>
        <v>-0.11459053382546659</v>
      </c>
    </row>
    <row r="116" spans="1:18" x14ac:dyDescent="0.25">
      <c r="A116" s="40" t="str">
        <f t="shared" si="9"/>
        <v>SALAVINA</v>
      </c>
      <c r="C116" s="59">
        <f t="shared" si="10"/>
        <v>688</v>
      </c>
      <c r="D116" s="60">
        <f t="shared" si="11"/>
        <v>5.3436893203883493E-2</v>
      </c>
      <c r="E116" s="59">
        <f t="shared" si="12"/>
        <v>-635</v>
      </c>
      <c r="F116" s="60">
        <f t="shared" si="13"/>
        <v>-0.1340227944280287</v>
      </c>
      <c r="G116" s="59">
        <f t="shared" si="14"/>
        <v>197</v>
      </c>
      <c r="H116" s="60">
        <f t="shared" si="15"/>
        <v>0.15925626515763944</v>
      </c>
      <c r="I116" s="59">
        <f t="shared" si="16"/>
        <v>-157</v>
      </c>
      <c r="J116" s="60">
        <f t="shared" si="17"/>
        <v>-9.8556183301946015E-2</v>
      </c>
      <c r="K116" s="59">
        <f t="shared" si="18"/>
        <v>1077</v>
      </c>
      <c r="L116" s="60">
        <f t="shared" si="19"/>
        <v>0.3527677694071405</v>
      </c>
      <c r="M116" s="59">
        <f t="shared" si="20"/>
        <v>714</v>
      </c>
      <c r="N116" s="60">
        <f t="shared" si="21"/>
        <v>0.23975822699798521</v>
      </c>
      <c r="O116" s="59">
        <f t="shared" si="22"/>
        <v>8</v>
      </c>
      <c r="P116" s="60">
        <f t="shared" si="23"/>
        <v>1.1560693641618497E-2</v>
      </c>
      <c r="Q116" s="59">
        <f t="shared" si="24"/>
        <v>1891</v>
      </c>
      <c r="R116" s="60">
        <f t="shared" si="25"/>
        <v>6.9606507895608641E-2</v>
      </c>
    </row>
    <row r="117" spans="1:18" s="43" customFormat="1" x14ac:dyDescent="0.25">
      <c r="A117" s="50" t="str">
        <f t="shared" si="9"/>
        <v>Total Sur</v>
      </c>
      <c r="C117" s="57">
        <f t="shared" si="10"/>
        <v>-100</v>
      </c>
      <c r="D117" s="58">
        <f t="shared" si="11"/>
        <v>-1.2434717731907485E-3</v>
      </c>
      <c r="E117" s="57">
        <f t="shared" si="12"/>
        <v>-9551</v>
      </c>
      <c r="F117" s="58">
        <f t="shared" si="13"/>
        <v>-0.30404609556553019</v>
      </c>
      <c r="G117" s="57">
        <f t="shared" si="14"/>
        <v>-6738</v>
      </c>
      <c r="H117" s="58">
        <f t="shared" si="15"/>
        <v>-0.59459936463113305</v>
      </c>
      <c r="I117" s="57">
        <f t="shared" si="16"/>
        <v>-6114</v>
      </c>
      <c r="J117" s="58">
        <f t="shared" si="17"/>
        <v>-0.46650389134747444</v>
      </c>
      <c r="K117" s="57">
        <f t="shared" si="18"/>
        <v>3145</v>
      </c>
      <c r="L117" s="58">
        <f t="shared" si="19"/>
        <v>0.16168003290150113</v>
      </c>
      <c r="M117" s="57">
        <f t="shared" si="20"/>
        <v>3027</v>
      </c>
      <c r="N117" s="58">
        <f t="shared" si="21"/>
        <v>0.16847553848722657</v>
      </c>
      <c r="O117" s="57">
        <f t="shared" si="22"/>
        <v>-971</v>
      </c>
      <c r="P117" s="58">
        <f t="shared" si="23"/>
        <v>-0.18836081474296798</v>
      </c>
      <c r="Q117" s="57">
        <f t="shared" si="24"/>
        <v>-17321</v>
      </c>
      <c r="R117" s="58">
        <f t="shared" si="25"/>
        <v>-9.6838939082207712E-2</v>
      </c>
    </row>
    <row r="120" spans="1:18" x14ac:dyDescent="0.25">
      <c r="C120" s="46" t="s">
        <v>139</v>
      </c>
    </row>
    <row r="122" spans="1:18" x14ac:dyDescent="0.25">
      <c r="C122" s="50" t="s">
        <v>140</v>
      </c>
      <c r="D122" s="43" t="s">
        <v>141</v>
      </c>
      <c r="E122" s="50" t="s">
        <v>142</v>
      </c>
      <c r="F122" s="43" t="s">
        <v>143</v>
      </c>
      <c r="G122" s="50" t="s">
        <v>144</v>
      </c>
      <c r="H122" s="43" t="s">
        <v>145</v>
      </c>
      <c r="I122" s="50" t="s">
        <v>146</v>
      </c>
      <c r="J122" s="43" t="s">
        <v>145</v>
      </c>
      <c r="K122" s="50" t="s">
        <v>147</v>
      </c>
      <c r="L122" s="43" t="s">
        <v>145</v>
      </c>
      <c r="M122" s="50" t="s">
        <v>148</v>
      </c>
      <c r="N122" s="43" t="s">
        <v>145</v>
      </c>
      <c r="O122" s="43"/>
      <c r="P122" s="43"/>
      <c r="Q122" s="43"/>
    </row>
    <row r="123" spans="1:18" x14ac:dyDescent="0.25">
      <c r="A123" s="43" t="str">
        <f>A83</f>
        <v>Departamento</v>
      </c>
      <c r="B123" s="40" t="s">
        <v>149</v>
      </c>
      <c r="C123" s="44">
        <v>2014</v>
      </c>
      <c r="D123" s="44">
        <v>2008</v>
      </c>
      <c r="E123" s="44">
        <v>2014</v>
      </c>
      <c r="F123" s="44">
        <v>2008</v>
      </c>
      <c r="G123" s="44">
        <v>2014</v>
      </c>
      <c r="H123" s="44">
        <v>2008</v>
      </c>
      <c r="I123" s="44">
        <v>2014</v>
      </c>
      <c r="J123" s="44">
        <v>2008</v>
      </c>
      <c r="K123" s="44">
        <v>2014</v>
      </c>
      <c r="L123" s="44">
        <v>2008</v>
      </c>
      <c r="M123" s="44">
        <v>2014</v>
      </c>
      <c r="N123" s="44">
        <v>2008</v>
      </c>
      <c r="O123" s="44"/>
      <c r="P123" s="44"/>
      <c r="Q123" s="44"/>
    </row>
    <row r="124" spans="1:18" x14ac:dyDescent="0.25">
      <c r="A124" s="43" t="str">
        <f>A84</f>
        <v>SANTIAGO DEL ESTERO</v>
      </c>
      <c r="B124" s="47">
        <v>13635100</v>
      </c>
      <c r="C124" s="61">
        <f>Q44/B124</f>
        <v>9.4871911463795644E-2</v>
      </c>
      <c r="D124" s="61">
        <f>R44/B124</f>
        <v>0.10187640721373514</v>
      </c>
      <c r="E124" s="61">
        <f>C44/Q44</f>
        <v>0.45521989999907236</v>
      </c>
      <c r="F124" s="61">
        <f>D44/R44</f>
        <v>0.41277162469089584</v>
      </c>
      <c r="G124" s="61">
        <f>E44/C44</f>
        <v>0.33868938147323591</v>
      </c>
      <c r="H124" s="61">
        <f>F44/D44</f>
        <v>0.42965124289518802</v>
      </c>
      <c r="I124" s="61">
        <f>(K44+M44)/C44</f>
        <v>0.50628579967972398</v>
      </c>
      <c r="J124" s="61">
        <f>(L44+N44)/D44</f>
        <v>0.48401144792536871</v>
      </c>
      <c r="K124" s="61">
        <f>(G44+I44)/C44</f>
        <v>0.29422263431301127</v>
      </c>
      <c r="L124" s="61">
        <f>(H44+J44)/D44</f>
        <v>0.45237966510806987</v>
      </c>
      <c r="M124" s="61">
        <f>O44/C44</f>
        <v>5.7542704889219469E-2</v>
      </c>
      <c r="N124" s="61">
        <f>P44/D44</f>
        <v>5.6535031802699434E-2</v>
      </c>
    </row>
    <row r="125" spans="1:18" x14ac:dyDescent="0.25">
      <c r="A125" s="40" t="str">
        <f t="shared" ref="A125:A157" si="26">A85</f>
        <v>CAPITAL</v>
      </c>
      <c r="B125" s="45">
        <v>211600</v>
      </c>
      <c r="C125" s="62">
        <f t="shared" ref="C125:C157" si="27">Q45/B125</f>
        <v>4.0108695652173912E-2</v>
      </c>
      <c r="D125" s="62">
        <f t="shared" ref="D125:D157" si="28">R45/B125</f>
        <v>5.3525519848771269E-2</v>
      </c>
      <c r="E125" s="62">
        <f t="shared" ref="E125:F140" si="29">C45/Q45</f>
        <v>0.55873689171674323</v>
      </c>
      <c r="F125" s="62">
        <f t="shared" si="29"/>
        <v>0.43404555889104712</v>
      </c>
      <c r="G125" s="62">
        <f t="shared" ref="G125:H140" si="30">E45/C45</f>
        <v>0.23239139603542808</v>
      </c>
      <c r="H125" s="62">
        <f t="shared" si="30"/>
        <v>0.45219690805532953</v>
      </c>
      <c r="I125" s="62">
        <f>(K45+M45)/C45</f>
        <v>0.39413749472796289</v>
      </c>
      <c r="J125" s="62">
        <f>(L45+N45)/D45</f>
        <v>0.45626525630593978</v>
      </c>
      <c r="K125" s="62">
        <f t="shared" ref="K125:L140" si="31">(G45+I45)/C45</f>
        <v>0.10354280894137495</v>
      </c>
      <c r="L125" s="62">
        <f t="shared" si="31"/>
        <v>0.3240439381611066</v>
      </c>
      <c r="M125" s="62">
        <f t="shared" ref="M125:N140" si="32">O45/C45</f>
        <v>5.9679460143399407E-2</v>
      </c>
      <c r="N125" s="62">
        <f t="shared" si="32"/>
        <v>7.1399511798209928E-2</v>
      </c>
    </row>
    <row r="126" spans="1:18" x14ac:dyDescent="0.25">
      <c r="A126" s="40" t="str">
        <f t="shared" si="26"/>
        <v>FIGUEROA</v>
      </c>
      <c r="B126" s="45">
        <v>669500</v>
      </c>
      <c r="C126" s="62">
        <f t="shared" si="27"/>
        <v>2.431665421956684E-2</v>
      </c>
      <c r="D126" s="62">
        <f t="shared" si="28"/>
        <v>2.1354742345033609E-2</v>
      </c>
      <c r="E126" s="62">
        <f t="shared" si="29"/>
        <v>0.48544226044226046</v>
      </c>
      <c r="F126" s="62">
        <f t="shared" si="29"/>
        <v>0.50626005455690004</v>
      </c>
      <c r="G126" s="62">
        <f t="shared" si="30"/>
        <v>0.33455649753258254</v>
      </c>
      <c r="H126" s="62">
        <f t="shared" si="30"/>
        <v>0.21953578336557059</v>
      </c>
      <c r="I126" s="62">
        <f t="shared" ref="I126:J141" si="33">(K46+M46)/C46</f>
        <v>0.49841832215614323</v>
      </c>
      <c r="J126" s="62">
        <f t="shared" si="33"/>
        <v>0.51657916551533578</v>
      </c>
      <c r="K126" s="62">
        <f t="shared" si="31"/>
        <v>0.15462482601543717</v>
      </c>
      <c r="L126" s="62">
        <f t="shared" si="31"/>
        <v>0.18112738325504282</v>
      </c>
      <c r="M126" s="62">
        <f t="shared" si="32"/>
        <v>7.237757813488549E-2</v>
      </c>
      <c r="N126" s="62">
        <f t="shared" si="32"/>
        <v>5.7474440453163855E-2</v>
      </c>
    </row>
    <row r="127" spans="1:18" x14ac:dyDescent="0.25">
      <c r="A127" s="40" t="str">
        <f t="shared" si="26"/>
        <v>LA BANDA</v>
      </c>
      <c r="B127" s="45">
        <v>913900</v>
      </c>
      <c r="C127" s="62">
        <f t="shared" si="27"/>
        <v>3.2145748987854252E-2</v>
      </c>
      <c r="D127" s="62">
        <f t="shared" si="28"/>
        <v>2.8238319290950869E-2</v>
      </c>
      <c r="E127" s="62">
        <f t="shared" si="29"/>
        <v>0.44254203825992239</v>
      </c>
      <c r="F127" s="62">
        <f t="shared" si="29"/>
        <v>0.50986166543960942</v>
      </c>
      <c r="G127" s="62">
        <f t="shared" si="30"/>
        <v>0.37520190754557342</v>
      </c>
      <c r="H127" s="62">
        <f t="shared" si="30"/>
        <v>0.35392916856665146</v>
      </c>
      <c r="I127" s="62">
        <f t="shared" si="33"/>
        <v>0.52034458887777868</v>
      </c>
      <c r="J127" s="62">
        <f t="shared" si="33"/>
        <v>0.36882504939960481</v>
      </c>
      <c r="K127" s="62">
        <f t="shared" si="31"/>
        <v>0.28659333897392508</v>
      </c>
      <c r="L127" s="62">
        <f t="shared" si="31"/>
        <v>0.1788265693874449</v>
      </c>
      <c r="M127" s="62">
        <f t="shared" si="32"/>
        <v>7.7532497500192296E-2</v>
      </c>
      <c r="N127" s="62">
        <f t="shared" si="32"/>
        <v>5.9659522723818206E-2</v>
      </c>
    </row>
    <row r="128" spans="1:18" x14ac:dyDescent="0.25">
      <c r="A128" s="40" t="str">
        <f t="shared" si="26"/>
        <v>LORETO</v>
      </c>
      <c r="B128" s="45">
        <v>333700</v>
      </c>
      <c r="C128" s="62">
        <f t="shared" si="27"/>
        <v>3.7959244830686245E-2</v>
      </c>
      <c r="D128" s="62">
        <f t="shared" si="28"/>
        <v>5.1905903506143242E-2</v>
      </c>
      <c r="E128" s="62">
        <f t="shared" si="29"/>
        <v>0.41864687771374437</v>
      </c>
      <c r="F128" s="62">
        <f t="shared" si="29"/>
        <v>0.41804745684429306</v>
      </c>
      <c r="G128" s="62">
        <f t="shared" si="30"/>
        <v>0.33961908353762021</v>
      </c>
      <c r="H128" s="62">
        <f t="shared" si="30"/>
        <v>0.47465819638171525</v>
      </c>
      <c r="I128" s="62">
        <f t="shared" si="33"/>
        <v>0.689043937393928</v>
      </c>
      <c r="J128" s="62">
        <f t="shared" si="33"/>
        <v>0.46540533075542051</v>
      </c>
      <c r="K128" s="62">
        <f t="shared" si="31"/>
        <v>0.29832170469545538</v>
      </c>
      <c r="L128" s="62">
        <f t="shared" si="31"/>
        <v>0.40201629609170003</v>
      </c>
      <c r="M128" s="62">
        <f t="shared" si="32"/>
        <v>6.1663209504054309E-2</v>
      </c>
      <c r="N128" s="62">
        <f t="shared" si="32"/>
        <v>4.9993094876398289E-2</v>
      </c>
    </row>
    <row r="129" spans="1:14" x14ac:dyDescent="0.25">
      <c r="A129" s="40" t="str">
        <f t="shared" si="26"/>
        <v>ROBLES</v>
      </c>
      <c r="B129" s="45">
        <v>142400</v>
      </c>
      <c r="C129" s="62">
        <f t="shared" si="27"/>
        <v>0.29042134831460675</v>
      </c>
      <c r="D129" s="62">
        <f t="shared" si="28"/>
        <v>0.26040730337078649</v>
      </c>
      <c r="E129" s="62">
        <f t="shared" si="29"/>
        <v>0.38289486410678014</v>
      </c>
      <c r="F129" s="62">
        <f t="shared" si="29"/>
        <v>0.37465616741276092</v>
      </c>
      <c r="G129" s="62">
        <f t="shared" si="30"/>
        <v>0.48411746131986105</v>
      </c>
      <c r="H129" s="62">
        <f t="shared" si="30"/>
        <v>0.48722378176059888</v>
      </c>
      <c r="I129" s="62">
        <f t="shared" si="33"/>
        <v>0.55920429428481211</v>
      </c>
      <c r="J129" s="62">
        <f t="shared" si="33"/>
        <v>0.68192614985964151</v>
      </c>
      <c r="K129" s="62">
        <f t="shared" si="31"/>
        <v>0.5170192611304073</v>
      </c>
      <c r="L129" s="62">
        <f t="shared" si="31"/>
        <v>0.43611890880299431</v>
      </c>
      <c r="M129" s="62">
        <f t="shared" si="32"/>
        <v>5.1341964003789077E-2</v>
      </c>
      <c r="N129" s="62">
        <f t="shared" si="32"/>
        <v>6.384510184985244E-2</v>
      </c>
    </row>
    <row r="130" spans="1:14" x14ac:dyDescent="0.25">
      <c r="A130" s="40" t="str">
        <f t="shared" si="26"/>
        <v>SAN MARTIN</v>
      </c>
      <c r="B130" s="45">
        <v>209700</v>
      </c>
      <c r="C130" s="62">
        <f t="shared" si="27"/>
        <v>3.1168335717691942E-2</v>
      </c>
      <c r="D130" s="62">
        <f t="shared" si="28"/>
        <v>2.2212684787792085E-2</v>
      </c>
      <c r="E130" s="62">
        <f t="shared" si="29"/>
        <v>0.50780293757649941</v>
      </c>
      <c r="F130" s="62">
        <f t="shared" si="29"/>
        <v>0.55302705023615284</v>
      </c>
      <c r="G130" s="62">
        <f t="shared" si="30"/>
        <v>0.24043386562217536</v>
      </c>
      <c r="H130" s="62">
        <f t="shared" si="30"/>
        <v>0.18167701863354038</v>
      </c>
      <c r="I130" s="62">
        <f t="shared" si="33"/>
        <v>0.54052425429346185</v>
      </c>
      <c r="J130" s="62">
        <f t="shared" si="33"/>
        <v>0.43633540372670809</v>
      </c>
      <c r="K130" s="62">
        <f t="shared" si="31"/>
        <v>0.14010244049412474</v>
      </c>
      <c r="L130" s="62">
        <f t="shared" si="31"/>
        <v>0.15100931677018634</v>
      </c>
      <c r="M130" s="62">
        <f t="shared" si="32"/>
        <v>4.8207291352817115E-2</v>
      </c>
      <c r="N130" s="62">
        <f t="shared" si="32"/>
        <v>3.9208074534161488E-2</v>
      </c>
    </row>
    <row r="131" spans="1:14" x14ac:dyDescent="0.25">
      <c r="A131" s="40" t="str">
        <f t="shared" si="26"/>
        <v>SARMIENTO</v>
      </c>
      <c r="B131" s="45">
        <v>154900</v>
      </c>
      <c r="C131" s="62">
        <f t="shared" si="27"/>
        <v>6.1665590703679794E-2</v>
      </c>
      <c r="D131" s="62">
        <f t="shared" si="28"/>
        <v>4.4816010329244677E-2</v>
      </c>
      <c r="E131" s="62">
        <f t="shared" si="29"/>
        <v>0.36557788944723618</v>
      </c>
      <c r="F131" s="62">
        <f t="shared" si="29"/>
        <v>0.34860270815326994</v>
      </c>
      <c r="G131" s="62">
        <f t="shared" si="30"/>
        <v>0.55870561282932418</v>
      </c>
      <c r="H131" s="62">
        <f t="shared" si="30"/>
        <v>0.521900826446281</v>
      </c>
      <c r="I131" s="62">
        <f t="shared" si="33"/>
        <v>0.66781214203894612</v>
      </c>
      <c r="J131" s="62">
        <f t="shared" si="33"/>
        <v>0.80909090909090908</v>
      </c>
      <c r="K131" s="62">
        <f t="shared" si="31"/>
        <v>0.44644902634593359</v>
      </c>
      <c r="L131" s="62">
        <f t="shared" si="31"/>
        <v>0.42644628099173554</v>
      </c>
      <c r="M131" s="62">
        <f t="shared" si="32"/>
        <v>6.2428407789232532E-2</v>
      </c>
      <c r="N131" s="62">
        <f t="shared" si="32"/>
        <v>0.11115702479338843</v>
      </c>
    </row>
    <row r="132" spans="1:14" x14ac:dyDescent="0.25">
      <c r="A132" s="40" t="str">
        <f t="shared" si="26"/>
        <v>SILIPICA</v>
      </c>
      <c r="B132" s="45">
        <v>117900</v>
      </c>
      <c r="C132" s="62">
        <f t="shared" si="27"/>
        <v>5.4240882103477522E-2</v>
      </c>
      <c r="D132" s="62">
        <f t="shared" si="28"/>
        <v>5.5114503816793892E-2</v>
      </c>
      <c r="E132" s="62">
        <f t="shared" si="29"/>
        <v>0.48694292415949963</v>
      </c>
      <c r="F132" s="62">
        <f t="shared" si="29"/>
        <v>0.43013234841489689</v>
      </c>
      <c r="G132" s="62">
        <f t="shared" si="30"/>
        <v>0.33140655105973027</v>
      </c>
      <c r="H132" s="62">
        <f t="shared" si="30"/>
        <v>0.57101967799642217</v>
      </c>
      <c r="I132" s="62">
        <f t="shared" si="33"/>
        <v>0.46114322414900449</v>
      </c>
      <c r="J132" s="62">
        <f t="shared" si="33"/>
        <v>0.41431127012522362</v>
      </c>
      <c r="K132" s="62">
        <f t="shared" si="31"/>
        <v>0.2071290944123314</v>
      </c>
      <c r="L132" s="62">
        <f t="shared" si="31"/>
        <v>0.27084078711985687</v>
      </c>
      <c r="M132" s="62">
        <f t="shared" si="32"/>
        <v>5.3949903660886318E-2</v>
      </c>
      <c r="N132" s="62">
        <f t="shared" si="32"/>
        <v>6.869409660107334E-2</v>
      </c>
    </row>
    <row r="133" spans="1:14" x14ac:dyDescent="0.25">
      <c r="A133" s="50" t="str">
        <f t="shared" si="26"/>
        <v>Total Centro</v>
      </c>
      <c r="B133" s="47">
        <f>SUM(B125:B132)</f>
        <v>2753600</v>
      </c>
      <c r="C133" s="61">
        <f>Q53/B133</f>
        <v>4.7447341661824523E-2</v>
      </c>
      <c r="D133" s="61">
        <f t="shared" si="28"/>
        <v>4.5006900058105752E-2</v>
      </c>
      <c r="E133" s="61">
        <f t="shared" si="29"/>
        <v>0.43404949062770282</v>
      </c>
      <c r="F133" s="61">
        <f t="shared" si="29"/>
        <v>0.43763868604304007</v>
      </c>
      <c r="G133" s="61">
        <f t="shared" si="30"/>
        <v>0.38568833871166835</v>
      </c>
      <c r="H133" s="61">
        <f t="shared" si="30"/>
        <v>0.40566403009015983</v>
      </c>
      <c r="I133" s="61">
        <f t="shared" si="33"/>
        <v>0.54037278033469116</v>
      </c>
      <c r="J133" s="61">
        <f t="shared" si="33"/>
        <v>0.51475929715876612</v>
      </c>
      <c r="K133" s="61">
        <f t="shared" si="31"/>
        <v>0.31524096704226845</v>
      </c>
      <c r="L133" s="61">
        <f t="shared" si="31"/>
        <v>0.30246879436547008</v>
      </c>
      <c r="M133" s="61">
        <f t="shared" si="32"/>
        <v>6.2582658837221611E-2</v>
      </c>
      <c r="N133" s="61">
        <f t="shared" si="32"/>
        <v>6.2005641904972618E-2</v>
      </c>
    </row>
    <row r="134" spans="1:14" x14ac:dyDescent="0.25">
      <c r="A134" s="40" t="str">
        <f t="shared" si="26"/>
        <v>ALBERDI</v>
      </c>
      <c r="B134" s="45">
        <v>1350700</v>
      </c>
      <c r="C134" s="62">
        <f t="shared" si="27"/>
        <v>9.6891241578440812E-2</v>
      </c>
      <c r="D134" s="62">
        <f t="shared" si="28"/>
        <v>7.5353520396831269E-2</v>
      </c>
      <c r="E134" s="62">
        <f t="shared" si="29"/>
        <v>0.38567749921678601</v>
      </c>
      <c r="F134" s="62">
        <f t="shared" si="29"/>
        <v>0.36917862055413636</v>
      </c>
      <c r="G134" s="62">
        <f t="shared" si="30"/>
        <v>0.36345445179696478</v>
      </c>
      <c r="H134" s="62">
        <f t="shared" si="30"/>
        <v>0.48497671324018632</v>
      </c>
      <c r="I134" s="62">
        <f t="shared" si="33"/>
        <v>0.62206284423663671</v>
      </c>
      <c r="J134" s="62">
        <f t="shared" si="33"/>
        <v>0.54310046573519632</v>
      </c>
      <c r="K134" s="62">
        <f t="shared" si="31"/>
        <v>0.54202163490113719</v>
      </c>
      <c r="L134" s="62">
        <f t="shared" si="31"/>
        <v>0.60974051896207582</v>
      </c>
      <c r="M134" s="62">
        <f t="shared" si="32"/>
        <v>6.5300947022229272E-2</v>
      </c>
      <c r="N134" s="62">
        <f t="shared" si="32"/>
        <v>7.0871590153027283E-2</v>
      </c>
    </row>
    <row r="135" spans="1:14" x14ac:dyDescent="0.25">
      <c r="A135" s="40" t="str">
        <f t="shared" si="26"/>
        <v>COPO</v>
      </c>
      <c r="B135" s="45">
        <v>1260400</v>
      </c>
      <c r="C135" s="62">
        <f t="shared" si="27"/>
        <v>5.3587749920660108E-2</v>
      </c>
      <c r="D135" s="62">
        <f t="shared" si="28"/>
        <v>4.4269279593779749E-2</v>
      </c>
      <c r="E135" s="62">
        <f t="shared" si="29"/>
        <v>0.45811495069734387</v>
      </c>
      <c r="F135" s="62">
        <f t="shared" si="29"/>
        <v>0.44500600390702011</v>
      </c>
      <c r="G135" s="62">
        <f t="shared" si="30"/>
        <v>0.27913515609850686</v>
      </c>
      <c r="H135" s="62">
        <f t="shared" si="30"/>
        <v>0.32154651631091424</v>
      </c>
      <c r="I135" s="62">
        <f t="shared" si="33"/>
        <v>0.49964449615409473</v>
      </c>
      <c r="J135" s="62">
        <f t="shared" si="33"/>
        <v>0.48380990737011681</v>
      </c>
      <c r="K135" s="62">
        <f t="shared" si="31"/>
        <v>0.32848555361644366</v>
      </c>
      <c r="L135" s="62">
        <f t="shared" si="31"/>
        <v>0.36379379782521143</v>
      </c>
      <c r="M135" s="62">
        <f t="shared" si="32"/>
        <v>7.5593045052032834E-2</v>
      </c>
      <c r="N135" s="62">
        <f t="shared" si="32"/>
        <v>7.8010471204188483E-2</v>
      </c>
    </row>
    <row r="136" spans="1:14" x14ac:dyDescent="0.25">
      <c r="A136" s="40" t="str">
        <f t="shared" si="26"/>
        <v>JUAN F. IBARRA</v>
      </c>
      <c r="B136" s="45">
        <v>359700</v>
      </c>
      <c r="C136" s="62">
        <f t="shared" si="27"/>
        <v>0.16303030303030303</v>
      </c>
      <c r="D136" s="62">
        <f t="shared" si="28"/>
        <v>0.1694134000556019</v>
      </c>
      <c r="E136" s="62">
        <f t="shared" si="29"/>
        <v>0.45387265100098906</v>
      </c>
      <c r="F136" s="62">
        <f t="shared" si="29"/>
        <v>0.42027962847484329</v>
      </c>
      <c r="G136" s="62">
        <f t="shared" si="30"/>
        <v>0.35121731289449953</v>
      </c>
      <c r="H136" s="62">
        <f t="shared" si="30"/>
        <v>0.50263558627152394</v>
      </c>
      <c r="I136" s="62">
        <f t="shared" si="33"/>
        <v>0.5464758040276525</v>
      </c>
      <c r="J136" s="62">
        <f t="shared" si="33"/>
        <v>0.46854867049314747</v>
      </c>
      <c r="K136" s="62">
        <f t="shared" si="31"/>
        <v>0.23974301172227233</v>
      </c>
      <c r="L136" s="62">
        <f t="shared" si="31"/>
        <v>0.34852211940181954</v>
      </c>
      <c r="M136" s="62">
        <f t="shared" si="32"/>
        <v>6.5825067628494133E-2</v>
      </c>
      <c r="N136" s="62">
        <f t="shared" si="32"/>
        <v>5.966186404279411E-2</v>
      </c>
    </row>
    <row r="137" spans="1:14" x14ac:dyDescent="0.25">
      <c r="A137" s="40" t="str">
        <f t="shared" si="26"/>
        <v>MORENO</v>
      </c>
      <c r="B137" s="45">
        <v>1612700</v>
      </c>
      <c r="C137" s="62">
        <f t="shared" si="27"/>
        <v>0.1538190612017114</v>
      </c>
      <c r="D137" s="62">
        <f t="shared" si="28"/>
        <v>0.16938860296397346</v>
      </c>
      <c r="E137" s="62">
        <f t="shared" si="29"/>
        <v>0.41741647316821467</v>
      </c>
      <c r="F137" s="62">
        <f t="shared" si="29"/>
        <v>0.36394519224081445</v>
      </c>
      <c r="G137" s="62">
        <f t="shared" si="30"/>
        <v>0.40107778185540727</v>
      </c>
      <c r="H137" s="62">
        <f t="shared" si="30"/>
        <v>0.51601287467310397</v>
      </c>
      <c r="I137" s="62">
        <f t="shared" si="33"/>
        <v>0.55285573561508894</v>
      </c>
      <c r="J137" s="62">
        <f t="shared" si="33"/>
        <v>0.56917119291892981</v>
      </c>
      <c r="K137" s="62">
        <f t="shared" si="31"/>
        <v>0.37883645915824848</v>
      </c>
      <c r="L137" s="62">
        <f t="shared" si="31"/>
        <v>0.60231341782337555</v>
      </c>
      <c r="M137" s="62">
        <f t="shared" si="32"/>
        <v>6.2918895949626255E-2</v>
      </c>
      <c r="N137" s="62">
        <f t="shared" si="32"/>
        <v>6.0168980084490044E-2</v>
      </c>
    </row>
    <row r="138" spans="1:14" x14ac:dyDescent="0.25">
      <c r="A138" s="50" t="str">
        <f t="shared" si="26"/>
        <v>Total Este</v>
      </c>
      <c r="B138" s="47">
        <f>SUM(B134:B137)</f>
        <v>4583500</v>
      </c>
      <c r="C138" s="61">
        <f t="shared" si="27"/>
        <v>0.11020377440820334</v>
      </c>
      <c r="D138" s="61">
        <f t="shared" si="28"/>
        <v>0.10727348096432857</v>
      </c>
      <c r="E138" s="61">
        <f t="shared" si="29"/>
        <v>0.41886763317158926</v>
      </c>
      <c r="F138" s="61">
        <f t="shared" si="29"/>
        <v>0.38120922210832886</v>
      </c>
      <c r="G138" s="61">
        <f t="shared" si="30"/>
        <v>0.36799667262191721</v>
      </c>
      <c r="H138" s="61">
        <f t="shared" si="30"/>
        <v>0.48220192492370728</v>
      </c>
      <c r="I138" s="61">
        <f t="shared" si="33"/>
        <v>0.56078136668273637</v>
      </c>
      <c r="J138" s="61">
        <f t="shared" si="33"/>
        <v>0.53888794041699561</v>
      </c>
      <c r="K138" s="61">
        <f t="shared" si="31"/>
        <v>0.39290474434960154</v>
      </c>
      <c r="L138" s="61">
        <f t="shared" si="31"/>
        <v>0.53752747604515672</v>
      </c>
      <c r="M138" s="61">
        <f t="shared" si="32"/>
        <v>6.570626435640757E-2</v>
      </c>
      <c r="N138" s="61">
        <f t="shared" si="32"/>
        <v>6.4608719776350326E-2</v>
      </c>
    </row>
    <row r="139" spans="1:14" x14ac:dyDescent="0.25">
      <c r="A139" s="40" t="str">
        <f t="shared" si="26"/>
        <v>JIMENEZ</v>
      </c>
      <c r="B139" s="45">
        <v>483200</v>
      </c>
      <c r="C139" s="62">
        <f t="shared" si="27"/>
        <v>0.10224337748344371</v>
      </c>
      <c r="D139" s="62">
        <f t="shared" si="28"/>
        <v>0.11992135761589404</v>
      </c>
      <c r="E139" s="62">
        <f t="shared" si="29"/>
        <v>0.47540684964780178</v>
      </c>
      <c r="F139" s="62">
        <f t="shared" si="29"/>
        <v>0.44703689642080557</v>
      </c>
      <c r="G139" s="62">
        <f t="shared" si="30"/>
        <v>0.3031464214246179</v>
      </c>
      <c r="H139" s="62">
        <f t="shared" si="30"/>
        <v>0.42588017294626312</v>
      </c>
      <c r="I139" s="62">
        <f t="shared" si="33"/>
        <v>0.68122791331374799</v>
      </c>
      <c r="J139" s="62">
        <f t="shared" si="33"/>
        <v>0.58971587399629399</v>
      </c>
      <c r="K139" s="62">
        <f t="shared" si="31"/>
        <v>6.7398986673478947E-2</v>
      </c>
      <c r="L139" s="62">
        <f t="shared" si="31"/>
        <v>0.17105466337245212</v>
      </c>
      <c r="M139" s="62">
        <f t="shared" si="32"/>
        <v>5.1688167922680633E-2</v>
      </c>
      <c r="N139" s="62">
        <f t="shared" si="32"/>
        <v>5.0301111797405804E-2</v>
      </c>
    </row>
    <row r="140" spans="1:14" x14ac:dyDescent="0.25">
      <c r="A140" s="40" t="str">
        <f t="shared" si="26"/>
        <v>PELLEGRINI</v>
      </c>
      <c r="B140" s="45">
        <v>733000</v>
      </c>
      <c r="C140" s="62">
        <f t="shared" si="27"/>
        <v>5.6504774897680764E-2</v>
      </c>
      <c r="D140" s="62">
        <f t="shared" si="28"/>
        <v>5.3036834924965894E-2</v>
      </c>
      <c r="E140" s="62">
        <f t="shared" si="29"/>
        <v>0.58621855232024722</v>
      </c>
      <c r="F140" s="62">
        <f t="shared" si="29"/>
        <v>0.48757588229241694</v>
      </c>
      <c r="G140" s="62">
        <f t="shared" si="30"/>
        <v>0.20918451400329488</v>
      </c>
      <c r="H140" s="62">
        <f t="shared" si="30"/>
        <v>0.38248483249802162</v>
      </c>
      <c r="I140" s="62">
        <f t="shared" si="33"/>
        <v>0.2914332784184514</v>
      </c>
      <c r="J140" s="62">
        <f t="shared" si="33"/>
        <v>0.34967027169612241</v>
      </c>
      <c r="K140" s="62">
        <f t="shared" si="31"/>
        <v>0.14748764415156507</v>
      </c>
      <c r="L140" s="62">
        <f t="shared" si="31"/>
        <v>0.2603534687417568</v>
      </c>
      <c r="M140" s="62">
        <f t="shared" si="32"/>
        <v>5.7742998352553539E-2</v>
      </c>
      <c r="N140" s="62">
        <f t="shared" si="32"/>
        <v>5.8454233711421791E-2</v>
      </c>
    </row>
    <row r="141" spans="1:14" x14ac:dyDescent="0.25">
      <c r="A141" s="50" t="str">
        <f t="shared" si="26"/>
        <v>Total Noroeste</v>
      </c>
      <c r="B141" s="47">
        <f>SUM(B139:B140)</f>
        <v>1216200</v>
      </c>
      <c r="C141" s="61">
        <f t="shared" si="27"/>
        <v>7.4676862358164772E-2</v>
      </c>
      <c r="D141" s="61">
        <f t="shared" si="28"/>
        <v>7.9610261470152932E-2</v>
      </c>
      <c r="E141" s="61">
        <f t="shared" ref="E141:F156" si="34">C61/Q61</f>
        <v>0.52594085133557944</v>
      </c>
      <c r="F141" s="61">
        <f t="shared" si="34"/>
        <v>0.46331412282332529</v>
      </c>
      <c r="G141" s="61">
        <f t="shared" ref="G141:H156" si="35">E61/C61</f>
        <v>0.25538551719806563</v>
      </c>
      <c r="H141" s="61">
        <f t="shared" si="35"/>
        <v>0.4075436367284157</v>
      </c>
      <c r="I141" s="61">
        <f t="shared" si="33"/>
        <v>0.48309502376117403</v>
      </c>
      <c r="J141" s="61">
        <f t="shared" si="33"/>
        <v>0.48828551684165944</v>
      </c>
      <c r="K141" s="61">
        <f t="shared" ref="K141:L156" si="36">(G61+I61)/C61</f>
        <v>0.10810810810810811</v>
      </c>
      <c r="L141" s="61">
        <f t="shared" si="36"/>
        <v>0.20878753427405872</v>
      </c>
      <c r="M141" s="61">
        <f t="shared" ref="M141:N156" si="37">O61/C61</f>
        <v>5.476584252726778E-2</v>
      </c>
      <c r="N141" s="61">
        <f t="shared" si="37"/>
        <v>5.3746182482890835E-2</v>
      </c>
    </row>
    <row r="142" spans="1:14" x14ac:dyDescent="0.25">
      <c r="A142" s="40" t="str">
        <f t="shared" si="26"/>
        <v>CHOYA</v>
      </c>
      <c r="B142" s="45">
        <v>649200</v>
      </c>
      <c r="C142" s="62">
        <f t="shared" si="27"/>
        <v>5.1018176216882316E-2</v>
      </c>
      <c r="D142" s="62">
        <f t="shared" si="28"/>
        <v>3.6866913123844734E-2</v>
      </c>
      <c r="E142" s="62">
        <f t="shared" si="34"/>
        <v>0.44585006491349899</v>
      </c>
      <c r="F142" s="62">
        <f t="shared" si="34"/>
        <v>0.44376201220021727</v>
      </c>
      <c r="G142" s="62">
        <f t="shared" si="35"/>
        <v>0.30310828198009077</v>
      </c>
      <c r="H142" s="62">
        <f t="shared" si="35"/>
        <v>0.39054702946991809</v>
      </c>
      <c r="I142" s="62">
        <f t="shared" ref="I142:J157" si="38">(K62+M62)/C62</f>
        <v>0.44315026748831854</v>
      </c>
      <c r="J142" s="62">
        <f t="shared" si="38"/>
        <v>0.40617644289614913</v>
      </c>
      <c r="K142" s="62">
        <f t="shared" si="36"/>
        <v>0.44213448906345232</v>
      </c>
      <c r="L142" s="62">
        <f t="shared" si="36"/>
        <v>0.41050748517088786</v>
      </c>
      <c r="M142" s="62">
        <f t="shared" si="37"/>
        <v>5.4513442134489061E-2</v>
      </c>
      <c r="N142" s="62">
        <f t="shared" si="37"/>
        <v>4.6229168628189439E-2</v>
      </c>
    </row>
    <row r="143" spans="1:14" x14ac:dyDescent="0.25">
      <c r="A143" s="40" t="str">
        <f t="shared" si="26"/>
        <v>GUASAYAN</v>
      </c>
      <c r="B143" s="45">
        <v>258800</v>
      </c>
      <c r="C143" s="62">
        <f t="shared" si="27"/>
        <v>8.8643740340030919E-2</v>
      </c>
      <c r="D143" s="62">
        <f t="shared" si="28"/>
        <v>0.11887944358578052</v>
      </c>
      <c r="E143" s="62">
        <f t="shared" si="34"/>
        <v>0.6067738982607559</v>
      </c>
      <c r="F143" s="62">
        <f t="shared" si="34"/>
        <v>0.52756289410388091</v>
      </c>
      <c r="G143" s="62">
        <f t="shared" si="35"/>
        <v>0.13469827586206898</v>
      </c>
      <c r="H143" s="62">
        <f t="shared" si="35"/>
        <v>0.38765325611484197</v>
      </c>
      <c r="I143" s="62">
        <f t="shared" si="38"/>
        <v>0.36063218390804597</v>
      </c>
      <c r="J143" s="62">
        <f t="shared" si="38"/>
        <v>0.28371634526523321</v>
      </c>
      <c r="K143" s="62">
        <f t="shared" si="36"/>
        <v>8.4482758620689657E-2</v>
      </c>
      <c r="L143" s="62">
        <f t="shared" si="36"/>
        <v>0.17811595095804325</v>
      </c>
      <c r="M143" s="62">
        <f t="shared" si="37"/>
        <v>6.8247126436781616E-2</v>
      </c>
      <c r="N143" s="62">
        <f t="shared" si="37"/>
        <v>4.6023042326412418E-2</v>
      </c>
    </row>
    <row r="144" spans="1:14" x14ac:dyDescent="0.25">
      <c r="A144" s="40" t="str">
        <f t="shared" si="26"/>
        <v>RIO HONDO</v>
      </c>
      <c r="B144" s="45">
        <v>212400</v>
      </c>
      <c r="C144" s="62">
        <f t="shared" si="27"/>
        <v>9.7551789077212799E-3</v>
      </c>
      <c r="D144" s="62">
        <f t="shared" si="28"/>
        <v>9.6516007532956687E-3</v>
      </c>
      <c r="E144" s="62">
        <f t="shared" si="34"/>
        <v>0.36148648648648651</v>
      </c>
      <c r="F144" s="62">
        <f t="shared" si="34"/>
        <v>0.26878048780487807</v>
      </c>
      <c r="G144" s="62">
        <f t="shared" si="35"/>
        <v>0.16955941255006676</v>
      </c>
      <c r="H144" s="62">
        <f t="shared" si="35"/>
        <v>0.30127041742286753</v>
      </c>
      <c r="I144" s="62">
        <f t="shared" si="38"/>
        <v>0.38451268357810414</v>
      </c>
      <c r="J144" s="62">
        <f t="shared" si="38"/>
        <v>0.22867513611615245</v>
      </c>
      <c r="K144" s="62">
        <f t="shared" si="36"/>
        <v>1.1695594125500668</v>
      </c>
      <c r="L144" s="62">
        <f t="shared" si="36"/>
        <v>2.1524500907441015</v>
      </c>
      <c r="M144" s="62">
        <f t="shared" si="37"/>
        <v>4.2723631508678236E-2</v>
      </c>
      <c r="N144" s="62">
        <f t="shared" si="37"/>
        <v>3.8112522686025406E-2</v>
      </c>
    </row>
    <row r="145" spans="1:14" x14ac:dyDescent="0.25">
      <c r="A145" s="50" t="str">
        <f t="shared" si="26"/>
        <v>Total Oeste</v>
      </c>
      <c r="B145" s="47">
        <f>SUM(B142:B144)</f>
        <v>1120400</v>
      </c>
      <c r="C145" s="61">
        <f t="shared" si="27"/>
        <v>5.1886826133523745E-2</v>
      </c>
      <c r="D145" s="61">
        <f t="shared" si="28"/>
        <v>5.0651553016779718E-2</v>
      </c>
      <c r="E145" s="61">
        <f t="shared" si="34"/>
        <v>0.50634740427288683</v>
      </c>
      <c r="F145" s="61">
        <f t="shared" si="34"/>
        <v>0.48287224669603523</v>
      </c>
      <c r="G145" s="61">
        <f t="shared" si="35"/>
        <v>0.22007066177469764</v>
      </c>
      <c r="H145" s="61">
        <f t="shared" si="35"/>
        <v>0.38703791555669087</v>
      </c>
      <c r="I145" s="61">
        <f t="shared" si="38"/>
        <v>0.40263622774833535</v>
      </c>
      <c r="J145" s="61">
        <f t="shared" si="38"/>
        <v>0.33007334963325186</v>
      </c>
      <c r="K145" s="61">
        <f t="shared" si="36"/>
        <v>0.29151379263486887</v>
      </c>
      <c r="L145" s="61">
        <f t="shared" si="36"/>
        <v>0.3078859978834434</v>
      </c>
      <c r="M145" s="61">
        <f t="shared" si="37"/>
        <v>6.0707976627259137E-2</v>
      </c>
      <c r="N145" s="61">
        <f t="shared" si="37"/>
        <v>4.5943874758238148E-2</v>
      </c>
    </row>
    <row r="146" spans="1:14" x14ac:dyDescent="0.25">
      <c r="A146" s="40" t="str">
        <f t="shared" si="26"/>
        <v>AGUIRRE</v>
      </c>
      <c r="B146" s="45">
        <v>369200</v>
      </c>
      <c r="C146" s="62">
        <f t="shared" si="27"/>
        <v>0.23693661971830987</v>
      </c>
      <c r="D146" s="62">
        <f t="shared" si="28"/>
        <v>0.27301462621885159</v>
      </c>
      <c r="E146" s="62">
        <f t="shared" si="34"/>
        <v>0.47818283663134309</v>
      </c>
      <c r="F146" s="62">
        <f t="shared" si="34"/>
        <v>0.46495431411649157</v>
      </c>
      <c r="G146" s="62">
        <f t="shared" si="35"/>
        <v>0.32201769065264163</v>
      </c>
      <c r="H146" s="62">
        <f t="shared" si="35"/>
        <v>0.40709682925788421</v>
      </c>
      <c r="I146" s="62">
        <f t="shared" si="38"/>
        <v>0.49579249342577097</v>
      </c>
      <c r="J146" s="62">
        <f t="shared" si="38"/>
        <v>0.39922331754363505</v>
      </c>
      <c r="K146" s="62">
        <f t="shared" si="36"/>
        <v>0.21859909156108057</v>
      </c>
      <c r="L146" s="62">
        <f t="shared" si="36"/>
        <v>0.29172534459949645</v>
      </c>
      <c r="M146" s="62">
        <f t="shared" si="37"/>
        <v>5.4841023189098732E-2</v>
      </c>
      <c r="N146" s="62">
        <f t="shared" si="37"/>
        <v>5.2682114966073487E-2</v>
      </c>
    </row>
    <row r="147" spans="1:14" x14ac:dyDescent="0.25">
      <c r="A147" s="40" t="str">
        <f t="shared" si="26"/>
        <v>AVELLANEDA</v>
      </c>
      <c r="B147" s="45">
        <v>390200</v>
      </c>
      <c r="C147" s="62">
        <f t="shared" si="27"/>
        <v>3.9613018964633519E-2</v>
      </c>
      <c r="D147" s="62">
        <f t="shared" si="28"/>
        <v>1.1063557150179395E-2</v>
      </c>
      <c r="E147" s="62">
        <f t="shared" si="34"/>
        <v>0.51213042634405126</v>
      </c>
      <c r="F147" s="62">
        <f t="shared" si="34"/>
        <v>0.41741950428538338</v>
      </c>
      <c r="G147" s="62">
        <f t="shared" si="35"/>
        <v>0.26932794340576049</v>
      </c>
      <c r="H147" s="62">
        <f t="shared" si="35"/>
        <v>0.59711431742508325</v>
      </c>
      <c r="I147" s="62">
        <f t="shared" si="38"/>
        <v>0.43127842344618494</v>
      </c>
      <c r="J147" s="62">
        <f t="shared" si="38"/>
        <v>0.41120976692563815</v>
      </c>
      <c r="K147" s="62">
        <f t="shared" si="36"/>
        <v>0.1695300656897423</v>
      </c>
      <c r="L147" s="62">
        <f t="shared" si="36"/>
        <v>0.33573806881243062</v>
      </c>
      <c r="M147" s="62">
        <f t="shared" si="37"/>
        <v>8.2491157150075795E-2</v>
      </c>
      <c r="N147" s="62">
        <f t="shared" si="37"/>
        <v>5.1609322974472807E-2</v>
      </c>
    </row>
    <row r="148" spans="1:14" x14ac:dyDescent="0.25">
      <c r="A148" s="40" t="str">
        <f t="shared" si="26"/>
        <v>BELGRANO</v>
      </c>
      <c r="B148" s="45">
        <v>331400</v>
      </c>
      <c r="C148" s="62">
        <f t="shared" si="27"/>
        <v>0.13586904043452022</v>
      </c>
      <c r="D148" s="62">
        <f t="shared" si="28"/>
        <v>0.19458358479179239</v>
      </c>
      <c r="E148" s="62">
        <f t="shared" si="34"/>
        <v>0.45439403024851754</v>
      </c>
      <c r="F148" s="62">
        <f t="shared" si="34"/>
        <v>0.41529037760719545</v>
      </c>
      <c r="G148" s="62">
        <f t="shared" si="35"/>
        <v>0.4694037145650049</v>
      </c>
      <c r="H148" s="62">
        <f t="shared" si="35"/>
        <v>0.37964899178491412</v>
      </c>
      <c r="I148" s="62">
        <f t="shared" si="38"/>
        <v>0.37668621700879767</v>
      </c>
      <c r="J148" s="62">
        <f t="shared" si="38"/>
        <v>0.4206870799103809</v>
      </c>
      <c r="K148" s="62">
        <f t="shared" si="36"/>
        <v>0.30562072336265883</v>
      </c>
      <c r="L148" s="62">
        <f t="shared" si="36"/>
        <v>0.54604182225541453</v>
      </c>
      <c r="M148" s="62">
        <f t="shared" si="37"/>
        <v>4.9022482893450632E-2</v>
      </c>
      <c r="N148" s="62">
        <f t="shared" si="37"/>
        <v>6.1202389843166539E-2</v>
      </c>
    </row>
    <row r="149" spans="1:14" x14ac:dyDescent="0.25">
      <c r="A149" s="40" t="str">
        <f t="shared" si="26"/>
        <v>GENERAL TABOADA</v>
      </c>
      <c r="B149" s="45">
        <v>604000</v>
      </c>
      <c r="C149" s="62">
        <f t="shared" si="27"/>
        <v>7.7814569536423836E-2</v>
      </c>
      <c r="D149" s="62">
        <f t="shared" si="28"/>
        <v>9.0841059602649002E-2</v>
      </c>
      <c r="E149" s="62">
        <f t="shared" si="34"/>
        <v>0.44434042553191488</v>
      </c>
      <c r="F149" s="62">
        <f t="shared" si="34"/>
        <v>0.36855726470802652</v>
      </c>
      <c r="G149" s="62">
        <f t="shared" si="35"/>
        <v>0.37933346102279258</v>
      </c>
      <c r="H149" s="62">
        <f t="shared" si="35"/>
        <v>0.55157748986252597</v>
      </c>
      <c r="I149" s="62">
        <f t="shared" si="38"/>
        <v>0.45901168358552003</v>
      </c>
      <c r="J149" s="62">
        <f t="shared" si="38"/>
        <v>0.42745524676095342</v>
      </c>
      <c r="K149" s="62">
        <f t="shared" si="36"/>
        <v>0.34595862861520782</v>
      </c>
      <c r="L149" s="62">
        <f t="shared" si="36"/>
        <v>0.67134803679161315</v>
      </c>
      <c r="M149" s="62">
        <f t="shared" si="37"/>
        <v>6.622294579582455E-2</v>
      </c>
      <c r="N149" s="62">
        <f t="shared" si="37"/>
        <v>6.2852339036692711E-2</v>
      </c>
    </row>
    <row r="150" spans="1:14" x14ac:dyDescent="0.25">
      <c r="A150" s="40" t="str">
        <f t="shared" si="26"/>
        <v>MITRE</v>
      </c>
      <c r="B150" s="45">
        <v>366700</v>
      </c>
      <c r="C150" s="62">
        <f t="shared" si="27"/>
        <v>0.13636760294518679</v>
      </c>
      <c r="D150" s="62">
        <f t="shared" si="28"/>
        <v>0.17393509680938096</v>
      </c>
      <c r="E150" s="62">
        <f t="shared" si="34"/>
        <v>0.58912930448346201</v>
      </c>
      <c r="F150" s="62">
        <f t="shared" si="34"/>
        <v>0.51525508764228156</v>
      </c>
      <c r="G150" s="62">
        <f t="shared" si="35"/>
        <v>0.24874405974202307</v>
      </c>
      <c r="H150" s="62">
        <f t="shared" si="35"/>
        <v>0.32792721518987344</v>
      </c>
      <c r="I150" s="62">
        <f t="shared" si="38"/>
        <v>0.2623896809232858</v>
      </c>
      <c r="J150" s="62">
        <f t="shared" si="38"/>
        <v>0.28970910418695228</v>
      </c>
      <c r="K150" s="62">
        <f t="shared" si="36"/>
        <v>0.14545145960624575</v>
      </c>
      <c r="L150" s="62">
        <f t="shared" si="36"/>
        <v>0.29059152872444011</v>
      </c>
      <c r="M150" s="62">
        <f t="shared" si="37"/>
        <v>4.083503054989817E-2</v>
      </c>
      <c r="N150" s="62">
        <f t="shared" si="37"/>
        <v>3.2558422590068158E-2</v>
      </c>
    </row>
    <row r="151" spans="1:14" x14ac:dyDescent="0.25">
      <c r="A151" s="40" t="str">
        <f t="shared" si="26"/>
        <v>RIVADAVIA</v>
      </c>
      <c r="B151" s="45">
        <v>340200</v>
      </c>
      <c r="C151" s="62">
        <f t="shared" si="27"/>
        <v>0.30085831863609641</v>
      </c>
      <c r="D151" s="62">
        <f t="shared" si="28"/>
        <v>0.44912110523221632</v>
      </c>
      <c r="E151" s="62">
        <f t="shared" si="34"/>
        <v>0.4153020947319056</v>
      </c>
      <c r="F151" s="62">
        <f t="shared" si="34"/>
        <v>0.33045140093330105</v>
      </c>
      <c r="G151" s="62">
        <f t="shared" si="35"/>
        <v>0.44030394993765731</v>
      </c>
      <c r="H151" s="62">
        <f t="shared" si="35"/>
        <v>0.42414339473163004</v>
      </c>
      <c r="I151" s="62">
        <f t="shared" si="38"/>
        <v>0.49749453031265439</v>
      </c>
      <c r="J151" s="62">
        <f t="shared" si="38"/>
        <v>0.62083580907110314</v>
      </c>
      <c r="K151" s="62">
        <f t="shared" si="36"/>
        <v>0.43924530077399015</v>
      </c>
      <c r="L151" s="62">
        <f t="shared" si="36"/>
        <v>0.94991087344028524</v>
      </c>
      <c r="M151" s="62">
        <f t="shared" si="37"/>
        <v>3.084197896816995E-2</v>
      </c>
      <c r="N151" s="62">
        <f t="shared" si="37"/>
        <v>3.1214101802337097E-2</v>
      </c>
    </row>
    <row r="152" spans="1:14" x14ac:dyDescent="0.25">
      <c r="A152" s="50" t="str">
        <f t="shared" si="26"/>
        <v>Total Sudeste</v>
      </c>
      <c r="B152" s="47">
        <f>SUM(B146:B151)</f>
        <v>2401700</v>
      </c>
      <c r="C152" s="61">
        <f t="shared" si="27"/>
        <v>0.14461381521422326</v>
      </c>
      <c r="D152" s="61">
        <f t="shared" si="28"/>
        <v>0.18363659074822</v>
      </c>
      <c r="E152" s="61">
        <f t="shared" si="34"/>
        <v>0.46947330839948287</v>
      </c>
      <c r="F152" s="61">
        <f t="shared" si="34"/>
        <v>0.40591329584618174</v>
      </c>
      <c r="G152" s="61">
        <f t="shared" si="35"/>
        <v>0.36289150419791855</v>
      </c>
      <c r="H152" s="61">
        <f t="shared" si="35"/>
        <v>0.41149789972294215</v>
      </c>
      <c r="I152" s="61">
        <f t="shared" si="38"/>
        <v>0.43127863262540095</v>
      </c>
      <c r="J152" s="61">
        <f t="shared" si="38"/>
        <v>0.44814103137009564</v>
      </c>
      <c r="K152" s="61">
        <f t="shared" si="36"/>
        <v>0.28775213575620795</v>
      </c>
      <c r="L152" s="61">
        <f t="shared" si="36"/>
        <v>0.55851170792742877</v>
      </c>
      <c r="M152" s="61">
        <f t="shared" si="37"/>
        <v>4.8124275560080219E-2</v>
      </c>
      <c r="N152" s="61">
        <f t="shared" si="37"/>
        <v>4.5345875413352402E-2</v>
      </c>
    </row>
    <row r="153" spans="1:14" x14ac:dyDescent="0.25">
      <c r="A153" s="40" t="str">
        <f t="shared" si="26"/>
        <v>ATAMISQUI</v>
      </c>
      <c r="B153" s="45">
        <v>225900</v>
      </c>
      <c r="C153" s="62">
        <f t="shared" si="27"/>
        <v>1.7467906153165118E-2</v>
      </c>
      <c r="D153" s="62">
        <f t="shared" si="28"/>
        <v>9.9734395750332005E-3</v>
      </c>
      <c r="E153" s="62">
        <f t="shared" si="34"/>
        <v>0.41991890522047642</v>
      </c>
      <c r="F153" s="62">
        <f t="shared" si="34"/>
        <v>0.43408788282290278</v>
      </c>
      <c r="G153" s="62">
        <f t="shared" si="35"/>
        <v>0.42003621001810498</v>
      </c>
      <c r="H153" s="62">
        <f t="shared" si="35"/>
        <v>0.56850715746421265</v>
      </c>
      <c r="I153" s="62">
        <f t="shared" si="38"/>
        <v>0.55340977670488833</v>
      </c>
      <c r="J153" s="62">
        <f t="shared" si="38"/>
        <v>0.43660531697341515</v>
      </c>
      <c r="K153" s="62">
        <f t="shared" si="36"/>
        <v>0.31080265540132768</v>
      </c>
      <c r="L153" s="62">
        <f t="shared" si="36"/>
        <v>0.18916155419222905</v>
      </c>
      <c r="M153" s="62">
        <f t="shared" si="37"/>
        <v>9.7163548581774298E-2</v>
      </c>
      <c r="N153" s="62">
        <f t="shared" si="37"/>
        <v>9.202453987730061E-2</v>
      </c>
    </row>
    <row r="154" spans="1:14" x14ac:dyDescent="0.25">
      <c r="A154" s="40" t="str">
        <f>A114</f>
        <v>OJO DE AGUA</v>
      </c>
      <c r="B154" s="45">
        <v>626900</v>
      </c>
      <c r="C154" s="62">
        <f t="shared" si="27"/>
        <v>9.674908278832349E-2</v>
      </c>
      <c r="D154" s="62">
        <f t="shared" si="28"/>
        <v>0.11608071462753231</v>
      </c>
      <c r="E154" s="62">
        <f t="shared" si="34"/>
        <v>0.49732902459935369</v>
      </c>
      <c r="F154" s="62">
        <f t="shared" si="34"/>
        <v>0.43059735334130356</v>
      </c>
      <c r="G154" s="62">
        <f t="shared" si="35"/>
        <v>0.26601246519029309</v>
      </c>
      <c r="H154" s="62">
        <f t="shared" si="35"/>
        <v>0.41595659805329505</v>
      </c>
      <c r="I154" s="62">
        <f t="shared" si="38"/>
        <v>0.56610529107545415</v>
      </c>
      <c r="J154" s="62">
        <f t="shared" si="38"/>
        <v>0.51670655816179989</v>
      </c>
      <c r="K154" s="62">
        <f t="shared" si="36"/>
        <v>0.12508288025460815</v>
      </c>
      <c r="L154" s="62">
        <f t="shared" si="36"/>
        <v>0.30323918940481887</v>
      </c>
      <c r="M154" s="62">
        <f t="shared" si="37"/>
        <v>5.3540644476859835E-2</v>
      </c>
      <c r="N154" s="62">
        <f t="shared" si="37"/>
        <v>8.6420935056645928E-2</v>
      </c>
    </row>
    <row r="155" spans="1:14" x14ac:dyDescent="0.25">
      <c r="A155" s="40" t="str">
        <f t="shared" si="26"/>
        <v>QUEBRACHOS</v>
      </c>
      <c r="B155" s="45">
        <v>350700</v>
      </c>
      <c r="C155" s="62">
        <f t="shared" si="27"/>
        <v>0.19357570573139435</v>
      </c>
      <c r="D155" s="62">
        <f t="shared" si="28"/>
        <v>0.21862845737097233</v>
      </c>
      <c r="E155" s="62">
        <f t="shared" si="34"/>
        <v>0.51461988304093564</v>
      </c>
      <c r="F155" s="62">
        <f t="shared" si="34"/>
        <v>0.45950986657623938</v>
      </c>
      <c r="G155" s="62">
        <f t="shared" si="35"/>
        <v>0.25873024959926721</v>
      </c>
      <c r="H155" s="62">
        <f t="shared" si="35"/>
        <v>0.3713953224341508</v>
      </c>
      <c r="I155" s="62">
        <f t="shared" si="38"/>
        <v>0.50881612090680106</v>
      </c>
      <c r="J155" s="62">
        <f t="shared" si="38"/>
        <v>0.41922116257947323</v>
      </c>
      <c r="K155" s="62">
        <f t="shared" si="36"/>
        <v>0.12674604991985344</v>
      </c>
      <c r="L155" s="62">
        <f t="shared" si="36"/>
        <v>0.33835717529518622</v>
      </c>
      <c r="M155" s="62">
        <f t="shared" si="37"/>
        <v>4.8889397755896499E-2</v>
      </c>
      <c r="N155" s="62">
        <f t="shared" si="37"/>
        <v>4.7258174386920981E-2</v>
      </c>
    </row>
    <row r="156" spans="1:14" x14ac:dyDescent="0.25">
      <c r="A156" s="40" t="str">
        <f t="shared" si="26"/>
        <v>SALAVINA</v>
      </c>
      <c r="B156" s="45">
        <v>356200</v>
      </c>
      <c r="C156" s="62">
        <f t="shared" si="27"/>
        <v>8.157776530039304E-2</v>
      </c>
      <c r="D156" s="62">
        <f t="shared" si="28"/>
        <v>7.6268950028074114E-2</v>
      </c>
      <c r="E156" s="62">
        <f t="shared" si="34"/>
        <v>0.46675614288664052</v>
      </c>
      <c r="F156" s="62">
        <f t="shared" si="34"/>
        <v>0.47392056539183569</v>
      </c>
      <c r="G156" s="62">
        <f t="shared" si="35"/>
        <v>0.30251419302514193</v>
      </c>
      <c r="H156" s="62">
        <f t="shared" si="35"/>
        <v>0.36799999999999999</v>
      </c>
      <c r="I156" s="62">
        <f t="shared" si="38"/>
        <v>0.57671606576716061</v>
      </c>
      <c r="J156" s="62">
        <f t="shared" si="38"/>
        <v>0.46842718446601944</v>
      </c>
      <c r="K156" s="62">
        <f t="shared" si="36"/>
        <v>0.21160510211605102</v>
      </c>
      <c r="L156" s="62">
        <f t="shared" si="36"/>
        <v>0.21980582524271844</v>
      </c>
      <c r="M156" s="62">
        <f t="shared" si="37"/>
        <v>5.1611000516110006E-2</v>
      </c>
      <c r="N156" s="62">
        <f t="shared" si="37"/>
        <v>5.3747572815533981E-2</v>
      </c>
    </row>
    <row r="157" spans="1:14" x14ac:dyDescent="0.25">
      <c r="A157" s="50" t="str">
        <f t="shared" si="26"/>
        <v>Total Sur</v>
      </c>
      <c r="B157" s="47">
        <f>SUM(B153:B156)</f>
        <v>1559700</v>
      </c>
      <c r="C157" s="61">
        <f t="shared" si="27"/>
        <v>0.10357312303648138</v>
      </c>
      <c r="D157" s="61">
        <f t="shared" si="28"/>
        <v>0.1146784638071424</v>
      </c>
      <c r="E157" s="61">
        <f t="shared" ref="E157:F157" si="39">C77/Q77</f>
        <v>0.49720507852398432</v>
      </c>
      <c r="F157" s="61">
        <f t="shared" si="39"/>
        <v>0.44961535021021559</v>
      </c>
      <c r="G157" s="61">
        <f t="shared" ref="G157:H157" si="40">E77/C77</f>
        <v>0.2721862549800797</v>
      </c>
      <c r="H157" s="61">
        <f t="shared" si="40"/>
        <v>0.39061178811240987</v>
      </c>
      <c r="I157" s="61">
        <f t="shared" si="38"/>
        <v>0.54271663346613541</v>
      </c>
      <c r="J157" s="61">
        <f t="shared" si="38"/>
        <v>0.46529470281024621</v>
      </c>
      <c r="K157" s="61">
        <f t="shared" ref="K157:L157" si="41">(G77+I77)/C77</f>
        <v>0.14424800796812748</v>
      </c>
      <c r="L157" s="61">
        <f t="shared" si="41"/>
        <v>0.30387963193235512</v>
      </c>
      <c r="M157" s="61">
        <f t="shared" ref="M157:N157" si="42">O77/C77</f>
        <v>5.2091633466135455E-2</v>
      </c>
      <c r="N157" s="61">
        <f t="shared" si="42"/>
        <v>6.4100969907983085E-2</v>
      </c>
    </row>
    <row r="159" spans="1:14" x14ac:dyDescent="0.25">
      <c r="B159" s="45"/>
    </row>
    <row r="161" spans="1:12" x14ac:dyDescent="0.25">
      <c r="C161" s="46" t="s">
        <v>150</v>
      </c>
      <c r="J161" s="43" t="s">
        <v>151</v>
      </c>
    </row>
    <row r="162" spans="1:12" x14ac:dyDescent="0.25">
      <c r="C162" s="44">
        <v>2014</v>
      </c>
      <c r="D162" s="44">
        <v>2013</v>
      </c>
      <c r="E162" s="44">
        <v>2012</v>
      </c>
      <c r="F162" s="44">
        <v>2011</v>
      </c>
      <c r="G162" s="44">
        <v>2010</v>
      </c>
      <c r="H162" s="44">
        <v>2009</v>
      </c>
      <c r="I162" s="44">
        <v>2008</v>
      </c>
      <c r="J162" s="43" t="s">
        <v>152</v>
      </c>
      <c r="K162" s="43" t="s">
        <v>153</v>
      </c>
    </row>
    <row r="163" spans="1:12" x14ac:dyDescent="0.25">
      <c r="A163" s="43" t="str">
        <f>A124</f>
        <v>SANTIAGO DEL ESTERO</v>
      </c>
      <c r="C163" s="47">
        <f>Q44</f>
        <v>1293588</v>
      </c>
      <c r="D163" s="47">
        <v>1428546</v>
      </c>
      <c r="E163" s="47">
        <v>1333818</v>
      </c>
      <c r="F163" s="47">
        <v>1318987</v>
      </c>
      <c r="G163" s="47">
        <v>1328235</v>
      </c>
      <c r="H163" s="47">
        <v>1458089</v>
      </c>
      <c r="I163" s="47">
        <f>R44</f>
        <v>1389095</v>
      </c>
      <c r="J163" s="48">
        <f>R84</f>
        <v>-6.8754836782221523E-2</v>
      </c>
      <c r="K163" s="48">
        <f t="shared" ref="K163:K194" si="43">((C163/I163)^(1/7))-1</f>
        <v>-1.0124499123269737E-2</v>
      </c>
      <c r="L163" s="63"/>
    </row>
    <row r="164" spans="1:12" x14ac:dyDescent="0.25">
      <c r="A164" s="40" t="str">
        <f t="shared" ref="A164:A196" si="44">A125</f>
        <v>CAPITAL</v>
      </c>
      <c r="C164" s="45">
        <f t="shared" ref="C164:C196" si="45">Q45</f>
        <v>8487</v>
      </c>
      <c r="D164" s="45">
        <v>10465</v>
      </c>
      <c r="E164" s="45">
        <v>46402</v>
      </c>
      <c r="F164" s="45">
        <v>12528</v>
      </c>
      <c r="G164" s="45">
        <v>12878</v>
      </c>
      <c r="H164" s="45">
        <v>15809</v>
      </c>
      <c r="I164" s="45">
        <f t="shared" ref="I164:I196" si="46">R45</f>
        <v>11326</v>
      </c>
      <c r="J164" s="49">
        <f t="shared" ref="J164:J196" si="47">R85</f>
        <v>-0.25066219318382482</v>
      </c>
      <c r="K164" s="49">
        <f t="shared" si="43"/>
        <v>-4.0385489448025003E-2</v>
      </c>
    </row>
    <row r="165" spans="1:12" x14ac:dyDescent="0.25">
      <c r="A165" s="40" t="str">
        <f t="shared" si="44"/>
        <v>FIGUEROA</v>
      </c>
      <c r="C165" s="45">
        <f t="shared" si="45"/>
        <v>16280</v>
      </c>
      <c r="D165" s="45">
        <v>16859</v>
      </c>
      <c r="E165" s="45">
        <v>31986</v>
      </c>
      <c r="F165" s="45">
        <v>16157</v>
      </c>
      <c r="G165" s="45">
        <v>16528</v>
      </c>
      <c r="H165" s="45">
        <v>15265</v>
      </c>
      <c r="I165" s="45">
        <f t="shared" si="46"/>
        <v>14297</v>
      </c>
      <c r="J165" s="49">
        <f t="shared" si="47"/>
        <v>0.13870042666293628</v>
      </c>
      <c r="K165" s="49">
        <f t="shared" si="43"/>
        <v>1.8728597235756927E-2</v>
      </c>
    </row>
    <row r="166" spans="1:12" x14ac:dyDescent="0.25">
      <c r="A166" s="40" t="str">
        <f t="shared" si="44"/>
        <v>LA BANDA</v>
      </c>
      <c r="C166" s="45">
        <f t="shared" si="45"/>
        <v>29378</v>
      </c>
      <c r="D166" s="45">
        <v>36425</v>
      </c>
      <c r="E166" s="45">
        <v>16622</v>
      </c>
      <c r="F166" s="45">
        <v>33992</v>
      </c>
      <c r="G166" s="45">
        <v>30482</v>
      </c>
      <c r="H166" s="45">
        <v>32948</v>
      </c>
      <c r="I166" s="45">
        <f t="shared" si="46"/>
        <v>25807</v>
      </c>
      <c r="J166" s="49">
        <f t="shared" si="47"/>
        <v>0.1383733095671717</v>
      </c>
      <c r="K166" s="49">
        <f t="shared" si="43"/>
        <v>1.8686784585947525E-2</v>
      </c>
    </row>
    <row r="167" spans="1:12" x14ac:dyDescent="0.25">
      <c r="A167" s="40" t="str">
        <f t="shared" si="44"/>
        <v>LORETO</v>
      </c>
      <c r="C167" s="45">
        <f t="shared" si="45"/>
        <v>12667</v>
      </c>
      <c r="D167" s="45">
        <v>15314</v>
      </c>
      <c r="E167" s="45">
        <v>55139</v>
      </c>
      <c r="F167" s="45">
        <v>16532</v>
      </c>
      <c r="G167" s="45">
        <v>18131</v>
      </c>
      <c r="H167" s="45">
        <v>18469</v>
      </c>
      <c r="I167" s="45">
        <f t="shared" si="46"/>
        <v>17321</v>
      </c>
      <c r="J167" s="49">
        <f t="shared" si="47"/>
        <v>-0.26869118411177184</v>
      </c>
      <c r="K167" s="49">
        <f t="shared" si="43"/>
        <v>-4.3718333229185946E-2</v>
      </c>
    </row>
    <row r="168" spans="1:12" x14ac:dyDescent="0.25">
      <c r="A168" s="40" t="str">
        <f t="shared" si="44"/>
        <v>ROBLES</v>
      </c>
      <c r="C168" s="45">
        <f t="shared" si="45"/>
        <v>41356</v>
      </c>
      <c r="D168" s="45">
        <v>48006</v>
      </c>
      <c r="E168" s="45">
        <v>39987</v>
      </c>
      <c r="F168" s="45">
        <v>40345</v>
      </c>
      <c r="G168" s="45">
        <v>47858</v>
      </c>
      <c r="H168" s="45">
        <v>45068</v>
      </c>
      <c r="I168" s="45">
        <f t="shared" si="46"/>
        <v>37082</v>
      </c>
      <c r="J168" s="49">
        <f t="shared" si="47"/>
        <v>0.11525807669489239</v>
      </c>
      <c r="K168" s="49">
        <f t="shared" si="43"/>
        <v>1.5705749938311531E-2</v>
      </c>
    </row>
    <row r="169" spans="1:12" x14ac:dyDescent="0.25">
      <c r="A169" s="40" t="str">
        <f t="shared" si="44"/>
        <v>SAN MARTIN</v>
      </c>
      <c r="C169" s="45">
        <f t="shared" si="45"/>
        <v>6536</v>
      </c>
      <c r="D169" s="45">
        <v>8346</v>
      </c>
      <c r="E169" s="45">
        <v>8582</v>
      </c>
      <c r="F169" s="45">
        <v>8258</v>
      </c>
      <c r="G169" s="45">
        <v>8109</v>
      </c>
      <c r="H169" s="45">
        <v>7328</v>
      </c>
      <c r="I169" s="45">
        <f t="shared" si="46"/>
        <v>4658</v>
      </c>
      <c r="J169" s="49">
        <f t="shared" si="47"/>
        <v>0.40317732932589095</v>
      </c>
      <c r="K169" s="49">
        <f t="shared" si="43"/>
        <v>4.95812890438041E-2</v>
      </c>
    </row>
    <row r="170" spans="1:12" x14ac:dyDescent="0.25">
      <c r="A170" s="40" t="str">
        <f t="shared" si="44"/>
        <v>SARMIENTO</v>
      </c>
      <c r="C170" s="45">
        <f t="shared" si="45"/>
        <v>9552</v>
      </c>
      <c r="D170" s="45">
        <v>11084</v>
      </c>
      <c r="E170" s="45">
        <v>9081</v>
      </c>
      <c r="F170" s="45">
        <v>7350</v>
      </c>
      <c r="G170" s="45">
        <v>7178</v>
      </c>
      <c r="H170" s="45">
        <v>8012</v>
      </c>
      <c r="I170" s="45">
        <f t="shared" si="46"/>
        <v>6942</v>
      </c>
      <c r="J170" s="49">
        <f t="shared" si="47"/>
        <v>0.37597234226447712</v>
      </c>
      <c r="K170" s="49">
        <f t="shared" si="43"/>
        <v>4.6649779650579148E-2</v>
      </c>
    </row>
    <row r="171" spans="1:12" x14ac:dyDescent="0.25">
      <c r="A171" s="40" t="str">
        <f t="shared" si="44"/>
        <v>SILIPICA</v>
      </c>
      <c r="C171" s="45">
        <f t="shared" si="45"/>
        <v>6395</v>
      </c>
      <c r="D171" s="45">
        <v>7189</v>
      </c>
      <c r="E171" s="45">
        <v>6900</v>
      </c>
      <c r="F171" s="45">
        <v>6562</v>
      </c>
      <c r="G171" s="45">
        <v>6852</v>
      </c>
      <c r="H171" s="45">
        <v>6241</v>
      </c>
      <c r="I171" s="45">
        <f t="shared" si="46"/>
        <v>6498</v>
      </c>
      <c r="J171" s="49">
        <f t="shared" si="47"/>
        <v>-1.5851031086488152E-2</v>
      </c>
      <c r="K171" s="49">
        <f t="shared" si="43"/>
        <v>-2.2799686592250845E-3</v>
      </c>
    </row>
    <row r="172" spans="1:12" x14ac:dyDescent="0.25">
      <c r="A172" s="50" t="str">
        <f t="shared" si="44"/>
        <v>Total Centro</v>
      </c>
      <c r="C172" s="47">
        <f t="shared" si="45"/>
        <v>130651</v>
      </c>
      <c r="D172" s="47">
        <f>SUM(D164:D171)</f>
        <v>153688</v>
      </c>
      <c r="E172" s="47">
        <f t="shared" ref="E172:H172" si="48">SUM(E164:E171)</f>
        <v>214699</v>
      </c>
      <c r="F172" s="47">
        <f t="shared" si="48"/>
        <v>141724</v>
      </c>
      <c r="G172" s="47">
        <f t="shared" si="48"/>
        <v>148016</v>
      </c>
      <c r="H172" s="47">
        <f t="shared" si="48"/>
        <v>149140</v>
      </c>
      <c r="I172" s="47">
        <f t="shared" si="46"/>
        <v>123931</v>
      </c>
      <c r="J172" s="48">
        <f t="shared" si="47"/>
        <v>5.422372126425188E-2</v>
      </c>
      <c r="K172" s="48">
        <f t="shared" si="43"/>
        <v>7.5720507706202866E-3</v>
      </c>
    </row>
    <row r="173" spans="1:12" x14ac:dyDescent="0.25">
      <c r="A173" s="40" t="str">
        <f t="shared" si="44"/>
        <v>ALBERDI</v>
      </c>
      <c r="C173" s="45">
        <f t="shared" si="45"/>
        <v>130871</v>
      </c>
      <c r="D173" s="45">
        <v>137206</v>
      </c>
      <c r="E173" s="45">
        <v>143119</v>
      </c>
      <c r="F173" s="45">
        <v>121753</v>
      </c>
      <c r="G173" s="45">
        <v>120266</v>
      </c>
      <c r="H173" s="45">
        <v>117370</v>
      </c>
      <c r="I173" s="45">
        <f t="shared" si="46"/>
        <v>101780</v>
      </c>
      <c r="J173" s="49">
        <f t="shared" si="47"/>
        <v>0.28582236195716249</v>
      </c>
      <c r="K173" s="49">
        <f t="shared" si="43"/>
        <v>3.6566769599882587E-2</v>
      </c>
    </row>
    <row r="174" spans="1:12" x14ac:dyDescent="0.25">
      <c r="A174" s="40" t="str">
        <f t="shared" si="44"/>
        <v>COPO</v>
      </c>
      <c r="C174" s="45">
        <f t="shared" si="45"/>
        <v>67542</v>
      </c>
      <c r="D174" s="45">
        <v>74540</v>
      </c>
      <c r="E174" s="45">
        <v>65740</v>
      </c>
      <c r="F174" s="45">
        <v>63511</v>
      </c>
      <c r="G174" s="45">
        <v>69352</v>
      </c>
      <c r="H174" s="45">
        <v>71190</v>
      </c>
      <c r="I174" s="45">
        <f t="shared" si="46"/>
        <v>55797</v>
      </c>
      <c r="J174" s="49">
        <f t="shared" si="47"/>
        <v>0.21049518791332866</v>
      </c>
      <c r="K174" s="49">
        <f t="shared" si="43"/>
        <v>2.7665712471019122E-2</v>
      </c>
    </row>
    <row r="175" spans="1:12" x14ac:dyDescent="0.25">
      <c r="A175" s="40" t="str">
        <f t="shared" si="44"/>
        <v>JUAN F. IBARRA</v>
      </c>
      <c r="C175" s="45">
        <f t="shared" si="45"/>
        <v>58642</v>
      </c>
      <c r="D175" s="45">
        <v>63670</v>
      </c>
      <c r="E175" s="45">
        <v>56515</v>
      </c>
      <c r="F175" s="45">
        <v>52183</v>
      </c>
      <c r="G175" s="45">
        <v>53795</v>
      </c>
      <c r="H175" s="45">
        <v>63451</v>
      </c>
      <c r="I175" s="45">
        <f t="shared" si="46"/>
        <v>60938</v>
      </c>
      <c r="J175" s="49">
        <f t="shared" si="47"/>
        <v>-3.7677639568085598E-2</v>
      </c>
      <c r="K175" s="49">
        <f t="shared" si="43"/>
        <v>-5.471517911592505E-3</v>
      </c>
    </row>
    <row r="176" spans="1:12" x14ac:dyDescent="0.25">
      <c r="A176" s="40" t="str">
        <f t="shared" si="44"/>
        <v>MORENO</v>
      </c>
      <c r="C176" s="45">
        <f t="shared" si="45"/>
        <v>248064</v>
      </c>
      <c r="D176" s="45">
        <v>283730</v>
      </c>
      <c r="E176" s="45">
        <v>261129</v>
      </c>
      <c r="F176" s="45">
        <v>258668</v>
      </c>
      <c r="G176" s="45">
        <v>251944</v>
      </c>
      <c r="H176" s="45">
        <v>300126</v>
      </c>
      <c r="I176" s="45">
        <f t="shared" si="46"/>
        <v>273173</v>
      </c>
      <c r="J176" s="49">
        <f t="shared" si="47"/>
        <v>-9.1916111768000491E-2</v>
      </c>
      <c r="K176" s="49">
        <f t="shared" si="43"/>
        <v>-1.36796453157082E-2</v>
      </c>
    </row>
    <row r="177" spans="1:11" x14ac:dyDescent="0.25">
      <c r="A177" s="50" t="str">
        <f t="shared" si="44"/>
        <v>Total Este</v>
      </c>
      <c r="C177" s="47">
        <f t="shared" si="45"/>
        <v>505119</v>
      </c>
      <c r="D177" s="47">
        <f>SUM(D173:D176)</f>
        <v>559146</v>
      </c>
      <c r="E177" s="47">
        <f t="shared" ref="E177:H177" si="49">SUM(E173:E176)</f>
        <v>526503</v>
      </c>
      <c r="F177" s="47">
        <f t="shared" si="49"/>
        <v>496115</v>
      </c>
      <c r="G177" s="47">
        <f t="shared" si="49"/>
        <v>495357</v>
      </c>
      <c r="H177" s="47">
        <f t="shared" si="49"/>
        <v>552137</v>
      </c>
      <c r="I177" s="47">
        <f t="shared" si="46"/>
        <v>491688</v>
      </c>
      <c r="J177" s="48">
        <f t="shared" si="47"/>
        <v>2.7316102894518475E-2</v>
      </c>
      <c r="K177" s="48">
        <f t="shared" si="43"/>
        <v>3.8573743182166442E-3</v>
      </c>
    </row>
    <row r="178" spans="1:11" x14ac:dyDescent="0.25">
      <c r="A178" s="40" t="str">
        <f t="shared" si="44"/>
        <v>JIMENEZ</v>
      </c>
      <c r="C178" s="45">
        <f t="shared" si="45"/>
        <v>49404</v>
      </c>
      <c r="D178" s="45">
        <v>55934</v>
      </c>
      <c r="E178" s="45">
        <v>33946</v>
      </c>
      <c r="F178" s="45">
        <v>54205</v>
      </c>
      <c r="G178" s="45">
        <v>50434</v>
      </c>
      <c r="H178" s="45">
        <v>53777</v>
      </c>
      <c r="I178" s="45">
        <f t="shared" si="46"/>
        <v>57946</v>
      </c>
      <c r="J178" s="49">
        <f t="shared" si="47"/>
        <v>-0.14741310875642841</v>
      </c>
      <c r="K178" s="49">
        <f t="shared" si="43"/>
        <v>-2.2525308536496924E-2</v>
      </c>
    </row>
    <row r="179" spans="1:11" x14ac:dyDescent="0.25">
      <c r="A179" s="40" t="str">
        <f t="shared" si="44"/>
        <v>PELLEGRINI</v>
      </c>
      <c r="C179" s="45">
        <f t="shared" si="45"/>
        <v>41418</v>
      </c>
      <c r="D179" s="45">
        <v>51290</v>
      </c>
      <c r="E179" s="45">
        <v>48127</v>
      </c>
      <c r="F179" s="45">
        <v>45056</v>
      </c>
      <c r="G179" s="45">
        <v>46303</v>
      </c>
      <c r="H179" s="45">
        <v>40989</v>
      </c>
      <c r="I179" s="45">
        <f t="shared" si="46"/>
        <v>38876</v>
      </c>
      <c r="J179" s="49">
        <f t="shared" si="47"/>
        <v>6.5387385533491105E-2</v>
      </c>
      <c r="K179" s="49">
        <f t="shared" si="43"/>
        <v>9.089413715693162E-3</v>
      </c>
    </row>
    <row r="180" spans="1:11" x14ac:dyDescent="0.25">
      <c r="A180" s="50" t="str">
        <f t="shared" si="44"/>
        <v>Total Noroeste</v>
      </c>
      <c r="C180" s="47">
        <f t="shared" si="45"/>
        <v>90822</v>
      </c>
      <c r="D180" s="47">
        <f>SUM(D178:D179)</f>
        <v>107224</v>
      </c>
      <c r="E180" s="47">
        <f t="shared" ref="E180:H180" si="50">SUM(E178:E179)</f>
        <v>82073</v>
      </c>
      <c r="F180" s="47">
        <f t="shared" si="50"/>
        <v>99261</v>
      </c>
      <c r="G180" s="47">
        <f t="shared" si="50"/>
        <v>96737</v>
      </c>
      <c r="H180" s="47">
        <f t="shared" si="50"/>
        <v>94766</v>
      </c>
      <c r="I180" s="47">
        <f t="shared" si="46"/>
        <v>96822</v>
      </c>
      <c r="J180" s="48">
        <f t="shared" si="47"/>
        <v>-6.1969387122761357E-2</v>
      </c>
      <c r="K180" s="48">
        <f t="shared" si="43"/>
        <v>-9.0973229749706785E-3</v>
      </c>
    </row>
    <row r="181" spans="1:11" x14ac:dyDescent="0.25">
      <c r="A181" s="40" t="str">
        <f t="shared" si="44"/>
        <v>CHOYA</v>
      </c>
      <c r="C181" s="45">
        <f t="shared" si="45"/>
        <v>33121</v>
      </c>
      <c r="D181" s="45">
        <v>32134</v>
      </c>
      <c r="E181" s="45">
        <v>9699</v>
      </c>
      <c r="F181" s="45">
        <v>31095</v>
      </c>
      <c r="G181" s="45">
        <v>30837</v>
      </c>
      <c r="H181" s="45">
        <v>30368</v>
      </c>
      <c r="I181" s="45">
        <f t="shared" si="46"/>
        <v>23934</v>
      </c>
      <c r="J181" s="49">
        <f t="shared" si="47"/>
        <v>0.38384724659480235</v>
      </c>
      <c r="K181" s="49">
        <f t="shared" si="43"/>
        <v>4.7503422404706841E-2</v>
      </c>
    </row>
    <row r="182" spans="1:11" x14ac:dyDescent="0.25">
      <c r="A182" s="40" t="str">
        <f t="shared" si="44"/>
        <v>GUASAYAN</v>
      </c>
      <c r="C182" s="45">
        <f t="shared" si="45"/>
        <v>22941</v>
      </c>
      <c r="D182" s="45">
        <v>27412</v>
      </c>
      <c r="E182" s="45">
        <v>48051</v>
      </c>
      <c r="F182" s="45">
        <v>35631</v>
      </c>
      <c r="G182" s="45">
        <v>36677</v>
      </c>
      <c r="H182" s="45">
        <v>32053</v>
      </c>
      <c r="I182" s="45">
        <f t="shared" si="46"/>
        <v>30766</v>
      </c>
      <c r="J182" s="49">
        <f t="shared" si="47"/>
        <v>-0.25433920561658974</v>
      </c>
      <c r="K182" s="49">
        <f t="shared" si="43"/>
        <v>-4.1059600369496185E-2</v>
      </c>
    </row>
    <row r="183" spans="1:11" x14ac:dyDescent="0.25">
      <c r="A183" s="40" t="str">
        <f t="shared" si="44"/>
        <v>RIO HONDO</v>
      </c>
      <c r="C183" s="45">
        <f t="shared" si="45"/>
        <v>2072</v>
      </c>
      <c r="D183" s="45">
        <v>1619</v>
      </c>
      <c r="E183" s="45">
        <v>2672</v>
      </c>
      <c r="F183" s="45">
        <v>2366</v>
      </c>
      <c r="G183" s="45">
        <v>2325</v>
      </c>
      <c r="H183" s="45">
        <v>2100</v>
      </c>
      <c r="I183" s="45">
        <f t="shared" si="46"/>
        <v>2050</v>
      </c>
      <c r="J183" s="49">
        <f t="shared" si="47"/>
        <v>1.0731707317073172E-2</v>
      </c>
      <c r="K183" s="49">
        <f t="shared" si="43"/>
        <v>1.5260963368992631E-3</v>
      </c>
    </row>
    <row r="184" spans="1:11" x14ac:dyDescent="0.25">
      <c r="A184" s="50" t="str">
        <f t="shared" si="44"/>
        <v>Total Oeste</v>
      </c>
      <c r="C184" s="47">
        <f t="shared" si="45"/>
        <v>58134</v>
      </c>
      <c r="D184" s="47">
        <f>SUM(D181:D183)</f>
        <v>61165</v>
      </c>
      <c r="E184" s="47">
        <f t="shared" ref="E184:H184" si="51">SUM(E181:E183)</f>
        <v>60422</v>
      </c>
      <c r="F184" s="47">
        <f t="shared" si="51"/>
        <v>69092</v>
      </c>
      <c r="G184" s="47">
        <f t="shared" si="51"/>
        <v>69839</v>
      </c>
      <c r="H184" s="47">
        <f t="shared" si="51"/>
        <v>64521</v>
      </c>
      <c r="I184" s="47">
        <f t="shared" si="46"/>
        <v>56750</v>
      </c>
      <c r="J184" s="48">
        <f t="shared" si="47"/>
        <v>2.4387665198237884E-2</v>
      </c>
      <c r="K184" s="48">
        <f t="shared" si="43"/>
        <v>3.4480787465152041E-3</v>
      </c>
    </row>
    <row r="185" spans="1:11" x14ac:dyDescent="0.25">
      <c r="A185" s="40" t="str">
        <f t="shared" si="44"/>
        <v>AGUIRRE</v>
      </c>
      <c r="C185" s="45">
        <f t="shared" si="45"/>
        <v>87477</v>
      </c>
      <c r="D185" s="45">
        <v>92155</v>
      </c>
      <c r="E185" s="45">
        <v>80233</v>
      </c>
      <c r="F185" s="45">
        <v>88602</v>
      </c>
      <c r="G185" s="45">
        <v>90572</v>
      </c>
      <c r="H185" s="45">
        <v>100114</v>
      </c>
      <c r="I185" s="45">
        <f t="shared" si="46"/>
        <v>100797</v>
      </c>
      <c r="J185" s="49">
        <f t="shared" si="47"/>
        <v>-0.13214679008303817</v>
      </c>
      <c r="K185" s="49">
        <f t="shared" si="43"/>
        <v>-2.0043922671580505E-2</v>
      </c>
    </row>
    <row r="186" spans="1:11" x14ac:dyDescent="0.25">
      <c r="A186" s="40" t="str">
        <f t="shared" si="44"/>
        <v>AVELLANEDA</v>
      </c>
      <c r="C186" s="45">
        <f t="shared" si="45"/>
        <v>15457</v>
      </c>
      <c r="D186" s="45">
        <v>17232</v>
      </c>
      <c r="E186" s="45">
        <v>15682</v>
      </c>
      <c r="F186" s="45">
        <v>12929</v>
      </c>
      <c r="G186" s="45">
        <v>11014</v>
      </c>
      <c r="H186" s="45">
        <v>7022</v>
      </c>
      <c r="I186" s="45">
        <f t="shared" si="46"/>
        <v>4317</v>
      </c>
      <c r="J186" s="49">
        <f t="shared" si="47"/>
        <v>2.5804957146166321</v>
      </c>
      <c r="K186" s="49">
        <f t="shared" si="43"/>
        <v>0.19987149734473553</v>
      </c>
    </row>
    <row r="187" spans="1:11" x14ac:dyDescent="0.25">
      <c r="A187" s="40" t="str">
        <f t="shared" si="44"/>
        <v>BELGRANO</v>
      </c>
      <c r="C187" s="45">
        <f t="shared" si="45"/>
        <v>45027</v>
      </c>
      <c r="D187" s="45">
        <v>50931</v>
      </c>
      <c r="E187" s="45">
        <v>34453</v>
      </c>
      <c r="F187" s="45">
        <v>47513</v>
      </c>
      <c r="G187" s="45">
        <v>51923</v>
      </c>
      <c r="H187" s="45">
        <v>65107</v>
      </c>
      <c r="I187" s="45">
        <f t="shared" si="46"/>
        <v>64485</v>
      </c>
      <c r="J187" s="49">
        <f t="shared" si="47"/>
        <v>-0.30174459176552687</v>
      </c>
      <c r="K187" s="49">
        <f t="shared" si="43"/>
        <v>-5.0015914817857166E-2</v>
      </c>
    </row>
    <row r="188" spans="1:11" x14ac:dyDescent="0.25">
      <c r="A188" s="40" t="str">
        <f t="shared" si="44"/>
        <v>GENERAL TABOADA</v>
      </c>
      <c r="C188" s="45">
        <f t="shared" si="45"/>
        <v>47000</v>
      </c>
      <c r="D188" s="45">
        <v>52245</v>
      </c>
      <c r="E188" s="45">
        <v>16422</v>
      </c>
      <c r="F188" s="45">
        <v>49476</v>
      </c>
      <c r="G188" s="45">
        <v>44366</v>
      </c>
      <c r="H188" s="45">
        <v>53234</v>
      </c>
      <c r="I188" s="45">
        <f t="shared" si="46"/>
        <v>54868</v>
      </c>
      <c r="J188" s="49">
        <f t="shared" si="47"/>
        <v>-0.14339870234016183</v>
      </c>
      <c r="K188" s="49">
        <f t="shared" si="43"/>
        <v>-2.1869139914111213E-2</v>
      </c>
    </row>
    <row r="189" spans="1:11" x14ac:dyDescent="0.25">
      <c r="A189" s="40" t="str">
        <f t="shared" si="44"/>
        <v>MITRE</v>
      </c>
      <c r="C189" s="45">
        <f t="shared" si="45"/>
        <v>50006</v>
      </c>
      <c r="D189" s="45">
        <v>54496</v>
      </c>
      <c r="E189" s="45">
        <v>49869</v>
      </c>
      <c r="F189" s="45">
        <v>51653</v>
      </c>
      <c r="G189" s="45">
        <v>56980</v>
      </c>
      <c r="H189" s="45">
        <v>60283</v>
      </c>
      <c r="I189" s="45">
        <f t="shared" si="46"/>
        <v>63782</v>
      </c>
      <c r="J189" s="49">
        <f t="shared" si="47"/>
        <v>-0.21598570129503622</v>
      </c>
      <c r="K189" s="49">
        <f t="shared" si="43"/>
        <v>-3.4163917293932977E-2</v>
      </c>
    </row>
    <row r="190" spans="1:11" x14ac:dyDescent="0.25">
      <c r="A190" s="40" t="str">
        <f>A151</f>
        <v>RIVADAVIA</v>
      </c>
      <c r="C190" s="45">
        <f t="shared" si="45"/>
        <v>102352</v>
      </c>
      <c r="D190" s="45">
        <v>108851</v>
      </c>
      <c r="E190" s="45">
        <v>102211</v>
      </c>
      <c r="F190" s="45">
        <v>105140</v>
      </c>
      <c r="G190" s="45">
        <v>104237</v>
      </c>
      <c r="H190" s="45">
        <v>130907</v>
      </c>
      <c r="I190" s="45">
        <f t="shared" si="46"/>
        <v>152791</v>
      </c>
      <c r="J190" s="49">
        <f t="shared" si="47"/>
        <v>-0.33011761163942904</v>
      </c>
      <c r="K190" s="49">
        <f t="shared" si="43"/>
        <v>-5.5628979868537876E-2</v>
      </c>
    </row>
    <row r="191" spans="1:11" x14ac:dyDescent="0.25">
      <c r="A191" s="50" t="str">
        <f t="shared" si="44"/>
        <v>Total Sudeste</v>
      </c>
      <c r="C191" s="47">
        <f t="shared" si="45"/>
        <v>347319</v>
      </c>
      <c r="D191" s="47">
        <f>SUM(D185:D190)</f>
        <v>375910</v>
      </c>
      <c r="E191" s="47">
        <f t="shared" ref="E191:H191" si="52">SUM(E185:E190)</f>
        <v>298870</v>
      </c>
      <c r="F191" s="47">
        <f t="shared" si="52"/>
        <v>355313</v>
      </c>
      <c r="G191" s="47">
        <f t="shared" si="52"/>
        <v>359092</v>
      </c>
      <c r="H191" s="47">
        <f t="shared" si="52"/>
        <v>416667</v>
      </c>
      <c r="I191" s="47">
        <f t="shared" si="46"/>
        <v>441040</v>
      </c>
      <c r="J191" s="48">
        <f t="shared" si="47"/>
        <v>-0.21249999999999999</v>
      </c>
      <c r="K191" s="48">
        <f t="shared" si="43"/>
        <v>-3.3551643678322085E-2</v>
      </c>
    </row>
    <row r="192" spans="1:11" x14ac:dyDescent="0.25">
      <c r="A192" s="40" t="str">
        <f t="shared" si="44"/>
        <v>ATAMISQUI</v>
      </c>
      <c r="C192" s="45">
        <f t="shared" si="45"/>
        <v>3946</v>
      </c>
      <c r="D192" s="45">
        <v>3856</v>
      </c>
      <c r="E192" s="45">
        <v>4304</v>
      </c>
      <c r="F192" s="45">
        <v>4141</v>
      </c>
      <c r="G192" s="45">
        <v>3880</v>
      </c>
      <c r="H192" s="45">
        <v>3042</v>
      </c>
      <c r="I192" s="45">
        <f t="shared" si="46"/>
        <v>2253</v>
      </c>
      <c r="J192" s="49">
        <f t="shared" si="47"/>
        <v>0.75144252108300047</v>
      </c>
      <c r="K192" s="49">
        <f t="shared" si="43"/>
        <v>8.3355122857964759E-2</v>
      </c>
    </row>
    <row r="193" spans="1:18" x14ac:dyDescent="0.25">
      <c r="A193" s="40" t="str">
        <f t="shared" si="44"/>
        <v>OJO DE AGUA</v>
      </c>
      <c r="C193" s="45">
        <f t="shared" si="45"/>
        <v>60652</v>
      </c>
      <c r="D193" s="45">
        <v>68440</v>
      </c>
      <c r="E193" s="45">
        <v>58864</v>
      </c>
      <c r="F193" s="45">
        <v>63324</v>
      </c>
      <c r="G193" s="45">
        <v>65035</v>
      </c>
      <c r="H193" s="45">
        <v>71852</v>
      </c>
      <c r="I193" s="45">
        <f t="shared" si="46"/>
        <v>72771</v>
      </c>
      <c r="J193" s="49">
        <f t="shared" si="47"/>
        <v>-0.16653612015775515</v>
      </c>
      <c r="K193" s="49">
        <f t="shared" si="43"/>
        <v>-2.5687864516382941E-2</v>
      </c>
    </row>
    <row r="194" spans="1:18" x14ac:dyDescent="0.25">
      <c r="A194" s="40" t="str">
        <f>A155</f>
        <v>QUEBRACHOS</v>
      </c>
      <c r="C194" s="45">
        <f t="shared" si="45"/>
        <v>67887</v>
      </c>
      <c r="D194" s="45">
        <v>69075</v>
      </c>
      <c r="E194" s="45">
        <v>62665</v>
      </c>
      <c r="F194" s="45">
        <v>65391</v>
      </c>
      <c r="G194" s="45">
        <v>65523</v>
      </c>
      <c r="H194" s="45">
        <v>75357</v>
      </c>
      <c r="I194" s="45">
        <f t="shared" si="46"/>
        <v>76673</v>
      </c>
      <c r="J194" s="49">
        <f t="shared" si="47"/>
        <v>-0.11459053382546659</v>
      </c>
      <c r="K194" s="49">
        <f t="shared" si="43"/>
        <v>-1.7236166232079242E-2</v>
      </c>
    </row>
    <row r="195" spans="1:18" x14ac:dyDescent="0.25">
      <c r="A195" s="40" t="str">
        <f t="shared" si="44"/>
        <v>SALAVINA</v>
      </c>
      <c r="C195" s="45">
        <f t="shared" si="45"/>
        <v>29058</v>
      </c>
      <c r="D195" s="45">
        <v>30042</v>
      </c>
      <c r="E195" s="45">
        <v>25418</v>
      </c>
      <c r="F195" s="45">
        <v>24626</v>
      </c>
      <c r="G195" s="45">
        <v>24756</v>
      </c>
      <c r="H195" s="45">
        <v>30607</v>
      </c>
      <c r="I195" s="45">
        <f t="shared" si="46"/>
        <v>27167</v>
      </c>
      <c r="J195" s="49">
        <f t="shared" si="47"/>
        <v>6.9606507895608641E-2</v>
      </c>
      <c r="K195" s="49">
        <f>((C195/I195)^(1/7))-1</f>
        <v>9.6593289506572422E-3</v>
      </c>
    </row>
    <row r="196" spans="1:18" x14ac:dyDescent="0.25">
      <c r="A196" s="50" t="str">
        <f t="shared" si="44"/>
        <v>Total Sur</v>
      </c>
      <c r="C196" s="47">
        <f t="shared" si="45"/>
        <v>161543</v>
      </c>
      <c r="D196" s="47">
        <f>SUM(D192:D195)</f>
        <v>171413</v>
      </c>
      <c r="E196" s="47">
        <f t="shared" ref="E196:G196" si="53">SUM(E192:E195)</f>
        <v>151251</v>
      </c>
      <c r="F196" s="47">
        <f t="shared" si="53"/>
        <v>157482</v>
      </c>
      <c r="G196" s="47">
        <f t="shared" si="53"/>
        <v>159194</v>
      </c>
      <c r="H196" s="47">
        <f>SUM(H192:H195)</f>
        <v>180858</v>
      </c>
      <c r="I196" s="47">
        <f t="shared" si="46"/>
        <v>178864</v>
      </c>
      <c r="J196" s="48">
        <f t="shared" si="47"/>
        <v>-9.6838939082207712E-2</v>
      </c>
      <c r="K196" s="48">
        <f>((C196/I196)^(1/7))-1</f>
        <v>-1.4445276862821377E-2</v>
      </c>
    </row>
    <row r="199" spans="1:18" x14ac:dyDescent="0.25">
      <c r="D199" s="46" t="s">
        <v>154</v>
      </c>
    </row>
    <row r="200" spans="1:18" x14ac:dyDescent="0.25">
      <c r="C200" s="44">
        <v>2014</v>
      </c>
      <c r="E200" s="44">
        <v>2013</v>
      </c>
      <c r="G200" s="44">
        <v>2012</v>
      </c>
      <c r="I200" s="44">
        <v>2011</v>
      </c>
      <c r="K200" s="44">
        <v>2010</v>
      </c>
      <c r="M200" s="44">
        <v>2009</v>
      </c>
      <c r="O200" s="44">
        <v>2008</v>
      </c>
      <c r="Q200" s="43" t="s">
        <v>151</v>
      </c>
    </row>
    <row r="201" spans="1:18" s="44" customFormat="1" x14ac:dyDescent="0.25">
      <c r="C201" s="44" t="s">
        <v>143</v>
      </c>
      <c r="D201" s="44" t="s">
        <v>155</v>
      </c>
      <c r="E201" s="44" t="s">
        <v>143</v>
      </c>
      <c r="F201" s="44" t="s">
        <v>155</v>
      </c>
      <c r="G201" s="44" t="s">
        <v>143</v>
      </c>
      <c r="H201" s="44" t="s">
        <v>155</v>
      </c>
      <c r="I201" s="44" t="s">
        <v>143</v>
      </c>
      <c r="J201" s="44" t="s">
        <v>155</v>
      </c>
      <c r="K201" s="44" t="s">
        <v>143</v>
      </c>
      <c r="L201" s="44" t="s">
        <v>155</v>
      </c>
      <c r="M201" s="44" t="s">
        <v>143</v>
      </c>
      <c r="N201" s="44" t="s">
        <v>155</v>
      </c>
      <c r="O201" s="44" t="s">
        <v>143</v>
      </c>
      <c r="P201" s="44" t="s">
        <v>155</v>
      </c>
      <c r="Q201" s="44" t="s">
        <v>152</v>
      </c>
      <c r="R201" s="44" t="s">
        <v>153</v>
      </c>
    </row>
    <row r="202" spans="1:18" x14ac:dyDescent="0.25">
      <c r="A202" s="43" t="s">
        <v>68</v>
      </c>
      <c r="C202" s="47">
        <f>C163</f>
        <v>1293588</v>
      </c>
      <c r="D202" s="48">
        <f>C202/C$202</f>
        <v>1</v>
      </c>
      <c r="E202" s="47">
        <f>D163</f>
        <v>1428546</v>
      </c>
      <c r="F202" s="48">
        <f>E202/E$202</f>
        <v>1</v>
      </c>
      <c r="G202" s="47">
        <f>E163</f>
        <v>1333818</v>
      </c>
      <c r="H202" s="48">
        <f>G202/G$202</f>
        <v>1</v>
      </c>
      <c r="I202" s="47">
        <f>F163</f>
        <v>1318987</v>
      </c>
      <c r="J202" s="48">
        <f>I202/I$202</f>
        <v>1</v>
      </c>
      <c r="K202" s="47">
        <f>G163</f>
        <v>1328235</v>
      </c>
      <c r="L202" s="48">
        <f>K202/K$202</f>
        <v>1</v>
      </c>
      <c r="M202" s="47">
        <f>H163</f>
        <v>1458089</v>
      </c>
      <c r="N202" s="48">
        <f>M202/M$202</f>
        <v>1</v>
      </c>
      <c r="O202" s="47">
        <f>I163</f>
        <v>1389095</v>
      </c>
      <c r="P202" s="48">
        <f>O202/O$202</f>
        <v>1</v>
      </c>
      <c r="Q202" s="48">
        <f>J163</f>
        <v>-6.8754836782221523E-2</v>
      </c>
      <c r="R202" s="48">
        <f>K163</f>
        <v>-1.0124499123269737E-2</v>
      </c>
    </row>
    <row r="203" spans="1:18" x14ac:dyDescent="0.25">
      <c r="A203" s="40" t="s">
        <v>96</v>
      </c>
      <c r="C203" s="45">
        <f t="shared" ref="C203:C235" si="54">C164</f>
        <v>8487</v>
      </c>
      <c r="D203" s="49">
        <f>C203/C$202</f>
        <v>6.5608215289566689E-3</v>
      </c>
      <c r="E203" s="45">
        <f t="shared" ref="E203:E235" si="55">D164</f>
        <v>10465</v>
      </c>
      <c r="F203" s="49">
        <f>E203/E$202</f>
        <v>7.325630396221053E-3</v>
      </c>
      <c r="G203" s="45">
        <f t="shared" ref="G203:G235" si="56">E164</f>
        <v>46402</v>
      </c>
      <c r="H203" s="49">
        <f>G203/G$202</f>
        <v>3.4788854251479588E-2</v>
      </c>
      <c r="I203" s="45">
        <f t="shared" ref="I203:I235" si="57">F164</f>
        <v>12528</v>
      </c>
      <c r="J203" s="49">
        <f>I203/I$202</f>
        <v>9.4981982384966645E-3</v>
      </c>
      <c r="K203" s="45">
        <f t="shared" ref="K203:K235" si="58">G164</f>
        <v>12878</v>
      </c>
      <c r="L203" s="49">
        <f>K203/K$202</f>
        <v>9.6955734489755207E-3</v>
      </c>
      <c r="M203" s="45">
        <f t="shared" ref="M203:M235" si="59">H164</f>
        <v>15809</v>
      </c>
      <c r="N203" s="49">
        <f>M203/M$202</f>
        <v>1.0842273688368816E-2</v>
      </c>
      <c r="O203" s="45">
        <f t="shared" ref="O203:O235" si="60">I164</f>
        <v>11326</v>
      </c>
      <c r="P203" s="49">
        <f>O203/O$202</f>
        <v>8.1535100191131634E-3</v>
      </c>
      <c r="Q203" s="49">
        <f t="shared" ref="Q203:R218" si="61">J164</f>
        <v>-0.25066219318382482</v>
      </c>
      <c r="R203" s="49">
        <f t="shared" si="61"/>
        <v>-4.0385489448025003E-2</v>
      </c>
    </row>
    <row r="204" spans="1:18" x14ac:dyDescent="0.25">
      <c r="A204" s="40" t="s">
        <v>97</v>
      </c>
      <c r="C204" s="45">
        <f t="shared" si="54"/>
        <v>16280</v>
      </c>
      <c r="D204" s="49">
        <f t="shared" ref="D204:F235" si="62">C204/C$202</f>
        <v>1.2585150758974263E-2</v>
      </c>
      <c r="E204" s="45">
        <f t="shared" si="55"/>
        <v>16859</v>
      </c>
      <c r="F204" s="49">
        <f t="shared" si="62"/>
        <v>1.1801510066879191E-2</v>
      </c>
      <c r="G204" s="45">
        <f t="shared" si="56"/>
        <v>31986</v>
      </c>
      <c r="H204" s="49">
        <f t="shared" ref="H204:H235" si="63">G204/G$202</f>
        <v>2.3980782985384811E-2</v>
      </c>
      <c r="I204" s="45">
        <f t="shared" si="57"/>
        <v>16157</v>
      </c>
      <c r="J204" s="49">
        <f t="shared" ref="J204:J235" si="64">I204/I$202</f>
        <v>1.224955211840602E-2</v>
      </c>
      <c r="K204" s="45">
        <f t="shared" si="58"/>
        <v>16528</v>
      </c>
      <c r="L204" s="49">
        <f t="shared" ref="L204:L235" si="65">K204/K$202</f>
        <v>1.2443581143397064E-2</v>
      </c>
      <c r="M204" s="45">
        <f t="shared" si="59"/>
        <v>15265</v>
      </c>
      <c r="N204" s="49">
        <f t="shared" ref="N204:N235" si="66">M204/M$202</f>
        <v>1.0469182608194698E-2</v>
      </c>
      <c r="O204" s="45">
        <f t="shared" si="60"/>
        <v>14297</v>
      </c>
      <c r="P204" s="49">
        <f t="shared" ref="P204:P235" si="67">O204/O$202</f>
        <v>1.0292312620807072E-2</v>
      </c>
      <c r="Q204" s="49">
        <f t="shared" si="61"/>
        <v>0.13870042666293628</v>
      </c>
      <c r="R204" s="49">
        <f t="shared" si="61"/>
        <v>1.8728597235756927E-2</v>
      </c>
    </row>
    <row r="205" spans="1:18" x14ac:dyDescent="0.25">
      <c r="A205" s="40" t="s">
        <v>98</v>
      </c>
      <c r="C205" s="45">
        <f t="shared" si="54"/>
        <v>29378</v>
      </c>
      <c r="D205" s="49">
        <f t="shared" si="62"/>
        <v>2.2710476596876285E-2</v>
      </c>
      <c r="E205" s="45">
        <f t="shared" si="55"/>
        <v>36425</v>
      </c>
      <c r="F205" s="49">
        <f t="shared" si="62"/>
        <v>2.5497953863578771E-2</v>
      </c>
      <c r="G205" s="45">
        <f t="shared" si="56"/>
        <v>16622</v>
      </c>
      <c r="H205" s="49">
        <f t="shared" si="63"/>
        <v>1.2461970073878146E-2</v>
      </c>
      <c r="I205" s="45">
        <f t="shared" si="57"/>
        <v>33992</v>
      </c>
      <c r="J205" s="49">
        <f t="shared" si="64"/>
        <v>2.5771292666265853E-2</v>
      </c>
      <c r="K205" s="45">
        <f t="shared" si="58"/>
        <v>30482</v>
      </c>
      <c r="L205" s="49">
        <f t="shared" si="65"/>
        <v>2.2949252203111649E-2</v>
      </c>
      <c r="M205" s="45">
        <f t="shared" si="59"/>
        <v>32948</v>
      </c>
      <c r="N205" s="49">
        <f t="shared" si="66"/>
        <v>2.2596700201428035E-2</v>
      </c>
      <c r="O205" s="45">
        <f t="shared" si="60"/>
        <v>25807</v>
      </c>
      <c r="P205" s="49">
        <f t="shared" si="67"/>
        <v>1.8578282982805353E-2</v>
      </c>
      <c r="Q205" s="49">
        <f t="shared" si="61"/>
        <v>0.1383733095671717</v>
      </c>
      <c r="R205" s="49">
        <f t="shared" si="61"/>
        <v>1.8686784585947525E-2</v>
      </c>
    </row>
    <row r="206" spans="1:18" x14ac:dyDescent="0.25">
      <c r="A206" s="40" t="s">
        <v>99</v>
      </c>
      <c r="C206" s="45">
        <f t="shared" si="54"/>
        <v>12667</v>
      </c>
      <c r="D206" s="49">
        <f t="shared" si="62"/>
        <v>9.7921440211257375E-3</v>
      </c>
      <c r="E206" s="45">
        <f t="shared" si="55"/>
        <v>15314</v>
      </c>
      <c r="F206" s="49">
        <f t="shared" si="62"/>
        <v>1.0719990815836522E-2</v>
      </c>
      <c r="G206" s="45">
        <f t="shared" si="56"/>
        <v>55139</v>
      </c>
      <c r="H206" s="49">
        <f t="shared" si="63"/>
        <v>4.1339223192369573E-2</v>
      </c>
      <c r="I206" s="45">
        <f t="shared" si="57"/>
        <v>16532</v>
      </c>
      <c r="J206" s="49">
        <f t="shared" si="64"/>
        <v>1.2533861213188606E-2</v>
      </c>
      <c r="K206" s="45">
        <f t="shared" si="58"/>
        <v>18131</v>
      </c>
      <c r="L206" s="49">
        <f t="shared" si="65"/>
        <v>1.3650445892481376E-2</v>
      </c>
      <c r="M206" s="45">
        <f t="shared" si="59"/>
        <v>18469</v>
      </c>
      <c r="N206" s="49">
        <f t="shared" si="66"/>
        <v>1.2666579337749615E-2</v>
      </c>
      <c r="O206" s="45">
        <f t="shared" si="60"/>
        <v>17321</v>
      </c>
      <c r="P206" s="49">
        <f t="shared" si="67"/>
        <v>1.2469269560397237E-2</v>
      </c>
      <c r="Q206" s="49">
        <f t="shared" si="61"/>
        <v>-0.26869118411177184</v>
      </c>
      <c r="R206" s="49">
        <f t="shared" si="61"/>
        <v>-4.3718333229185946E-2</v>
      </c>
    </row>
    <row r="207" spans="1:18" x14ac:dyDescent="0.25">
      <c r="A207" s="40" t="s">
        <v>100</v>
      </c>
      <c r="C207" s="45">
        <f t="shared" si="54"/>
        <v>41356</v>
      </c>
      <c r="D207" s="49">
        <f t="shared" si="62"/>
        <v>3.1969993537355017E-2</v>
      </c>
      <c r="E207" s="45">
        <f t="shared" si="55"/>
        <v>48006</v>
      </c>
      <c r="F207" s="49">
        <f t="shared" si="62"/>
        <v>3.3604798165407346E-2</v>
      </c>
      <c r="G207" s="45">
        <f t="shared" si="56"/>
        <v>39987</v>
      </c>
      <c r="H207" s="49">
        <f t="shared" si="63"/>
        <v>2.99793525053643E-2</v>
      </c>
      <c r="I207" s="45">
        <f t="shared" si="57"/>
        <v>40345</v>
      </c>
      <c r="J207" s="49">
        <f t="shared" si="64"/>
        <v>3.058786781067592E-2</v>
      </c>
      <c r="K207" s="45">
        <f t="shared" si="58"/>
        <v>47858</v>
      </c>
      <c r="L207" s="49">
        <f t="shared" si="65"/>
        <v>3.603127458619898E-2</v>
      </c>
      <c r="M207" s="45">
        <f t="shared" si="59"/>
        <v>45068</v>
      </c>
      <c r="N207" s="49">
        <f t="shared" si="66"/>
        <v>3.0908950002366112E-2</v>
      </c>
      <c r="O207" s="45">
        <f t="shared" si="60"/>
        <v>37082</v>
      </c>
      <c r="P207" s="49">
        <f t="shared" si="67"/>
        <v>2.6695078450357967E-2</v>
      </c>
      <c r="Q207" s="49">
        <f t="shared" si="61"/>
        <v>0.11525807669489239</v>
      </c>
      <c r="R207" s="49">
        <f t="shared" si="61"/>
        <v>1.5705749938311531E-2</v>
      </c>
    </row>
    <row r="208" spans="1:18" x14ac:dyDescent="0.25">
      <c r="A208" s="40" t="s">
        <v>101</v>
      </c>
      <c r="C208" s="45">
        <f t="shared" si="54"/>
        <v>6536</v>
      </c>
      <c r="D208" s="49">
        <f t="shared" si="62"/>
        <v>5.0526133513916329E-3</v>
      </c>
      <c r="E208" s="45">
        <f t="shared" si="55"/>
        <v>8346</v>
      </c>
      <c r="F208" s="49">
        <f t="shared" si="62"/>
        <v>5.8423039930110754E-3</v>
      </c>
      <c r="G208" s="45">
        <f t="shared" si="56"/>
        <v>8582</v>
      </c>
      <c r="H208" s="49">
        <f t="shared" si="63"/>
        <v>6.4341611824101936E-3</v>
      </c>
      <c r="I208" s="45">
        <f t="shared" si="57"/>
        <v>8258</v>
      </c>
      <c r="J208" s="49">
        <f t="shared" si="64"/>
        <v>6.260865345905608E-3</v>
      </c>
      <c r="K208" s="45">
        <f t="shared" si="58"/>
        <v>8109</v>
      </c>
      <c r="L208" s="49">
        <f t="shared" si="65"/>
        <v>6.1050943545381655E-3</v>
      </c>
      <c r="M208" s="45">
        <f t="shared" si="59"/>
        <v>7328</v>
      </c>
      <c r="N208" s="49">
        <f t="shared" si="66"/>
        <v>5.0257563152866528E-3</v>
      </c>
      <c r="O208" s="45">
        <f t="shared" si="60"/>
        <v>4658</v>
      </c>
      <c r="P208" s="49">
        <f t="shared" si="67"/>
        <v>3.3532623758634221E-3</v>
      </c>
      <c r="Q208" s="49">
        <f t="shared" si="61"/>
        <v>0.40317732932589095</v>
      </c>
      <c r="R208" s="49">
        <f t="shared" si="61"/>
        <v>4.95812890438041E-2</v>
      </c>
    </row>
    <row r="209" spans="1:18" x14ac:dyDescent="0.25">
      <c r="A209" s="40" t="s">
        <v>102</v>
      </c>
      <c r="C209" s="45">
        <f t="shared" si="54"/>
        <v>9552</v>
      </c>
      <c r="D209" s="49">
        <f t="shared" si="62"/>
        <v>7.3841130251672098E-3</v>
      </c>
      <c r="E209" s="45">
        <f t="shared" si="55"/>
        <v>11084</v>
      </c>
      <c r="F209" s="49">
        <f t="shared" si="62"/>
        <v>7.7589381090983423E-3</v>
      </c>
      <c r="G209" s="45">
        <f t="shared" si="56"/>
        <v>9081</v>
      </c>
      <c r="H209" s="49">
        <f t="shared" si="63"/>
        <v>6.8082751919677194E-3</v>
      </c>
      <c r="I209" s="45">
        <f t="shared" si="57"/>
        <v>7350</v>
      </c>
      <c r="J209" s="49">
        <f t="shared" si="64"/>
        <v>5.5724582577387043E-3</v>
      </c>
      <c r="K209" s="45">
        <f t="shared" si="58"/>
        <v>7178</v>
      </c>
      <c r="L209" s="49">
        <f t="shared" si="65"/>
        <v>5.4041641727555741E-3</v>
      </c>
      <c r="M209" s="45">
        <f t="shared" si="59"/>
        <v>8012</v>
      </c>
      <c r="N209" s="49">
        <f t="shared" si="66"/>
        <v>5.4948634822702871E-3</v>
      </c>
      <c r="O209" s="45">
        <f t="shared" si="60"/>
        <v>6942</v>
      </c>
      <c r="P209" s="49">
        <f t="shared" si="67"/>
        <v>4.9974983712417079E-3</v>
      </c>
      <c r="Q209" s="49">
        <f t="shared" si="61"/>
        <v>0.37597234226447712</v>
      </c>
      <c r="R209" s="49">
        <f t="shared" si="61"/>
        <v>4.6649779650579148E-2</v>
      </c>
    </row>
    <row r="210" spans="1:18" x14ac:dyDescent="0.25">
      <c r="A210" s="40" t="s">
        <v>103</v>
      </c>
      <c r="C210" s="45">
        <f t="shared" si="54"/>
        <v>6395</v>
      </c>
      <c r="D210" s="49">
        <f t="shared" si="62"/>
        <v>4.9436141955553079E-3</v>
      </c>
      <c r="E210" s="45">
        <f t="shared" si="55"/>
        <v>7189</v>
      </c>
      <c r="F210" s="49">
        <f t="shared" si="62"/>
        <v>5.0323895765344625E-3</v>
      </c>
      <c r="G210" s="45">
        <f t="shared" si="56"/>
        <v>6900</v>
      </c>
      <c r="H210" s="49">
        <f t="shared" si="63"/>
        <v>5.1731195710359281E-3</v>
      </c>
      <c r="I210" s="45">
        <f t="shared" si="57"/>
        <v>6562</v>
      </c>
      <c r="J210" s="49">
        <f t="shared" si="64"/>
        <v>4.9750300799022281E-3</v>
      </c>
      <c r="K210" s="45">
        <f t="shared" si="58"/>
        <v>6852</v>
      </c>
      <c r="L210" s="49">
        <f t="shared" si="65"/>
        <v>5.1587256773086088E-3</v>
      </c>
      <c r="M210" s="45">
        <f t="shared" si="59"/>
        <v>6241</v>
      </c>
      <c r="N210" s="49">
        <f t="shared" si="66"/>
        <v>4.2802599841299128E-3</v>
      </c>
      <c r="O210" s="45">
        <f t="shared" si="60"/>
        <v>6498</v>
      </c>
      <c r="P210" s="49">
        <f t="shared" si="67"/>
        <v>4.6778658047145804E-3</v>
      </c>
      <c r="Q210" s="49">
        <f t="shared" si="61"/>
        <v>-1.5851031086488152E-2</v>
      </c>
      <c r="R210" s="49">
        <f t="shared" si="61"/>
        <v>-2.2799686592250845E-3</v>
      </c>
    </row>
    <row r="211" spans="1:18" x14ac:dyDescent="0.25">
      <c r="A211" s="50" t="s">
        <v>104</v>
      </c>
      <c r="C211" s="47">
        <f t="shared" si="54"/>
        <v>130651</v>
      </c>
      <c r="D211" s="48">
        <f t="shared" si="62"/>
        <v>0.10099892701540213</v>
      </c>
      <c r="E211" s="47">
        <f t="shared" si="55"/>
        <v>153688</v>
      </c>
      <c r="F211" s="48">
        <f t="shared" si="62"/>
        <v>0.10758351498656676</v>
      </c>
      <c r="G211" s="47">
        <f t="shared" si="56"/>
        <v>214699</v>
      </c>
      <c r="H211" s="48">
        <f t="shared" si="63"/>
        <v>0.16096573895389027</v>
      </c>
      <c r="I211" s="47">
        <f t="shared" si="57"/>
        <v>141724</v>
      </c>
      <c r="J211" s="48">
        <f t="shared" si="64"/>
        <v>0.1074491257305796</v>
      </c>
      <c r="K211" s="47">
        <f t="shared" si="58"/>
        <v>148016</v>
      </c>
      <c r="L211" s="48">
        <f t="shared" si="65"/>
        <v>0.11143811147876694</v>
      </c>
      <c r="M211" s="47">
        <f t="shared" si="59"/>
        <v>149140</v>
      </c>
      <c r="N211" s="48">
        <f t="shared" si="66"/>
        <v>0.10228456561979413</v>
      </c>
      <c r="O211" s="47">
        <f t="shared" si="60"/>
        <v>123931</v>
      </c>
      <c r="P211" s="48">
        <f t="shared" si="67"/>
        <v>8.9217080185300501E-2</v>
      </c>
      <c r="Q211" s="48">
        <f t="shared" si="61"/>
        <v>5.422372126425188E-2</v>
      </c>
      <c r="R211" s="48">
        <f t="shared" si="61"/>
        <v>7.5720507706202866E-3</v>
      </c>
    </row>
    <row r="212" spans="1:18" x14ac:dyDescent="0.25">
      <c r="A212" s="40" t="s">
        <v>105</v>
      </c>
      <c r="C212" s="45">
        <f t="shared" si="54"/>
        <v>130871</v>
      </c>
      <c r="D212" s="49">
        <f t="shared" si="62"/>
        <v>0.10116899662025312</v>
      </c>
      <c r="E212" s="45">
        <f t="shared" si="55"/>
        <v>137206</v>
      </c>
      <c r="F212" s="49">
        <f t="shared" si="62"/>
        <v>9.6045909617191186E-2</v>
      </c>
      <c r="G212" s="45">
        <f t="shared" si="56"/>
        <v>143119</v>
      </c>
      <c r="H212" s="49">
        <f t="shared" si="63"/>
        <v>0.10730024636044798</v>
      </c>
      <c r="I212" s="45">
        <f t="shared" si="57"/>
        <v>121753</v>
      </c>
      <c r="J212" s="49">
        <f t="shared" si="64"/>
        <v>9.2307960578838152E-2</v>
      </c>
      <c r="K212" s="45">
        <f t="shared" si="58"/>
        <v>120266</v>
      </c>
      <c r="L212" s="49">
        <f t="shared" si="65"/>
        <v>9.0545724212959297E-2</v>
      </c>
      <c r="M212" s="45">
        <f t="shared" si="59"/>
        <v>117370</v>
      </c>
      <c r="N212" s="49">
        <f t="shared" si="66"/>
        <v>8.0495772205949015E-2</v>
      </c>
      <c r="O212" s="45">
        <f t="shared" si="60"/>
        <v>101780</v>
      </c>
      <c r="P212" s="49">
        <f t="shared" si="67"/>
        <v>7.3270726624168975E-2</v>
      </c>
      <c r="Q212" s="49">
        <f t="shared" si="61"/>
        <v>0.28582236195716249</v>
      </c>
      <c r="R212" s="49">
        <f t="shared" si="61"/>
        <v>3.6566769599882587E-2</v>
      </c>
    </row>
    <row r="213" spans="1:18" x14ac:dyDescent="0.25">
      <c r="A213" s="40" t="s">
        <v>106</v>
      </c>
      <c r="C213" s="45">
        <f t="shared" si="54"/>
        <v>67542</v>
      </c>
      <c r="D213" s="49">
        <f t="shared" si="62"/>
        <v>5.2212914776574922E-2</v>
      </c>
      <c r="E213" s="45">
        <f t="shared" si="55"/>
        <v>74540</v>
      </c>
      <c r="F213" s="49">
        <f t="shared" si="62"/>
        <v>5.2178928784932369E-2</v>
      </c>
      <c r="G213" s="45">
        <f t="shared" si="56"/>
        <v>65740</v>
      </c>
      <c r="H213" s="49">
        <f t="shared" si="63"/>
        <v>4.9287084144913326E-2</v>
      </c>
      <c r="I213" s="45">
        <f t="shared" si="57"/>
        <v>63511</v>
      </c>
      <c r="J213" s="49">
        <f t="shared" si="64"/>
        <v>4.8151346449965014E-2</v>
      </c>
      <c r="K213" s="45">
        <f t="shared" si="58"/>
        <v>69352</v>
      </c>
      <c r="L213" s="49">
        <f t="shared" si="65"/>
        <v>5.221365195165012E-2</v>
      </c>
      <c r="M213" s="45">
        <f t="shared" si="59"/>
        <v>71190</v>
      </c>
      <c r="N213" s="49">
        <f t="shared" si="66"/>
        <v>4.8824180142638757E-2</v>
      </c>
      <c r="O213" s="45">
        <f t="shared" si="60"/>
        <v>55797</v>
      </c>
      <c r="P213" s="49">
        <f t="shared" si="67"/>
        <v>4.0167879086743526E-2</v>
      </c>
      <c r="Q213" s="49">
        <f t="shared" si="61"/>
        <v>0.21049518791332866</v>
      </c>
      <c r="R213" s="49">
        <f t="shared" si="61"/>
        <v>2.7665712471019122E-2</v>
      </c>
    </row>
    <row r="214" spans="1:18" x14ac:dyDescent="0.25">
      <c r="A214" s="40" t="s">
        <v>107</v>
      </c>
      <c r="C214" s="45">
        <f t="shared" si="54"/>
        <v>58642</v>
      </c>
      <c r="D214" s="49">
        <f t="shared" si="62"/>
        <v>4.5332826216693413E-2</v>
      </c>
      <c r="E214" s="45">
        <f t="shared" si="55"/>
        <v>63670</v>
      </c>
      <c r="F214" s="49">
        <f t="shared" si="62"/>
        <v>4.4569793342321494E-2</v>
      </c>
      <c r="G214" s="45">
        <f t="shared" si="56"/>
        <v>56515</v>
      </c>
      <c r="H214" s="49">
        <f t="shared" si="63"/>
        <v>4.2370848196680508E-2</v>
      </c>
      <c r="I214" s="45">
        <f t="shared" si="57"/>
        <v>52183</v>
      </c>
      <c r="J214" s="49">
        <f t="shared" si="64"/>
        <v>3.9562937314772624E-2</v>
      </c>
      <c r="K214" s="45">
        <f t="shared" si="58"/>
        <v>53795</v>
      </c>
      <c r="L214" s="49">
        <f t="shared" si="65"/>
        <v>4.0501116142851228E-2</v>
      </c>
      <c r="M214" s="45">
        <f t="shared" si="59"/>
        <v>63451</v>
      </c>
      <c r="N214" s="49">
        <f t="shared" si="66"/>
        <v>4.3516548029647023E-2</v>
      </c>
      <c r="O214" s="45">
        <f t="shared" si="60"/>
        <v>60938</v>
      </c>
      <c r="P214" s="49">
        <f t="shared" si="67"/>
        <v>4.386884986268038E-2</v>
      </c>
      <c r="Q214" s="49">
        <f t="shared" si="61"/>
        <v>-3.7677639568085598E-2</v>
      </c>
      <c r="R214" s="49">
        <f t="shared" si="61"/>
        <v>-5.471517911592505E-3</v>
      </c>
    </row>
    <row r="215" spans="1:18" x14ac:dyDescent="0.25">
      <c r="A215" s="40" t="s">
        <v>108</v>
      </c>
      <c r="C215" s="45">
        <f t="shared" si="54"/>
        <v>248064</v>
      </c>
      <c r="D215" s="49">
        <f t="shared" si="62"/>
        <v>0.19176430208072431</v>
      </c>
      <c r="E215" s="45">
        <f t="shared" si="55"/>
        <v>283730</v>
      </c>
      <c r="F215" s="49">
        <f t="shared" si="62"/>
        <v>0.19861453533872903</v>
      </c>
      <c r="G215" s="45">
        <f t="shared" si="56"/>
        <v>261129</v>
      </c>
      <c r="H215" s="49">
        <f t="shared" si="63"/>
        <v>0.19577558557464361</v>
      </c>
      <c r="I215" s="45">
        <f t="shared" si="57"/>
        <v>258668</v>
      </c>
      <c r="J215" s="49">
        <f t="shared" si="64"/>
        <v>0.19611110647792587</v>
      </c>
      <c r="K215" s="45">
        <f t="shared" si="58"/>
        <v>251944</v>
      </c>
      <c r="L215" s="49">
        <f t="shared" si="65"/>
        <v>0.18968330152420318</v>
      </c>
      <c r="M215" s="45">
        <f t="shared" si="59"/>
        <v>300126</v>
      </c>
      <c r="N215" s="49">
        <f t="shared" si="66"/>
        <v>0.20583517192709086</v>
      </c>
      <c r="O215" s="45">
        <f t="shared" si="60"/>
        <v>273173</v>
      </c>
      <c r="P215" s="49">
        <f t="shared" si="67"/>
        <v>0.19665537634215083</v>
      </c>
      <c r="Q215" s="49">
        <f t="shared" si="61"/>
        <v>-9.1916111768000491E-2</v>
      </c>
      <c r="R215" s="49">
        <f t="shared" si="61"/>
        <v>-1.36796453157082E-2</v>
      </c>
    </row>
    <row r="216" spans="1:18" x14ac:dyDescent="0.25">
      <c r="A216" s="50" t="s">
        <v>109</v>
      </c>
      <c r="C216" s="47">
        <f t="shared" si="54"/>
        <v>505119</v>
      </c>
      <c r="D216" s="48">
        <f t="shared" si="62"/>
        <v>0.3904790396942458</v>
      </c>
      <c r="E216" s="47">
        <f t="shared" si="55"/>
        <v>559146</v>
      </c>
      <c r="F216" s="48">
        <f t="shared" si="62"/>
        <v>0.39140916708317408</v>
      </c>
      <c r="G216" s="47">
        <f t="shared" si="56"/>
        <v>526503</v>
      </c>
      <c r="H216" s="48">
        <f t="shared" si="63"/>
        <v>0.39473376427668544</v>
      </c>
      <c r="I216" s="47">
        <f t="shared" si="57"/>
        <v>496115</v>
      </c>
      <c r="J216" s="48">
        <f t="shared" si="64"/>
        <v>0.37613335082150168</v>
      </c>
      <c r="K216" s="47">
        <f t="shared" si="58"/>
        <v>495357</v>
      </c>
      <c r="L216" s="48">
        <f t="shared" si="65"/>
        <v>0.37294379383166382</v>
      </c>
      <c r="M216" s="47">
        <f t="shared" si="59"/>
        <v>552137</v>
      </c>
      <c r="N216" s="48">
        <f t="shared" si="66"/>
        <v>0.37867167230532567</v>
      </c>
      <c r="O216" s="47">
        <f t="shared" si="60"/>
        <v>491688</v>
      </c>
      <c r="P216" s="48">
        <f t="shared" si="67"/>
        <v>0.35396283191574368</v>
      </c>
      <c r="Q216" s="48">
        <f t="shared" si="61"/>
        <v>2.7316102894518475E-2</v>
      </c>
      <c r="R216" s="48">
        <f t="shared" si="61"/>
        <v>3.8573743182166442E-3</v>
      </c>
    </row>
    <row r="217" spans="1:18" x14ac:dyDescent="0.25">
      <c r="A217" s="40" t="s">
        <v>110</v>
      </c>
      <c r="C217" s="45">
        <f t="shared" si="54"/>
        <v>49404</v>
      </c>
      <c r="D217" s="49">
        <f t="shared" si="62"/>
        <v>3.8191448900268092E-2</v>
      </c>
      <c r="E217" s="45">
        <f t="shared" si="55"/>
        <v>55934</v>
      </c>
      <c r="F217" s="49">
        <f t="shared" si="62"/>
        <v>3.9154496950045713E-2</v>
      </c>
      <c r="G217" s="45">
        <f t="shared" si="56"/>
        <v>33946</v>
      </c>
      <c r="H217" s="49">
        <f t="shared" si="63"/>
        <v>2.545024883454864E-2</v>
      </c>
      <c r="I217" s="45">
        <f t="shared" si="57"/>
        <v>54205</v>
      </c>
      <c r="J217" s="49">
        <f t="shared" si="64"/>
        <v>4.1095931953840335E-2</v>
      </c>
      <c r="K217" s="45">
        <f t="shared" si="58"/>
        <v>50434</v>
      </c>
      <c r="L217" s="49">
        <f t="shared" si="65"/>
        <v>3.7970690427522241E-2</v>
      </c>
      <c r="M217" s="45">
        <f t="shared" si="59"/>
        <v>53777</v>
      </c>
      <c r="N217" s="49">
        <f t="shared" si="66"/>
        <v>3.688183643110949E-2</v>
      </c>
      <c r="O217" s="45">
        <f t="shared" si="60"/>
        <v>57946</v>
      </c>
      <c r="P217" s="49">
        <f t="shared" si="67"/>
        <v>4.171492950446154E-2</v>
      </c>
      <c r="Q217" s="49">
        <f t="shared" si="61"/>
        <v>-0.14741310875642841</v>
      </c>
      <c r="R217" s="49">
        <f t="shared" si="61"/>
        <v>-2.2525308536496924E-2</v>
      </c>
    </row>
    <row r="218" spans="1:18" x14ac:dyDescent="0.25">
      <c r="A218" s="40" t="s">
        <v>111</v>
      </c>
      <c r="C218" s="45">
        <f t="shared" si="54"/>
        <v>41418</v>
      </c>
      <c r="D218" s="49">
        <f t="shared" si="62"/>
        <v>3.2017922244176662E-2</v>
      </c>
      <c r="E218" s="45">
        <f t="shared" si="55"/>
        <v>51290</v>
      </c>
      <c r="F218" s="49">
        <f t="shared" si="62"/>
        <v>3.5903639084775708E-2</v>
      </c>
      <c r="G218" s="45">
        <f t="shared" si="56"/>
        <v>48127</v>
      </c>
      <c r="H218" s="49">
        <f t="shared" si="63"/>
        <v>3.6082134144238567E-2</v>
      </c>
      <c r="I218" s="45">
        <f t="shared" si="57"/>
        <v>45056</v>
      </c>
      <c r="J218" s="49">
        <f t="shared" si="64"/>
        <v>3.41595481987313E-2</v>
      </c>
      <c r="K218" s="45">
        <f t="shared" si="58"/>
        <v>46303</v>
      </c>
      <c r="L218" s="49">
        <f t="shared" si="65"/>
        <v>3.4860548020493362E-2</v>
      </c>
      <c r="M218" s="45">
        <f t="shared" si="59"/>
        <v>40989</v>
      </c>
      <c r="N218" s="49">
        <f t="shared" si="66"/>
        <v>2.8111452730251719E-2</v>
      </c>
      <c r="O218" s="45">
        <f t="shared" si="60"/>
        <v>38876</v>
      </c>
      <c r="P218" s="49">
        <f t="shared" si="67"/>
        <v>2.7986566793487846E-2</v>
      </c>
      <c r="Q218" s="49">
        <f t="shared" si="61"/>
        <v>6.5387385533491105E-2</v>
      </c>
      <c r="R218" s="49">
        <f t="shared" si="61"/>
        <v>9.089413715693162E-3</v>
      </c>
    </row>
    <row r="219" spans="1:18" x14ac:dyDescent="0.25">
      <c r="A219" s="50" t="s">
        <v>112</v>
      </c>
      <c r="C219" s="47">
        <f t="shared" si="54"/>
        <v>90822</v>
      </c>
      <c r="D219" s="48">
        <f t="shared" si="62"/>
        <v>7.0209371144444754E-2</v>
      </c>
      <c r="E219" s="47">
        <f t="shared" si="55"/>
        <v>107224</v>
      </c>
      <c r="F219" s="48">
        <f t="shared" si="62"/>
        <v>7.5058136034821421E-2</v>
      </c>
      <c r="G219" s="47">
        <f t="shared" si="56"/>
        <v>82073</v>
      </c>
      <c r="H219" s="48">
        <f t="shared" si="63"/>
        <v>6.1532382978787208E-2</v>
      </c>
      <c r="I219" s="47">
        <f t="shared" si="57"/>
        <v>99261</v>
      </c>
      <c r="J219" s="48">
        <f t="shared" si="64"/>
        <v>7.5255480152571635E-2</v>
      </c>
      <c r="K219" s="47">
        <f t="shared" si="58"/>
        <v>96737</v>
      </c>
      <c r="L219" s="48">
        <f t="shared" si="65"/>
        <v>7.2831238448015603E-2</v>
      </c>
      <c r="M219" s="47">
        <f t="shared" si="59"/>
        <v>94766</v>
      </c>
      <c r="N219" s="48">
        <f t="shared" si="66"/>
        <v>6.4993289161361212E-2</v>
      </c>
      <c r="O219" s="47">
        <f t="shared" si="60"/>
        <v>96822</v>
      </c>
      <c r="P219" s="48">
        <f t="shared" si="67"/>
        <v>6.9701496297949389E-2</v>
      </c>
      <c r="Q219" s="48">
        <f t="shared" ref="Q219:R234" si="68">J180</f>
        <v>-6.1969387122761357E-2</v>
      </c>
      <c r="R219" s="48">
        <f t="shared" si="68"/>
        <v>-9.0973229749706785E-3</v>
      </c>
    </row>
    <row r="220" spans="1:18" x14ac:dyDescent="0.25">
      <c r="A220" s="40" t="s">
        <v>113</v>
      </c>
      <c r="C220" s="45">
        <f t="shared" si="54"/>
        <v>33121</v>
      </c>
      <c r="D220" s="49">
        <f t="shared" si="62"/>
        <v>2.5603979010318585E-2</v>
      </c>
      <c r="E220" s="45">
        <f t="shared" si="55"/>
        <v>32134</v>
      </c>
      <c r="F220" s="49">
        <f t="shared" si="62"/>
        <v>2.2494200396767063E-2</v>
      </c>
      <c r="G220" s="45">
        <f t="shared" si="56"/>
        <v>9699</v>
      </c>
      <c r="H220" s="49">
        <f t="shared" si="63"/>
        <v>7.2716067709387641E-3</v>
      </c>
      <c r="I220" s="45">
        <f t="shared" si="57"/>
        <v>31095</v>
      </c>
      <c r="J220" s="49">
        <f t="shared" si="64"/>
        <v>2.3574910139372109E-2</v>
      </c>
      <c r="K220" s="45">
        <f t="shared" si="58"/>
        <v>30837</v>
      </c>
      <c r="L220" s="49">
        <f t="shared" si="65"/>
        <v>2.3216524184349909E-2</v>
      </c>
      <c r="M220" s="45">
        <f t="shared" si="59"/>
        <v>30368</v>
      </c>
      <c r="N220" s="49">
        <f t="shared" si="66"/>
        <v>2.0827260887366958E-2</v>
      </c>
      <c r="O220" s="45">
        <f t="shared" si="60"/>
        <v>23934</v>
      </c>
      <c r="P220" s="49">
        <f t="shared" si="67"/>
        <v>1.7229923079415014E-2</v>
      </c>
      <c r="Q220" s="49">
        <f t="shared" si="68"/>
        <v>0.38384724659480235</v>
      </c>
      <c r="R220" s="49">
        <f t="shared" si="68"/>
        <v>4.7503422404706841E-2</v>
      </c>
    </row>
    <row r="221" spans="1:18" x14ac:dyDescent="0.25">
      <c r="A221" s="40" t="s">
        <v>114</v>
      </c>
      <c r="C221" s="45">
        <f t="shared" si="54"/>
        <v>22941</v>
      </c>
      <c r="D221" s="49">
        <f t="shared" si="62"/>
        <v>1.7734394567667604E-2</v>
      </c>
      <c r="E221" s="45">
        <f t="shared" si="55"/>
        <v>27412</v>
      </c>
      <c r="F221" s="49">
        <f t="shared" si="62"/>
        <v>1.9188741559599761E-2</v>
      </c>
      <c r="G221" s="45">
        <f t="shared" si="56"/>
        <v>48051</v>
      </c>
      <c r="H221" s="49">
        <f t="shared" si="63"/>
        <v>3.6025154856209766E-2</v>
      </c>
      <c r="I221" s="45">
        <f t="shared" si="57"/>
        <v>35631</v>
      </c>
      <c r="J221" s="49">
        <f t="shared" si="64"/>
        <v>2.701391294986228E-2</v>
      </c>
      <c r="K221" s="45">
        <f t="shared" si="58"/>
        <v>36677</v>
      </c>
      <c r="L221" s="49">
        <f t="shared" si="65"/>
        <v>2.7613336495424377E-2</v>
      </c>
      <c r="M221" s="45">
        <f t="shared" si="59"/>
        <v>32053</v>
      </c>
      <c r="N221" s="49">
        <f t="shared" si="66"/>
        <v>2.198288307503863E-2</v>
      </c>
      <c r="O221" s="45">
        <f t="shared" si="60"/>
        <v>30766</v>
      </c>
      <c r="P221" s="49">
        <f t="shared" si="67"/>
        <v>2.2148233202192794E-2</v>
      </c>
      <c r="Q221" s="49">
        <f t="shared" si="68"/>
        <v>-0.25433920561658974</v>
      </c>
      <c r="R221" s="49">
        <f t="shared" si="68"/>
        <v>-4.1059600369496185E-2</v>
      </c>
    </row>
    <row r="222" spans="1:18" x14ac:dyDescent="0.25">
      <c r="A222" s="40" t="s">
        <v>115</v>
      </c>
      <c r="C222" s="45">
        <f t="shared" si="54"/>
        <v>2072</v>
      </c>
      <c r="D222" s="49">
        <f t="shared" si="62"/>
        <v>1.6017464602330882E-3</v>
      </c>
      <c r="E222" s="45">
        <f t="shared" si="55"/>
        <v>1619</v>
      </c>
      <c r="F222" s="49">
        <f t="shared" si="62"/>
        <v>1.1333201730990812E-3</v>
      </c>
      <c r="G222" s="45">
        <f t="shared" si="56"/>
        <v>2672</v>
      </c>
      <c r="H222" s="49">
        <f t="shared" si="63"/>
        <v>2.0032718106968118E-3</v>
      </c>
      <c r="I222" s="45">
        <f t="shared" si="57"/>
        <v>2366</v>
      </c>
      <c r="J222" s="49">
        <f t="shared" si="64"/>
        <v>1.7938008486816019E-3</v>
      </c>
      <c r="K222" s="45">
        <f t="shared" si="58"/>
        <v>2325</v>
      </c>
      <c r="L222" s="49">
        <f t="shared" si="65"/>
        <v>1.7504432574055042E-3</v>
      </c>
      <c r="M222" s="45">
        <f t="shared" si="59"/>
        <v>2100</v>
      </c>
      <c r="N222" s="49">
        <f t="shared" si="66"/>
        <v>1.4402413021427361E-3</v>
      </c>
      <c r="O222" s="45">
        <f t="shared" si="60"/>
        <v>2050</v>
      </c>
      <c r="P222" s="49">
        <f t="shared" si="67"/>
        <v>1.4757809941004754E-3</v>
      </c>
      <c r="Q222" s="49">
        <f t="shared" si="68"/>
        <v>1.0731707317073172E-2</v>
      </c>
      <c r="R222" s="49">
        <f t="shared" si="68"/>
        <v>1.5260963368992631E-3</v>
      </c>
    </row>
    <row r="223" spans="1:18" x14ac:dyDescent="0.25">
      <c r="A223" s="50" t="s">
        <v>116</v>
      </c>
      <c r="C223" s="47">
        <f t="shared" si="54"/>
        <v>58134</v>
      </c>
      <c r="D223" s="48">
        <f t="shared" si="62"/>
        <v>4.4940120038219275E-2</v>
      </c>
      <c r="E223" s="47">
        <f t="shared" si="55"/>
        <v>61165</v>
      </c>
      <c r="F223" s="48">
        <f t="shared" si="62"/>
        <v>4.2816262129465904E-2</v>
      </c>
      <c r="G223" s="47">
        <f t="shared" si="56"/>
        <v>60422</v>
      </c>
      <c r="H223" s="48">
        <f t="shared" si="63"/>
        <v>4.530003343784534E-2</v>
      </c>
      <c r="I223" s="47">
        <f t="shared" si="57"/>
        <v>69092</v>
      </c>
      <c r="J223" s="48">
        <f t="shared" si="64"/>
        <v>5.2382623937915991E-2</v>
      </c>
      <c r="K223" s="47">
        <f t="shared" si="58"/>
        <v>69839</v>
      </c>
      <c r="L223" s="48">
        <f t="shared" si="65"/>
        <v>5.2580303937179794E-2</v>
      </c>
      <c r="M223" s="47">
        <f t="shared" si="59"/>
        <v>64521</v>
      </c>
      <c r="N223" s="48">
        <f t="shared" si="66"/>
        <v>4.4250385264548324E-2</v>
      </c>
      <c r="O223" s="47">
        <f t="shared" si="60"/>
        <v>56750</v>
      </c>
      <c r="P223" s="48">
        <f t="shared" si="67"/>
        <v>4.0853937275708282E-2</v>
      </c>
      <c r="Q223" s="48">
        <f t="shared" si="68"/>
        <v>2.4387665198237884E-2</v>
      </c>
      <c r="R223" s="48">
        <f t="shared" si="68"/>
        <v>3.4480787465152041E-3</v>
      </c>
    </row>
    <row r="224" spans="1:18" x14ac:dyDescent="0.25">
      <c r="A224" s="40" t="s">
        <v>117</v>
      </c>
      <c r="C224" s="45">
        <f t="shared" si="54"/>
        <v>87477</v>
      </c>
      <c r="D224" s="49">
        <f t="shared" si="62"/>
        <v>6.7623540107051086E-2</v>
      </c>
      <c r="E224" s="45">
        <f t="shared" si="55"/>
        <v>92155</v>
      </c>
      <c r="F224" s="49">
        <f t="shared" si="62"/>
        <v>6.4509648271739231E-2</v>
      </c>
      <c r="G224" s="45">
        <f t="shared" si="56"/>
        <v>80233</v>
      </c>
      <c r="H224" s="49">
        <f t="shared" si="63"/>
        <v>6.0152884426510962E-2</v>
      </c>
      <c r="I224" s="45">
        <f t="shared" si="57"/>
        <v>88602</v>
      </c>
      <c r="J224" s="49">
        <f t="shared" si="64"/>
        <v>6.7174278442471383E-2</v>
      </c>
      <c r="K224" s="45">
        <f t="shared" si="58"/>
        <v>90572</v>
      </c>
      <c r="L224" s="49">
        <f t="shared" si="65"/>
        <v>6.8189740520314554E-2</v>
      </c>
      <c r="M224" s="45">
        <f t="shared" si="59"/>
        <v>100114</v>
      </c>
      <c r="N224" s="49">
        <f t="shared" si="66"/>
        <v>6.8661103677484708E-2</v>
      </c>
      <c r="O224" s="45">
        <f t="shared" si="60"/>
        <v>100797</v>
      </c>
      <c r="P224" s="49">
        <f t="shared" si="67"/>
        <v>7.2563071640168605E-2</v>
      </c>
      <c r="Q224" s="49">
        <f t="shared" si="68"/>
        <v>-0.13214679008303817</v>
      </c>
      <c r="R224" s="49">
        <f t="shared" si="68"/>
        <v>-2.0043922671580505E-2</v>
      </c>
    </row>
    <row r="225" spans="1:18" x14ac:dyDescent="0.25">
      <c r="A225" s="40" t="s">
        <v>118</v>
      </c>
      <c r="C225" s="45">
        <f t="shared" si="54"/>
        <v>15457</v>
      </c>
      <c r="D225" s="49">
        <f t="shared" si="62"/>
        <v>1.1948935828099827E-2</v>
      </c>
      <c r="E225" s="45">
        <f t="shared" si="55"/>
        <v>17232</v>
      </c>
      <c r="F225" s="49">
        <f t="shared" si="62"/>
        <v>1.206261471454192E-2</v>
      </c>
      <c r="G225" s="45">
        <f t="shared" si="56"/>
        <v>15682</v>
      </c>
      <c r="H225" s="49">
        <f t="shared" si="63"/>
        <v>1.1757226248258758E-2</v>
      </c>
      <c r="I225" s="45">
        <f t="shared" si="57"/>
        <v>12929</v>
      </c>
      <c r="J225" s="49">
        <f t="shared" si="64"/>
        <v>9.8022194305175114E-3</v>
      </c>
      <c r="K225" s="45">
        <f t="shared" si="58"/>
        <v>11014</v>
      </c>
      <c r="L225" s="49">
        <f t="shared" si="65"/>
        <v>8.2922073277695591E-3</v>
      </c>
      <c r="M225" s="45">
        <f t="shared" si="59"/>
        <v>7022</v>
      </c>
      <c r="N225" s="49">
        <f t="shared" si="66"/>
        <v>4.8158925826887111E-3</v>
      </c>
      <c r="O225" s="45">
        <f t="shared" si="60"/>
        <v>4317</v>
      </c>
      <c r="P225" s="49">
        <f t="shared" si="67"/>
        <v>3.1077788056252452E-3</v>
      </c>
      <c r="Q225" s="49">
        <f t="shared" si="68"/>
        <v>2.5804957146166321</v>
      </c>
      <c r="R225" s="49">
        <f t="shared" si="68"/>
        <v>0.19987149734473553</v>
      </c>
    </row>
    <row r="226" spans="1:18" x14ac:dyDescent="0.25">
      <c r="A226" s="40" t="s">
        <v>119</v>
      </c>
      <c r="C226" s="45">
        <f t="shared" si="54"/>
        <v>45027</v>
      </c>
      <c r="D226" s="49">
        <f t="shared" si="62"/>
        <v>3.4807836807391537E-2</v>
      </c>
      <c r="E226" s="45">
        <f t="shared" si="55"/>
        <v>50931</v>
      </c>
      <c r="F226" s="49">
        <f t="shared" si="62"/>
        <v>3.5652334611556084E-2</v>
      </c>
      <c r="G226" s="45">
        <f t="shared" si="56"/>
        <v>34453</v>
      </c>
      <c r="H226" s="49">
        <f t="shared" si="63"/>
        <v>2.5830360663898672E-2</v>
      </c>
      <c r="I226" s="45">
        <f t="shared" si="57"/>
        <v>47513</v>
      </c>
      <c r="J226" s="49">
        <f t="shared" si="64"/>
        <v>3.6022341387746806E-2</v>
      </c>
      <c r="K226" s="45">
        <f t="shared" si="58"/>
        <v>51923</v>
      </c>
      <c r="L226" s="49">
        <f t="shared" si="65"/>
        <v>3.9091726991082147E-2</v>
      </c>
      <c r="M226" s="45">
        <f t="shared" si="59"/>
        <v>65107</v>
      </c>
      <c r="N226" s="49">
        <f t="shared" si="66"/>
        <v>4.4652281170765293E-2</v>
      </c>
      <c r="O226" s="45">
        <f t="shared" si="60"/>
        <v>64485</v>
      </c>
      <c r="P226" s="49">
        <f t="shared" si="67"/>
        <v>4.642231092905813E-2</v>
      </c>
      <c r="Q226" s="49">
        <f t="shared" si="68"/>
        <v>-0.30174459176552687</v>
      </c>
      <c r="R226" s="49">
        <f t="shared" si="68"/>
        <v>-5.0015914817857166E-2</v>
      </c>
    </row>
    <row r="227" spans="1:18" x14ac:dyDescent="0.25">
      <c r="A227" s="40" t="s">
        <v>120</v>
      </c>
      <c r="C227" s="45">
        <f t="shared" si="54"/>
        <v>47000</v>
      </c>
      <c r="D227" s="49">
        <f t="shared" si="62"/>
        <v>3.6333051945441668E-2</v>
      </c>
      <c r="E227" s="45">
        <f t="shared" si="55"/>
        <v>52245</v>
      </c>
      <c r="F227" s="49">
        <f t="shared" si="62"/>
        <v>3.6572150984287517E-2</v>
      </c>
      <c r="G227" s="45">
        <f t="shared" si="56"/>
        <v>16422</v>
      </c>
      <c r="H227" s="49">
        <f t="shared" si="63"/>
        <v>1.231202457906551E-2</v>
      </c>
      <c r="I227" s="45">
        <f t="shared" si="57"/>
        <v>49476</v>
      </c>
      <c r="J227" s="49">
        <f t="shared" si="64"/>
        <v>3.751060472923539E-2</v>
      </c>
      <c r="K227" s="45">
        <f t="shared" si="58"/>
        <v>44366</v>
      </c>
      <c r="L227" s="49">
        <f t="shared" si="65"/>
        <v>3.3402221745398968E-2</v>
      </c>
      <c r="M227" s="45">
        <f t="shared" si="59"/>
        <v>53234</v>
      </c>
      <c r="N227" s="49">
        <f t="shared" si="66"/>
        <v>3.6509431180126867E-2</v>
      </c>
      <c r="O227" s="45">
        <f t="shared" si="60"/>
        <v>54868</v>
      </c>
      <c r="P227" s="49">
        <f t="shared" si="67"/>
        <v>3.9499098333807263E-2</v>
      </c>
      <c r="Q227" s="49">
        <f t="shared" si="68"/>
        <v>-0.14339870234016183</v>
      </c>
      <c r="R227" s="49">
        <f t="shared" si="68"/>
        <v>-2.1869139914111213E-2</v>
      </c>
    </row>
    <row r="228" spans="1:18" x14ac:dyDescent="0.25">
      <c r="A228" s="40" t="s">
        <v>121</v>
      </c>
      <c r="C228" s="45">
        <f t="shared" si="54"/>
        <v>50006</v>
      </c>
      <c r="D228" s="49">
        <f t="shared" si="62"/>
        <v>3.8656821182633111E-2</v>
      </c>
      <c r="E228" s="45">
        <f t="shared" si="55"/>
        <v>54496</v>
      </c>
      <c r="F228" s="49">
        <f t="shared" si="62"/>
        <v>3.8147879032246777E-2</v>
      </c>
      <c r="G228" s="45">
        <f t="shared" si="56"/>
        <v>49869</v>
      </c>
      <c r="H228" s="49">
        <f t="shared" si="63"/>
        <v>3.7388159404056626E-2</v>
      </c>
      <c r="I228" s="45">
        <f t="shared" si="57"/>
        <v>51653</v>
      </c>
      <c r="J228" s="49">
        <f t="shared" si="64"/>
        <v>3.9161113794146565E-2</v>
      </c>
      <c r="K228" s="45">
        <f t="shared" si="58"/>
        <v>56980</v>
      </c>
      <c r="L228" s="49">
        <f t="shared" si="65"/>
        <v>4.2899035185791669E-2</v>
      </c>
      <c r="M228" s="45">
        <f t="shared" si="59"/>
        <v>60283</v>
      </c>
      <c r="N228" s="49">
        <f t="shared" si="66"/>
        <v>4.134384115098598E-2</v>
      </c>
      <c r="O228" s="45">
        <f t="shared" si="60"/>
        <v>63782</v>
      </c>
      <c r="P228" s="49">
        <f t="shared" si="67"/>
        <v>4.5916226032056841E-2</v>
      </c>
      <c r="Q228" s="49">
        <f t="shared" si="68"/>
        <v>-0.21598570129503622</v>
      </c>
      <c r="R228" s="49">
        <f t="shared" si="68"/>
        <v>-3.4163917293932977E-2</v>
      </c>
    </row>
    <row r="229" spans="1:18" x14ac:dyDescent="0.25">
      <c r="A229" s="40" t="s">
        <v>122</v>
      </c>
      <c r="C229" s="45">
        <f t="shared" si="54"/>
        <v>102352</v>
      </c>
      <c r="D229" s="49">
        <f t="shared" si="62"/>
        <v>7.9122564525954162E-2</v>
      </c>
      <c r="E229" s="45">
        <f t="shared" si="55"/>
        <v>108851</v>
      </c>
      <c r="F229" s="49">
        <f t="shared" si="62"/>
        <v>7.6197056307602276E-2</v>
      </c>
      <c r="G229" s="45">
        <f t="shared" si="56"/>
        <v>102211</v>
      </c>
      <c r="H229" s="49">
        <f t="shared" si="63"/>
        <v>7.6630394851471495E-2</v>
      </c>
      <c r="I229" s="45">
        <f t="shared" si="57"/>
        <v>105140</v>
      </c>
      <c r="J229" s="49">
        <f t="shared" si="64"/>
        <v>7.9712688601176515E-2</v>
      </c>
      <c r="K229" s="45">
        <f t="shared" si="58"/>
        <v>104237</v>
      </c>
      <c r="L229" s="49">
        <f t="shared" si="65"/>
        <v>7.8477829600936577E-2</v>
      </c>
      <c r="M229" s="45">
        <f t="shared" si="59"/>
        <v>130907</v>
      </c>
      <c r="N229" s="49">
        <f t="shared" si="66"/>
        <v>8.97798419712377E-2</v>
      </c>
      <c r="O229" s="45">
        <f t="shared" si="60"/>
        <v>152791</v>
      </c>
      <c r="P229" s="49">
        <f t="shared" si="67"/>
        <v>0.10999319700956378</v>
      </c>
      <c r="Q229" s="49">
        <f t="shared" si="68"/>
        <v>-0.33011761163942904</v>
      </c>
      <c r="R229" s="49">
        <f t="shared" si="68"/>
        <v>-5.5628979868537876E-2</v>
      </c>
    </row>
    <row r="230" spans="1:18" x14ac:dyDescent="0.25">
      <c r="A230" s="50" t="s">
        <v>123</v>
      </c>
      <c r="C230" s="47">
        <f t="shared" si="54"/>
        <v>347319</v>
      </c>
      <c r="D230" s="48">
        <f t="shared" si="62"/>
        <v>0.26849275039657139</v>
      </c>
      <c r="E230" s="47">
        <f t="shared" si="55"/>
        <v>375910</v>
      </c>
      <c r="F230" s="48">
        <f t="shared" si="62"/>
        <v>0.26314168392197379</v>
      </c>
      <c r="G230" s="47">
        <f t="shared" si="56"/>
        <v>298870</v>
      </c>
      <c r="H230" s="48">
        <f t="shared" si="63"/>
        <v>0.22407105017326201</v>
      </c>
      <c r="I230" s="47">
        <f t="shared" si="57"/>
        <v>355313</v>
      </c>
      <c r="J230" s="48">
        <f t="shared" si="64"/>
        <v>0.26938324638529415</v>
      </c>
      <c r="K230" s="47">
        <f t="shared" si="58"/>
        <v>359092</v>
      </c>
      <c r="L230" s="48">
        <f t="shared" si="65"/>
        <v>0.27035276137129349</v>
      </c>
      <c r="M230" s="47">
        <f t="shared" si="59"/>
        <v>416667</v>
      </c>
      <c r="N230" s="48">
        <f t="shared" si="66"/>
        <v>0.28576239173328927</v>
      </c>
      <c r="O230" s="47">
        <f t="shared" si="60"/>
        <v>441040</v>
      </c>
      <c r="P230" s="48">
        <f t="shared" si="67"/>
        <v>0.31750168275027985</v>
      </c>
      <c r="Q230" s="48">
        <f t="shared" si="68"/>
        <v>-0.21249999999999999</v>
      </c>
      <c r="R230" s="48">
        <f t="shared" si="68"/>
        <v>-3.3551643678322085E-2</v>
      </c>
    </row>
    <row r="231" spans="1:18" x14ac:dyDescent="0.25">
      <c r="A231" s="40" t="s">
        <v>124</v>
      </c>
      <c r="C231" s="45">
        <f t="shared" si="54"/>
        <v>3946</v>
      </c>
      <c r="D231" s="49">
        <f t="shared" si="62"/>
        <v>3.0504302761002731E-3</v>
      </c>
      <c r="E231" s="45">
        <f t="shared" si="55"/>
        <v>3856</v>
      </c>
      <c r="F231" s="49">
        <f t="shared" si="62"/>
        <v>2.6992480466152299E-3</v>
      </c>
      <c r="G231" s="45">
        <f t="shared" si="56"/>
        <v>4304</v>
      </c>
      <c r="H231" s="49">
        <f t="shared" si="63"/>
        <v>3.2268270483679184E-3</v>
      </c>
      <c r="I231" s="45">
        <f t="shared" si="57"/>
        <v>4141</v>
      </c>
      <c r="J231" s="49">
        <f t="shared" si="64"/>
        <v>3.1395305639858469E-3</v>
      </c>
      <c r="K231" s="45">
        <f t="shared" si="58"/>
        <v>3880</v>
      </c>
      <c r="L231" s="49">
        <f t="shared" si="65"/>
        <v>2.9211698231111213E-3</v>
      </c>
      <c r="M231" s="45">
        <f t="shared" si="59"/>
        <v>3042</v>
      </c>
      <c r="N231" s="49">
        <f t="shared" si="66"/>
        <v>2.0862924005324779E-3</v>
      </c>
      <c r="O231" s="45">
        <f t="shared" si="60"/>
        <v>2253</v>
      </c>
      <c r="P231" s="49">
        <f t="shared" si="67"/>
        <v>1.6219193071748152E-3</v>
      </c>
      <c r="Q231" s="49">
        <f t="shared" si="68"/>
        <v>0.75144252108300047</v>
      </c>
      <c r="R231" s="49">
        <f t="shared" si="68"/>
        <v>8.3355122857964759E-2</v>
      </c>
    </row>
    <row r="232" spans="1:18" x14ac:dyDescent="0.25">
      <c r="A232" s="40" t="s">
        <v>125</v>
      </c>
      <c r="C232" s="45">
        <f t="shared" si="54"/>
        <v>60652</v>
      </c>
      <c r="D232" s="49">
        <f t="shared" si="62"/>
        <v>4.6886643970104856E-2</v>
      </c>
      <c r="E232" s="45">
        <f t="shared" si="55"/>
        <v>68440</v>
      </c>
      <c r="F232" s="49">
        <f t="shared" si="62"/>
        <v>4.790885277757944E-2</v>
      </c>
      <c r="G232" s="45">
        <f t="shared" si="56"/>
        <v>58864</v>
      </c>
      <c r="H232" s="49">
        <f t="shared" si="63"/>
        <v>4.4131958033254912E-2</v>
      </c>
      <c r="I232" s="45">
        <f t="shared" si="57"/>
        <v>63324</v>
      </c>
      <c r="J232" s="49">
        <f t="shared" si="64"/>
        <v>4.800957098136676E-2</v>
      </c>
      <c r="K232" s="45">
        <f t="shared" si="58"/>
        <v>65035</v>
      </c>
      <c r="L232" s="49">
        <f t="shared" si="65"/>
        <v>4.8963474084028805E-2</v>
      </c>
      <c r="M232" s="45">
        <f t="shared" si="59"/>
        <v>71852</v>
      </c>
      <c r="N232" s="49">
        <f t="shared" si="66"/>
        <v>4.9278199067409469E-2</v>
      </c>
      <c r="O232" s="45">
        <f t="shared" si="60"/>
        <v>72771</v>
      </c>
      <c r="P232" s="49">
        <f t="shared" si="67"/>
        <v>5.2387345717895467E-2</v>
      </c>
      <c r="Q232" s="49">
        <f t="shared" si="68"/>
        <v>-0.16653612015775515</v>
      </c>
      <c r="R232" s="49">
        <f t="shared" si="68"/>
        <v>-2.5687864516382941E-2</v>
      </c>
    </row>
    <row r="233" spans="1:18" x14ac:dyDescent="0.25">
      <c r="A233" s="40" t="s">
        <v>126</v>
      </c>
      <c r="C233" s="45">
        <f t="shared" si="54"/>
        <v>67887</v>
      </c>
      <c r="D233" s="49">
        <f t="shared" si="62"/>
        <v>5.247961483872763E-2</v>
      </c>
      <c r="E233" s="45">
        <f t="shared" si="55"/>
        <v>69075</v>
      </c>
      <c r="F233" s="49">
        <f t="shared" si="62"/>
        <v>4.8353360689820282E-2</v>
      </c>
      <c r="G233" s="45">
        <f t="shared" si="56"/>
        <v>62665</v>
      </c>
      <c r="H233" s="49">
        <f t="shared" si="63"/>
        <v>4.6981672162169051E-2</v>
      </c>
      <c r="I233" s="45">
        <f t="shared" si="57"/>
        <v>65391</v>
      </c>
      <c r="J233" s="49">
        <f t="shared" si="64"/>
        <v>4.957668271180838E-2</v>
      </c>
      <c r="K233" s="45">
        <f t="shared" si="58"/>
        <v>65523</v>
      </c>
      <c r="L233" s="49">
        <f t="shared" si="65"/>
        <v>4.9330878948378863E-2</v>
      </c>
      <c r="M233" s="45">
        <f t="shared" si="59"/>
        <v>75357</v>
      </c>
      <c r="N233" s="49">
        <f t="shared" si="66"/>
        <v>5.1682030383604839E-2</v>
      </c>
      <c r="O233" s="45">
        <f t="shared" si="60"/>
        <v>76673</v>
      </c>
      <c r="P233" s="49">
        <f t="shared" si="67"/>
        <v>5.5196368858861346E-2</v>
      </c>
      <c r="Q233" s="49">
        <f t="shared" si="68"/>
        <v>-0.11459053382546659</v>
      </c>
      <c r="R233" s="49">
        <f t="shared" si="68"/>
        <v>-1.7236166232079242E-2</v>
      </c>
    </row>
    <row r="234" spans="1:18" x14ac:dyDescent="0.25">
      <c r="A234" s="40" t="s">
        <v>127</v>
      </c>
      <c r="C234" s="45">
        <f t="shared" si="54"/>
        <v>29058</v>
      </c>
      <c r="D234" s="49">
        <f t="shared" si="62"/>
        <v>2.2463102626183916E-2</v>
      </c>
      <c r="E234" s="45">
        <f t="shared" si="55"/>
        <v>30042</v>
      </c>
      <c r="F234" s="49">
        <f t="shared" si="62"/>
        <v>2.1029774329983073E-2</v>
      </c>
      <c r="G234" s="45">
        <f t="shared" si="56"/>
        <v>25418</v>
      </c>
      <c r="H234" s="49">
        <f t="shared" si="63"/>
        <v>1.905657293573786E-2</v>
      </c>
      <c r="I234" s="45">
        <f t="shared" si="57"/>
        <v>24626</v>
      </c>
      <c r="J234" s="49">
        <f t="shared" si="64"/>
        <v>1.8670388714975963E-2</v>
      </c>
      <c r="K234" s="45">
        <f t="shared" si="58"/>
        <v>24756</v>
      </c>
      <c r="L234" s="49">
        <f t="shared" si="65"/>
        <v>1.8638268077561575E-2</v>
      </c>
      <c r="M234" s="45">
        <f t="shared" si="59"/>
        <v>30607</v>
      </c>
      <c r="N234" s="49">
        <f t="shared" si="66"/>
        <v>2.0991174064134629E-2</v>
      </c>
      <c r="O234" s="45">
        <f t="shared" si="60"/>
        <v>27167</v>
      </c>
      <c r="P234" s="49">
        <f t="shared" si="67"/>
        <v>1.9557337691086644E-2</v>
      </c>
      <c r="Q234" s="49">
        <f t="shared" si="68"/>
        <v>6.9606507895608641E-2</v>
      </c>
      <c r="R234" s="49">
        <f t="shared" si="68"/>
        <v>9.6593289506572422E-3</v>
      </c>
    </row>
    <row r="235" spans="1:18" x14ac:dyDescent="0.25">
      <c r="A235" s="50" t="s">
        <v>128</v>
      </c>
      <c r="C235" s="47">
        <f t="shared" si="54"/>
        <v>161543</v>
      </c>
      <c r="D235" s="48">
        <f t="shared" si="62"/>
        <v>0.12487979171111668</v>
      </c>
      <c r="E235" s="47">
        <f t="shared" si="55"/>
        <v>171413</v>
      </c>
      <c r="F235" s="48">
        <f t="shared" si="62"/>
        <v>0.11999123584399803</v>
      </c>
      <c r="G235" s="47">
        <f t="shared" si="56"/>
        <v>151251</v>
      </c>
      <c r="H235" s="48">
        <f t="shared" si="63"/>
        <v>0.11339703017952973</v>
      </c>
      <c r="I235" s="47">
        <f t="shared" si="57"/>
        <v>157482</v>
      </c>
      <c r="J235" s="48">
        <f t="shared" si="64"/>
        <v>0.11939617297213695</v>
      </c>
      <c r="K235" s="47">
        <f t="shared" si="58"/>
        <v>159194</v>
      </c>
      <c r="L235" s="48">
        <f t="shared" si="65"/>
        <v>0.11985379093308036</v>
      </c>
      <c r="M235" s="47">
        <f t="shared" si="59"/>
        <v>180858</v>
      </c>
      <c r="N235" s="48">
        <f t="shared" si="66"/>
        <v>0.12403769591568141</v>
      </c>
      <c r="O235" s="47">
        <f t="shared" si="60"/>
        <v>178864</v>
      </c>
      <c r="P235" s="48">
        <f t="shared" si="67"/>
        <v>0.12876297157501826</v>
      </c>
      <c r="Q235" s="48">
        <f t="shared" ref="Q235:R235" si="69">J196</f>
        <v>-9.6838939082207712E-2</v>
      </c>
      <c r="R235" s="48">
        <f t="shared" si="69"/>
        <v>-1.4445276862821377E-2</v>
      </c>
    </row>
    <row r="237" spans="1:18" x14ac:dyDescent="0.25">
      <c r="J237" s="48"/>
      <c r="K237" s="48"/>
      <c r="L237" s="48"/>
      <c r="M237" s="48"/>
      <c r="N237" s="48"/>
      <c r="O237" s="48"/>
      <c r="P237" s="49"/>
    </row>
    <row r="238" spans="1:18" x14ac:dyDescent="0.25">
      <c r="C238" s="46" t="s">
        <v>156</v>
      </c>
      <c r="L238" s="43" t="s">
        <v>151</v>
      </c>
    </row>
    <row r="239" spans="1:18" x14ac:dyDescent="0.25">
      <c r="C239" s="44">
        <v>2014</v>
      </c>
      <c r="D239" s="44" t="s">
        <v>155</v>
      </c>
      <c r="E239" s="44">
        <v>2013</v>
      </c>
      <c r="F239" s="44">
        <v>2012</v>
      </c>
      <c r="G239" s="44">
        <v>2011</v>
      </c>
      <c r="H239" s="44">
        <v>2010</v>
      </c>
      <c r="I239" s="44">
        <v>2009</v>
      </c>
      <c r="J239" s="44">
        <v>2008</v>
      </c>
      <c r="K239" s="44" t="s">
        <v>155</v>
      </c>
      <c r="L239" s="43" t="s">
        <v>152</v>
      </c>
      <c r="M239" s="43" t="s">
        <v>153</v>
      </c>
    </row>
    <row r="240" spans="1:18" x14ac:dyDescent="0.25">
      <c r="A240" s="50" t="str">
        <f t="shared" ref="A240:A273" si="70">A163</f>
        <v>SANTIAGO DEL ESTERO</v>
      </c>
      <c r="C240" s="47">
        <v>8148</v>
      </c>
      <c r="D240" s="48">
        <f>C240/C$240</f>
        <v>1</v>
      </c>
      <c r="E240" s="47">
        <v>8301</v>
      </c>
      <c r="F240" s="47">
        <v>8117</v>
      </c>
      <c r="G240" s="47">
        <v>8075</v>
      </c>
      <c r="H240" s="47">
        <v>8051</v>
      </c>
      <c r="I240" s="47">
        <v>8205</v>
      </c>
      <c r="J240" s="47">
        <v>7567</v>
      </c>
      <c r="K240" s="48">
        <f>J240/J$240</f>
        <v>1</v>
      </c>
      <c r="L240" s="48">
        <f t="shared" ref="L240:L273" si="71">(C240-J240)/J240</f>
        <v>7.6780758556891773E-2</v>
      </c>
      <c r="M240" s="48">
        <f t="shared" ref="M240:M273" si="72">((C240/J240)^(1/7))-1</f>
        <v>1.0624011206071593E-2</v>
      </c>
    </row>
    <row r="241" spans="1:13" x14ac:dyDescent="0.25">
      <c r="A241" s="40" t="str">
        <f t="shared" si="70"/>
        <v>CAPITAL</v>
      </c>
      <c r="C241" s="45">
        <v>178</v>
      </c>
      <c r="D241" s="49">
        <f>C241/C$240</f>
        <v>2.1845851742758958E-2</v>
      </c>
      <c r="E241" s="45">
        <v>173</v>
      </c>
      <c r="F241" s="45">
        <v>183</v>
      </c>
      <c r="G241" s="45">
        <v>167</v>
      </c>
      <c r="H241" s="45">
        <v>187</v>
      </c>
      <c r="I241" s="45">
        <v>178</v>
      </c>
      <c r="J241" s="45">
        <v>138</v>
      </c>
      <c r="K241" s="49">
        <f>J241/J$240</f>
        <v>1.82370820668693E-2</v>
      </c>
      <c r="L241" s="49">
        <f t="shared" si="71"/>
        <v>0.28985507246376813</v>
      </c>
      <c r="M241" s="49">
        <f t="shared" si="72"/>
        <v>3.7030571270342705E-2</v>
      </c>
    </row>
    <row r="242" spans="1:13" x14ac:dyDescent="0.25">
      <c r="A242" s="40" t="str">
        <f t="shared" si="70"/>
        <v>FIGUEROA</v>
      </c>
      <c r="C242" s="45">
        <v>430</v>
      </c>
      <c r="D242" s="49">
        <f t="shared" ref="D242:D273" si="73">C242/C$240</f>
        <v>5.2773686794305351E-2</v>
      </c>
      <c r="E242" s="45">
        <v>428</v>
      </c>
      <c r="F242" s="45">
        <v>279</v>
      </c>
      <c r="G242" s="45">
        <v>409</v>
      </c>
      <c r="H242" s="45">
        <v>448</v>
      </c>
      <c r="I242" s="45">
        <v>431</v>
      </c>
      <c r="J242" s="45">
        <v>356</v>
      </c>
      <c r="K242" s="49">
        <f t="shared" ref="K242:K273" si="74">J242/J$240</f>
        <v>4.7046385621778777E-2</v>
      </c>
      <c r="L242" s="49">
        <f t="shared" si="71"/>
        <v>0.20786516853932585</v>
      </c>
      <c r="M242" s="49">
        <f t="shared" si="72"/>
        <v>2.7346445158873856E-2</v>
      </c>
    </row>
    <row r="243" spans="1:13" x14ac:dyDescent="0.25">
      <c r="A243" s="40" t="str">
        <f t="shared" si="70"/>
        <v>LA BANDA</v>
      </c>
      <c r="C243" s="45">
        <v>323</v>
      </c>
      <c r="D243" s="49">
        <f t="shared" si="73"/>
        <v>3.9641629847815413E-2</v>
      </c>
      <c r="E243" s="45">
        <v>318</v>
      </c>
      <c r="F243" s="45">
        <v>507</v>
      </c>
      <c r="G243" s="45">
        <v>307</v>
      </c>
      <c r="H243" s="45">
        <v>315</v>
      </c>
      <c r="I243" s="45">
        <v>301</v>
      </c>
      <c r="J243" s="45">
        <v>261</v>
      </c>
      <c r="K243" s="49">
        <f t="shared" si="74"/>
        <v>3.4491872604731071E-2</v>
      </c>
      <c r="L243" s="49">
        <f t="shared" si="71"/>
        <v>0.23754789272030652</v>
      </c>
      <c r="M243" s="49">
        <f t="shared" si="72"/>
        <v>3.0915679527774964E-2</v>
      </c>
    </row>
    <row r="244" spans="1:13" x14ac:dyDescent="0.25">
      <c r="A244" s="40" t="str">
        <f t="shared" si="70"/>
        <v>LORETO</v>
      </c>
      <c r="C244" s="45">
        <v>507</v>
      </c>
      <c r="D244" s="49">
        <f t="shared" si="73"/>
        <v>6.2223858615611194E-2</v>
      </c>
      <c r="E244" s="45">
        <v>515</v>
      </c>
      <c r="F244" s="45">
        <v>449</v>
      </c>
      <c r="G244" s="45">
        <v>479</v>
      </c>
      <c r="H244" s="45">
        <v>479</v>
      </c>
      <c r="I244" s="45">
        <v>472</v>
      </c>
      <c r="J244" s="45">
        <v>393</v>
      </c>
      <c r="K244" s="49">
        <f t="shared" si="74"/>
        <v>5.1936038059997358E-2</v>
      </c>
      <c r="L244" s="49">
        <f t="shared" si="71"/>
        <v>0.29007633587786258</v>
      </c>
      <c r="M244" s="49">
        <f t="shared" si="72"/>
        <v>3.7055982769473195E-2</v>
      </c>
    </row>
    <row r="245" spans="1:13" x14ac:dyDescent="0.25">
      <c r="A245" s="40" t="str">
        <f t="shared" si="70"/>
        <v>ROBLES</v>
      </c>
      <c r="C245" s="45">
        <v>217</v>
      </c>
      <c r="D245" s="49">
        <f t="shared" si="73"/>
        <v>2.6632302405498281E-2</v>
      </c>
      <c r="E245" s="45">
        <v>221</v>
      </c>
      <c r="F245" s="45">
        <v>208</v>
      </c>
      <c r="G245" s="45">
        <v>194</v>
      </c>
      <c r="H245" s="45">
        <v>188</v>
      </c>
      <c r="I245" s="45">
        <v>195</v>
      </c>
      <c r="J245" s="45">
        <v>165</v>
      </c>
      <c r="K245" s="49">
        <f t="shared" si="74"/>
        <v>2.1805206819082861E-2</v>
      </c>
      <c r="L245" s="49">
        <f t="shared" si="71"/>
        <v>0.31515151515151513</v>
      </c>
      <c r="M245" s="49">
        <f t="shared" si="72"/>
        <v>3.9911884171607515E-2</v>
      </c>
    </row>
    <row r="246" spans="1:13" x14ac:dyDescent="0.25">
      <c r="A246" s="40" t="str">
        <f t="shared" si="70"/>
        <v>SAN MARTIN</v>
      </c>
      <c r="C246" s="45">
        <v>102</v>
      </c>
      <c r="D246" s="49">
        <f t="shared" si="73"/>
        <v>1.2518409425625921E-2</v>
      </c>
      <c r="E246" s="45">
        <v>104</v>
      </c>
      <c r="F246" s="45">
        <v>94</v>
      </c>
      <c r="G246" s="45">
        <v>87</v>
      </c>
      <c r="H246" s="45">
        <v>100</v>
      </c>
      <c r="I246" s="45">
        <v>96</v>
      </c>
      <c r="J246" s="45">
        <v>52</v>
      </c>
      <c r="K246" s="49">
        <f t="shared" si="74"/>
        <v>6.8719439672261136E-3</v>
      </c>
      <c r="L246" s="49">
        <f t="shared" si="71"/>
        <v>0.96153846153846156</v>
      </c>
      <c r="M246" s="49">
        <f t="shared" si="72"/>
        <v>0.10103099995947873</v>
      </c>
    </row>
    <row r="247" spans="1:13" x14ac:dyDescent="0.25">
      <c r="A247" s="40" t="str">
        <f t="shared" si="70"/>
        <v>SARMIENTO</v>
      </c>
      <c r="C247" s="45">
        <v>203</v>
      </c>
      <c r="D247" s="49">
        <f t="shared" si="73"/>
        <v>2.4914089347079039E-2</v>
      </c>
      <c r="E247" s="45">
        <v>201</v>
      </c>
      <c r="F247" s="45">
        <v>203</v>
      </c>
      <c r="G247" s="45">
        <v>196</v>
      </c>
      <c r="H247" s="45">
        <v>194</v>
      </c>
      <c r="I247" s="45">
        <v>202</v>
      </c>
      <c r="J247" s="45">
        <v>173</v>
      </c>
      <c r="K247" s="49">
        <f t="shared" si="74"/>
        <v>2.2862428967886879E-2</v>
      </c>
      <c r="L247" s="49">
        <f t="shared" si="71"/>
        <v>0.17341040462427745</v>
      </c>
      <c r="M247" s="49">
        <f t="shared" si="72"/>
        <v>2.3107855570958069E-2</v>
      </c>
    </row>
    <row r="248" spans="1:13" x14ac:dyDescent="0.25">
      <c r="A248" s="40" t="str">
        <f t="shared" si="70"/>
        <v>SILIPICA</v>
      </c>
      <c r="C248" s="45">
        <v>135</v>
      </c>
      <c r="D248" s="49">
        <f t="shared" si="73"/>
        <v>1.6568483063328424E-2</v>
      </c>
      <c r="E248" s="45">
        <v>133</v>
      </c>
      <c r="F248" s="45">
        <v>131</v>
      </c>
      <c r="G248" s="45">
        <v>127</v>
      </c>
      <c r="H248" s="45">
        <v>149</v>
      </c>
      <c r="I248" s="45">
        <v>152</v>
      </c>
      <c r="J248" s="45">
        <v>148</v>
      </c>
      <c r="K248" s="49">
        <f t="shared" si="74"/>
        <v>1.9558609752874323E-2</v>
      </c>
      <c r="L248" s="49">
        <f t="shared" si="71"/>
        <v>-8.7837837837837843E-2</v>
      </c>
      <c r="M248" s="49">
        <f t="shared" si="72"/>
        <v>-1.3048054236548312E-2</v>
      </c>
    </row>
    <row r="249" spans="1:13" x14ac:dyDescent="0.25">
      <c r="A249" s="50" t="str">
        <f t="shared" si="70"/>
        <v>Total Centro</v>
      </c>
      <c r="C249" s="47">
        <f>SUM(C241:C248)</f>
        <v>2095</v>
      </c>
      <c r="D249" s="48">
        <f t="shared" si="73"/>
        <v>0.25711831124202256</v>
      </c>
      <c r="E249" s="47">
        <f t="shared" ref="E249:J249" si="75">SUM(E241:E248)</f>
        <v>2093</v>
      </c>
      <c r="F249" s="47">
        <f t="shared" si="75"/>
        <v>2054</v>
      </c>
      <c r="G249" s="47">
        <f t="shared" si="75"/>
        <v>1966</v>
      </c>
      <c r="H249" s="47">
        <f t="shared" si="75"/>
        <v>2060</v>
      </c>
      <c r="I249" s="47">
        <f t="shared" si="75"/>
        <v>2027</v>
      </c>
      <c r="J249" s="47">
        <f t="shared" si="75"/>
        <v>1686</v>
      </c>
      <c r="K249" s="48">
        <f t="shared" si="74"/>
        <v>0.22280956786044667</v>
      </c>
      <c r="L249" s="48">
        <f t="shared" si="71"/>
        <v>0.24258600237247924</v>
      </c>
      <c r="M249" s="48">
        <f t="shared" si="72"/>
        <v>3.1514193403591406E-2</v>
      </c>
    </row>
    <row r="250" spans="1:13" x14ac:dyDescent="0.25">
      <c r="A250" s="40" t="str">
        <f t="shared" si="70"/>
        <v>ALBERDI</v>
      </c>
      <c r="C250" s="45">
        <v>465</v>
      </c>
      <c r="D250" s="49">
        <f t="shared" si="73"/>
        <v>5.7069219440353459E-2</v>
      </c>
      <c r="E250" s="45">
        <v>460</v>
      </c>
      <c r="F250" s="45">
        <v>430</v>
      </c>
      <c r="G250" s="45">
        <v>423</v>
      </c>
      <c r="H250" s="45">
        <v>410</v>
      </c>
      <c r="I250" s="45">
        <v>398</v>
      </c>
      <c r="J250" s="45">
        <v>374</v>
      </c>
      <c r="K250" s="49">
        <f t="shared" si="74"/>
        <v>4.9425135456587818E-2</v>
      </c>
      <c r="L250" s="49">
        <f t="shared" si="71"/>
        <v>0.24331550802139038</v>
      </c>
      <c r="M250" s="49">
        <f t="shared" si="72"/>
        <v>3.1600684245394861E-2</v>
      </c>
    </row>
    <row r="251" spans="1:13" x14ac:dyDescent="0.25">
      <c r="A251" s="40" t="str">
        <f t="shared" si="70"/>
        <v>COPO</v>
      </c>
      <c r="C251" s="45">
        <v>550</v>
      </c>
      <c r="D251" s="49">
        <f t="shared" si="73"/>
        <v>6.7501227295041724E-2</v>
      </c>
      <c r="E251" s="45">
        <v>546</v>
      </c>
      <c r="F251" s="45">
        <v>538</v>
      </c>
      <c r="G251" s="45">
        <v>529</v>
      </c>
      <c r="H251" s="45">
        <v>519</v>
      </c>
      <c r="I251" s="45">
        <v>497</v>
      </c>
      <c r="J251" s="45">
        <v>477</v>
      </c>
      <c r="K251" s="49">
        <f t="shared" si="74"/>
        <v>6.3036870622439539E-2</v>
      </c>
      <c r="L251" s="49">
        <f t="shared" si="71"/>
        <v>0.15303983228511531</v>
      </c>
      <c r="M251" s="49">
        <f t="shared" si="72"/>
        <v>2.0551443894518906E-2</v>
      </c>
    </row>
    <row r="252" spans="1:13" x14ac:dyDescent="0.25">
      <c r="A252" s="40" t="str">
        <f t="shared" si="70"/>
        <v>JUAN F. IBARRA</v>
      </c>
      <c r="C252" s="45">
        <v>447</v>
      </c>
      <c r="D252" s="49">
        <f t="shared" si="73"/>
        <v>5.4860088365243004E-2</v>
      </c>
      <c r="E252" s="45">
        <v>443</v>
      </c>
      <c r="F252" s="45">
        <v>166</v>
      </c>
      <c r="G252" s="45">
        <v>442</v>
      </c>
      <c r="H252" s="45">
        <v>422</v>
      </c>
      <c r="I252" s="45">
        <v>429</v>
      </c>
      <c r="J252" s="45">
        <v>379</v>
      </c>
      <c r="K252" s="49">
        <f t="shared" si="74"/>
        <v>5.0085899299590328E-2</v>
      </c>
      <c r="L252" s="49">
        <f t="shared" si="71"/>
        <v>0.17941952506596306</v>
      </c>
      <c r="M252" s="49">
        <f t="shared" si="72"/>
        <v>2.3854705178445013E-2</v>
      </c>
    </row>
    <row r="253" spans="1:13" x14ac:dyDescent="0.25">
      <c r="A253" s="40" t="str">
        <f t="shared" si="70"/>
        <v>MORENO</v>
      </c>
      <c r="C253" s="45">
        <v>445</v>
      </c>
      <c r="D253" s="49">
        <f t="shared" si="73"/>
        <v>5.4614629356897398E-2</v>
      </c>
      <c r="E253" s="45">
        <v>445</v>
      </c>
      <c r="F253" s="45">
        <v>433</v>
      </c>
      <c r="G253" s="45">
        <v>433</v>
      </c>
      <c r="H253" s="45">
        <v>428</v>
      </c>
      <c r="I253" s="45">
        <v>429</v>
      </c>
      <c r="J253" s="45">
        <v>417</v>
      </c>
      <c r="K253" s="49">
        <f t="shared" si="74"/>
        <v>5.5107704506409408E-2</v>
      </c>
      <c r="L253" s="49">
        <f t="shared" si="71"/>
        <v>6.7146282973621102E-2</v>
      </c>
      <c r="M253" s="49">
        <f t="shared" si="72"/>
        <v>9.3272387112515176E-3</v>
      </c>
    </row>
    <row r="254" spans="1:13" x14ac:dyDescent="0.25">
      <c r="A254" s="50" t="str">
        <f t="shared" si="70"/>
        <v>Total Este</v>
      </c>
      <c r="C254" s="47">
        <f>SUM(C250:C253)</f>
        <v>1907</v>
      </c>
      <c r="D254" s="48">
        <f t="shared" si="73"/>
        <v>0.23404516445753559</v>
      </c>
      <c r="E254" s="47">
        <f t="shared" ref="E254:J254" si="76">SUM(E250:E253)</f>
        <v>1894</v>
      </c>
      <c r="F254" s="47">
        <f t="shared" si="76"/>
        <v>1567</v>
      </c>
      <c r="G254" s="47">
        <f t="shared" si="76"/>
        <v>1827</v>
      </c>
      <c r="H254" s="47">
        <f t="shared" si="76"/>
        <v>1779</v>
      </c>
      <c r="I254" s="47">
        <f t="shared" si="76"/>
        <v>1753</v>
      </c>
      <c r="J254" s="47">
        <f t="shared" si="76"/>
        <v>1647</v>
      </c>
      <c r="K254" s="48">
        <f t="shared" si="74"/>
        <v>0.21765560988502708</v>
      </c>
      <c r="L254" s="48">
        <f t="shared" si="71"/>
        <v>0.15786278081360047</v>
      </c>
      <c r="M254" s="48">
        <f t="shared" si="72"/>
        <v>2.1160178458985879E-2</v>
      </c>
    </row>
    <row r="255" spans="1:13" x14ac:dyDescent="0.25">
      <c r="A255" s="40" t="str">
        <f t="shared" si="70"/>
        <v>JIMENEZ</v>
      </c>
      <c r="C255" s="45">
        <v>118</v>
      </c>
      <c r="D255" s="49">
        <f t="shared" si="73"/>
        <v>1.4482081492390771E-2</v>
      </c>
      <c r="E255" s="45">
        <v>177</v>
      </c>
      <c r="F255" s="45">
        <v>165</v>
      </c>
      <c r="G255" s="45">
        <v>227</v>
      </c>
      <c r="H255" s="45">
        <v>225</v>
      </c>
      <c r="I255" s="45">
        <v>181</v>
      </c>
      <c r="J255" s="45">
        <v>184</v>
      </c>
      <c r="K255" s="49">
        <f t="shared" si="74"/>
        <v>2.4316109422492401E-2</v>
      </c>
      <c r="L255" s="49">
        <f t="shared" si="71"/>
        <v>-0.35869565217391303</v>
      </c>
      <c r="M255" s="49">
        <f t="shared" si="72"/>
        <v>-6.1492515091347788E-2</v>
      </c>
    </row>
    <row r="256" spans="1:13" x14ac:dyDescent="0.25">
      <c r="A256" s="40" t="str">
        <f t="shared" si="70"/>
        <v>PELLEGRINI</v>
      </c>
      <c r="C256" s="45">
        <v>434</v>
      </c>
      <c r="D256" s="49">
        <f t="shared" si="73"/>
        <v>5.3264604810996562E-2</v>
      </c>
      <c r="E256" s="45">
        <v>540</v>
      </c>
      <c r="F256" s="45">
        <v>524</v>
      </c>
      <c r="G256" s="45">
        <v>515</v>
      </c>
      <c r="H256" s="45">
        <v>502</v>
      </c>
      <c r="I256" s="45">
        <v>380</v>
      </c>
      <c r="J256" s="45">
        <v>348</v>
      </c>
      <c r="K256" s="49">
        <f t="shared" si="74"/>
        <v>4.5989163472974756E-2</v>
      </c>
      <c r="L256" s="49">
        <f t="shared" si="71"/>
        <v>0.2471264367816092</v>
      </c>
      <c r="M256" s="49">
        <f t="shared" si="72"/>
        <v>3.2051805475602713E-2</v>
      </c>
    </row>
    <row r="257" spans="1:13" x14ac:dyDescent="0.25">
      <c r="A257" s="50" t="str">
        <f t="shared" si="70"/>
        <v>Total Noroeste</v>
      </c>
      <c r="C257" s="47">
        <f>SUM(C255:C256)</f>
        <v>552</v>
      </c>
      <c r="D257" s="48">
        <f t="shared" si="73"/>
        <v>6.774668630338733E-2</v>
      </c>
      <c r="E257" s="47">
        <f t="shared" ref="E257:J257" si="77">SUM(E255:E256)</f>
        <v>717</v>
      </c>
      <c r="F257" s="47">
        <f t="shared" si="77"/>
        <v>689</v>
      </c>
      <c r="G257" s="47">
        <f t="shared" si="77"/>
        <v>742</v>
      </c>
      <c r="H257" s="47">
        <f t="shared" si="77"/>
        <v>727</v>
      </c>
      <c r="I257" s="47">
        <f t="shared" si="77"/>
        <v>561</v>
      </c>
      <c r="J257" s="47">
        <f t="shared" si="77"/>
        <v>532</v>
      </c>
      <c r="K257" s="48">
        <f t="shared" si="74"/>
        <v>7.0305272895467161E-2</v>
      </c>
      <c r="L257" s="49">
        <f t="shared" si="71"/>
        <v>3.7593984962406013E-2</v>
      </c>
      <c r="M257" s="49">
        <f t="shared" si="72"/>
        <v>5.2860014286391088E-3</v>
      </c>
    </row>
    <row r="258" spans="1:13" x14ac:dyDescent="0.25">
      <c r="A258" s="40" t="str">
        <f t="shared" si="70"/>
        <v>CHOYA</v>
      </c>
      <c r="C258" s="45">
        <v>291</v>
      </c>
      <c r="D258" s="49">
        <f t="shared" si="73"/>
        <v>3.5714285714285712E-2</v>
      </c>
      <c r="E258" s="45">
        <v>289</v>
      </c>
      <c r="F258" s="45">
        <v>171</v>
      </c>
      <c r="G258" s="45">
        <v>263</v>
      </c>
      <c r="H258" s="45">
        <v>256</v>
      </c>
      <c r="I258" s="45">
        <v>248</v>
      </c>
      <c r="J258" s="45">
        <v>207</v>
      </c>
      <c r="K258" s="49">
        <f t="shared" si="74"/>
        <v>2.7355623100303952E-2</v>
      </c>
      <c r="L258" s="49">
        <f t="shared" si="71"/>
        <v>0.40579710144927539</v>
      </c>
      <c r="M258" s="49">
        <f t="shared" si="72"/>
        <v>4.9861007908256205E-2</v>
      </c>
    </row>
    <row r="259" spans="1:13" x14ac:dyDescent="0.25">
      <c r="A259" s="40" t="str">
        <f t="shared" si="70"/>
        <v>GUASAYAN</v>
      </c>
      <c r="C259" s="45">
        <v>180</v>
      </c>
      <c r="D259" s="49">
        <f t="shared" si="73"/>
        <v>2.2091310751104567E-2</v>
      </c>
      <c r="E259" s="45">
        <v>176</v>
      </c>
      <c r="F259" s="45">
        <v>395</v>
      </c>
      <c r="G259" s="45">
        <v>154</v>
      </c>
      <c r="H259" s="45">
        <v>150</v>
      </c>
      <c r="I259" s="45">
        <v>142</v>
      </c>
      <c r="J259" s="45">
        <v>101</v>
      </c>
      <c r="K259" s="49">
        <f t="shared" si="74"/>
        <v>1.3347429628650721E-2</v>
      </c>
      <c r="L259" s="49">
        <f t="shared" si="71"/>
        <v>0.78217821782178221</v>
      </c>
      <c r="M259" s="49">
        <f t="shared" si="72"/>
        <v>8.605085445420646E-2</v>
      </c>
    </row>
    <row r="260" spans="1:13" x14ac:dyDescent="0.25">
      <c r="A260" s="40" t="str">
        <f t="shared" si="70"/>
        <v>RIO HONDO</v>
      </c>
      <c r="C260" s="45">
        <v>19</v>
      </c>
      <c r="D260" s="49">
        <f t="shared" si="73"/>
        <v>2.3318605792832597E-3</v>
      </c>
      <c r="E260" s="45">
        <v>19</v>
      </c>
      <c r="F260" s="45">
        <v>17</v>
      </c>
      <c r="G260" s="45">
        <v>14</v>
      </c>
      <c r="H260" s="45">
        <v>11</v>
      </c>
      <c r="I260" s="45">
        <v>8</v>
      </c>
      <c r="J260" s="45">
        <v>7</v>
      </c>
      <c r="K260" s="49">
        <f t="shared" si="74"/>
        <v>9.2506938020351531E-4</v>
      </c>
      <c r="L260" s="49">
        <f t="shared" si="71"/>
        <v>1.7142857142857142</v>
      </c>
      <c r="M260" s="49">
        <f t="shared" si="72"/>
        <v>0.15332257892916967</v>
      </c>
    </row>
    <row r="261" spans="1:13" x14ac:dyDescent="0.25">
      <c r="A261" s="50" t="str">
        <f t="shared" si="70"/>
        <v>Total Oeste</v>
      </c>
      <c r="C261" s="47">
        <f>SUM(C258:C260)</f>
        <v>490</v>
      </c>
      <c r="D261" s="48">
        <f t="shared" si="73"/>
        <v>6.0137457044673541E-2</v>
      </c>
      <c r="E261" s="47">
        <f t="shared" ref="E261:J261" si="78">SUM(E258:E260)</f>
        <v>484</v>
      </c>
      <c r="F261" s="47">
        <f t="shared" si="78"/>
        <v>583</v>
      </c>
      <c r="G261" s="47">
        <f t="shared" si="78"/>
        <v>431</v>
      </c>
      <c r="H261" s="47">
        <f t="shared" si="78"/>
        <v>417</v>
      </c>
      <c r="I261" s="47">
        <f t="shared" si="78"/>
        <v>398</v>
      </c>
      <c r="J261" s="47">
        <f t="shared" si="78"/>
        <v>315</v>
      </c>
      <c r="K261" s="48">
        <f t="shared" si="74"/>
        <v>4.1628122109158186E-2</v>
      </c>
      <c r="L261" s="48">
        <f t="shared" si="71"/>
        <v>0.55555555555555558</v>
      </c>
      <c r="M261" s="48">
        <f t="shared" si="72"/>
        <v>6.5153547271986412E-2</v>
      </c>
    </row>
    <row r="262" spans="1:13" x14ac:dyDescent="0.25">
      <c r="A262" s="40" t="str">
        <f t="shared" si="70"/>
        <v>AGUIRRE</v>
      </c>
      <c r="C262" s="45">
        <v>291</v>
      </c>
      <c r="D262" s="49">
        <f t="shared" si="73"/>
        <v>3.5714285714285712E-2</v>
      </c>
      <c r="E262" s="45">
        <v>310</v>
      </c>
      <c r="F262" s="45">
        <v>307</v>
      </c>
      <c r="G262" s="45">
        <v>314</v>
      </c>
      <c r="H262" s="45">
        <v>332</v>
      </c>
      <c r="I262" s="45">
        <v>322</v>
      </c>
      <c r="J262" s="45">
        <v>370</v>
      </c>
      <c r="K262" s="49">
        <f t="shared" si="74"/>
        <v>4.8896524382185808E-2</v>
      </c>
      <c r="L262" s="49">
        <f t="shared" si="71"/>
        <v>-0.21351351351351353</v>
      </c>
      <c r="M262" s="49">
        <f t="shared" si="72"/>
        <v>-3.3729430375738501E-2</v>
      </c>
    </row>
    <row r="263" spans="1:13" x14ac:dyDescent="0.25">
      <c r="A263" s="40" t="str">
        <f t="shared" si="70"/>
        <v>AVELLANEDA</v>
      </c>
      <c r="C263" s="45">
        <v>188</v>
      </c>
      <c r="D263" s="49">
        <f t="shared" si="73"/>
        <v>2.3073146784486992E-2</v>
      </c>
      <c r="E263" s="45">
        <v>187</v>
      </c>
      <c r="F263" s="45">
        <v>183</v>
      </c>
      <c r="G263" s="45">
        <v>179</v>
      </c>
      <c r="H263" s="45">
        <v>141</v>
      </c>
      <c r="I263" s="45">
        <v>77</v>
      </c>
      <c r="J263" s="45">
        <v>46</v>
      </c>
      <c r="K263" s="49">
        <f t="shared" si="74"/>
        <v>6.0790273556231003E-3</v>
      </c>
      <c r="L263" s="49">
        <f t="shared" si="71"/>
        <v>3.0869565217391304</v>
      </c>
      <c r="M263" s="49">
        <f t="shared" si="72"/>
        <v>0.22276460728226</v>
      </c>
    </row>
    <row r="264" spans="1:13" x14ac:dyDescent="0.25">
      <c r="A264" s="40" t="str">
        <f t="shared" si="70"/>
        <v>BELGRANO</v>
      </c>
      <c r="C264" s="45">
        <v>188</v>
      </c>
      <c r="D264" s="49">
        <f t="shared" si="73"/>
        <v>2.3073146784486992E-2</v>
      </c>
      <c r="E264" s="45">
        <v>187</v>
      </c>
      <c r="F264" s="45">
        <v>313</v>
      </c>
      <c r="G264" s="45">
        <v>189</v>
      </c>
      <c r="H264" s="45">
        <v>191</v>
      </c>
      <c r="I264" s="45">
        <v>189</v>
      </c>
      <c r="J264" s="45">
        <v>180</v>
      </c>
      <c r="K264" s="49">
        <f t="shared" si="74"/>
        <v>2.3787498348090394E-2</v>
      </c>
      <c r="L264" s="49">
        <f t="shared" si="71"/>
        <v>4.4444444444444446E-2</v>
      </c>
      <c r="M264" s="49">
        <f t="shared" si="72"/>
        <v>6.2314943249284216E-3</v>
      </c>
    </row>
    <row r="265" spans="1:13" x14ac:dyDescent="0.25">
      <c r="A265" s="40" t="str">
        <f t="shared" si="70"/>
        <v>GENERAL TABOADA</v>
      </c>
      <c r="C265" s="45">
        <v>406</v>
      </c>
      <c r="D265" s="49">
        <f t="shared" si="73"/>
        <v>4.9828178694158079E-2</v>
      </c>
      <c r="E265" s="45">
        <v>404</v>
      </c>
      <c r="F265" s="45">
        <v>419</v>
      </c>
      <c r="G265" s="45">
        <v>399</v>
      </c>
      <c r="H265" s="45">
        <v>362</v>
      </c>
      <c r="I265" s="45">
        <v>340</v>
      </c>
      <c r="J265" s="45">
        <v>260</v>
      </c>
      <c r="K265" s="49">
        <f t="shared" si="74"/>
        <v>3.4359719836130564E-2</v>
      </c>
      <c r="L265" s="49">
        <f t="shared" si="71"/>
        <v>0.56153846153846154</v>
      </c>
      <c r="M265" s="49">
        <f t="shared" si="72"/>
        <v>6.5737834067902678E-2</v>
      </c>
    </row>
    <row r="266" spans="1:13" x14ac:dyDescent="0.25">
      <c r="A266" s="40" t="str">
        <f t="shared" si="70"/>
        <v>MITRE</v>
      </c>
      <c r="C266" s="45">
        <v>231</v>
      </c>
      <c r="D266" s="49">
        <f t="shared" si="73"/>
        <v>2.8350515463917526E-2</v>
      </c>
      <c r="E266" s="45">
        <v>228</v>
      </c>
      <c r="F266" s="45">
        <v>224</v>
      </c>
      <c r="G266" s="45">
        <v>229</v>
      </c>
      <c r="H266" s="45">
        <v>225</v>
      </c>
      <c r="I266" s="45">
        <v>227</v>
      </c>
      <c r="J266" s="45">
        <v>239</v>
      </c>
      <c r="K266" s="49">
        <f t="shared" si="74"/>
        <v>3.1584511695520019E-2</v>
      </c>
      <c r="L266" s="49">
        <f t="shared" si="71"/>
        <v>-3.3472803347280332E-2</v>
      </c>
      <c r="M266" s="49">
        <f t="shared" si="72"/>
        <v>-4.8518830340371633E-3</v>
      </c>
    </row>
    <row r="267" spans="1:13" x14ac:dyDescent="0.25">
      <c r="A267" s="40" t="str">
        <f t="shared" si="70"/>
        <v>RIVADAVIA</v>
      </c>
      <c r="C267" s="45">
        <v>351</v>
      </c>
      <c r="D267" s="49">
        <f t="shared" si="73"/>
        <v>4.3078055964653902E-2</v>
      </c>
      <c r="E267" s="45">
        <v>356</v>
      </c>
      <c r="F267" s="45">
        <v>348</v>
      </c>
      <c r="G267" s="45">
        <v>363</v>
      </c>
      <c r="H267" s="45">
        <v>393</v>
      </c>
      <c r="I267" s="45">
        <v>401</v>
      </c>
      <c r="J267" s="45">
        <v>419</v>
      </c>
      <c r="K267" s="49">
        <f t="shared" si="74"/>
        <v>5.5372010043610413E-2</v>
      </c>
      <c r="L267" s="49">
        <f t="shared" si="71"/>
        <v>-0.162291169451074</v>
      </c>
      <c r="M267" s="49">
        <f t="shared" si="72"/>
        <v>-2.4980505455409752E-2</v>
      </c>
    </row>
    <row r="268" spans="1:13" x14ac:dyDescent="0.25">
      <c r="A268" s="50" t="str">
        <f t="shared" si="70"/>
        <v>Total Sudeste</v>
      </c>
      <c r="C268" s="47">
        <f>SUM(C262:C267)</f>
        <v>1655</v>
      </c>
      <c r="D268" s="48">
        <f t="shared" si="73"/>
        <v>0.2031173294059892</v>
      </c>
      <c r="E268" s="47">
        <f t="shared" ref="E268:J268" si="79">SUM(E262:E267)</f>
        <v>1672</v>
      </c>
      <c r="F268" s="47">
        <f t="shared" si="79"/>
        <v>1794</v>
      </c>
      <c r="G268" s="47">
        <f t="shared" si="79"/>
        <v>1673</v>
      </c>
      <c r="H268" s="47">
        <f t="shared" si="79"/>
        <v>1644</v>
      </c>
      <c r="I268" s="47">
        <f t="shared" si="79"/>
        <v>1556</v>
      </c>
      <c r="J268" s="47">
        <f t="shared" si="79"/>
        <v>1514</v>
      </c>
      <c r="K268" s="48">
        <f t="shared" si="74"/>
        <v>0.20007929166116031</v>
      </c>
      <c r="L268" s="48">
        <f t="shared" si="71"/>
        <v>9.3130779392338173E-2</v>
      </c>
      <c r="M268" s="48">
        <f t="shared" si="72"/>
        <v>1.2802090270789268E-2</v>
      </c>
    </row>
    <row r="269" spans="1:13" x14ac:dyDescent="0.25">
      <c r="A269" s="40" t="str">
        <f t="shared" si="70"/>
        <v>ATAMISQUI</v>
      </c>
      <c r="C269" s="45">
        <v>57</v>
      </c>
      <c r="D269" s="49">
        <f t="shared" si="73"/>
        <v>6.9955817378497794E-3</v>
      </c>
      <c r="E269" s="45">
        <v>56</v>
      </c>
      <c r="F269" s="45">
        <v>60</v>
      </c>
      <c r="G269" s="45">
        <v>60</v>
      </c>
      <c r="H269" s="45">
        <v>55</v>
      </c>
      <c r="I269" s="45">
        <v>112</v>
      </c>
      <c r="J269" s="45">
        <v>107</v>
      </c>
      <c r="K269" s="49">
        <f t="shared" si="74"/>
        <v>1.4140346240253733E-2</v>
      </c>
      <c r="L269" s="49">
        <f t="shared" si="71"/>
        <v>-0.46728971962616822</v>
      </c>
      <c r="M269" s="49">
        <f t="shared" si="72"/>
        <v>-8.6039773010798792E-2</v>
      </c>
    </row>
    <row r="270" spans="1:13" x14ac:dyDescent="0.25">
      <c r="A270" s="40" t="str">
        <f t="shared" si="70"/>
        <v>OJO DE AGUA</v>
      </c>
      <c r="C270" s="45">
        <v>604</v>
      </c>
      <c r="D270" s="49">
        <f t="shared" si="73"/>
        <v>7.4128620520373098E-2</v>
      </c>
      <c r="E270" s="45">
        <v>604</v>
      </c>
      <c r="F270" s="45">
        <v>589</v>
      </c>
      <c r="G270" s="45">
        <v>605</v>
      </c>
      <c r="H270" s="45">
        <v>599</v>
      </c>
      <c r="I270" s="45">
        <v>588</v>
      </c>
      <c r="J270" s="45">
        <v>625</v>
      </c>
      <c r="K270" s="49">
        <f t="shared" si="74"/>
        <v>8.2595480375313862E-2</v>
      </c>
      <c r="L270" s="49">
        <f t="shared" si="71"/>
        <v>-3.3599999999999998E-2</v>
      </c>
      <c r="M270" s="49">
        <f t="shared" si="72"/>
        <v>-4.8705931200967445E-3</v>
      </c>
    </row>
    <row r="271" spans="1:13" x14ac:dyDescent="0.25">
      <c r="A271" s="40" t="str">
        <f t="shared" si="70"/>
        <v>QUEBRACHOS</v>
      </c>
      <c r="C271" s="45">
        <v>555</v>
      </c>
      <c r="D271" s="49">
        <f t="shared" si="73"/>
        <v>6.8114874815905738E-2</v>
      </c>
      <c r="E271" s="45">
        <v>552</v>
      </c>
      <c r="F271" s="45">
        <v>561</v>
      </c>
      <c r="G271" s="45">
        <v>557</v>
      </c>
      <c r="H271" s="45">
        <v>565</v>
      </c>
      <c r="I271" s="45">
        <v>602</v>
      </c>
      <c r="J271" s="45">
        <v>598</v>
      </c>
      <c r="K271" s="49">
        <f t="shared" si="74"/>
        <v>7.9027355623100301E-2</v>
      </c>
      <c r="L271" s="49">
        <f t="shared" si="71"/>
        <v>-7.1906354515050161E-2</v>
      </c>
      <c r="M271" s="49">
        <f t="shared" si="72"/>
        <v>-1.0603756728342129E-2</v>
      </c>
    </row>
    <row r="272" spans="1:13" x14ac:dyDescent="0.25">
      <c r="A272" s="40" t="str">
        <f t="shared" si="70"/>
        <v>SALAVINA</v>
      </c>
      <c r="C272" s="45">
        <v>233</v>
      </c>
      <c r="D272" s="49">
        <f t="shared" si="73"/>
        <v>2.8595974472263131E-2</v>
      </c>
      <c r="E272" s="45">
        <v>229</v>
      </c>
      <c r="F272" s="45">
        <v>220</v>
      </c>
      <c r="G272" s="45">
        <v>214</v>
      </c>
      <c r="H272" s="45">
        <v>205</v>
      </c>
      <c r="I272" s="45">
        <v>608</v>
      </c>
      <c r="J272" s="45">
        <v>543</v>
      </c>
      <c r="K272" s="49">
        <f t="shared" si="74"/>
        <v>7.175895335007268E-2</v>
      </c>
      <c r="L272" s="49">
        <f t="shared" si="71"/>
        <v>-0.57090239410681398</v>
      </c>
      <c r="M272" s="49">
        <f t="shared" si="72"/>
        <v>-0.11384842632296222</v>
      </c>
    </row>
    <row r="273" spans="1:13" x14ac:dyDescent="0.25">
      <c r="A273" s="50" t="str">
        <f t="shared" si="70"/>
        <v>Total Sur</v>
      </c>
      <c r="C273" s="47">
        <f>SUM(C269:C272)</f>
        <v>1449</v>
      </c>
      <c r="D273" s="48">
        <f t="shared" si="73"/>
        <v>0.17783505154639176</v>
      </c>
      <c r="E273" s="47">
        <f t="shared" ref="E273:J273" si="80">SUM(E269:E272)</f>
        <v>1441</v>
      </c>
      <c r="F273" s="47">
        <f t="shared" si="80"/>
        <v>1430</v>
      </c>
      <c r="G273" s="47">
        <f t="shared" si="80"/>
        <v>1436</v>
      </c>
      <c r="H273" s="47">
        <f t="shared" si="80"/>
        <v>1424</v>
      </c>
      <c r="I273" s="47">
        <f t="shared" si="80"/>
        <v>1910</v>
      </c>
      <c r="J273" s="47">
        <f t="shared" si="80"/>
        <v>1873</v>
      </c>
      <c r="K273" s="48">
        <f t="shared" si="74"/>
        <v>0.24752213558874059</v>
      </c>
      <c r="L273" s="48">
        <f t="shared" si="71"/>
        <v>-0.22637479978643887</v>
      </c>
      <c r="M273" s="48">
        <f t="shared" si="72"/>
        <v>-3.6002736313182848E-2</v>
      </c>
    </row>
    <row r="277" spans="1:13" ht="13.8" x14ac:dyDescent="0.3">
      <c r="C277" s="46" t="s">
        <v>157</v>
      </c>
      <c r="H277" s="64" t="s">
        <v>158</v>
      </c>
    </row>
    <row r="278" spans="1:13" x14ac:dyDescent="0.25">
      <c r="C278" s="44">
        <v>2014</v>
      </c>
      <c r="D278" s="44">
        <v>2013</v>
      </c>
      <c r="E278" s="44">
        <v>2012</v>
      </c>
      <c r="F278" s="44">
        <v>2011</v>
      </c>
      <c r="G278" s="44">
        <v>2010</v>
      </c>
      <c r="H278" s="44">
        <v>2009</v>
      </c>
      <c r="I278" s="44">
        <v>2008</v>
      </c>
    </row>
    <row r="279" spans="1:13" x14ac:dyDescent="0.25">
      <c r="A279" s="50" t="str">
        <f>A240</f>
        <v>SANTIAGO DEL ESTERO</v>
      </c>
      <c r="C279" s="61">
        <f>C163/C240</f>
        <v>158.76141384388808</v>
      </c>
      <c r="D279" s="61">
        <f t="shared" ref="D279:I294" si="81">D163/E240</f>
        <v>172.09324177809901</v>
      </c>
      <c r="E279" s="61">
        <f t="shared" si="81"/>
        <v>164.32401133423679</v>
      </c>
      <c r="F279" s="61">
        <f t="shared" si="81"/>
        <v>163.34204334365324</v>
      </c>
      <c r="G279" s="61">
        <f t="shared" si="81"/>
        <v>164.97764252887839</v>
      </c>
      <c r="H279" s="61">
        <f t="shared" si="81"/>
        <v>177.70737355271177</v>
      </c>
      <c r="I279" s="61">
        <f t="shared" si="81"/>
        <v>183.57275009911459</v>
      </c>
    </row>
    <row r="280" spans="1:13" x14ac:dyDescent="0.25">
      <c r="A280" s="40" t="str">
        <f t="shared" ref="A280:A312" si="82">A241</f>
        <v>CAPITAL</v>
      </c>
      <c r="C280" s="62">
        <f t="shared" ref="C280:C312" si="83">C164/C241</f>
        <v>47.679775280898873</v>
      </c>
      <c r="D280" s="62">
        <f t="shared" si="81"/>
        <v>60.491329479768787</v>
      </c>
      <c r="E280" s="62">
        <f t="shared" si="81"/>
        <v>253.56284153005464</v>
      </c>
      <c r="F280" s="62">
        <f t="shared" si="81"/>
        <v>75.017964071856284</v>
      </c>
      <c r="G280" s="62">
        <f t="shared" si="81"/>
        <v>68.866310160427801</v>
      </c>
      <c r="H280" s="62">
        <f t="shared" si="81"/>
        <v>88.81460674157303</v>
      </c>
      <c r="I280" s="62">
        <f t="shared" si="81"/>
        <v>82.072463768115938</v>
      </c>
    </row>
    <row r="281" spans="1:13" x14ac:dyDescent="0.25">
      <c r="A281" s="40" t="str">
        <f t="shared" si="82"/>
        <v>FIGUEROA</v>
      </c>
      <c r="C281" s="62">
        <f t="shared" si="83"/>
        <v>37.860465116279073</v>
      </c>
      <c r="D281" s="62">
        <f t="shared" si="81"/>
        <v>39.390186915887853</v>
      </c>
      <c r="E281" s="62">
        <f t="shared" si="81"/>
        <v>114.64516129032258</v>
      </c>
      <c r="F281" s="62">
        <f t="shared" si="81"/>
        <v>39.503667481662589</v>
      </c>
      <c r="G281" s="62">
        <f t="shared" si="81"/>
        <v>36.892857142857146</v>
      </c>
      <c r="H281" s="62">
        <f t="shared" si="81"/>
        <v>35.417633410672856</v>
      </c>
      <c r="I281" s="62">
        <f t="shared" si="81"/>
        <v>40.16011235955056</v>
      </c>
    </row>
    <row r="282" spans="1:13" x14ac:dyDescent="0.25">
      <c r="A282" s="40" t="str">
        <f t="shared" si="82"/>
        <v>LA BANDA</v>
      </c>
      <c r="C282" s="62">
        <f t="shared" si="83"/>
        <v>90.953560371517028</v>
      </c>
      <c r="D282" s="62">
        <f t="shared" si="81"/>
        <v>114.54402515723271</v>
      </c>
      <c r="E282" s="62">
        <f t="shared" si="81"/>
        <v>32.785009861932942</v>
      </c>
      <c r="F282" s="62">
        <f t="shared" si="81"/>
        <v>110.72312703583061</v>
      </c>
      <c r="G282" s="62">
        <f t="shared" si="81"/>
        <v>96.768253968253973</v>
      </c>
      <c r="H282" s="62">
        <f t="shared" si="81"/>
        <v>109.46179401993355</v>
      </c>
      <c r="I282" s="62">
        <f t="shared" si="81"/>
        <v>98.877394636015325</v>
      </c>
    </row>
    <row r="283" spans="1:13" x14ac:dyDescent="0.25">
      <c r="A283" s="40" t="str">
        <f t="shared" si="82"/>
        <v>LORETO</v>
      </c>
      <c r="C283" s="62">
        <f t="shared" si="83"/>
        <v>24.984220907297832</v>
      </c>
      <c r="D283" s="62">
        <f t="shared" si="81"/>
        <v>29.735922330097086</v>
      </c>
      <c r="E283" s="62">
        <f t="shared" si="81"/>
        <v>122.80400890868597</v>
      </c>
      <c r="F283" s="62">
        <f t="shared" si="81"/>
        <v>34.513569937369518</v>
      </c>
      <c r="G283" s="62">
        <f t="shared" si="81"/>
        <v>37.851774530271399</v>
      </c>
      <c r="H283" s="62">
        <f t="shared" si="81"/>
        <v>39.129237288135592</v>
      </c>
      <c r="I283" s="62">
        <f t="shared" si="81"/>
        <v>44.073791348600508</v>
      </c>
    </row>
    <row r="284" spans="1:13" x14ac:dyDescent="0.25">
      <c r="A284" s="40" t="str">
        <f t="shared" si="82"/>
        <v>ROBLES</v>
      </c>
      <c r="C284" s="62">
        <f t="shared" si="83"/>
        <v>190.58064516129033</v>
      </c>
      <c r="D284" s="62">
        <f t="shared" si="81"/>
        <v>217.22171945701356</v>
      </c>
      <c r="E284" s="62">
        <f t="shared" si="81"/>
        <v>192.24519230769232</v>
      </c>
      <c r="F284" s="62">
        <f t="shared" si="81"/>
        <v>207.96391752577318</v>
      </c>
      <c r="G284" s="62">
        <f t="shared" si="81"/>
        <v>254.56382978723406</v>
      </c>
      <c r="H284" s="62">
        <f t="shared" si="81"/>
        <v>231.11794871794871</v>
      </c>
      <c r="I284" s="62">
        <f t="shared" si="81"/>
        <v>224.73939393939395</v>
      </c>
    </row>
    <row r="285" spans="1:13" x14ac:dyDescent="0.25">
      <c r="A285" s="40" t="str">
        <f t="shared" si="82"/>
        <v>SAN MARTIN</v>
      </c>
      <c r="C285" s="62">
        <f t="shared" si="83"/>
        <v>64.078431372549019</v>
      </c>
      <c r="D285" s="62">
        <f t="shared" si="81"/>
        <v>80.25</v>
      </c>
      <c r="E285" s="62">
        <f t="shared" si="81"/>
        <v>91.297872340425528</v>
      </c>
      <c r="F285" s="62">
        <f t="shared" si="81"/>
        <v>94.919540229885058</v>
      </c>
      <c r="G285" s="62">
        <f t="shared" si="81"/>
        <v>81.09</v>
      </c>
      <c r="H285" s="62">
        <f t="shared" si="81"/>
        <v>76.333333333333329</v>
      </c>
      <c r="I285" s="62">
        <f t="shared" si="81"/>
        <v>89.57692307692308</v>
      </c>
    </row>
    <row r="286" spans="1:13" x14ac:dyDescent="0.25">
      <c r="A286" s="40" t="str">
        <f t="shared" si="82"/>
        <v>SARMIENTO</v>
      </c>
      <c r="C286" s="62">
        <f t="shared" si="83"/>
        <v>47.054187192118228</v>
      </c>
      <c r="D286" s="62">
        <f t="shared" si="81"/>
        <v>55.144278606965173</v>
      </c>
      <c r="E286" s="62">
        <f t="shared" si="81"/>
        <v>44.733990147783253</v>
      </c>
      <c r="F286" s="62">
        <f t="shared" si="81"/>
        <v>37.5</v>
      </c>
      <c r="G286" s="62">
        <f t="shared" si="81"/>
        <v>37</v>
      </c>
      <c r="H286" s="62">
        <f t="shared" si="81"/>
        <v>39.663366336633665</v>
      </c>
      <c r="I286" s="62">
        <f t="shared" si="81"/>
        <v>40.127167630057805</v>
      </c>
    </row>
    <row r="287" spans="1:13" x14ac:dyDescent="0.25">
      <c r="A287" s="40" t="str">
        <f t="shared" si="82"/>
        <v>SILIPICA</v>
      </c>
      <c r="C287" s="62">
        <f t="shared" si="83"/>
        <v>47.370370370370374</v>
      </c>
      <c r="D287" s="62">
        <f t="shared" si="81"/>
        <v>54.05263157894737</v>
      </c>
      <c r="E287" s="62">
        <f t="shared" si="81"/>
        <v>52.671755725190842</v>
      </c>
      <c r="F287" s="62">
        <f t="shared" si="81"/>
        <v>51.669291338582674</v>
      </c>
      <c r="G287" s="62">
        <f t="shared" si="81"/>
        <v>45.986577181208055</v>
      </c>
      <c r="H287" s="62">
        <f t="shared" si="81"/>
        <v>41.059210526315788</v>
      </c>
      <c r="I287" s="62">
        <f t="shared" si="81"/>
        <v>43.905405405405403</v>
      </c>
    </row>
    <row r="288" spans="1:13" x14ac:dyDescent="0.25">
      <c r="A288" s="50" t="str">
        <f t="shared" si="82"/>
        <v>Total Centro</v>
      </c>
      <c r="C288" s="61">
        <f t="shared" si="83"/>
        <v>62.363245823389022</v>
      </c>
      <c r="D288" s="61">
        <f t="shared" si="81"/>
        <v>73.429526994744393</v>
      </c>
      <c r="E288" s="61">
        <f t="shared" si="81"/>
        <v>104.52726387536514</v>
      </c>
      <c r="F288" s="61">
        <f t="shared" si="81"/>
        <v>72.087487283825027</v>
      </c>
      <c r="G288" s="61">
        <f t="shared" si="81"/>
        <v>71.852427184466023</v>
      </c>
      <c r="H288" s="61">
        <f t="shared" si="81"/>
        <v>73.576714356191417</v>
      </c>
      <c r="I288" s="61">
        <f t="shared" si="81"/>
        <v>73.505931198102019</v>
      </c>
    </row>
    <row r="289" spans="1:9" x14ac:dyDescent="0.25">
      <c r="A289" s="40" t="str">
        <f t="shared" si="82"/>
        <v>ALBERDI</v>
      </c>
      <c r="C289" s="62">
        <f t="shared" si="83"/>
        <v>281.44301075268817</v>
      </c>
      <c r="D289" s="62">
        <f t="shared" si="81"/>
        <v>298.27391304347827</v>
      </c>
      <c r="E289" s="62">
        <f t="shared" si="81"/>
        <v>332.83488372093024</v>
      </c>
      <c r="F289" s="62">
        <f t="shared" si="81"/>
        <v>287.83215130023643</v>
      </c>
      <c r="G289" s="62">
        <f t="shared" si="81"/>
        <v>293.33170731707315</v>
      </c>
      <c r="H289" s="62">
        <f t="shared" si="81"/>
        <v>294.8994974874372</v>
      </c>
      <c r="I289" s="62">
        <f t="shared" si="81"/>
        <v>272.13903743315507</v>
      </c>
    </row>
    <row r="290" spans="1:9" x14ac:dyDescent="0.25">
      <c r="A290" s="40" t="str">
        <f t="shared" si="82"/>
        <v>COPO</v>
      </c>
      <c r="C290" s="62">
        <f t="shared" si="83"/>
        <v>122.80363636363636</v>
      </c>
      <c r="D290" s="62">
        <f t="shared" si="81"/>
        <v>136.52014652014651</v>
      </c>
      <c r="E290" s="62">
        <f t="shared" si="81"/>
        <v>122.19330855018588</v>
      </c>
      <c r="F290" s="62">
        <f t="shared" si="81"/>
        <v>120.05860113421551</v>
      </c>
      <c r="G290" s="62">
        <f t="shared" si="81"/>
        <v>133.62620423892099</v>
      </c>
      <c r="H290" s="62">
        <f t="shared" si="81"/>
        <v>143.2394366197183</v>
      </c>
      <c r="I290" s="62">
        <f t="shared" si="81"/>
        <v>116.9748427672956</v>
      </c>
    </row>
    <row r="291" spans="1:9" x14ac:dyDescent="0.25">
      <c r="A291" s="40" t="str">
        <f t="shared" si="82"/>
        <v>JUAN F. IBARRA</v>
      </c>
      <c r="C291" s="62">
        <f t="shared" si="83"/>
        <v>131.19015659955258</v>
      </c>
      <c r="D291" s="62">
        <f t="shared" si="81"/>
        <v>143.72460496613996</v>
      </c>
      <c r="E291" s="62">
        <f t="shared" si="81"/>
        <v>340.45180722891564</v>
      </c>
      <c r="F291" s="62">
        <f t="shared" si="81"/>
        <v>118.06108597285068</v>
      </c>
      <c r="G291" s="62">
        <f t="shared" si="81"/>
        <v>127.47630331753554</v>
      </c>
      <c r="H291" s="62">
        <f t="shared" si="81"/>
        <v>147.9044289044289</v>
      </c>
      <c r="I291" s="62">
        <f t="shared" si="81"/>
        <v>160.7862796833773</v>
      </c>
    </row>
    <row r="292" spans="1:9" x14ac:dyDescent="0.25">
      <c r="A292" s="40" t="str">
        <f t="shared" si="82"/>
        <v>MORENO</v>
      </c>
      <c r="C292" s="62">
        <f t="shared" si="83"/>
        <v>557.44719101123599</v>
      </c>
      <c r="D292" s="62">
        <f t="shared" si="81"/>
        <v>637.59550561797755</v>
      </c>
      <c r="E292" s="62">
        <f t="shared" si="81"/>
        <v>603.06928406466511</v>
      </c>
      <c r="F292" s="62">
        <f t="shared" si="81"/>
        <v>597.38568129330258</v>
      </c>
      <c r="G292" s="62">
        <f t="shared" si="81"/>
        <v>588.65420560747668</v>
      </c>
      <c r="H292" s="62">
        <f t="shared" si="81"/>
        <v>699.59440559440554</v>
      </c>
      <c r="I292" s="62">
        <f t="shared" si="81"/>
        <v>655.09112709832129</v>
      </c>
    </row>
    <row r="293" spans="1:9" x14ac:dyDescent="0.25">
      <c r="A293" s="50" t="str">
        <f t="shared" si="82"/>
        <v>Total Este</v>
      </c>
      <c r="C293" s="61">
        <f t="shared" si="83"/>
        <v>264.87624541164132</v>
      </c>
      <c r="D293" s="61">
        <f t="shared" si="81"/>
        <v>295.2196409714889</v>
      </c>
      <c r="E293" s="61">
        <f t="shared" si="81"/>
        <v>335.99425654116146</v>
      </c>
      <c r="F293" s="61">
        <f t="shared" si="81"/>
        <v>271.5462506841817</v>
      </c>
      <c r="G293" s="61">
        <f t="shared" si="81"/>
        <v>278.44688026981453</v>
      </c>
      <c r="H293" s="61">
        <f t="shared" si="81"/>
        <v>314.96691386195096</v>
      </c>
      <c r="I293" s="61">
        <f t="shared" si="81"/>
        <v>298.53551912568304</v>
      </c>
    </row>
    <row r="294" spans="1:9" x14ac:dyDescent="0.25">
      <c r="A294" s="40" t="str">
        <f t="shared" si="82"/>
        <v>JIMENEZ</v>
      </c>
      <c r="C294" s="62">
        <f t="shared" si="83"/>
        <v>418.67796610169489</v>
      </c>
      <c r="D294" s="62">
        <f t="shared" si="81"/>
        <v>316.01129943502826</v>
      </c>
      <c r="E294" s="62">
        <f t="shared" si="81"/>
        <v>205.73333333333332</v>
      </c>
      <c r="F294" s="62">
        <f t="shared" si="81"/>
        <v>238.78854625550662</v>
      </c>
      <c r="G294" s="62">
        <f t="shared" si="81"/>
        <v>224.15111111111111</v>
      </c>
      <c r="H294" s="62">
        <f t="shared" si="81"/>
        <v>297.11049723756906</v>
      </c>
      <c r="I294" s="62">
        <f t="shared" si="81"/>
        <v>314.92391304347825</v>
      </c>
    </row>
    <row r="295" spans="1:9" x14ac:dyDescent="0.25">
      <c r="A295" s="40" t="str">
        <f t="shared" si="82"/>
        <v>PELLEGRINI</v>
      </c>
      <c r="C295" s="62">
        <f t="shared" si="83"/>
        <v>95.433179723502306</v>
      </c>
      <c r="D295" s="62">
        <f t="shared" ref="D295:I310" si="84">D179/E256</f>
        <v>94.981481481481481</v>
      </c>
      <c r="E295" s="62">
        <f t="shared" si="84"/>
        <v>91.845419847328245</v>
      </c>
      <c r="F295" s="62">
        <f t="shared" si="84"/>
        <v>87.487378640776697</v>
      </c>
      <c r="G295" s="62">
        <f t="shared" si="84"/>
        <v>92.23705179282868</v>
      </c>
      <c r="H295" s="62">
        <f t="shared" si="84"/>
        <v>107.86578947368422</v>
      </c>
      <c r="I295" s="62">
        <f t="shared" si="84"/>
        <v>111.71264367816092</v>
      </c>
    </row>
    <row r="296" spans="1:9" x14ac:dyDescent="0.25">
      <c r="A296" s="50" t="str">
        <f t="shared" si="82"/>
        <v>Total Noroeste</v>
      </c>
      <c r="C296" s="61">
        <f t="shared" si="83"/>
        <v>164.53260869565219</v>
      </c>
      <c r="D296" s="61">
        <f t="shared" si="84"/>
        <v>149.54532775453276</v>
      </c>
      <c r="E296" s="61">
        <f t="shared" si="84"/>
        <v>119.11901306240929</v>
      </c>
      <c r="F296" s="61">
        <f t="shared" si="84"/>
        <v>133.77493261455527</v>
      </c>
      <c r="G296" s="61">
        <f t="shared" si="84"/>
        <v>133.06327372764787</v>
      </c>
      <c r="H296" s="61">
        <f t="shared" si="84"/>
        <v>168.92335115864529</v>
      </c>
      <c r="I296" s="61">
        <f t="shared" si="84"/>
        <v>181.99624060150376</v>
      </c>
    </row>
    <row r="297" spans="1:9" x14ac:dyDescent="0.25">
      <c r="A297" s="40" t="str">
        <f t="shared" si="82"/>
        <v>CHOYA</v>
      </c>
      <c r="C297" s="62">
        <f t="shared" si="83"/>
        <v>113.81786941580756</v>
      </c>
      <c r="D297" s="62">
        <f t="shared" si="84"/>
        <v>111.19031141868513</v>
      </c>
      <c r="E297" s="62">
        <f t="shared" si="84"/>
        <v>56.719298245614034</v>
      </c>
      <c r="F297" s="62">
        <f t="shared" si="84"/>
        <v>118.2319391634981</v>
      </c>
      <c r="G297" s="62">
        <f t="shared" si="84"/>
        <v>120.45703125</v>
      </c>
      <c r="H297" s="62">
        <f t="shared" si="84"/>
        <v>122.45161290322581</v>
      </c>
      <c r="I297" s="62">
        <f t="shared" si="84"/>
        <v>115.62318840579709</v>
      </c>
    </row>
    <row r="298" spans="1:9" x14ac:dyDescent="0.25">
      <c r="A298" s="40" t="str">
        <f t="shared" si="82"/>
        <v>GUASAYAN</v>
      </c>
      <c r="C298" s="62">
        <f t="shared" si="83"/>
        <v>127.45</v>
      </c>
      <c r="D298" s="62">
        <f t="shared" si="84"/>
        <v>155.75</v>
      </c>
      <c r="E298" s="62">
        <f t="shared" si="84"/>
        <v>121.64810126582279</v>
      </c>
      <c r="F298" s="62">
        <f t="shared" si="84"/>
        <v>231.37012987012986</v>
      </c>
      <c r="G298" s="62">
        <f t="shared" si="84"/>
        <v>244.51333333333332</v>
      </c>
      <c r="H298" s="62">
        <f t="shared" si="84"/>
        <v>225.72535211267606</v>
      </c>
      <c r="I298" s="62">
        <f t="shared" si="84"/>
        <v>304.61386138613864</v>
      </c>
    </row>
    <row r="299" spans="1:9" x14ac:dyDescent="0.25">
      <c r="A299" s="40" t="str">
        <f t="shared" si="82"/>
        <v>RIO HONDO</v>
      </c>
      <c r="C299" s="62">
        <f t="shared" si="83"/>
        <v>109.05263157894737</v>
      </c>
      <c r="D299" s="62">
        <f t="shared" si="84"/>
        <v>85.21052631578948</v>
      </c>
      <c r="E299" s="62">
        <f t="shared" si="84"/>
        <v>157.1764705882353</v>
      </c>
      <c r="F299" s="62">
        <f t="shared" si="84"/>
        <v>169</v>
      </c>
      <c r="G299" s="62">
        <f t="shared" si="84"/>
        <v>211.36363636363637</v>
      </c>
      <c r="H299" s="62">
        <f t="shared" si="84"/>
        <v>262.5</v>
      </c>
      <c r="I299" s="62">
        <f t="shared" si="84"/>
        <v>292.85714285714283</v>
      </c>
    </row>
    <row r="300" spans="1:9" x14ac:dyDescent="0.25">
      <c r="A300" s="50" t="str">
        <f t="shared" si="82"/>
        <v>Total Oeste</v>
      </c>
      <c r="C300" s="61">
        <f t="shared" si="83"/>
        <v>118.64081632653061</v>
      </c>
      <c r="D300" s="61">
        <f t="shared" si="84"/>
        <v>126.37396694214875</v>
      </c>
      <c r="E300" s="61">
        <f t="shared" si="84"/>
        <v>103.63979416809606</v>
      </c>
      <c r="F300" s="61">
        <f t="shared" si="84"/>
        <v>160.30626450116009</v>
      </c>
      <c r="G300" s="61">
        <f t="shared" si="84"/>
        <v>167.47961630695443</v>
      </c>
      <c r="H300" s="61">
        <f t="shared" si="84"/>
        <v>162.11306532663318</v>
      </c>
      <c r="I300" s="61">
        <f t="shared" si="84"/>
        <v>180.15873015873015</v>
      </c>
    </row>
    <row r="301" spans="1:9" x14ac:dyDescent="0.25">
      <c r="A301" s="40" t="str">
        <f t="shared" si="82"/>
        <v>AGUIRRE</v>
      </c>
      <c r="C301" s="62">
        <f t="shared" si="83"/>
        <v>300.60824742268039</v>
      </c>
      <c r="D301" s="62">
        <f t="shared" si="84"/>
        <v>297.27419354838707</v>
      </c>
      <c r="E301" s="62">
        <f t="shared" si="84"/>
        <v>261.34527687296418</v>
      </c>
      <c r="F301" s="62">
        <f t="shared" si="84"/>
        <v>282.171974522293</v>
      </c>
      <c r="G301" s="62">
        <f t="shared" si="84"/>
        <v>272.80722891566268</v>
      </c>
      <c r="H301" s="62">
        <f t="shared" si="84"/>
        <v>310.91304347826087</v>
      </c>
      <c r="I301" s="62">
        <f t="shared" si="84"/>
        <v>272.42432432432435</v>
      </c>
    </row>
    <row r="302" spans="1:9" x14ac:dyDescent="0.25">
      <c r="A302" s="40" t="str">
        <f t="shared" si="82"/>
        <v>AVELLANEDA</v>
      </c>
      <c r="C302" s="62">
        <f t="shared" si="83"/>
        <v>82.218085106382972</v>
      </c>
      <c r="D302" s="62">
        <f t="shared" si="84"/>
        <v>92.149732620320862</v>
      </c>
      <c r="E302" s="62">
        <f t="shared" si="84"/>
        <v>85.693989071038246</v>
      </c>
      <c r="F302" s="62">
        <f t="shared" si="84"/>
        <v>72.229050279329613</v>
      </c>
      <c r="G302" s="62">
        <f t="shared" si="84"/>
        <v>78.113475177304963</v>
      </c>
      <c r="H302" s="62">
        <f t="shared" si="84"/>
        <v>91.194805194805198</v>
      </c>
      <c r="I302" s="62">
        <f t="shared" si="84"/>
        <v>93.847826086956516</v>
      </c>
    </row>
    <row r="303" spans="1:9" x14ac:dyDescent="0.25">
      <c r="A303" s="40" t="str">
        <f t="shared" si="82"/>
        <v>BELGRANO</v>
      </c>
      <c r="C303" s="62">
        <f t="shared" si="83"/>
        <v>239.50531914893617</v>
      </c>
      <c r="D303" s="62">
        <f t="shared" si="84"/>
        <v>272.35828877005349</v>
      </c>
      <c r="E303" s="62">
        <f t="shared" si="84"/>
        <v>110.07348242811501</v>
      </c>
      <c r="F303" s="62">
        <f t="shared" si="84"/>
        <v>251.39153439153438</v>
      </c>
      <c r="G303" s="62">
        <f t="shared" si="84"/>
        <v>271.84816753926702</v>
      </c>
      <c r="H303" s="62">
        <f t="shared" si="84"/>
        <v>344.48148148148147</v>
      </c>
      <c r="I303" s="62">
        <f t="shared" si="84"/>
        <v>358.25</v>
      </c>
    </row>
    <row r="304" spans="1:9" x14ac:dyDescent="0.25">
      <c r="A304" s="40" t="str">
        <f t="shared" si="82"/>
        <v>GENERAL TABOADA</v>
      </c>
      <c r="C304" s="62">
        <f t="shared" si="83"/>
        <v>115.76354679802955</v>
      </c>
      <c r="D304" s="62">
        <f t="shared" si="84"/>
        <v>129.31930693069307</v>
      </c>
      <c r="E304" s="62">
        <f t="shared" si="84"/>
        <v>39.193317422434369</v>
      </c>
      <c r="F304" s="62">
        <f t="shared" si="84"/>
        <v>124</v>
      </c>
      <c r="G304" s="62">
        <f t="shared" si="84"/>
        <v>122.55801104972376</v>
      </c>
      <c r="H304" s="62">
        <f t="shared" si="84"/>
        <v>156.57058823529411</v>
      </c>
      <c r="I304" s="62">
        <f t="shared" si="84"/>
        <v>211.03076923076924</v>
      </c>
    </row>
    <row r="305" spans="1:9" x14ac:dyDescent="0.25">
      <c r="A305" s="40" t="str">
        <f t="shared" si="82"/>
        <v>MITRE</v>
      </c>
      <c r="C305" s="62">
        <f t="shared" si="83"/>
        <v>216.47619047619048</v>
      </c>
      <c r="D305" s="62">
        <f t="shared" si="84"/>
        <v>239.01754385964912</v>
      </c>
      <c r="E305" s="62">
        <f t="shared" si="84"/>
        <v>222.62946428571428</v>
      </c>
      <c r="F305" s="62">
        <f t="shared" si="84"/>
        <v>225.55895196506549</v>
      </c>
      <c r="G305" s="62">
        <f t="shared" si="84"/>
        <v>253.24444444444444</v>
      </c>
      <c r="H305" s="62">
        <f t="shared" si="84"/>
        <v>265.56387665198235</v>
      </c>
      <c r="I305" s="62">
        <f t="shared" si="84"/>
        <v>266.87029288702928</v>
      </c>
    </row>
    <row r="306" spans="1:9" x14ac:dyDescent="0.25">
      <c r="A306" s="40" t="str">
        <f t="shared" si="82"/>
        <v>RIVADAVIA</v>
      </c>
      <c r="C306" s="62">
        <f t="shared" si="83"/>
        <v>291.60113960113961</v>
      </c>
      <c r="D306" s="62">
        <f t="shared" si="84"/>
        <v>305.76123595505618</v>
      </c>
      <c r="E306" s="62">
        <f t="shared" si="84"/>
        <v>293.7097701149425</v>
      </c>
      <c r="F306" s="62">
        <f t="shared" si="84"/>
        <v>289.64187327823691</v>
      </c>
      <c r="G306" s="62">
        <f t="shared" si="84"/>
        <v>265.23409669211196</v>
      </c>
      <c r="H306" s="62">
        <f t="shared" si="84"/>
        <v>326.45137157107234</v>
      </c>
      <c r="I306" s="62">
        <f t="shared" si="84"/>
        <v>364.65632458233893</v>
      </c>
    </row>
    <row r="307" spans="1:9" x14ac:dyDescent="0.25">
      <c r="A307" s="50" t="str">
        <f t="shared" si="82"/>
        <v>Total Sudeste</v>
      </c>
      <c r="C307" s="61">
        <f t="shared" si="83"/>
        <v>209.86042296072509</v>
      </c>
      <c r="D307" s="61">
        <f t="shared" si="84"/>
        <v>224.82655502392345</v>
      </c>
      <c r="E307" s="61">
        <f t="shared" si="84"/>
        <v>166.59420289855072</v>
      </c>
      <c r="F307" s="61">
        <f t="shared" si="84"/>
        <v>212.38075313807531</v>
      </c>
      <c r="G307" s="61">
        <f t="shared" si="84"/>
        <v>218.42579075425792</v>
      </c>
      <c r="H307" s="61">
        <f t="shared" si="84"/>
        <v>267.78084832904887</v>
      </c>
      <c r="I307" s="61">
        <f t="shared" si="84"/>
        <v>291.30779392338178</v>
      </c>
    </row>
    <row r="308" spans="1:9" x14ac:dyDescent="0.25">
      <c r="A308" s="40" t="str">
        <f t="shared" si="82"/>
        <v>ATAMISQUI</v>
      </c>
      <c r="C308" s="62">
        <f t="shared" si="83"/>
        <v>69.228070175438603</v>
      </c>
      <c r="D308" s="62">
        <f t="shared" si="84"/>
        <v>68.857142857142861</v>
      </c>
      <c r="E308" s="62">
        <f t="shared" si="84"/>
        <v>71.733333333333334</v>
      </c>
      <c r="F308" s="62">
        <f t="shared" si="84"/>
        <v>69.016666666666666</v>
      </c>
      <c r="G308" s="62">
        <f t="shared" si="84"/>
        <v>70.545454545454547</v>
      </c>
      <c r="H308" s="62">
        <f t="shared" si="84"/>
        <v>27.160714285714285</v>
      </c>
      <c r="I308" s="62">
        <f t="shared" si="84"/>
        <v>21.056074766355142</v>
      </c>
    </row>
    <row r="309" spans="1:9" x14ac:dyDescent="0.25">
      <c r="A309" s="40" t="str">
        <f t="shared" si="82"/>
        <v>OJO DE AGUA</v>
      </c>
      <c r="C309" s="62">
        <f t="shared" si="83"/>
        <v>100.41721854304636</v>
      </c>
      <c r="D309" s="62">
        <f t="shared" si="84"/>
        <v>113.3112582781457</v>
      </c>
      <c r="E309" s="62">
        <f t="shared" si="84"/>
        <v>99.938879456706289</v>
      </c>
      <c r="F309" s="62">
        <f t="shared" si="84"/>
        <v>104.66776859504132</v>
      </c>
      <c r="G309" s="62">
        <f t="shared" si="84"/>
        <v>108.57262103505843</v>
      </c>
      <c r="H309" s="62">
        <f t="shared" si="84"/>
        <v>122.19727891156462</v>
      </c>
      <c r="I309" s="62">
        <f t="shared" si="84"/>
        <v>116.4336</v>
      </c>
    </row>
    <row r="310" spans="1:9" x14ac:dyDescent="0.25">
      <c r="A310" s="40" t="str">
        <f t="shared" si="82"/>
        <v>QUEBRACHOS</v>
      </c>
      <c r="C310" s="62">
        <f t="shared" si="83"/>
        <v>122.31891891891892</v>
      </c>
      <c r="D310" s="62">
        <f t="shared" si="84"/>
        <v>125.13586956521739</v>
      </c>
      <c r="E310" s="62">
        <f t="shared" si="84"/>
        <v>111.70231729055259</v>
      </c>
      <c r="F310" s="62">
        <f t="shared" si="84"/>
        <v>117.39856373429085</v>
      </c>
      <c r="G310" s="62">
        <f t="shared" si="84"/>
        <v>115.96991150442477</v>
      </c>
      <c r="H310" s="62">
        <f t="shared" si="84"/>
        <v>125.17774086378738</v>
      </c>
      <c r="I310" s="62">
        <f t="shared" si="84"/>
        <v>128.21571906354515</v>
      </c>
    </row>
    <row r="311" spans="1:9" x14ac:dyDescent="0.25">
      <c r="A311" s="40" t="str">
        <f t="shared" si="82"/>
        <v>SALAVINA</v>
      </c>
      <c r="C311" s="62">
        <f t="shared" si="83"/>
        <v>124.71244635193133</v>
      </c>
      <c r="D311" s="62">
        <f t="shared" ref="D311:I312" si="85">D195/E272</f>
        <v>131.18777292576419</v>
      </c>
      <c r="E311" s="62">
        <f t="shared" si="85"/>
        <v>115.53636363636363</v>
      </c>
      <c r="F311" s="62">
        <f t="shared" si="85"/>
        <v>115.07476635514018</v>
      </c>
      <c r="G311" s="62">
        <f t="shared" si="85"/>
        <v>120.7609756097561</v>
      </c>
      <c r="H311" s="62">
        <f t="shared" si="85"/>
        <v>50.340460526315788</v>
      </c>
      <c r="I311" s="62">
        <f t="shared" si="85"/>
        <v>50.03130755064457</v>
      </c>
    </row>
    <row r="312" spans="1:9" x14ac:dyDescent="0.25">
      <c r="A312" s="50" t="str">
        <f t="shared" si="82"/>
        <v>Total Sur</v>
      </c>
      <c r="C312" s="61">
        <f t="shared" si="83"/>
        <v>111.48585231193927</v>
      </c>
      <c r="D312" s="61">
        <f t="shared" si="85"/>
        <v>118.95419847328245</v>
      </c>
      <c r="E312" s="61">
        <f t="shared" si="85"/>
        <v>105.76993006993007</v>
      </c>
      <c r="F312" s="61">
        <f t="shared" si="85"/>
        <v>109.66713091922006</v>
      </c>
      <c r="G312" s="61">
        <f t="shared" si="85"/>
        <v>111.7935393258427</v>
      </c>
      <c r="H312" s="61">
        <f t="shared" si="85"/>
        <v>94.690052356020942</v>
      </c>
      <c r="I312" s="61">
        <f t="shared" si="85"/>
        <v>95.495995728777359</v>
      </c>
    </row>
    <row r="318" spans="1:9" ht="14.4" x14ac:dyDescent="0.3">
      <c r="A318" s="65" t="s">
        <v>86</v>
      </c>
      <c r="B318" s="66" t="s">
        <v>159</v>
      </c>
    </row>
    <row r="319" spans="1:9" ht="14.4" x14ac:dyDescent="0.3">
      <c r="A319" s="65" t="s">
        <v>68</v>
      </c>
      <c r="B319" s="67" t="s">
        <v>88</v>
      </c>
    </row>
    <row r="320" spans="1:9" ht="14.4" x14ac:dyDescent="0.3">
      <c r="A320" s="68" t="s">
        <v>96</v>
      </c>
      <c r="B320" t="s">
        <v>92</v>
      </c>
    </row>
    <row r="321" spans="1:2" ht="14.4" x14ac:dyDescent="0.3">
      <c r="A321" s="68" t="s">
        <v>97</v>
      </c>
      <c r="B321" t="s">
        <v>92</v>
      </c>
    </row>
    <row r="322" spans="1:2" ht="14.4" x14ac:dyDescent="0.3">
      <c r="A322" s="68" t="s">
        <v>98</v>
      </c>
      <c r="B322" t="s">
        <v>92</v>
      </c>
    </row>
    <row r="323" spans="1:2" ht="14.4" x14ac:dyDescent="0.3">
      <c r="A323" s="68" t="s">
        <v>99</v>
      </c>
      <c r="B323" t="s">
        <v>92</v>
      </c>
    </row>
    <row r="324" spans="1:2" ht="14.4" x14ac:dyDescent="0.3">
      <c r="A324" s="68" t="s">
        <v>100</v>
      </c>
      <c r="B324" t="s">
        <v>92</v>
      </c>
    </row>
    <row r="325" spans="1:2" ht="14.4" x14ac:dyDescent="0.3">
      <c r="A325" s="68" t="s">
        <v>101</v>
      </c>
      <c r="B325" t="s">
        <v>92</v>
      </c>
    </row>
    <row r="326" spans="1:2" ht="14.4" x14ac:dyDescent="0.3">
      <c r="A326" s="68" t="s">
        <v>102</v>
      </c>
      <c r="B326" t="s">
        <v>92</v>
      </c>
    </row>
    <row r="327" spans="1:2" ht="14.4" x14ac:dyDescent="0.3">
      <c r="A327" s="68" t="s">
        <v>103</v>
      </c>
      <c r="B327" t="s">
        <v>92</v>
      </c>
    </row>
    <row r="328" spans="1:2" ht="14.4" x14ac:dyDescent="0.3">
      <c r="A328" s="68" t="s">
        <v>105</v>
      </c>
      <c r="B328" t="s">
        <v>90</v>
      </c>
    </row>
    <row r="329" spans="1:2" ht="14.4" x14ac:dyDescent="0.3">
      <c r="A329" s="68" t="s">
        <v>106</v>
      </c>
      <c r="B329" t="s">
        <v>90</v>
      </c>
    </row>
    <row r="330" spans="1:2" ht="14.4" x14ac:dyDescent="0.3">
      <c r="A330" s="68" t="s">
        <v>107</v>
      </c>
      <c r="B330" t="s">
        <v>90</v>
      </c>
    </row>
    <row r="331" spans="1:2" ht="14.4" x14ac:dyDescent="0.3">
      <c r="A331" s="68" t="s">
        <v>108</v>
      </c>
      <c r="B331" t="s">
        <v>90</v>
      </c>
    </row>
    <row r="332" spans="1:2" ht="14.4" x14ac:dyDescent="0.3">
      <c r="A332" s="68" t="s">
        <v>110</v>
      </c>
      <c r="B332" t="s">
        <v>94</v>
      </c>
    </row>
    <row r="333" spans="1:2" ht="14.4" x14ac:dyDescent="0.3">
      <c r="A333" s="68" t="s">
        <v>111</v>
      </c>
      <c r="B333" t="s">
        <v>94</v>
      </c>
    </row>
    <row r="334" spans="1:2" ht="14.4" x14ac:dyDescent="0.3">
      <c r="A334" s="68" t="s">
        <v>113</v>
      </c>
      <c r="B334" t="s">
        <v>93</v>
      </c>
    </row>
    <row r="335" spans="1:2" ht="14.4" x14ac:dyDescent="0.3">
      <c r="A335" s="68" t="s">
        <v>114</v>
      </c>
      <c r="B335" t="s">
        <v>93</v>
      </c>
    </row>
    <row r="336" spans="1:2" ht="14.4" x14ac:dyDescent="0.3">
      <c r="A336" s="68" t="s">
        <v>115</v>
      </c>
      <c r="B336" t="s">
        <v>93</v>
      </c>
    </row>
    <row r="337" spans="1:2" ht="14.4" x14ac:dyDescent="0.3">
      <c r="A337" s="68" t="s">
        <v>117</v>
      </c>
      <c r="B337" t="s">
        <v>89</v>
      </c>
    </row>
    <row r="338" spans="1:2" ht="14.4" x14ac:dyDescent="0.3">
      <c r="A338" s="68" t="s">
        <v>118</v>
      </c>
      <c r="B338" t="s">
        <v>89</v>
      </c>
    </row>
    <row r="339" spans="1:2" ht="14.4" x14ac:dyDescent="0.3">
      <c r="A339" s="68" t="s">
        <v>119</v>
      </c>
      <c r="B339" t="s">
        <v>89</v>
      </c>
    </row>
    <row r="340" spans="1:2" ht="14.4" x14ac:dyDescent="0.3">
      <c r="A340" s="68" t="s">
        <v>120</v>
      </c>
      <c r="B340" t="s">
        <v>89</v>
      </c>
    </row>
    <row r="341" spans="1:2" ht="14.4" x14ac:dyDescent="0.3">
      <c r="A341" s="68" t="s">
        <v>121</v>
      </c>
      <c r="B341" t="s">
        <v>89</v>
      </c>
    </row>
    <row r="342" spans="1:2" ht="14.4" x14ac:dyDescent="0.3">
      <c r="A342" s="68" t="s">
        <v>122</v>
      </c>
      <c r="B342" t="s">
        <v>89</v>
      </c>
    </row>
    <row r="343" spans="1:2" ht="14.4" x14ac:dyDescent="0.3">
      <c r="A343" s="68" t="s">
        <v>124</v>
      </c>
      <c r="B343" t="s">
        <v>91</v>
      </c>
    </row>
    <row r="344" spans="1:2" ht="14.4" x14ac:dyDescent="0.3">
      <c r="A344" s="68" t="s">
        <v>125</v>
      </c>
      <c r="B344" t="s">
        <v>91</v>
      </c>
    </row>
    <row r="345" spans="1:2" ht="14.4" x14ac:dyDescent="0.3">
      <c r="A345" s="68" t="s">
        <v>126</v>
      </c>
      <c r="B345" t="s">
        <v>91</v>
      </c>
    </row>
    <row r="346" spans="1:2" ht="14.4" x14ac:dyDescent="0.3">
      <c r="A346" s="68" t="s">
        <v>127</v>
      </c>
      <c r="B346" t="s">
        <v>91</v>
      </c>
    </row>
  </sheetData>
  <conditionalFormatting sqref="L240:M273 C84:R117 B134:B137 B139:B140 B142:B144 B146:B151 B153:B156 B124:B132 D163:H171 D173:H196 J163:K196 J237:O237 C240:C248 E240:J248 C250:C272 E250:J272 D202:D235 F202:F235 H202:H235 J202:J235 L202:L235 N202:N235 P202:R235 D240:D273">
    <cfRule type="cellIs" dxfId="1" priority="2" operator="lessThan">
      <formula>0</formula>
    </cfRule>
  </conditionalFormatting>
  <conditionalFormatting sqref="K240:K27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4"/>
  <sheetViews>
    <sheetView tabSelected="1" workbookViewId="0">
      <pane ySplit="2" topLeftCell="A3" activePane="bottomLeft" state="frozen"/>
      <selection pane="bottomLeft" activeCell="O11" sqref="O11"/>
    </sheetView>
  </sheetViews>
  <sheetFormatPr baseColWidth="10" defaultRowHeight="14.4" x14ac:dyDescent="0.3"/>
  <cols>
    <col min="1" max="1" width="5" style="4" bestFit="1" customWidth="1"/>
    <col min="2" max="2" width="16.6640625" style="4" bestFit="1" customWidth="1"/>
    <col min="3" max="3" width="22" style="4" customWidth="1"/>
    <col min="4" max="4" width="8.44140625" style="4" bestFit="1" customWidth="1"/>
    <col min="5" max="5" width="12.6640625" style="4" customWidth="1"/>
    <col min="6" max="6" width="7.5546875" style="4" bestFit="1" customWidth="1"/>
    <col min="7" max="7" width="8.6640625" style="4" bestFit="1" customWidth="1"/>
    <col min="8" max="9" width="8.44140625" style="4" bestFit="1" customWidth="1"/>
    <col min="10" max="11" width="7.44140625" style="4" bestFit="1" customWidth="1"/>
    <col min="12" max="12" width="6.77734375" style="4" bestFit="1" customWidth="1"/>
    <col min="13" max="13" width="10" style="4" bestFit="1" customWidth="1"/>
    <col min="14" max="14" width="17.77734375" style="4" customWidth="1"/>
    <col min="15" max="16384" width="11.5546875" style="4"/>
  </cols>
  <sheetData>
    <row r="2" spans="1:14" s="13" customFormat="1" ht="28.8" x14ac:dyDescent="0.3">
      <c r="A2" s="12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s">
        <v>40</v>
      </c>
      <c r="J2" s="12" t="s">
        <v>41</v>
      </c>
      <c r="K2" s="12" t="s">
        <v>42</v>
      </c>
      <c r="L2" s="12" t="s">
        <v>43</v>
      </c>
      <c r="M2" s="12" t="s">
        <v>1</v>
      </c>
      <c r="N2" s="12" t="s">
        <v>44</v>
      </c>
    </row>
    <row r="3" spans="1:14" s="8" customFormat="1" ht="12.75" customHeight="1" x14ac:dyDescent="0.3">
      <c r="A3" s="5">
        <v>2012</v>
      </c>
      <c r="B3" s="6" t="s">
        <v>0</v>
      </c>
      <c r="C3" s="7" t="s">
        <v>1</v>
      </c>
      <c r="D3" s="1">
        <v>570165</v>
      </c>
      <c r="E3" s="1">
        <v>219254</v>
      </c>
      <c r="F3" s="1">
        <v>75468</v>
      </c>
      <c r="G3" s="1">
        <v>124791</v>
      </c>
      <c r="H3" s="1">
        <v>126851</v>
      </c>
      <c r="I3" s="1">
        <v>127264</v>
      </c>
      <c r="J3" s="1">
        <v>30345</v>
      </c>
      <c r="K3" s="1">
        <v>0</v>
      </c>
      <c r="L3" s="1">
        <v>26</v>
      </c>
      <c r="M3" s="1">
        <v>1274164</v>
      </c>
    </row>
    <row r="4" spans="1:14" s="8" customFormat="1" ht="12.75" customHeight="1" x14ac:dyDescent="0.3">
      <c r="A4" s="5">
        <v>2012</v>
      </c>
      <c r="B4" s="6" t="s">
        <v>0</v>
      </c>
      <c r="C4" s="7" t="s">
        <v>2</v>
      </c>
      <c r="D4" s="1">
        <v>101110</v>
      </c>
      <c r="E4" s="1">
        <v>56100</v>
      </c>
      <c r="F4" s="1">
        <v>18617</v>
      </c>
      <c r="G4" s="1">
        <v>28123</v>
      </c>
      <c r="H4" s="1">
        <v>22352</v>
      </c>
      <c r="I4" s="1">
        <v>17902</v>
      </c>
      <c r="J4" s="1">
        <v>5782</v>
      </c>
      <c r="K4" s="1">
        <v>0</v>
      </c>
      <c r="L4" s="1">
        <v>0</v>
      </c>
      <c r="M4" s="1">
        <v>249986</v>
      </c>
    </row>
    <row r="5" spans="1:14" s="8" customFormat="1" ht="12.75" customHeight="1" x14ac:dyDescent="0.3">
      <c r="A5" s="5">
        <v>2012</v>
      </c>
      <c r="B5" s="6" t="s">
        <v>0</v>
      </c>
      <c r="C5" s="7" t="s">
        <v>3</v>
      </c>
      <c r="D5" s="1">
        <v>47950</v>
      </c>
      <c r="E5" s="1">
        <v>19060</v>
      </c>
      <c r="F5" s="1">
        <v>14906</v>
      </c>
      <c r="G5" s="1">
        <v>20119</v>
      </c>
      <c r="H5" s="1">
        <v>14815</v>
      </c>
      <c r="I5" s="1">
        <v>9753</v>
      </c>
      <c r="J5" s="1">
        <v>2926</v>
      </c>
      <c r="K5" s="1">
        <v>0</v>
      </c>
      <c r="L5" s="1">
        <v>0</v>
      </c>
      <c r="M5" s="1">
        <v>129529</v>
      </c>
    </row>
    <row r="6" spans="1:14" s="8" customFormat="1" ht="12.75" customHeight="1" x14ac:dyDescent="0.3">
      <c r="A6" s="5">
        <v>2012</v>
      </c>
      <c r="B6" s="6" t="s">
        <v>0</v>
      </c>
      <c r="C6" s="7" t="s">
        <v>4</v>
      </c>
      <c r="D6" s="1">
        <v>42253</v>
      </c>
      <c r="E6" s="1">
        <v>16991</v>
      </c>
      <c r="F6" s="1">
        <v>10291</v>
      </c>
      <c r="G6" s="1">
        <v>10847</v>
      </c>
      <c r="H6" s="1">
        <v>10501</v>
      </c>
      <c r="I6" s="1">
        <v>12402</v>
      </c>
      <c r="J6" s="1">
        <v>1179</v>
      </c>
      <c r="K6" s="1">
        <v>0</v>
      </c>
      <c r="L6" s="1">
        <v>0</v>
      </c>
      <c r="M6" s="1">
        <v>104464</v>
      </c>
    </row>
    <row r="7" spans="1:14" s="8" customFormat="1" ht="12.75" customHeight="1" x14ac:dyDescent="0.3">
      <c r="A7" s="5">
        <v>2012</v>
      </c>
      <c r="B7" s="6" t="s">
        <v>0</v>
      </c>
      <c r="C7" s="7" t="s">
        <v>5</v>
      </c>
      <c r="D7" s="1">
        <v>43668</v>
      </c>
      <c r="E7" s="1">
        <v>14287</v>
      </c>
      <c r="F7" s="1">
        <v>4802</v>
      </c>
      <c r="G7" s="1">
        <v>5645</v>
      </c>
      <c r="H7" s="1">
        <v>4640</v>
      </c>
      <c r="I7" s="1">
        <v>8054</v>
      </c>
      <c r="J7" s="1">
        <v>2187</v>
      </c>
      <c r="K7" s="1">
        <v>0</v>
      </c>
      <c r="L7" s="1">
        <v>0</v>
      </c>
      <c r="M7" s="1">
        <v>83283</v>
      </c>
    </row>
    <row r="8" spans="1:14" s="8" customFormat="1" ht="12.75" customHeight="1" x14ac:dyDescent="0.3">
      <c r="A8" s="5">
        <v>2012</v>
      </c>
      <c r="B8" s="6" t="s">
        <v>0</v>
      </c>
      <c r="C8" s="7" t="s">
        <v>6</v>
      </c>
      <c r="D8" s="1">
        <v>33895</v>
      </c>
      <c r="E8" s="1">
        <v>9635</v>
      </c>
      <c r="F8" s="1">
        <v>1555</v>
      </c>
      <c r="G8" s="1">
        <v>4624</v>
      </c>
      <c r="H8" s="1">
        <v>9111</v>
      </c>
      <c r="I8" s="1">
        <v>10900</v>
      </c>
      <c r="J8" s="1">
        <v>2048</v>
      </c>
      <c r="K8" s="1">
        <v>0</v>
      </c>
      <c r="L8" s="1">
        <v>4</v>
      </c>
      <c r="M8" s="1">
        <v>71772</v>
      </c>
    </row>
    <row r="9" spans="1:14" s="8" customFormat="1" ht="12.75" customHeight="1" x14ac:dyDescent="0.3">
      <c r="A9" s="5">
        <v>2012</v>
      </c>
      <c r="B9" s="6" t="s">
        <v>0</v>
      </c>
      <c r="C9" s="7" t="s">
        <v>7</v>
      </c>
      <c r="D9" s="1">
        <v>34361</v>
      </c>
      <c r="E9" s="1">
        <v>11146</v>
      </c>
      <c r="F9" s="1">
        <v>1813</v>
      </c>
      <c r="G9" s="1">
        <v>5082</v>
      </c>
      <c r="H9" s="1">
        <v>6516</v>
      </c>
      <c r="I9" s="1">
        <v>6702</v>
      </c>
      <c r="J9" s="1">
        <v>1959</v>
      </c>
      <c r="K9" s="1">
        <v>0</v>
      </c>
      <c r="L9" s="1">
        <v>0</v>
      </c>
      <c r="M9" s="1">
        <v>67579</v>
      </c>
    </row>
    <row r="10" spans="1:14" s="8" customFormat="1" ht="12.75" customHeight="1" x14ac:dyDescent="0.3">
      <c r="A10" s="5">
        <v>2012</v>
      </c>
      <c r="B10" s="6" t="s">
        <v>0</v>
      </c>
      <c r="C10" s="7" t="s">
        <v>8</v>
      </c>
      <c r="D10" s="1">
        <v>27293</v>
      </c>
      <c r="E10" s="1">
        <v>9756</v>
      </c>
      <c r="F10" s="1">
        <v>2061</v>
      </c>
      <c r="G10" s="1">
        <v>4961</v>
      </c>
      <c r="H10" s="1">
        <v>5960</v>
      </c>
      <c r="I10" s="1">
        <v>5931</v>
      </c>
      <c r="J10" s="1">
        <v>1694</v>
      </c>
      <c r="K10" s="1">
        <v>0</v>
      </c>
      <c r="L10" s="1">
        <v>0</v>
      </c>
      <c r="M10" s="1">
        <v>57656</v>
      </c>
    </row>
    <row r="11" spans="1:14" s="8" customFormat="1" ht="12.75" customHeight="1" x14ac:dyDescent="0.3">
      <c r="A11" s="5">
        <v>2012</v>
      </c>
      <c r="B11" s="6" t="s">
        <v>0</v>
      </c>
      <c r="C11" s="7" t="s">
        <v>9</v>
      </c>
      <c r="D11" s="1">
        <v>24244</v>
      </c>
      <c r="E11" s="1">
        <v>7736</v>
      </c>
      <c r="F11" s="1">
        <v>1003</v>
      </c>
      <c r="G11" s="1">
        <v>3383</v>
      </c>
      <c r="H11" s="1">
        <v>6157</v>
      </c>
      <c r="I11" s="1">
        <v>7116</v>
      </c>
      <c r="J11" s="1">
        <v>1455</v>
      </c>
      <c r="K11" s="1">
        <v>0</v>
      </c>
      <c r="L11" s="1">
        <v>2</v>
      </c>
      <c r="M11" s="1">
        <v>51096</v>
      </c>
    </row>
    <row r="12" spans="1:14" s="8" customFormat="1" ht="12.75" customHeight="1" x14ac:dyDescent="0.3">
      <c r="A12" s="5">
        <v>2012</v>
      </c>
      <c r="B12" s="6" t="s">
        <v>0</v>
      </c>
      <c r="C12" s="7" t="s">
        <v>10</v>
      </c>
      <c r="D12" s="1">
        <v>28816</v>
      </c>
      <c r="E12" s="1">
        <v>9321</v>
      </c>
      <c r="F12" s="1">
        <v>1865</v>
      </c>
      <c r="G12" s="1">
        <v>3795</v>
      </c>
      <c r="H12" s="1">
        <v>2943</v>
      </c>
      <c r="I12" s="1">
        <v>2828</v>
      </c>
      <c r="J12" s="1">
        <v>1070</v>
      </c>
      <c r="K12" s="1">
        <v>0</v>
      </c>
      <c r="L12" s="1">
        <v>2</v>
      </c>
      <c r="M12" s="1">
        <v>50640</v>
      </c>
    </row>
    <row r="13" spans="1:14" s="8" customFormat="1" ht="12.75" customHeight="1" x14ac:dyDescent="0.3">
      <c r="A13" s="5">
        <v>2012</v>
      </c>
      <c r="B13" s="6" t="s">
        <v>0</v>
      </c>
      <c r="C13" s="7" t="s">
        <v>11</v>
      </c>
      <c r="D13" s="1">
        <v>21221</v>
      </c>
      <c r="E13" s="1">
        <v>9354</v>
      </c>
      <c r="F13" s="1">
        <v>2540</v>
      </c>
      <c r="G13" s="1">
        <v>5663</v>
      </c>
      <c r="H13" s="1">
        <v>3227</v>
      </c>
      <c r="I13" s="1">
        <v>3635</v>
      </c>
      <c r="J13" s="1">
        <v>1007</v>
      </c>
      <c r="K13" s="1">
        <v>0</v>
      </c>
      <c r="L13" s="1">
        <v>0</v>
      </c>
      <c r="M13" s="1">
        <v>46647</v>
      </c>
    </row>
    <row r="14" spans="1:14" s="8" customFormat="1" ht="12.75" customHeight="1" x14ac:dyDescent="0.3">
      <c r="A14" s="5">
        <v>2012</v>
      </c>
      <c r="B14" s="6" t="s">
        <v>0</v>
      </c>
      <c r="C14" s="7" t="s">
        <v>12</v>
      </c>
      <c r="D14" s="1">
        <v>17912</v>
      </c>
      <c r="E14" s="1">
        <v>8027</v>
      </c>
      <c r="F14" s="1">
        <v>3080</v>
      </c>
      <c r="G14" s="1">
        <v>6962</v>
      </c>
      <c r="H14" s="1">
        <v>4949</v>
      </c>
      <c r="I14" s="1">
        <v>4362</v>
      </c>
      <c r="J14" s="1">
        <v>1111</v>
      </c>
      <c r="K14" s="1">
        <v>0</v>
      </c>
      <c r="L14" s="1">
        <v>0</v>
      </c>
      <c r="M14" s="1">
        <v>46403</v>
      </c>
    </row>
    <row r="15" spans="1:14" s="8" customFormat="1" ht="12.75" customHeight="1" x14ac:dyDescent="0.3">
      <c r="A15" s="5">
        <v>2012</v>
      </c>
      <c r="B15" s="6" t="s">
        <v>0</v>
      </c>
      <c r="C15" s="7" t="s">
        <v>13</v>
      </c>
      <c r="D15" s="1">
        <v>19552</v>
      </c>
      <c r="E15" s="1">
        <v>6754</v>
      </c>
      <c r="F15" s="1">
        <v>2929</v>
      </c>
      <c r="G15" s="1">
        <v>5965</v>
      </c>
      <c r="H15" s="1">
        <v>4927</v>
      </c>
      <c r="I15" s="1">
        <v>4193</v>
      </c>
      <c r="J15" s="1">
        <v>1219</v>
      </c>
      <c r="K15" s="1">
        <v>0</v>
      </c>
      <c r="L15" s="1">
        <v>0</v>
      </c>
      <c r="M15" s="1">
        <v>45539</v>
      </c>
    </row>
    <row r="16" spans="1:14" s="8" customFormat="1" ht="12.75" customHeight="1" x14ac:dyDescent="0.3">
      <c r="A16" s="5">
        <v>2012</v>
      </c>
      <c r="B16" s="6" t="s">
        <v>0</v>
      </c>
      <c r="C16" s="7" t="s">
        <v>14</v>
      </c>
      <c r="D16" s="1">
        <v>13327</v>
      </c>
      <c r="E16" s="1">
        <v>6645</v>
      </c>
      <c r="F16" s="1">
        <v>2289</v>
      </c>
      <c r="G16" s="1">
        <v>5228</v>
      </c>
      <c r="H16" s="1">
        <v>5648</v>
      </c>
      <c r="I16" s="1">
        <v>6124</v>
      </c>
      <c r="J16" s="1">
        <v>651</v>
      </c>
      <c r="K16" s="1">
        <v>0</v>
      </c>
      <c r="L16" s="1">
        <v>0</v>
      </c>
      <c r="M16" s="1">
        <v>39912</v>
      </c>
    </row>
    <row r="17" spans="1:13" s="8" customFormat="1" ht="12.75" customHeight="1" x14ac:dyDescent="0.3">
      <c r="A17" s="5">
        <v>2012</v>
      </c>
      <c r="B17" s="6" t="s">
        <v>0</v>
      </c>
      <c r="C17" s="7" t="s">
        <v>15</v>
      </c>
      <c r="D17" s="1">
        <v>21677</v>
      </c>
      <c r="E17" s="1">
        <v>5347</v>
      </c>
      <c r="F17" s="1">
        <v>679</v>
      </c>
      <c r="G17" s="1">
        <v>2268</v>
      </c>
      <c r="H17" s="1">
        <v>4515</v>
      </c>
      <c r="I17" s="1">
        <v>4212</v>
      </c>
      <c r="J17" s="1">
        <v>1199</v>
      </c>
      <c r="K17" s="1">
        <v>0</v>
      </c>
      <c r="L17" s="1">
        <v>0</v>
      </c>
      <c r="M17" s="1">
        <v>39897</v>
      </c>
    </row>
    <row r="18" spans="1:13" s="8" customFormat="1" ht="12.75" customHeight="1" x14ac:dyDescent="0.3">
      <c r="A18" s="5">
        <v>2012</v>
      </c>
      <c r="B18" s="6" t="s">
        <v>0</v>
      </c>
      <c r="C18" s="8" t="s">
        <v>16</v>
      </c>
      <c r="D18" s="1">
        <v>14547</v>
      </c>
      <c r="E18" s="1">
        <v>5392</v>
      </c>
      <c r="F18" s="1">
        <v>731</v>
      </c>
      <c r="G18" s="1">
        <v>1169</v>
      </c>
      <c r="H18" s="1">
        <v>3334</v>
      </c>
      <c r="I18" s="1">
        <v>4407</v>
      </c>
      <c r="J18" s="1">
        <v>784</v>
      </c>
      <c r="K18" s="1">
        <v>0</v>
      </c>
      <c r="L18" s="1">
        <v>2</v>
      </c>
      <c r="M18" s="1">
        <v>30366</v>
      </c>
    </row>
    <row r="19" spans="1:13" s="8" customFormat="1" ht="12.75" customHeight="1" x14ac:dyDescent="0.3">
      <c r="A19" s="5">
        <v>2012</v>
      </c>
      <c r="B19" s="6" t="s">
        <v>0</v>
      </c>
      <c r="C19" s="7" t="s">
        <v>17</v>
      </c>
      <c r="D19" s="1">
        <v>14075</v>
      </c>
      <c r="E19" s="1">
        <v>4519</v>
      </c>
      <c r="F19" s="1">
        <v>1801</v>
      </c>
      <c r="G19" s="1">
        <v>1709</v>
      </c>
      <c r="H19" s="1">
        <v>3545</v>
      </c>
      <c r="I19" s="1">
        <v>3271</v>
      </c>
      <c r="J19" s="1">
        <v>663</v>
      </c>
      <c r="K19" s="1">
        <v>0</v>
      </c>
      <c r="L19" s="1">
        <v>0</v>
      </c>
      <c r="M19" s="1">
        <v>29583</v>
      </c>
    </row>
    <row r="20" spans="1:13" s="8" customFormat="1" ht="12.75" customHeight="1" x14ac:dyDescent="0.3">
      <c r="A20" s="5">
        <v>2012</v>
      </c>
      <c r="B20" s="6" t="s">
        <v>0</v>
      </c>
      <c r="C20" s="7" t="s">
        <v>18</v>
      </c>
      <c r="D20" s="1">
        <v>15900</v>
      </c>
      <c r="E20" s="1">
        <v>3870</v>
      </c>
      <c r="F20" s="1">
        <v>274</v>
      </c>
      <c r="G20" s="1">
        <v>2085</v>
      </c>
      <c r="H20" s="1">
        <v>2150</v>
      </c>
      <c r="I20" s="1">
        <v>3564</v>
      </c>
      <c r="J20" s="1">
        <v>778</v>
      </c>
      <c r="K20" s="1">
        <v>0</v>
      </c>
      <c r="L20" s="1">
        <v>0</v>
      </c>
      <c r="M20" s="1">
        <v>28621</v>
      </c>
    </row>
    <row r="21" spans="1:13" s="8" customFormat="1" ht="12.75" customHeight="1" x14ac:dyDescent="0.3">
      <c r="A21" s="5">
        <v>2012</v>
      </c>
      <c r="B21" s="6" t="s">
        <v>0</v>
      </c>
      <c r="C21" s="7" t="s">
        <v>19</v>
      </c>
      <c r="D21" s="1">
        <v>12665</v>
      </c>
      <c r="E21" s="1">
        <v>3369</v>
      </c>
      <c r="F21" s="1">
        <v>1312</v>
      </c>
      <c r="G21" s="1">
        <v>2230</v>
      </c>
      <c r="H21" s="1">
        <v>1675</v>
      </c>
      <c r="I21" s="1">
        <v>2574</v>
      </c>
      <c r="J21" s="1">
        <v>631</v>
      </c>
      <c r="K21" s="1">
        <v>0</v>
      </c>
      <c r="L21" s="1">
        <v>0</v>
      </c>
      <c r="M21" s="1">
        <v>24456</v>
      </c>
    </row>
    <row r="22" spans="1:13" s="8" customFormat="1" ht="12.75" customHeight="1" x14ac:dyDescent="0.3">
      <c r="A22" s="5">
        <v>2012</v>
      </c>
      <c r="B22" s="6" t="s">
        <v>0</v>
      </c>
      <c r="C22" s="7" t="s">
        <v>20</v>
      </c>
      <c r="D22" s="1">
        <v>6851</v>
      </c>
      <c r="E22" s="1">
        <v>2535</v>
      </c>
      <c r="F22" s="1">
        <v>443</v>
      </c>
      <c r="G22" s="1">
        <v>658</v>
      </c>
      <c r="H22" s="1">
        <v>1045</v>
      </c>
      <c r="I22" s="1">
        <v>978</v>
      </c>
      <c r="J22" s="1">
        <v>434</v>
      </c>
      <c r="K22" s="1">
        <v>0</v>
      </c>
      <c r="L22" s="1">
        <v>0</v>
      </c>
      <c r="M22" s="1">
        <v>12944</v>
      </c>
    </row>
    <row r="23" spans="1:13" s="8" customFormat="1" ht="12.75" customHeight="1" x14ac:dyDescent="0.3">
      <c r="A23" s="5">
        <v>2012</v>
      </c>
      <c r="B23" s="6" t="s">
        <v>0</v>
      </c>
      <c r="C23" s="7" t="s">
        <v>21</v>
      </c>
      <c r="D23" s="1">
        <v>6305</v>
      </c>
      <c r="E23" s="1">
        <v>1839</v>
      </c>
      <c r="F23" s="1">
        <v>283</v>
      </c>
      <c r="G23" s="1">
        <v>786</v>
      </c>
      <c r="H23" s="1">
        <v>1571</v>
      </c>
      <c r="I23" s="1">
        <v>1713</v>
      </c>
      <c r="J23" s="1">
        <v>403</v>
      </c>
      <c r="K23" s="1">
        <v>0</v>
      </c>
      <c r="L23" s="1">
        <v>4</v>
      </c>
      <c r="M23" s="1">
        <v>12904</v>
      </c>
    </row>
    <row r="24" spans="1:13" s="8" customFormat="1" ht="12.75" customHeight="1" x14ac:dyDescent="0.3">
      <c r="A24" s="5">
        <v>2012</v>
      </c>
      <c r="B24" s="6" t="s">
        <v>0</v>
      </c>
      <c r="C24" s="7" t="s">
        <v>22</v>
      </c>
      <c r="D24" s="1">
        <v>5065</v>
      </c>
      <c r="E24" s="1">
        <v>1773</v>
      </c>
      <c r="F24" s="1">
        <v>529</v>
      </c>
      <c r="G24" s="1">
        <v>967</v>
      </c>
      <c r="H24" s="1">
        <v>1759</v>
      </c>
      <c r="I24" s="1">
        <v>1533</v>
      </c>
      <c r="J24" s="1">
        <v>277</v>
      </c>
      <c r="K24" s="1">
        <v>0</v>
      </c>
      <c r="L24" s="1">
        <v>10</v>
      </c>
      <c r="M24" s="1">
        <v>11913</v>
      </c>
    </row>
    <row r="25" spans="1:13" s="8" customFormat="1" ht="12.75" customHeight="1" x14ac:dyDescent="0.3">
      <c r="A25" s="5">
        <v>2012</v>
      </c>
      <c r="B25" s="6" t="s">
        <v>0</v>
      </c>
      <c r="C25" s="7" t="s">
        <v>23</v>
      </c>
      <c r="D25" s="1">
        <v>4992</v>
      </c>
      <c r="E25" s="1">
        <v>757</v>
      </c>
      <c r="F25" s="1">
        <v>391</v>
      </c>
      <c r="G25" s="1">
        <v>170</v>
      </c>
      <c r="H25" s="1">
        <v>1864</v>
      </c>
      <c r="I25" s="1">
        <v>1874</v>
      </c>
      <c r="J25" s="1">
        <v>223</v>
      </c>
      <c r="K25" s="1">
        <v>0</v>
      </c>
      <c r="L25" s="1">
        <v>1</v>
      </c>
      <c r="M25" s="1">
        <v>10272</v>
      </c>
    </row>
    <row r="26" spans="1:13" s="8" customFormat="1" ht="12.75" customHeight="1" x14ac:dyDescent="0.3">
      <c r="A26" s="5">
        <v>2012</v>
      </c>
      <c r="B26" s="6" t="s">
        <v>0</v>
      </c>
      <c r="C26" s="7" t="s">
        <v>24</v>
      </c>
      <c r="D26" s="1">
        <v>3404</v>
      </c>
      <c r="E26" s="1">
        <v>2032</v>
      </c>
      <c r="F26" s="1">
        <v>380</v>
      </c>
      <c r="G26" s="1">
        <v>791</v>
      </c>
      <c r="H26" s="1">
        <v>1336</v>
      </c>
      <c r="I26" s="1">
        <v>1303</v>
      </c>
      <c r="J26" s="1">
        <v>206</v>
      </c>
      <c r="K26" s="1">
        <v>0</v>
      </c>
      <c r="L26" s="1">
        <v>0</v>
      </c>
      <c r="M26" s="1">
        <v>9452</v>
      </c>
    </row>
    <row r="27" spans="1:13" s="8" customFormat="1" ht="12.75" customHeight="1" x14ac:dyDescent="0.3">
      <c r="A27" s="5">
        <v>2012</v>
      </c>
      <c r="B27" s="6" t="s">
        <v>0</v>
      </c>
      <c r="C27" s="7" t="s">
        <v>25</v>
      </c>
      <c r="D27" s="1">
        <v>3888</v>
      </c>
      <c r="E27" s="1">
        <v>1107</v>
      </c>
      <c r="F27" s="1">
        <v>262</v>
      </c>
      <c r="G27" s="1">
        <v>524</v>
      </c>
      <c r="H27" s="1">
        <v>1126</v>
      </c>
      <c r="I27" s="1">
        <v>752</v>
      </c>
      <c r="J27" s="1">
        <v>113</v>
      </c>
      <c r="K27" s="1">
        <v>0</v>
      </c>
      <c r="L27" s="1">
        <v>0</v>
      </c>
      <c r="M27" s="1">
        <v>7772</v>
      </c>
    </row>
    <row r="28" spans="1:13" s="8" customFormat="1" ht="12.75" customHeight="1" x14ac:dyDescent="0.3">
      <c r="A28" s="5">
        <v>2012</v>
      </c>
      <c r="B28" s="6" t="s">
        <v>0</v>
      </c>
      <c r="C28" s="7" t="s">
        <v>26</v>
      </c>
      <c r="D28" s="1">
        <v>3073</v>
      </c>
      <c r="E28" s="1">
        <v>996</v>
      </c>
      <c r="F28" s="1">
        <v>240</v>
      </c>
      <c r="G28" s="1">
        <v>286</v>
      </c>
      <c r="H28" s="1">
        <v>624</v>
      </c>
      <c r="I28" s="1">
        <v>706</v>
      </c>
      <c r="J28" s="1">
        <v>167</v>
      </c>
      <c r="K28" s="1">
        <v>0</v>
      </c>
      <c r="L28" s="1">
        <v>0</v>
      </c>
      <c r="M28" s="1">
        <v>6092</v>
      </c>
    </row>
    <row r="29" spans="1:13" s="8" customFormat="1" ht="12.75" customHeight="1" x14ac:dyDescent="0.3">
      <c r="A29" s="5">
        <v>2012</v>
      </c>
      <c r="B29" s="6" t="s">
        <v>0</v>
      </c>
      <c r="C29" s="7" t="s">
        <v>27</v>
      </c>
      <c r="D29" s="1">
        <v>1710</v>
      </c>
      <c r="E29" s="1">
        <v>666</v>
      </c>
      <c r="F29" s="1">
        <v>246</v>
      </c>
      <c r="G29" s="1">
        <v>247</v>
      </c>
      <c r="H29" s="1">
        <v>531</v>
      </c>
      <c r="I29" s="1">
        <v>327</v>
      </c>
      <c r="J29" s="1">
        <v>161</v>
      </c>
      <c r="K29" s="1">
        <v>0</v>
      </c>
      <c r="L29" s="1">
        <v>1</v>
      </c>
      <c r="M29" s="1">
        <v>3889</v>
      </c>
    </row>
    <row r="30" spans="1:13" s="8" customFormat="1" ht="12.75" customHeight="1" x14ac:dyDescent="0.3">
      <c r="A30" s="5">
        <v>2012</v>
      </c>
      <c r="B30" s="6" t="s">
        <v>0</v>
      </c>
      <c r="C30" s="7" t="s">
        <v>28</v>
      </c>
      <c r="D30" s="1">
        <v>411</v>
      </c>
      <c r="E30" s="1">
        <v>240</v>
      </c>
      <c r="F30" s="1">
        <v>146</v>
      </c>
      <c r="G30" s="1">
        <v>504</v>
      </c>
      <c r="H30" s="1">
        <v>30</v>
      </c>
      <c r="I30" s="1">
        <v>148</v>
      </c>
      <c r="J30" s="1">
        <v>18</v>
      </c>
      <c r="K30" s="1">
        <v>0</v>
      </c>
      <c r="L30" s="1">
        <v>0</v>
      </c>
      <c r="M30" s="1">
        <v>1497</v>
      </c>
    </row>
    <row r="31" spans="1:13" s="8" customFormat="1" ht="12.75" customHeight="1" x14ac:dyDescent="0.3">
      <c r="A31" s="5">
        <v>2013</v>
      </c>
      <c r="B31" s="6" t="s">
        <v>0</v>
      </c>
      <c r="C31" s="7" t="s">
        <v>1</v>
      </c>
      <c r="D31" s="2">
        <v>531198</v>
      </c>
      <c r="E31" s="2">
        <v>177395</v>
      </c>
      <c r="F31" s="2">
        <v>54230</v>
      </c>
      <c r="G31" s="2">
        <v>96929</v>
      </c>
      <c r="H31" s="2">
        <v>119689</v>
      </c>
      <c r="I31" s="2">
        <v>119941</v>
      </c>
      <c r="J31" s="2">
        <v>28214</v>
      </c>
      <c r="K31" s="2">
        <v>1857</v>
      </c>
      <c r="L31" s="2">
        <v>57</v>
      </c>
      <c r="M31" s="2">
        <v>1129510</v>
      </c>
    </row>
    <row r="32" spans="1:13" s="8" customFormat="1" ht="12.75" customHeight="1" x14ac:dyDescent="0.3">
      <c r="A32" s="5">
        <v>2013</v>
      </c>
      <c r="B32" s="6" t="s">
        <v>0</v>
      </c>
      <c r="C32" s="7" t="s">
        <v>2</v>
      </c>
      <c r="D32" s="2">
        <v>99692</v>
      </c>
      <c r="E32" s="2">
        <v>40384</v>
      </c>
      <c r="F32" s="2">
        <v>12820</v>
      </c>
      <c r="G32" s="2">
        <v>21994</v>
      </c>
      <c r="H32" s="2">
        <v>24991</v>
      </c>
      <c r="I32" s="2">
        <v>24711</v>
      </c>
      <c r="J32" s="2">
        <v>5864</v>
      </c>
      <c r="K32" s="2">
        <v>393</v>
      </c>
      <c r="L32" s="2">
        <v>0</v>
      </c>
      <c r="M32" s="2">
        <v>230849</v>
      </c>
    </row>
    <row r="33" spans="1:13" s="8" customFormat="1" ht="12.75" customHeight="1" x14ac:dyDescent="0.3">
      <c r="A33" s="5">
        <v>2013</v>
      </c>
      <c r="B33" s="6" t="s">
        <v>0</v>
      </c>
      <c r="C33" s="7" t="s">
        <v>3</v>
      </c>
      <c r="D33" s="2">
        <v>47345</v>
      </c>
      <c r="E33" s="2">
        <v>13000</v>
      </c>
      <c r="F33" s="2">
        <v>10733</v>
      </c>
      <c r="G33" s="2">
        <v>13473</v>
      </c>
      <c r="H33" s="2">
        <v>15204</v>
      </c>
      <c r="I33" s="2">
        <v>9713</v>
      </c>
      <c r="J33" s="2">
        <v>2893</v>
      </c>
      <c r="K33" s="2">
        <v>186</v>
      </c>
      <c r="L33" s="2">
        <v>0</v>
      </c>
      <c r="M33" s="2">
        <v>112547</v>
      </c>
    </row>
    <row r="34" spans="1:13" s="8" customFormat="1" ht="12.75" customHeight="1" x14ac:dyDescent="0.3">
      <c r="A34" s="5">
        <v>2013</v>
      </c>
      <c r="B34" s="6" t="s">
        <v>0</v>
      </c>
      <c r="C34" s="7" t="s">
        <v>4</v>
      </c>
      <c r="D34" s="2">
        <v>42308</v>
      </c>
      <c r="E34" s="2">
        <v>17853</v>
      </c>
      <c r="F34" s="2">
        <v>7525</v>
      </c>
      <c r="G34" s="2">
        <v>9938</v>
      </c>
      <c r="H34" s="2">
        <v>10012</v>
      </c>
      <c r="I34" s="2">
        <v>11344</v>
      </c>
      <c r="J34" s="2">
        <v>1121</v>
      </c>
      <c r="K34" s="2">
        <v>26</v>
      </c>
      <c r="L34" s="2">
        <v>11</v>
      </c>
      <c r="M34" s="2">
        <v>100138</v>
      </c>
    </row>
    <row r="35" spans="1:13" s="8" customFormat="1" ht="12.75" customHeight="1" x14ac:dyDescent="0.3">
      <c r="A35" s="5">
        <v>2013</v>
      </c>
      <c r="B35" s="6" t="s">
        <v>0</v>
      </c>
      <c r="C35" s="7" t="s">
        <v>5</v>
      </c>
      <c r="D35" s="2">
        <v>39552</v>
      </c>
      <c r="E35" s="2">
        <v>14193</v>
      </c>
      <c r="F35" s="2">
        <v>3697</v>
      </c>
      <c r="G35" s="2">
        <v>4676</v>
      </c>
      <c r="H35" s="2">
        <v>4354</v>
      </c>
      <c r="I35" s="2">
        <v>5712</v>
      </c>
      <c r="J35" s="2">
        <v>1938</v>
      </c>
      <c r="K35" s="2">
        <v>55</v>
      </c>
      <c r="L35" s="2">
        <v>0</v>
      </c>
      <c r="M35" s="2">
        <v>74177</v>
      </c>
    </row>
    <row r="36" spans="1:13" s="8" customFormat="1" ht="12.75" customHeight="1" x14ac:dyDescent="0.3">
      <c r="A36" s="5">
        <v>2013</v>
      </c>
      <c r="B36" s="6" t="s">
        <v>0</v>
      </c>
      <c r="C36" s="7" t="s">
        <v>6</v>
      </c>
      <c r="D36" s="2">
        <v>27485</v>
      </c>
      <c r="E36" s="2">
        <v>7907</v>
      </c>
      <c r="F36" s="2">
        <v>1144</v>
      </c>
      <c r="G36" s="2">
        <v>3009</v>
      </c>
      <c r="H36" s="2">
        <v>9032</v>
      </c>
      <c r="I36" s="2">
        <v>6756</v>
      </c>
      <c r="J36" s="2">
        <v>1682</v>
      </c>
      <c r="K36" s="2">
        <v>6</v>
      </c>
      <c r="L36" s="2">
        <v>38</v>
      </c>
      <c r="M36" s="2">
        <v>57059</v>
      </c>
    </row>
    <row r="37" spans="1:13" s="8" customFormat="1" ht="12.75" customHeight="1" x14ac:dyDescent="0.3">
      <c r="A37" s="5">
        <v>2013</v>
      </c>
      <c r="B37" s="6" t="s">
        <v>0</v>
      </c>
      <c r="C37" s="7" t="s">
        <v>7</v>
      </c>
      <c r="D37" s="2">
        <v>32174</v>
      </c>
      <c r="E37" s="2">
        <v>7335</v>
      </c>
      <c r="F37" s="2">
        <v>820</v>
      </c>
      <c r="G37" s="2">
        <v>2680</v>
      </c>
      <c r="H37" s="2">
        <v>5572</v>
      </c>
      <c r="I37" s="2">
        <v>6947</v>
      </c>
      <c r="J37" s="2">
        <v>1384</v>
      </c>
      <c r="K37" s="2">
        <v>121</v>
      </c>
      <c r="L37" s="2">
        <v>0</v>
      </c>
      <c r="M37" s="2">
        <v>57033</v>
      </c>
    </row>
    <row r="38" spans="1:13" s="8" customFormat="1" ht="12.75" customHeight="1" x14ac:dyDescent="0.3">
      <c r="A38" s="5">
        <v>2013</v>
      </c>
      <c r="B38" s="6" t="s">
        <v>0</v>
      </c>
      <c r="C38" s="7" t="s">
        <v>8</v>
      </c>
      <c r="D38" s="2">
        <v>23640</v>
      </c>
      <c r="E38" s="2">
        <v>9257</v>
      </c>
      <c r="F38" s="2">
        <v>1707</v>
      </c>
      <c r="G38" s="2">
        <v>5309</v>
      </c>
      <c r="H38" s="2">
        <v>4496</v>
      </c>
      <c r="I38" s="2">
        <v>4990</v>
      </c>
      <c r="J38" s="2">
        <v>1471</v>
      </c>
      <c r="K38" s="2">
        <v>298</v>
      </c>
      <c r="L38" s="2">
        <v>0</v>
      </c>
      <c r="M38" s="2">
        <v>51168</v>
      </c>
    </row>
    <row r="39" spans="1:13" s="8" customFormat="1" ht="12.75" customHeight="1" x14ac:dyDescent="0.3">
      <c r="A39" s="5">
        <v>2013</v>
      </c>
      <c r="B39" s="6" t="s">
        <v>0</v>
      </c>
      <c r="C39" s="7" t="s">
        <v>9</v>
      </c>
      <c r="D39" s="2">
        <v>25247</v>
      </c>
      <c r="E39" s="2">
        <v>6002</v>
      </c>
      <c r="F39" s="2">
        <v>268</v>
      </c>
      <c r="G39" s="2">
        <v>1698</v>
      </c>
      <c r="H39" s="2">
        <v>7715</v>
      </c>
      <c r="I39" s="2">
        <v>8623</v>
      </c>
      <c r="J39" s="2">
        <v>1287</v>
      </c>
      <c r="K39" s="2">
        <v>107</v>
      </c>
      <c r="L39" s="2">
        <v>2</v>
      </c>
      <c r="M39" s="2">
        <v>50949</v>
      </c>
    </row>
    <row r="40" spans="1:13" s="8" customFormat="1" ht="12.75" customHeight="1" x14ac:dyDescent="0.3">
      <c r="A40" s="5">
        <v>2013</v>
      </c>
      <c r="B40" s="6" t="s">
        <v>0</v>
      </c>
      <c r="C40" s="7" t="s">
        <v>10</v>
      </c>
      <c r="D40" s="2">
        <v>26956</v>
      </c>
      <c r="E40" s="2">
        <v>7094</v>
      </c>
      <c r="F40" s="2">
        <v>1232</v>
      </c>
      <c r="G40" s="2">
        <v>3313</v>
      </c>
      <c r="H40" s="2">
        <v>2549</v>
      </c>
      <c r="I40" s="2">
        <v>3070</v>
      </c>
      <c r="J40" s="2">
        <v>1043</v>
      </c>
      <c r="K40" s="2">
        <v>1</v>
      </c>
      <c r="L40" s="2">
        <v>0</v>
      </c>
      <c r="M40" s="2">
        <v>45258</v>
      </c>
    </row>
    <row r="41" spans="1:13" s="8" customFormat="1" ht="12.75" customHeight="1" x14ac:dyDescent="0.3">
      <c r="A41" s="5">
        <v>2013</v>
      </c>
      <c r="B41" s="6" t="s">
        <v>0</v>
      </c>
      <c r="C41" s="7" t="s">
        <v>13</v>
      </c>
      <c r="D41" s="2">
        <v>21512</v>
      </c>
      <c r="E41" s="2">
        <v>5678</v>
      </c>
      <c r="F41" s="2">
        <v>2848</v>
      </c>
      <c r="G41" s="2">
        <v>3486</v>
      </c>
      <c r="H41" s="2">
        <v>4691</v>
      </c>
      <c r="I41" s="2">
        <v>5102</v>
      </c>
      <c r="J41" s="2">
        <v>1377</v>
      </c>
      <c r="K41" s="2">
        <v>24</v>
      </c>
      <c r="L41" s="2">
        <v>1</v>
      </c>
      <c r="M41" s="2">
        <v>44719</v>
      </c>
    </row>
    <row r="42" spans="1:13" s="8" customFormat="1" ht="12.75" customHeight="1" x14ac:dyDescent="0.3">
      <c r="A42" s="5">
        <v>2013</v>
      </c>
      <c r="B42" s="6" t="s">
        <v>0</v>
      </c>
      <c r="C42" s="7" t="s">
        <v>11</v>
      </c>
      <c r="D42" s="2">
        <v>19919</v>
      </c>
      <c r="E42" s="2">
        <v>9515</v>
      </c>
      <c r="F42" s="2">
        <v>2179</v>
      </c>
      <c r="G42" s="2">
        <v>4896</v>
      </c>
      <c r="H42" s="2">
        <v>2648</v>
      </c>
      <c r="I42" s="2">
        <v>3181</v>
      </c>
      <c r="J42" s="2">
        <v>945</v>
      </c>
      <c r="K42" s="2">
        <v>196</v>
      </c>
      <c r="L42" s="2">
        <v>0</v>
      </c>
      <c r="M42" s="2">
        <v>43479</v>
      </c>
    </row>
    <row r="43" spans="1:13" s="8" customFormat="1" ht="12.75" customHeight="1" x14ac:dyDescent="0.3">
      <c r="A43" s="5">
        <v>2013</v>
      </c>
      <c r="B43" s="6" t="s">
        <v>0</v>
      </c>
      <c r="C43" s="7" t="s">
        <v>14</v>
      </c>
      <c r="D43" s="2">
        <v>14758</v>
      </c>
      <c r="E43" s="2">
        <v>8389</v>
      </c>
      <c r="F43" s="2">
        <v>2259</v>
      </c>
      <c r="G43" s="2">
        <v>5655</v>
      </c>
      <c r="H43" s="2">
        <v>4498</v>
      </c>
      <c r="I43" s="2">
        <v>5501</v>
      </c>
      <c r="J43" s="2">
        <v>625</v>
      </c>
      <c r="K43" s="2">
        <v>9</v>
      </c>
      <c r="L43" s="2">
        <v>0</v>
      </c>
      <c r="M43" s="2">
        <v>41694</v>
      </c>
    </row>
    <row r="44" spans="1:13" s="8" customFormat="1" ht="12.75" customHeight="1" x14ac:dyDescent="0.3">
      <c r="A44" s="5">
        <v>2013</v>
      </c>
      <c r="B44" s="6" t="s">
        <v>0</v>
      </c>
      <c r="C44" s="7" t="s">
        <v>12</v>
      </c>
      <c r="D44" s="2">
        <v>18256</v>
      </c>
      <c r="E44" s="2">
        <v>7197</v>
      </c>
      <c r="F44" s="2">
        <v>2396</v>
      </c>
      <c r="G44" s="2">
        <v>4533</v>
      </c>
      <c r="H44" s="2">
        <v>2700</v>
      </c>
      <c r="I44" s="2">
        <v>3521</v>
      </c>
      <c r="J44" s="2">
        <v>975</v>
      </c>
      <c r="K44" s="2">
        <v>270</v>
      </c>
      <c r="L44" s="2">
        <v>0</v>
      </c>
      <c r="M44" s="2">
        <v>39848</v>
      </c>
    </row>
    <row r="45" spans="1:13" s="8" customFormat="1" ht="12.75" customHeight="1" x14ac:dyDescent="0.3">
      <c r="A45" s="5">
        <v>2013</v>
      </c>
      <c r="B45" s="6" t="s">
        <v>0</v>
      </c>
      <c r="C45" s="7" t="s">
        <v>15</v>
      </c>
      <c r="D45" s="2">
        <v>23235</v>
      </c>
      <c r="E45" s="2">
        <v>4488</v>
      </c>
      <c r="F45" s="2">
        <v>415</v>
      </c>
      <c r="G45" s="2">
        <v>2540</v>
      </c>
      <c r="H45" s="2">
        <v>2933</v>
      </c>
      <c r="I45" s="2">
        <v>2735</v>
      </c>
      <c r="J45" s="2">
        <v>1327</v>
      </c>
      <c r="K45" s="2">
        <v>0</v>
      </c>
      <c r="L45" s="2">
        <v>1</v>
      </c>
      <c r="M45" s="2">
        <v>37674</v>
      </c>
    </row>
    <row r="46" spans="1:13" s="8" customFormat="1" ht="12.75" customHeight="1" x14ac:dyDescent="0.3">
      <c r="A46" s="5">
        <v>2013</v>
      </c>
      <c r="B46" s="6" t="s">
        <v>0</v>
      </c>
      <c r="C46" s="7" t="s">
        <v>19</v>
      </c>
      <c r="D46" s="2">
        <v>10253</v>
      </c>
      <c r="E46" s="2">
        <v>2310</v>
      </c>
      <c r="F46" s="2">
        <v>608</v>
      </c>
      <c r="G46" s="2">
        <v>2888</v>
      </c>
      <c r="H46" s="2">
        <v>5080</v>
      </c>
      <c r="I46" s="2">
        <v>3482</v>
      </c>
      <c r="J46" s="2">
        <v>601</v>
      </c>
      <c r="K46" s="2">
        <v>35</v>
      </c>
      <c r="L46" s="2">
        <v>0</v>
      </c>
      <c r="M46" s="2">
        <v>25257</v>
      </c>
    </row>
    <row r="47" spans="1:13" s="8" customFormat="1" ht="12.75" customHeight="1" x14ac:dyDescent="0.3">
      <c r="A47" s="5">
        <v>2013</v>
      </c>
      <c r="B47" s="6" t="s">
        <v>0</v>
      </c>
      <c r="C47" s="7" t="s">
        <v>17</v>
      </c>
      <c r="D47" s="2">
        <v>10831</v>
      </c>
      <c r="E47" s="2">
        <v>3071</v>
      </c>
      <c r="F47" s="2">
        <v>1130</v>
      </c>
      <c r="G47" s="2">
        <v>940</v>
      </c>
      <c r="H47" s="2">
        <v>3222</v>
      </c>
      <c r="I47" s="2">
        <v>2845</v>
      </c>
      <c r="J47" s="2">
        <v>475</v>
      </c>
      <c r="K47" s="2">
        <v>14</v>
      </c>
      <c r="L47" s="2">
        <v>3</v>
      </c>
      <c r="M47" s="2">
        <v>22531</v>
      </c>
    </row>
    <row r="48" spans="1:13" s="8" customFormat="1" ht="12.75" customHeight="1" x14ac:dyDescent="0.3">
      <c r="A48" s="5">
        <v>2013</v>
      </c>
      <c r="B48" s="6" t="s">
        <v>0</v>
      </c>
      <c r="C48" s="8" t="s">
        <v>16</v>
      </c>
      <c r="D48" s="2">
        <v>10455</v>
      </c>
      <c r="E48" s="2">
        <v>3481</v>
      </c>
      <c r="F48" s="2">
        <v>284</v>
      </c>
      <c r="G48" s="2">
        <v>1360</v>
      </c>
      <c r="H48" s="2">
        <v>2638</v>
      </c>
      <c r="I48" s="2">
        <v>3302</v>
      </c>
      <c r="J48" s="2">
        <v>720</v>
      </c>
      <c r="K48" s="2">
        <v>5</v>
      </c>
      <c r="L48" s="2">
        <v>0</v>
      </c>
      <c r="M48" s="2">
        <v>22245</v>
      </c>
    </row>
    <row r="49" spans="1:13" s="8" customFormat="1" ht="12.75" customHeight="1" x14ac:dyDescent="0.3">
      <c r="A49" s="5">
        <v>2013</v>
      </c>
      <c r="B49" s="6" t="s">
        <v>0</v>
      </c>
      <c r="C49" s="7" t="s">
        <v>18</v>
      </c>
      <c r="D49" s="2">
        <v>10804</v>
      </c>
      <c r="E49" s="2">
        <v>1716</v>
      </c>
      <c r="F49" s="2">
        <v>88</v>
      </c>
      <c r="G49" s="2">
        <v>406</v>
      </c>
      <c r="H49" s="2">
        <v>1862</v>
      </c>
      <c r="I49" s="2">
        <v>2203</v>
      </c>
      <c r="J49" s="2">
        <v>826</v>
      </c>
      <c r="K49" s="2">
        <v>0</v>
      </c>
      <c r="L49" s="2">
        <v>0</v>
      </c>
      <c r="M49" s="2">
        <v>17905</v>
      </c>
    </row>
    <row r="50" spans="1:13" s="8" customFormat="1" ht="12.75" customHeight="1" x14ac:dyDescent="0.3">
      <c r="A50" s="5">
        <v>2013</v>
      </c>
      <c r="B50" s="6" t="s">
        <v>0</v>
      </c>
      <c r="C50" s="7" t="s">
        <v>20</v>
      </c>
      <c r="D50" s="2">
        <v>6696</v>
      </c>
      <c r="E50" s="2">
        <v>1771</v>
      </c>
      <c r="F50" s="2">
        <v>345</v>
      </c>
      <c r="G50" s="2">
        <v>687</v>
      </c>
      <c r="H50" s="2">
        <v>816</v>
      </c>
      <c r="I50" s="2">
        <v>824</v>
      </c>
      <c r="J50" s="2">
        <v>449</v>
      </c>
      <c r="K50" s="2">
        <v>43</v>
      </c>
      <c r="L50" s="2">
        <v>0</v>
      </c>
      <c r="M50" s="2">
        <v>11631</v>
      </c>
    </row>
    <row r="51" spans="1:13" s="8" customFormat="1" ht="12.75" customHeight="1" x14ac:dyDescent="0.3">
      <c r="A51" s="5">
        <v>2013</v>
      </c>
      <c r="B51" s="6" t="s">
        <v>0</v>
      </c>
      <c r="C51" s="7" t="s">
        <v>21</v>
      </c>
      <c r="D51" s="2">
        <v>5162</v>
      </c>
      <c r="E51" s="2">
        <v>1728</v>
      </c>
      <c r="F51" s="2">
        <v>261</v>
      </c>
      <c r="G51" s="2">
        <v>542</v>
      </c>
      <c r="H51" s="2">
        <v>1254</v>
      </c>
      <c r="I51" s="2">
        <v>1405</v>
      </c>
      <c r="J51" s="2">
        <v>384</v>
      </c>
      <c r="K51" s="2">
        <v>46</v>
      </c>
      <c r="L51" s="2">
        <v>0</v>
      </c>
      <c r="M51" s="2">
        <v>10782</v>
      </c>
    </row>
    <row r="52" spans="1:13" s="8" customFormat="1" ht="12.75" customHeight="1" x14ac:dyDescent="0.3">
      <c r="A52" s="5">
        <v>2013</v>
      </c>
      <c r="B52" s="6" t="s">
        <v>0</v>
      </c>
      <c r="C52" s="7" t="s">
        <v>24</v>
      </c>
      <c r="D52" s="2">
        <v>2574</v>
      </c>
      <c r="E52" s="2">
        <v>1795</v>
      </c>
      <c r="F52" s="2">
        <v>437</v>
      </c>
      <c r="G52" s="2">
        <v>602</v>
      </c>
      <c r="H52" s="2">
        <v>595</v>
      </c>
      <c r="I52" s="2">
        <v>916</v>
      </c>
      <c r="J52" s="2">
        <v>166</v>
      </c>
      <c r="K52" s="2">
        <v>0</v>
      </c>
      <c r="L52" s="2">
        <v>0</v>
      </c>
      <c r="M52" s="2">
        <v>7085</v>
      </c>
    </row>
    <row r="53" spans="1:13" s="8" customFormat="1" ht="12.75" customHeight="1" x14ac:dyDescent="0.3">
      <c r="A53" s="5">
        <v>2013</v>
      </c>
      <c r="B53" s="6" t="s">
        <v>0</v>
      </c>
      <c r="C53" s="7" t="s">
        <v>23</v>
      </c>
      <c r="D53" s="2">
        <v>3861</v>
      </c>
      <c r="E53" s="2">
        <v>891</v>
      </c>
      <c r="F53" s="2">
        <v>213</v>
      </c>
      <c r="G53" s="2">
        <v>209</v>
      </c>
      <c r="H53" s="2">
        <v>648</v>
      </c>
      <c r="I53" s="2">
        <v>871</v>
      </c>
      <c r="J53" s="2">
        <v>236</v>
      </c>
      <c r="K53" s="2">
        <v>12</v>
      </c>
      <c r="L53" s="2">
        <v>1</v>
      </c>
      <c r="M53" s="2">
        <v>6942</v>
      </c>
    </row>
    <row r="54" spans="1:13" s="8" customFormat="1" ht="12.75" customHeight="1" x14ac:dyDescent="0.3">
      <c r="A54" s="5">
        <v>2013</v>
      </c>
      <c r="B54" s="6" t="s">
        <v>0</v>
      </c>
      <c r="C54" s="7" t="s">
        <v>22</v>
      </c>
      <c r="D54" s="2">
        <v>2261</v>
      </c>
      <c r="E54" s="2">
        <v>677</v>
      </c>
      <c r="F54" s="2">
        <v>354</v>
      </c>
      <c r="G54" s="2">
        <v>986</v>
      </c>
      <c r="H54" s="2">
        <v>1014</v>
      </c>
      <c r="I54" s="2">
        <v>774</v>
      </c>
      <c r="J54" s="2">
        <v>161</v>
      </c>
      <c r="K54" s="2">
        <v>3</v>
      </c>
      <c r="L54" s="2">
        <v>0</v>
      </c>
      <c r="M54" s="2">
        <v>6230</v>
      </c>
    </row>
    <row r="55" spans="1:13" s="8" customFormat="1" ht="12.75" customHeight="1" x14ac:dyDescent="0.3">
      <c r="A55" s="5">
        <v>2013</v>
      </c>
      <c r="B55" s="6" t="s">
        <v>0</v>
      </c>
      <c r="C55" s="7" t="s">
        <v>25</v>
      </c>
      <c r="D55" s="2">
        <v>2928</v>
      </c>
      <c r="E55" s="2">
        <v>634</v>
      </c>
      <c r="F55" s="2">
        <v>23</v>
      </c>
      <c r="G55" s="2">
        <v>247</v>
      </c>
      <c r="H55" s="2">
        <v>479</v>
      </c>
      <c r="I55" s="2">
        <v>566</v>
      </c>
      <c r="J55" s="2">
        <v>103</v>
      </c>
      <c r="K55" s="2">
        <v>7</v>
      </c>
      <c r="L55" s="2">
        <v>0</v>
      </c>
      <c r="M55" s="2">
        <v>4987</v>
      </c>
    </row>
    <row r="56" spans="1:13" s="8" customFormat="1" ht="12.75" customHeight="1" x14ac:dyDescent="0.3">
      <c r="A56" s="5">
        <v>2013</v>
      </c>
      <c r="B56" s="6" t="s">
        <v>0</v>
      </c>
      <c r="C56" s="7" t="s">
        <v>26</v>
      </c>
      <c r="D56" s="2">
        <v>2271</v>
      </c>
      <c r="E56" s="2">
        <v>734</v>
      </c>
      <c r="F56" s="2">
        <v>170</v>
      </c>
      <c r="G56" s="2">
        <v>181</v>
      </c>
      <c r="H56" s="2">
        <v>466</v>
      </c>
      <c r="I56" s="2">
        <v>635</v>
      </c>
      <c r="J56" s="2">
        <v>110</v>
      </c>
      <c r="K56" s="2">
        <v>0</v>
      </c>
      <c r="L56" s="2">
        <v>0</v>
      </c>
      <c r="M56" s="2">
        <v>4567</v>
      </c>
    </row>
    <row r="57" spans="1:13" s="8" customFormat="1" ht="12.75" customHeight="1" x14ac:dyDescent="0.3">
      <c r="A57" s="5">
        <v>2013</v>
      </c>
      <c r="B57" s="6" t="s">
        <v>0</v>
      </c>
      <c r="C57" s="7" t="s">
        <v>28</v>
      </c>
      <c r="D57" s="2">
        <v>382</v>
      </c>
      <c r="E57" s="2">
        <v>108</v>
      </c>
      <c r="F57" s="2">
        <v>183</v>
      </c>
      <c r="G57" s="2">
        <v>598</v>
      </c>
      <c r="H57" s="2">
        <v>55</v>
      </c>
      <c r="I57" s="2">
        <v>77</v>
      </c>
      <c r="J57" s="2">
        <v>11</v>
      </c>
      <c r="K57" s="2">
        <v>0</v>
      </c>
      <c r="L57" s="2">
        <v>0</v>
      </c>
      <c r="M57" s="2">
        <v>1414</v>
      </c>
    </row>
    <row r="58" spans="1:13" s="8" customFormat="1" ht="12.75" customHeight="1" x14ac:dyDescent="0.3">
      <c r="A58" s="5">
        <v>2013</v>
      </c>
      <c r="B58" s="6" t="s">
        <v>0</v>
      </c>
      <c r="C58" s="7" t="s">
        <v>27</v>
      </c>
      <c r="D58" s="2">
        <v>641</v>
      </c>
      <c r="E58" s="2">
        <v>187</v>
      </c>
      <c r="F58" s="2">
        <v>91</v>
      </c>
      <c r="G58" s="2">
        <v>83</v>
      </c>
      <c r="H58" s="2">
        <v>165</v>
      </c>
      <c r="I58" s="2">
        <v>135</v>
      </c>
      <c r="J58" s="2">
        <v>40</v>
      </c>
      <c r="K58" s="2">
        <v>0</v>
      </c>
      <c r="L58" s="2">
        <v>0</v>
      </c>
      <c r="M58" s="2">
        <v>1342</v>
      </c>
    </row>
    <row r="59" spans="1:13" s="8" customFormat="1" ht="12.75" customHeight="1" x14ac:dyDescent="0.3">
      <c r="A59" s="5">
        <v>2014</v>
      </c>
      <c r="B59" s="6" t="s">
        <v>0</v>
      </c>
      <c r="C59" s="7" t="s">
        <v>1</v>
      </c>
      <c r="D59" s="2">
        <v>511975</v>
      </c>
      <c r="E59" s="2">
        <v>191960</v>
      </c>
      <c r="F59" s="2">
        <v>57688</v>
      </c>
      <c r="G59" s="2">
        <v>125193</v>
      </c>
      <c r="H59" s="2">
        <v>126489</v>
      </c>
      <c r="I59" s="2">
        <v>122425</v>
      </c>
      <c r="J59" s="2">
        <v>27279</v>
      </c>
      <c r="K59" s="2">
        <v>3761</v>
      </c>
      <c r="L59" s="2">
        <v>24</v>
      </c>
      <c r="M59" s="2">
        <v>1166794</v>
      </c>
    </row>
    <row r="60" spans="1:13" s="8" customFormat="1" ht="12.75" customHeight="1" x14ac:dyDescent="0.3">
      <c r="A60" s="5">
        <v>2014</v>
      </c>
      <c r="B60" s="6" t="s">
        <v>0</v>
      </c>
      <c r="C60" s="7" t="s">
        <v>2</v>
      </c>
      <c r="D60" s="2">
        <v>99608</v>
      </c>
      <c r="E60" s="2">
        <v>43418</v>
      </c>
      <c r="F60" s="2">
        <v>13179</v>
      </c>
      <c r="G60" s="2">
        <v>30586</v>
      </c>
      <c r="H60" s="2">
        <v>33295</v>
      </c>
      <c r="I60" s="2">
        <v>26806</v>
      </c>
      <c r="J60" s="2">
        <v>5677</v>
      </c>
      <c r="K60" s="2">
        <v>948</v>
      </c>
      <c r="L60" s="2">
        <v>0</v>
      </c>
      <c r="M60" s="2">
        <v>253517</v>
      </c>
    </row>
    <row r="61" spans="1:13" s="8" customFormat="1" ht="12.75" customHeight="1" x14ac:dyDescent="0.3">
      <c r="A61" s="5">
        <v>2014</v>
      </c>
      <c r="B61" s="6" t="s">
        <v>0</v>
      </c>
      <c r="C61" s="7" t="s">
        <v>3</v>
      </c>
      <c r="D61" s="2">
        <v>48275</v>
      </c>
      <c r="E61" s="2">
        <v>17084</v>
      </c>
      <c r="F61" s="2">
        <v>13674</v>
      </c>
      <c r="G61" s="2">
        <v>22663</v>
      </c>
      <c r="H61" s="2">
        <v>14984</v>
      </c>
      <c r="I61" s="2">
        <v>9720</v>
      </c>
      <c r="J61" s="2">
        <v>2758</v>
      </c>
      <c r="K61" s="2">
        <v>621</v>
      </c>
      <c r="L61" s="2">
        <v>10</v>
      </c>
      <c r="M61" s="2">
        <v>129789</v>
      </c>
    </row>
    <row r="62" spans="1:13" s="8" customFormat="1" ht="12.75" customHeight="1" x14ac:dyDescent="0.3">
      <c r="A62" s="5">
        <v>2014</v>
      </c>
      <c r="B62" s="6" t="s">
        <v>0</v>
      </c>
      <c r="C62" s="7" t="s">
        <v>4</v>
      </c>
      <c r="D62" s="2">
        <v>39160</v>
      </c>
      <c r="E62" s="2">
        <v>18409</v>
      </c>
      <c r="F62" s="2">
        <v>8247</v>
      </c>
      <c r="G62" s="2">
        <v>9844</v>
      </c>
      <c r="H62" s="2">
        <v>9395</v>
      </c>
      <c r="I62" s="2">
        <v>10473</v>
      </c>
      <c r="J62" s="2">
        <v>1198</v>
      </c>
      <c r="K62" s="2">
        <v>273</v>
      </c>
      <c r="L62" s="2">
        <v>0</v>
      </c>
      <c r="M62" s="2">
        <v>96999</v>
      </c>
    </row>
    <row r="63" spans="1:13" s="8" customFormat="1" ht="12.75" customHeight="1" x14ac:dyDescent="0.3">
      <c r="A63" s="5">
        <v>2014</v>
      </c>
      <c r="B63" s="6" t="s">
        <v>0</v>
      </c>
      <c r="C63" s="7" t="s">
        <v>5</v>
      </c>
      <c r="D63" s="2">
        <v>41653</v>
      </c>
      <c r="E63" s="2">
        <v>14472</v>
      </c>
      <c r="F63" s="2">
        <v>4088</v>
      </c>
      <c r="G63" s="2">
        <v>4607</v>
      </c>
      <c r="H63" s="2">
        <v>3931</v>
      </c>
      <c r="I63" s="2">
        <v>6368</v>
      </c>
      <c r="J63" s="2">
        <v>2170</v>
      </c>
      <c r="K63" s="2">
        <v>297</v>
      </c>
      <c r="L63" s="2">
        <v>0</v>
      </c>
      <c r="M63" s="2">
        <v>77586</v>
      </c>
    </row>
    <row r="64" spans="1:13" s="8" customFormat="1" ht="12.75" customHeight="1" x14ac:dyDescent="0.3">
      <c r="A64" s="5">
        <v>2014</v>
      </c>
      <c r="B64" s="6" t="s">
        <v>0</v>
      </c>
      <c r="C64" s="7" t="s">
        <v>8</v>
      </c>
      <c r="D64" s="2">
        <v>24148</v>
      </c>
      <c r="E64" s="2">
        <v>11692</v>
      </c>
      <c r="F64" s="2">
        <v>2029</v>
      </c>
      <c r="G64" s="2">
        <v>6634</v>
      </c>
      <c r="H64" s="2">
        <v>7418</v>
      </c>
      <c r="I64" s="2">
        <v>6854</v>
      </c>
      <c r="J64" s="2">
        <v>1399</v>
      </c>
      <c r="K64" s="2">
        <v>452</v>
      </c>
      <c r="L64" s="2">
        <v>0</v>
      </c>
      <c r="M64" s="2">
        <v>60626</v>
      </c>
    </row>
    <row r="65" spans="1:13" s="8" customFormat="1" ht="12.75" customHeight="1" x14ac:dyDescent="0.3">
      <c r="A65" s="5">
        <v>2014</v>
      </c>
      <c r="B65" s="6" t="s">
        <v>0</v>
      </c>
      <c r="C65" s="7" t="s">
        <v>6</v>
      </c>
      <c r="D65" s="2">
        <v>28084</v>
      </c>
      <c r="E65" s="2">
        <v>9271</v>
      </c>
      <c r="F65" s="2">
        <v>840</v>
      </c>
      <c r="G65" s="2">
        <v>2839</v>
      </c>
      <c r="H65" s="2">
        <v>6438</v>
      </c>
      <c r="I65" s="2">
        <v>7117</v>
      </c>
      <c r="J65" s="2">
        <v>1464</v>
      </c>
      <c r="K65" s="2">
        <v>135</v>
      </c>
      <c r="L65" s="2">
        <v>0</v>
      </c>
      <c r="M65" s="2">
        <v>56188</v>
      </c>
    </row>
    <row r="66" spans="1:13" s="8" customFormat="1" ht="12.75" customHeight="1" x14ac:dyDescent="0.3">
      <c r="A66" s="5">
        <v>2014</v>
      </c>
      <c r="B66" s="6" t="s">
        <v>0</v>
      </c>
      <c r="C66" s="7" t="s">
        <v>9</v>
      </c>
      <c r="D66" s="2">
        <v>24015</v>
      </c>
      <c r="E66" s="2">
        <v>7635</v>
      </c>
      <c r="F66" s="2">
        <v>175</v>
      </c>
      <c r="G66" s="2">
        <v>4918</v>
      </c>
      <c r="H66" s="2">
        <v>9499</v>
      </c>
      <c r="I66" s="2">
        <v>8128</v>
      </c>
      <c r="J66" s="2">
        <v>1370</v>
      </c>
      <c r="K66" s="2">
        <v>93</v>
      </c>
      <c r="L66" s="2">
        <v>0</v>
      </c>
      <c r="M66" s="2">
        <v>55833</v>
      </c>
    </row>
    <row r="67" spans="1:13" s="8" customFormat="1" ht="12.75" customHeight="1" x14ac:dyDescent="0.3">
      <c r="A67" s="5">
        <v>2014</v>
      </c>
      <c r="B67" s="6" t="s">
        <v>0</v>
      </c>
      <c r="C67" s="7" t="s">
        <v>13</v>
      </c>
      <c r="D67" s="2">
        <v>23338</v>
      </c>
      <c r="E67" s="2">
        <v>7691</v>
      </c>
      <c r="F67" s="2">
        <v>2149</v>
      </c>
      <c r="G67" s="2">
        <v>5983</v>
      </c>
      <c r="H67" s="2">
        <v>5490</v>
      </c>
      <c r="I67" s="2">
        <v>6268</v>
      </c>
      <c r="J67" s="2">
        <v>1627</v>
      </c>
      <c r="K67" s="2">
        <v>10</v>
      </c>
      <c r="L67" s="2">
        <v>0</v>
      </c>
      <c r="M67" s="2">
        <v>52556</v>
      </c>
    </row>
    <row r="68" spans="1:13" s="8" customFormat="1" ht="12.75" customHeight="1" x14ac:dyDescent="0.3">
      <c r="A68" s="5">
        <v>2014</v>
      </c>
      <c r="B68" s="6" t="s">
        <v>0</v>
      </c>
      <c r="C68" s="7" t="s">
        <v>7</v>
      </c>
      <c r="D68" s="2">
        <v>26398</v>
      </c>
      <c r="E68" s="2">
        <v>7512</v>
      </c>
      <c r="F68" s="2">
        <v>1194</v>
      </c>
      <c r="G68" s="2">
        <v>3332</v>
      </c>
      <c r="H68" s="2">
        <v>4743</v>
      </c>
      <c r="I68" s="2">
        <v>4668</v>
      </c>
      <c r="J68" s="2">
        <v>1408</v>
      </c>
      <c r="K68" s="2">
        <v>209</v>
      </c>
      <c r="L68" s="2">
        <v>0</v>
      </c>
      <c r="M68" s="2">
        <v>49464</v>
      </c>
    </row>
    <row r="69" spans="1:13" s="8" customFormat="1" ht="12.75" customHeight="1" x14ac:dyDescent="0.3">
      <c r="A69" s="5">
        <v>2014</v>
      </c>
      <c r="B69" s="6" t="s">
        <v>0</v>
      </c>
      <c r="C69" s="7" t="s">
        <v>11</v>
      </c>
      <c r="D69" s="2">
        <v>19001</v>
      </c>
      <c r="E69" s="2">
        <v>8068</v>
      </c>
      <c r="F69" s="2">
        <v>2149</v>
      </c>
      <c r="G69" s="2">
        <v>5518</v>
      </c>
      <c r="H69" s="2">
        <v>3181</v>
      </c>
      <c r="I69" s="2">
        <v>3300</v>
      </c>
      <c r="J69" s="2">
        <v>1018</v>
      </c>
      <c r="K69" s="2">
        <v>83</v>
      </c>
      <c r="L69" s="2">
        <v>0</v>
      </c>
      <c r="M69" s="2">
        <v>42318</v>
      </c>
    </row>
    <row r="70" spans="1:13" s="8" customFormat="1" ht="12.75" customHeight="1" x14ac:dyDescent="0.3">
      <c r="A70" s="5">
        <v>2014</v>
      </c>
      <c r="B70" s="6" t="s">
        <v>0</v>
      </c>
      <c r="C70" s="7" t="s">
        <v>14</v>
      </c>
      <c r="D70" s="2">
        <v>13411</v>
      </c>
      <c r="E70" s="2">
        <v>6677</v>
      </c>
      <c r="F70" s="2">
        <v>1740</v>
      </c>
      <c r="G70" s="2">
        <v>5896</v>
      </c>
      <c r="H70" s="2">
        <v>4750</v>
      </c>
      <c r="I70" s="2">
        <v>6811</v>
      </c>
      <c r="J70" s="2">
        <v>524</v>
      </c>
      <c r="K70" s="2">
        <v>94</v>
      </c>
      <c r="L70" s="2">
        <v>0</v>
      </c>
      <c r="M70" s="2">
        <v>39903</v>
      </c>
    </row>
    <row r="71" spans="1:13" s="8" customFormat="1" ht="12.75" customHeight="1" x14ac:dyDescent="0.3">
      <c r="A71" s="5">
        <v>2014</v>
      </c>
      <c r="B71" s="6" t="s">
        <v>0</v>
      </c>
      <c r="C71" s="7" t="s">
        <v>10</v>
      </c>
      <c r="D71" s="2">
        <v>24316</v>
      </c>
      <c r="E71" s="2">
        <v>6987</v>
      </c>
      <c r="F71" s="2">
        <v>1046</v>
      </c>
      <c r="G71" s="2">
        <v>2733</v>
      </c>
      <c r="H71" s="2">
        <v>1517</v>
      </c>
      <c r="I71" s="2">
        <v>1800</v>
      </c>
      <c r="J71" s="2">
        <v>940</v>
      </c>
      <c r="K71" s="2">
        <v>35</v>
      </c>
      <c r="L71" s="2">
        <v>0</v>
      </c>
      <c r="M71" s="2">
        <v>39374</v>
      </c>
    </row>
    <row r="72" spans="1:13" s="8" customFormat="1" ht="12.75" customHeight="1" x14ac:dyDescent="0.3">
      <c r="A72" s="5">
        <v>2014</v>
      </c>
      <c r="B72" s="6" t="s">
        <v>0</v>
      </c>
      <c r="C72" s="7" t="s">
        <v>15</v>
      </c>
      <c r="D72" s="2">
        <v>20976</v>
      </c>
      <c r="E72" s="2">
        <v>6169</v>
      </c>
      <c r="F72" s="2">
        <v>762</v>
      </c>
      <c r="G72" s="2">
        <v>2807</v>
      </c>
      <c r="H72" s="2">
        <v>2809</v>
      </c>
      <c r="I72" s="2">
        <v>3927</v>
      </c>
      <c r="J72" s="2">
        <v>1204</v>
      </c>
      <c r="K72" s="2">
        <v>20</v>
      </c>
      <c r="L72" s="2">
        <v>1</v>
      </c>
      <c r="M72" s="2">
        <v>38675</v>
      </c>
    </row>
    <row r="73" spans="1:13" s="8" customFormat="1" ht="12.75" customHeight="1" x14ac:dyDescent="0.3">
      <c r="A73" s="5">
        <v>2014</v>
      </c>
      <c r="B73" s="6" t="s">
        <v>0</v>
      </c>
      <c r="C73" s="7" t="s">
        <v>12</v>
      </c>
      <c r="D73" s="2">
        <v>16617</v>
      </c>
      <c r="E73" s="2">
        <v>7258</v>
      </c>
      <c r="F73" s="2">
        <v>2104</v>
      </c>
      <c r="G73" s="2">
        <v>4441</v>
      </c>
      <c r="H73" s="2">
        <v>3956</v>
      </c>
      <c r="I73" s="2">
        <v>3106</v>
      </c>
      <c r="J73" s="2">
        <v>917</v>
      </c>
      <c r="K73" s="2">
        <v>270</v>
      </c>
      <c r="L73" s="2">
        <v>0</v>
      </c>
      <c r="M73" s="2">
        <v>38669</v>
      </c>
    </row>
    <row r="74" spans="1:13" s="8" customFormat="1" ht="12.75" customHeight="1" x14ac:dyDescent="0.3">
      <c r="A74" s="5">
        <v>2014</v>
      </c>
      <c r="B74" s="6" t="s">
        <v>0</v>
      </c>
      <c r="C74" s="8" t="s">
        <v>16</v>
      </c>
      <c r="D74" s="2">
        <v>11543</v>
      </c>
      <c r="E74" s="2">
        <v>4526</v>
      </c>
      <c r="F74" s="2">
        <v>756</v>
      </c>
      <c r="G74" s="2">
        <v>2547</v>
      </c>
      <c r="H74" s="2">
        <v>3514</v>
      </c>
      <c r="I74" s="2">
        <v>5035</v>
      </c>
      <c r="J74" s="2">
        <v>544</v>
      </c>
      <c r="K74" s="2">
        <v>4</v>
      </c>
      <c r="L74" s="2">
        <v>0</v>
      </c>
      <c r="M74" s="2">
        <v>28469</v>
      </c>
    </row>
    <row r="75" spans="1:13" s="8" customFormat="1" ht="12.75" customHeight="1" x14ac:dyDescent="0.3">
      <c r="A75" s="5">
        <v>2014</v>
      </c>
      <c r="B75" s="6" t="s">
        <v>0</v>
      </c>
      <c r="C75" s="7" t="s">
        <v>18</v>
      </c>
      <c r="D75" s="2">
        <v>11618</v>
      </c>
      <c r="E75" s="2">
        <v>2663</v>
      </c>
      <c r="F75" s="2">
        <v>96</v>
      </c>
      <c r="G75" s="2">
        <v>2779</v>
      </c>
      <c r="H75" s="2">
        <v>2111</v>
      </c>
      <c r="I75" s="2">
        <v>3485</v>
      </c>
      <c r="J75" s="2">
        <v>769</v>
      </c>
      <c r="K75" s="2">
        <v>41</v>
      </c>
      <c r="L75" s="2">
        <v>0</v>
      </c>
      <c r="M75" s="2">
        <v>23562</v>
      </c>
    </row>
    <row r="76" spans="1:13" s="8" customFormat="1" ht="12.75" customHeight="1" x14ac:dyDescent="0.3">
      <c r="A76" s="5">
        <v>2014</v>
      </c>
      <c r="B76" s="6" t="s">
        <v>0</v>
      </c>
      <c r="C76" s="7" t="s">
        <v>19</v>
      </c>
      <c r="D76" s="2">
        <v>10523</v>
      </c>
      <c r="E76" s="2">
        <v>2069</v>
      </c>
      <c r="F76" s="2">
        <v>1027</v>
      </c>
      <c r="G76" s="2">
        <v>1668</v>
      </c>
      <c r="H76" s="2">
        <v>3600</v>
      </c>
      <c r="I76" s="2">
        <v>2628</v>
      </c>
      <c r="J76" s="2">
        <v>637</v>
      </c>
      <c r="K76" s="2">
        <v>53</v>
      </c>
      <c r="L76" s="2">
        <v>0</v>
      </c>
      <c r="M76" s="2">
        <v>22205</v>
      </c>
    </row>
    <row r="77" spans="1:13" s="8" customFormat="1" ht="12.75" customHeight="1" x14ac:dyDescent="0.3">
      <c r="A77" s="5">
        <v>2014</v>
      </c>
      <c r="B77" s="6" t="s">
        <v>0</v>
      </c>
      <c r="C77" s="7" t="s">
        <v>17</v>
      </c>
      <c r="D77" s="2">
        <v>8978</v>
      </c>
      <c r="E77" s="2">
        <v>2549</v>
      </c>
      <c r="F77" s="2">
        <v>824</v>
      </c>
      <c r="G77" s="2">
        <v>998</v>
      </c>
      <c r="H77" s="2">
        <v>1995</v>
      </c>
      <c r="I77" s="2">
        <v>2058</v>
      </c>
      <c r="J77" s="2">
        <v>409</v>
      </c>
      <c r="K77" s="2">
        <v>48</v>
      </c>
      <c r="L77" s="2">
        <v>13</v>
      </c>
      <c r="M77" s="2">
        <v>17872</v>
      </c>
    </row>
    <row r="78" spans="1:13" s="8" customFormat="1" ht="12.75" customHeight="1" x14ac:dyDescent="0.3">
      <c r="A78" s="5">
        <v>2014</v>
      </c>
      <c r="B78" s="6" t="s">
        <v>0</v>
      </c>
      <c r="C78" s="7" t="s">
        <v>20</v>
      </c>
      <c r="D78" s="2">
        <v>4846</v>
      </c>
      <c r="E78" s="2">
        <v>1735</v>
      </c>
      <c r="F78" s="2">
        <v>213</v>
      </c>
      <c r="G78" s="2">
        <v>472</v>
      </c>
      <c r="H78" s="2">
        <v>757</v>
      </c>
      <c r="I78" s="2">
        <v>519</v>
      </c>
      <c r="J78" s="2">
        <v>393</v>
      </c>
      <c r="K78" s="2">
        <v>51</v>
      </c>
      <c r="L78" s="2">
        <v>0</v>
      </c>
      <c r="M78" s="2">
        <v>8986</v>
      </c>
    </row>
    <row r="79" spans="1:13" s="8" customFormat="1" ht="12.75" customHeight="1" x14ac:dyDescent="0.3">
      <c r="A79" s="5">
        <v>2014</v>
      </c>
      <c r="B79" s="6" t="s">
        <v>0</v>
      </c>
      <c r="C79" s="7" t="s">
        <v>24</v>
      </c>
      <c r="D79" s="2">
        <v>3386</v>
      </c>
      <c r="E79" s="2">
        <v>1430</v>
      </c>
      <c r="F79" s="2">
        <v>334</v>
      </c>
      <c r="G79" s="2">
        <v>1026</v>
      </c>
      <c r="H79" s="2">
        <v>1065</v>
      </c>
      <c r="I79" s="2">
        <v>680</v>
      </c>
      <c r="J79" s="2">
        <v>193</v>
      </c>
      <c r="K79" s="2">
        <v>3</v>
      </c>
      <c r="L79" s="2">
        <v>0</v>
      </c>
      <c r="M79" s="2">
        <v>8117</v>
      </c>
    </row>
    <row r="80" spans="1:13" s="8" customFormat="1" ht="12.75" customHeight="1" x14ac:dyDescent="0.3">
      <c r="A80" s="5">
        <v>2014</v>
      </c>
      <c r="B80" s="6" t="s">
        <v>0</v>
      </c>
      <c r="C80" s="7" t="s">
        <v>21</v>
      </c>
      <c r="D80" s="2">
        <v>3250</v>
      </c>
      <c r="E80" s="2">
        <v>1474</v>
      </c>
      <c r="F80" s="2">
        <v>172</v>
      </c>
      <c r="G80" s="2">
        <v>376</v>
      </c>
      <c r="H80" s="2">
        <v>703</v>
      </c>
      <c r="I80" s="2">
        <v>814</v>
      </c>
      <c r="J80" s="2">
        <v>256</v>
      </c>
      <c r="K80" s="2">
        <v>9</v>
      </c>
      <c r="L80" s="2">
        <v>0</v>
      </c>
      <c r="M80" s="2">
        <v>7054</v>
      </c>
    </row>
    <row r="81" spans="1:13" s="8" customFormat="1" ht="12.75" customHeight="1" x14ac:dyDescent="0.3">
      <c r="A81" s="5">
        <v>2014</v>
      </c>
      <c r="B81" s="6" t="s">
        <v>0</v>
      </c>
      <c r="C81" s="7" t="s">
        <v>25</v>
      </c>
      <c r="D81" s="2">
        <v>2936</v>
      </c>
      <c r="E81" s="2">
        <v>1350</v>
      </c>
      <c r="F81" s="2">
        <v>23</v>
      </c>
      <c r="G81" s="2">
        <v>379</v>
      </c>
      <c r="H81" s="2">
        <v>476</v>
      </c>
      <c r="I81" s="2">
        <v>646</v>
      </c>
      <c r="J81" s="2">
        <v>74</v>
      </c>
      <c r="K81" s="2">
        <v>3</v>
      </c>
      <c r="L81" s="2">
        <v>0</v>
      </c>
      <c r="M81" s="2">
        <v>5887</v>
      </c>
    </row>
    <row r="82" spans="1:13" s="8" customFormat="1" ht="12.75" customHeight="1" x14ac:dyDescent="0.3">
      <c r="A82" s="5">
        <v>2014</v>
      </c>
      <c r="B82" s="6" t="s">
        <v>0</v>
      </c>
      <c r="C82" s="7" t="s">
        <v>26</v>
      </c>
      <c r="D82" s="2">
        <v>1709</v>
      </c>
      <c r="E82" s="2">
        <v>834</v>
      </c>
      <c r="F82" s="2">
        <v>174</v>
      </c>
      <c r="G82" s="2">
        <v>335</v>
      </c>
      <c r="H82" s="2">
        <v>256</v>
      </c>
      <c r="I82" s="2">
        <v>261</v>
      </c>
      <c r="J82" s="2">
        <v>73</v>
      </c>
      <c r="K82" s="2">
        <v>0</v>
      </c>
      <c r="L82" s="2">
        <v>0</v>
      </c>
      <c r="M82" s="2">
        <v>3642</v>
      </c>
    </row>
    <row r="83" spans="1:13" s="8" customFormat="1" ht="12.75" customHeight="1" x14ac:dyDescent="0.3">
      <c r="A83" s="5">
        <v>2014</v>
      </c>
      <c r="B83" s="6" t="s">
        <v>0</v>
      </c>
      <c r="C83" s="7" t="s">
        <v>23</v>
      </c>
      <c r="D83" s="2">
        <v>2205</v>
      </c>
      <c r="E83" s="2">
        <v>230</v>
      </c>
      <c r="F83" s="2">
        <v>59</v>
      </c>
      <c r="G83" s="2">
        <v>232</v>
      </c>
      <c r="H83" s="2">
        <v>227</v>
      </c>
      <c r="I83" s="2">
        <v>371</v>
      </c>
      <c r="J83" s="2">
        <v>159</v>
      </c>
      <c r="K83" s="2">
        <v>4</v>
      </c>
      <c r="L83" s="2">
        <v>0</v>
      </c>
      <c r="M83" s="2">
        <v>3487</v>
      </c>
    </row>
    <row r="84" spans="1:13" s="8" customFormat="1" ht="12.75" customHeight="1" x14ac:dyDescent="0.3">
      <c r="A84" s="5">
        <v>2014</v>
      </c>
      <c r="B84" s="6" t="s">
        <v>0</v>
      </c>
      <c r="C84" s="7" t="s">
        <v>22</v>
      </c>
      <c r="D84" s="2">
        <v>1061</v>
      </c>
      <c r="E84" s="2">
        <v>390</v>
      </c>
      <c r="F84" s="2">
        <v>152</v>
      </c>
      <c r="G84" s="2">
        <v>937</v>
      </c>
      <c r="H84" s="2">
        <v>255</v>
      </c>
      <c r="I84" s="2">
        <v>419</v>
      </c>
      <c r="J84" s="2">
        <v>53</v>
      </c>
      <c r="K84" s="2">
        <v>1</v>
      </c>
      <c r="L84" s="2">
        <v>0</v>
      </c>
      <c r="M84" s="2">
        <v>3268</v>
      </c>
    </row>
    <row r="85" spans="1:13" s="8" customFormat="1" ht="12.75" customHeight="1" x14ac:dyDescent="0.3">
      <c r="A85" s="5">
        <v>2014</v>
      </c>
      <c r="B85" s="6" t="s">
        <v>0</v>
      </c>
      <c r="C85" s="7" t="s">
        <v>28</v>
      </c>
      <c r="D85" s="2">
        <v>492</v>
      </c>
      <c r="E85" s="2">
        <v>209</v>
      </c>
      <c r="F85" s="2">
        <v>468</v>
      </c>
      <c r="G85" s="2">
        <v>606</v>
      </c>
      <c r="H85" s="2">
        <v>34</v>
      </c>
      <c r="I85" s="2">
        <v>43</v>
      </c>
      <c r="J85" s="2">
        <v>20</v>
      </c>
      <c r="K85" s="2">
        <v>0</v>
      </c>
      <c r="L85" s="2">
        <v>0</v>
      </c>
      <c r="M85" s="2">
        <v>1872</v>
      </c>
    </row>
    <row r="86" spans="1:13" s="8" customFormat="1" ht="12.75" customHeight="1" x14ac:dyDescent="0.3">
      <c r="A86" s="5">
        <v>2014</v>
      </c>
      <c r="B86" s="6" t="s">
        <v>0</v>
      </c>
      <c r="C86" s="7" t="s">
        <v>27</v>
      </c>
      <c r="D86" s="2">
        <v>428</v>
      </c>
      <c r="E86" s="2">
        <v>158</v>
      </c>
      <c r="F86" s="2">
        <v>14</v>
      </c>
      <c r="G86" s="2">
        <v>37</v>
      </c>
      <c r="H86" s="2">
        <v>90</v>
      </c>
      <c r="I86" s="2">
        <v>120</v>
      </c>
      <c r="J86" s="2">
        <v>25</v>
      </c>
      <c r="K86" s="2">
        <v>4</v>
      </c>
      <c r="L86" s="2">
        <v>0</v>
      </c>
      <c r="M86" s="2">
        <v>876</v>
      </c>
    </row>
    <row r="87" spans="1:13" s="8" customFormat="1" ht="12.75" customHeight="1" x14ac:dyDescent="0.3">
      <c r="A87" s="5">
        <v>2015</v>
      </c>
      <c r="B87" s="6" t="s">
        <v>0</v>
      </c>
      <c r="C87" s="7" t="s">
        <v>1</v>
      </c>
      <c r="D87" s="2">
        <v>553820</v>
      </c>
      <c r="E87" s="2">
        <v>217210</v>
      </c>
      <c r="F87" s="2">
        <v>76157</v>
      </c>
      <c r="G87" s="2">
        <v>134493</v>
      </c>
      <c r="H87" s="2">
        <v>137806</v>
      </c>
      <c r="I87" s="2">
        <v>131990</v>
      </c>
      <c r="J87" s="2">
        <v>27916</v>
      </c>
      <c r="K87" s="2">
        <v>5497</v>
      </c>
      <c r="L87" s="2">
        <v>462</v>
      </c>
      <c r="M87" s="2">
        <v>1285351</v>
      </c>
    </row>
    <row r="88" spans="1:13" s="8" customFormat="1" ht="12.75" customHeight="1" x14ac:dyDescent="0.3">
      <c r="A88" s="5">
        <v>2015</v>
      </c>
      <c r="B88" s="6" t="s">
        <v>0</v>
      </c>
      <c r="C88" s="7" t="s">
        <v>2</v>
      </c>
      <c r="D88" s="2">
        <v>110630</v>
      </c>
      <c r="E88" s="2">
        <v>48001</v>
      </c>
      <c r="F88" s="2">
        <v>19522</v>
      </c>
      <c r="G88" s="2">
        <v>31469</v>
      </c>
      <c r="H88" s="2">
        <v>28819</v>
      </c>
      <c r="I88" s="2">
        <v>26829</v>
      </c>
      <c r="J88" s="2">
        <v>5522</v>
      </c>
      <c r="K88" s="2">
        <v>1285</v>
      </c>
      <c r="L88" s="2">
        <v>0</v>
      </c>
      <c r="M88" s="2">
        <v>272077</v>
      </c>
    </row>
    <row r="89" spans="1:13" s="8" customFormat="1" ht="12.75" customHeight="1" x14ac:dyDescent="0.3">
      <c r="A89" s="5">
        <v>2015</v>
      </c>
      <c r="B89" s="6" t="s">
        <v>0</v>
      </c>
      <c r="C89" s="7" t="s">
        <v>3</v>
      </c>
      <c r="D89" s="2">
        <v>48048</v>
      </c>
      <c r="E89" s="2">
        <v>19833</v>
      </c>
      <c r="F89" s="2">
        <v>15301</v>
      </c>
      <c r="G89" s="2">
        <v>19533</v>
      </c>
      <c r="H89" s="2">
        <v>15330</v>
      </c>
      <c r="I89" s="2">
        <v>11067</v>
      </c>
      <c r="J89" s="2">
        <v>2514</v>
      </c>
      <c r="K89" s="2">
        <v>752</v>
      </c>
      <c r="L89" s="2">
        <v>1</v>
      </c>
      <c r="M89" s="2">
        <v>132379</v>
      </c>
    </row>
    <row r="90" spans="1:13" s="8" customFormat="1" ht="12.75" customHeight="1" x14ac:dyDescent="0.3">
      <c r="A90" s="5">
        <v>2015</v>
      </c>
      <c r="B90" s="6" t="s">
        <v>0</v>
      </c>
      <c r="C90" s="7" t="s">
        <v>4</v>
      </c>
      <c r="D90" s="2">
        <v>42682</v>
      </c>
      <c r="E90" s="2">
        <v>17532</v>
      </c>
      <c r="F90" s="2">
        <v>8256</v>
      </c>
      <c r="G90" s="2">
        <v>9612</v>
      </c>
      <c r="H90" s="2">
        <v>10685</v>
      </c>
      <c r="I90" s="2">
        <v>11973</v>
      </c>
      <c r="J90" s="2">
        <v>1127</v>
      </c>
      <c r="K90" s="2">
        <v>237</v>
      </c>
      <c r="L90" s="2">
        <v>105</v>
      </c>
      <c r="M90" s="2">
        <v>102209</v>
      </c>
    </row>
    <row r="91" spans="1:13" s="8" customFormat="1" ht="12.75" customHeight="1" x14ac:dyDescent="0.3">
      <c r="A91" s="5">
        <v>2015</v>
      </c>
      <c r="B91" s="6" t="s">
        <v>0</v>
      </c>
      <c r="C91" s="7" t="s">
        <v>5</v>
      </c>
      <c r="D91" s="2">
        <v>42772</v>
      </c>
      <c r="E91" s="2">
        <v>14845</v>
      </c>
      <c r="F91" s="2">
        <v>4323</v>
      </c>
      <c r="G91" s="2">
        <v>5553</v>
      </c>
      <c r="H91" s="2">
        <v>5430</v>
      </c>
      <c r="I91" s="2">
        <v>8527</v>
      </c>
      <c r="J91" s="2">
        <v>2079</v>
      </c>
      <c r="K91" s="2">
        <v>487</v>
      </c>
      <c r="L91" s="2">
        <v>0</v>
      </c>
      <c r="M91" s="2">
        <v>84016</v>
      </c>
    </row>
    <row r="92" spans="1:13" s="8" customFormat="1" ht="12.75" customHeight="1" x14ac:dyDescent="0.3">
      <c r="A92" s="5">
        <v>2015</v>
      </c>
      <c r="B92" s="6" t="s">
        <v>0</v>
      </c>
      <c r="C92" s="7" t="s">
        <v>8</v>
      </c>
      <c r="D92" s="2">
        <v>26683</v>
      </c>
      <c r="E92" s="2">
        <v>16429</v>
      </c>
      <c r="F92" s="2">
        <v>4187</v>
      </c>
      <c r="G92" s="2">
        <v>11167</v>
      </c>
      <c r="H92" s="2">
        <v>7102</v>
      </c>
      <c r="I92" s="2">
        <v>6569</v>
      </c>
      <c r="J92" s="2">
        <v>1513</v>
      </c>
      <c r="K92" s="2">
        <v>1111</v>
      </c>
      <c r="L92" s="2">
        <v>10</v>
      </c>
      <c r="M92" s="2">
        <v>74771</v>
      </c>
    </row>
    <row r="93" spans="1:13" s="8" customFormat="1" ht="12.75" customHeight="1" x14ac:dyDescent="0.3">
      <c r="A93" s="5">
        <v>2015</v>
      </c>
      <c r="B93" s="6" t="s">
        <v>0</v>
      </c>
      <c r="C93" s="7" t="s">
        <v>6</v>
      </c>
      <c r="D93" s="2">
        <v>36310</v>
      </c>
      <c r="E93" s="2">
        <v>8953</v>
      </c>
      <c r="F93" s="2">
        <v>2975</v>
      </c>
      <c r="G93" s="2">
        <v>4404</v>
      </c>
      <c r="H93" s="2">
        <v>11187</v>
      </c>
      <c r="I93" s="2">
        <v>7924</v>
      </c>
      <c r="J93" s="2">
        <v>1830</v>
      </c>
      <c r="K93" s="2">
        <v>373</v>
      </c>
      <c r="L93" s="2">
        <v>334</v>
      </c>
      <c r="M93" s="2">
        <v>74290</v>
      </c>
    </row>
    <row r="94" spans="1:13" s="8" customFormat="1" ht="12.75" customHeight="1" x14ac:dyDescent="0.3">
      <c r="A94" s="5">
        <v>2015</v>
      </c>
      <c r="B94" s="6" t="s">
        <v>0</v>
      </c>
      <c r="C94" s="7" t="s">
        <v>13</v>
      </c>
      <c r="D94" s="2">
        <v>26011</v>
      </c>
      <c r="E94" s="2">
        <v>8088</v>
      </c>
      <c r="F94" s="2">
        <v>3554</v>
      </c>
      <c r="G94" s="2">
        <v>4740</v>
      </c>
      <c r="H94" s="2">
        <v>5505</v>
      </c>
      <c r="I94" s="2">
        <v>6201</v>
      </c>
      <c r="J94" s="2">
        <v>1617</v>
      </c>
      <c r="K94" s="2">
        <v>65</v>
      </c>
      <c r="L94" s="2">
        <v>2</v>
      </c>
      <c r="M94" s="2">
        <v>55783</v>
      </c>
    </row>
    <row r="95" spans="1:13" s="8" customFormat="1" ht="12.75" customHeight="1" x14ac:dyDescent="0.3">
      <c r="A95" s="5">
        <v>2015</v>
      </c>
      <c r="B95" s="6" t="s">
        <v>0</v>
      </c>
      <c r="C95" s="7" t="s">
        <v>7</v>
      </c>
      <c r="D95" s="2">
        <v>29952</v>
      </c>
      <c r="E95" s="2">
        <v>6086</v>
      </c>
      <c r="F95" s="2">
        <v>1429</v>
      </c>
      <c r="G95" s="2">
        <v>2321</v>
      </c>
      <c r="H95" s="2">
        <v>7202</v>
      </c>
      <c r="I95" s="2">
        <v>6457</v>
      </c>
      <c r="J95" s="2">
        <v>1479</v>
      </c>
      <c r="K95" s="2">
        <v>174</v>
      </c>
      <c r="L95" s="2">
        <v>1</v>
      </c>
      <c r="M95" s="2">
        <v>55101</v>
      </c>
    </row>
    <row r="96" spans="1:13" s="8" customFormat="1" ht="12.75" customHeight="1" x14ac:dyDescent="0.3">
      <c r="A96" s="5">
        <v>2015</v>
      </c>
      <c r="B96" s="6" t="s">
        <v>0</v>
      </c>
      <c r="C96" s="7" t="s">
        <v>9</v>
      </c>
      <c r="D96" s="2">
        <v>24166</v>
      </c>
      <c r="E96" s="2">
        <v>10590</v>
      </c>
      <c r="F96" s="2">
        <v>910</v>
      </c>
      <c r="G96" s="2">
        <v>5174</v>
      </c>
      <c r="H96" s="2">
        <v>5123</v>
      </c>
      <c r="I96" s="2">
        <v>7093</v>
      </c>
      <c r="J96" s="2">
        <v>1370</v>
      </c>
      <c r="K96" s="2">
        <v>85</v>
      </c>
      <c r="L96" s="2">
        <v>0</v>
      </c>
      <c r="M96" s="2">
        <v>54511</v>
      </c>
    </row>
    <row r="97" spans="1:13" s="8" customFormat="1" ht="12.75" customHeight="1" x14ac:dyDescent="0.3">
      <c r="A97" s="5">
        <v>2015</v>
      </c>
      <c r="B97" s="6" t="s">
        <v>0</v>
      </c>
      <c r="C97" s="7" t="s">
        <v>14</v>
      </c>
      <c r="D97" s="2">
        <v>13330</v>
      </c>
      <c r="E97" s="2">
        <v>7701</v>
      </c>
      <c r="F97" s="2">
        <v>2225</v>
      </c>
      <c r="G97" s="2">
        <v>8402</v>
      </c>
      <c r="H97" s="2">
        <v>7511</v>
      </c>
      <c r="I97" s="2">
        <v>7217</v>
      </c>
      <c r="J97" s="2">
        <v>614</v>
      </c>
      <c r="K97" s="2">
        <v>283</v>
      </c>
      <c r="L97" s="2">
        <v>0</v>
      </c>
      <c r="M97" s="2">
        <v>47283</v>
      </c>
    </row>
    <row r="98" spans="1:13" s="8" customFormat="1" ht="12.75" customHeight="1" x14ac:dyDescent="0.3">
      <c r="A98" s="5">
        <v>2015</v>
      </c>
      <c r="B98" s="6" t="s">
        <v>0</v>
      </c>
      <c r="C98" s="7" t="s">
        <v>12</v>
      </c>
      <c r="D98" s="2">
        <v>17729</v>
      </c>
      <c r="E98" s="2">
        <v>10024</v>
      </c>
      <c r="F98" s="2">
        <v>2523</v>
      </c>
      <c r="G98" s="2">
        <v>5669</v>
      </c>
      <c r="H98" s="2">
        <v>4031</v>
      </c>
      <c r="I98" s="2">
        <v>4358</v>
      </c>
      <c r="J98" s="2">
        <v>937</v>
      </c>
      <c r="K98" s="2">
        <v>157</v>
      </c>
      <c r="L98" s="2">
        <v>0</v>
      </c>
      <c r="M98" s="2">
        <v>45428</v>
      </c>
    </row>
    <row r="99" spans="1:13" s="8" customFormat="1" ht="12.75" customHeight="1" x14ac:dyDescent="0.3">
      <c r="A99" s="5">
        <v>2015</v>
      </c>
      <c r="B99" s="6" t="s">
        <v>0</v>
      </c>
      <c r="C99" s="7" t="s">
        <v>15</v>
      </c>
      <c r="D99" s="2">
        <v>23664</v>
      </c>
      <c r="E99" s="2">
        <v>6899</v>
      </c>
      <c r="F99" s="2">
        <v>951</v>
      </c>
      <c r="G99" s="2">
        <v>3018</v>
      </c>
      <c r="H99" s="2">
        <v>4717</v>
      </c>
      <c r="I99" s="2">
        <v>4673</v>
      </c>
      <c r="J99" s="2">
        <v>1278</v>
      </c>
      <c r="K99" s="2">
        <v>11</v>
      </c>
      <c r="L99" s="2">
        <v>1</v>
      </c>
      <c r="M99" s="2">
        <v>45212</v>
      </c>
    </row>
    <row r="100" spans="1:13" s="8" customFormat="1" ht="12.75" customHeight="1" x14ac:dyDescent="0.3">
      <c r="A100" s="5">
        <v>2015</v>
      </c>
      <c r="B100" s="6" t="s">
        <v>0</v>
      </c>
      <c r="C100" s="7" t="s">
        <v>11</v>
      </c>
      <c r="D100" s="2">
        <v>19239</v>
      </c>
      <c r="E100" s="2">
        <v>8768</v>
      </c>
      <c r="F100" s="2">
        <v>2761</v>
      </c>
      <c r="G100" s="2">
        <v>5270</v>
      </c>
      <c r="H100" s="2">
        <v>3952</v>
      </c>
      <c r="I100" s="2">
        <v>3622</v>
      </c>
      <c r="J100" s="2">
        <v>1029</v>
      </c>
      <c r="K100" s="2">
        <v>178</v>
      </c>
      <c r="L100" s="2">
        <v>5</v>
      </c>
      <c r="M100" s="2">
        <v>44824</v>
      </c>
    </row>
    <row r="101" spans="1:13" s="8" customFormat="1" ht="12.75" customHeight="1" x14ac:dyDescent="0.3">
      <c r="A101" s="5">
        <v>2015</v>
      </c>
      <c r="B101" s="6" t="s">
        <v>0</v>
      </c>
      <c r="C101" s="7" t="s">
        <v>10</v>
      </c>
      <c r="D101" s="2">
        <v>24099</v>
      </c>
      <c r="E101" s="2">
        <v>6313</v>
      </c>
      <c r="F101" s="2">
        <v>914</v>
      </c>
      <c r="G101" s="2">
        <v>3683</v>
      </c>
      <c r="H101" s="2">
        <v>2668</v>
      </c>
      <c r="I101" s="2">
        <v>3023</v>
      </c>
      <c r="J101" s="2">
        <v>914</v>
      </c>
      <c r="K101" s="2">
        <v>49</v>
      </c>
      <c r="L101" s="2">
        <v>0</v>
      </c>
      <c r="M101" s="2">
        <v>41663</v>
      </c>
    </row>
    <row r="102" spans="1:13" s="8" customFormat="1" ht="12.75" customHeight="1" x14ac:dyDescent="0.3">
      <c r="A102" s="5">
        <v>2015</v>
      </c>
      <c r="B102" s="6" t="s">
        <v>0</v>
      </c>
      <c r="C102" s="8" t="s">
        <v>16</v>
      </c>
      <c r="D102" s="2">
        <v>12417</v>
      </c>
      <c r="E102" s="2">
        <v>5051</v>
      </c>
      <c r="F102" s="2">
        <v>831</v>
      </c>
      <c r="G102" s="2">
        <v>3060</v>
      </c>
      <c r="H102" s="2">
        <v>4459</v>
      </c>
      <c r="I102" s="2">
        <v>4198</v>
      </c>
      <c r="J102" s="2">
        <v>716</v>
      </c>
      <c r="K102" s="2">
        <v>31</v>
      </c>
      <c r="L102" s="2">
        <v>0</v>
      </c>
      <c r="M102" s="2">
        <v>30763</v>
      </c>
    </row>
    <row r="103" spans="1:13" s="8" customFormat="1" ht="12.75" customHeight="1" x14ac:dyDescent="0.3">
      <c r="A103" s="5">
        <v>2015</v>
      </c>
      <c r="B103" s="6" t="s">
        <v>0</v>
      </c>
      <c r="C103" s="7" t="s">
        <v>19</v>
      </c>
      <c r="D103" s="2">
        <v>12092</v>
      </c>
      <c r="E103" s="2">
        <v>4822</v>
      </c>
      <c r="F103" s="2">
        <v>1269</v>
      </c>
      <c r="G103" s="2">
        <v>4151</v>
      </c>
      <c r="H103" s="2">
        <v>2491</v>
      </c>
      <c r="I103" s="2">
        <v>2249</v>
      </c>
      <c r="J103" s="2">
        <v>807</v>
      </c>
      <c r="K103" s="2">
        <v>5</v>
      </c>
      <c r="L103" s="2">
        <v>0</v>
      </c>
      <c r="M103" s="2">
        <v>27886</v>
      </c>
    </row>
    <row r="104" spans="1:13" s="8" customFormat="1" ht="12.75" customHeight="1" x14ac:dyDescent="0.3">
      <c r="A104" s="5">
        <v>2015</v>
      </c>
      <c r="B104" s="6" t="s">
        <v>0</v>
      </c>
      <c r="C104" s="7" t="s">
        <v>18</v>
      </c>
      <c r="D104" s="2">
        <v>12010</v>
      </c>
      <c r="E104" s="2">
        <v>5755</v>
      </c>
      <c r="F104" s="2">
        <v>323</v>
      </c>
      <c r="G104" s="2">
        <v>1595</v>
      </c>
      <c r="H104" s="2">
        <v>2629</v>
      </c>
      <c r="I104" s="2">
        <v>2940</v>
      </c>
      <c r="J104" s="2">
        <v>846</v>
      </c>
      <c r="K104" s="2">
        <v>63</v>
      </c>
      <c r="L104" s="2">
        <v>0</v>
      </c>
      <c r="M104" s="2">
        <v>26161</v>
      </c>
    </row>
    <row r="105" spans="1:13" s="8" customFormat="1" ht="12.75" customHeight="1" x14ac:dyDescent="0.3">
      <c r="A105" s="5">
        <v>2015</v>
      </c>
      <c r="B105" s="6" t="s">
        <v>0</v>
      </c>
      <c r="C105" s="7" t="s">
        <v>17</v>
      </c>
      <c r="D105" s="2">
        <v>7968</v>
      </c>
      <c r="E105" s="2">
        <v>2009</v>
      </c>
      <c r="F105" s="2">
        <v>655</v>
      </c>
      <c r="G105" s="2">
        <v>932</v>
      </c>
      <c r="H105" s="2">
        <v>2484</v>
      </c>
      <c r="I105" s="2">
        <v>1885</v>
      </c>
      <c r="J105" s="2">
        <v>423</v>
      </c>
      <c r="K105" s="2">
        <v>62</v>
      </c>
      <c r="L105" s="2">
        <v>0</v>
      </c>
      <c r="M105" s="2">
        <v>16418</v>
      </c>
    </row>
    <row r="106" spans="1:13" s="8" customFormat="1" ht="12.75" customHeight="1" x14ac:dyDescent="0.3">
      <c r="A106" s="5">
        <v>2015</v>
      </c>
      <c r="B106" s="6" t="s">
        <v>0</v>
      </c>
      <c r="C106" s="7" t="s">
        <v>20</v>
      </c>
      <c r="D106" s="2">
        <v>5120</v>
      </c>
      <c r="E106" s="2">
        <v>2011</v>
      </c>
      <c r="F106" s="2">
        <v>350</v>
      </c>
      <c r="G106" s="2">
        <v>871</v>
      </c>
      <c r="H106" s="2">
        <v>1355</v>
      </c>
      <c r="I106" s="2">
        <v>1212</v>
      </c>
      <c r="J106" s="2">
        <v>339</v>
      </c>
      <c r="K106" s="2">
        <v>34</v>
      </c>
      <c r="L106" s="2">
        <v>3</v>
      </c>
      <c r="M106" s="2">
        <v>11295</v>
      </c>
    </row>
    <row r="107" spans="1:13" s="8" customFormat="1" ht="12.75" customHeight="1" x14ac:dyDescent="0.3">
      <c r="A107" s="5">
        <v>2015</v>
      </c>
      <c r="B107" s="6" t="s">
        <v>0</v>
      </c>
      <c r="C107" s="7" t="s">
        <v>24</v>
      </c>
      <c r="D107" s="2">
        <v>3744</v>
      </c>
      <c r="E107" s="2">
        <v>2518</v>
      </c>
      <c r="F107" s="2">
        <v>173</v>
      </c>
      <c r="G107" s="2">
        <v>669</v>
      </c>
      <c r="H107" s="2">
        <v>601</v>
      </c>
      <c r="I107" s="2">
        <v>540</v>
      </c>
      <c r="J107" s="2">
        <v>176</v>
      </c>
      <c r="K107" s="2">
        <v>21</v>
      </c>
      <c r="L107" s="2">
        <v>0</v>
      </c>
      <c r="M107" s="2">
        <v>8442</v>
      </c>
    </row>
    <row r="108" spans="1:13" s="8" customFormat="1" ht="12.75" customHeight="1" x14ac:dyDescent="0.3">
      <c r="A108" s="5">
        <v>2015</v>
      </c>
      <c r="B108" s="6" t="s">
        <v>0</v>
      </c>
      <c r="C108" s="7" t="s">
        <v>21</v>
      </c>
      <c r="D108" s="2">
        <v>4193</v>
      </c>
      <c r="E108" s="2">
        <v>683</v>
      </c>
      <c r="F108" s="2">
        <v>613</v>
      </c>
      <c r="G108" s="2">
        <v>523</v>
      </c>
      <c r="H108" s="2">
        <v>1043</v>
      </c>
      <c r="I108" s="2">
        <v>988</v>
      </c>
      <c r="J108" s="2">
        <v>236</v>
      </c>
      <c r="K108" s="2">
        <v>10</v>
      </c>
      <c r="L108" s="2">
        <v>0</v>
      </c>
      <c r="M108" s="2">
        <v>8289</v>
      </c>
    </row>
    <row r="109" spans="1:13" s="8" customFormat="1" ht="12.75" customHeight="1" x14ac:dyDescent="0.3">
      <c r="A109" s="5">
        <v>2015</v>
      </c>
      <c r="B109" s="6" t="s">
        <v>0</v>
      </c>
      <c r="C109" s="7" t="s">
        <v>25</v>
      </c>
      <c r="D109" s="2">
        <v>3535</v>
      </c>
      <c r="E109" s="2">
        <v>1604</v>
      </c>
      <c r="F109" s="2">
        <v>213</v>
      </c>
      <c r="G109" s="2">
        <v>379</v>
      </c>
      <c r="H109" s="2">
        <v>557</v>
      </c>
      <c r="I109" s="2">
        <v>598</v>
      </c>
      <c r="J109" s="2">
        <v>131</v>
      </c>
      <c r="K109" s="2">
        <v>5</v>
      </c>
      <c r="L109" s="2">
        <v>0</v>
      </c>
      <c r="M109" s="2">
        <v>7022</v>
      </c>
    </row>
    <row r="110" spans="1:13" s="8" customFormat="1" ht="12.75" customHeight="1" x14ac:dyDescent="0.3">
      <c r="A110" s="5">
        <v>2015</v>
      </c>
      <c r="B110" s="6" t="s">
        <v>0</v>
      </c>
      <c r="C110" s="7" t="s">
        <v>23</v>
      </c>
      <c r="D110" s="2">
        <v>2357</v>
      </c>
      <c r="E110" s="2">
        <v>1052</v>
      </c>
      <c r="F110" s="2">
        <v>128</v>
      </c>
      <c r="G110" s="2">
        <v>1700</v>
      </c>
      <c r="H110" s="2">
        <v>259</v>
      </c>
      <c r="I110" s="2">
        <v>513</v>
      </c>
      <c r="J110" s="2">
        <v>151</v>
      </c>
      <c r="K110" s="2">
        <v>7</v>
      </c>
      <c r="L110" s="2">
        <v>0</v>
      </c>
      <c r="M110" s="2">
        <v>6167</v>
      </c>
    </row>
    <row r="111" spans="1:13" s="8" customFormat="1" ht="12.75" customHeight="1" x14ac:dyDescent="0.3">
      <c r="A111" s="5">
        <v>2015</v>
      </c>
      <c r="B111" s="6" t="s">
        <v>0</v>
      </c>
      <c r="C111" s="7" t="s">
        <v>22</v>
      </c>
      <c r="D111" s="2">
        <v>2058</v>
      </c>
      <c r="E111" s="2">
        <v>486</v>
      </c>
      <c r="F111" s="2">
        <v>226</v>
      </c>
      <c r="G111" s="2">
        <v>364</v>
      </c>
      <c r="H111" s="2">
        <v>1645</v>
      </c>
      <c r="I111" s="2">
        <v>673</v>
      </c>
      <c r="J111" s="2">
        <v>109</v>
      </c>
      <c r="K111" s="2">
        <v>4</v>
      </c>
      <c r="L111" s="2">
        <v>0</v>
      </c>
      <c r="M111" s="2">
        <v>5565</v>
      </c>
    </row>
    <row r="112" spans="1:13" s="8" customFormat="1" ht="12.75" customHeight="1" x14ac:dyDescent="0.3">
      <c r="A112" s="5">
        <v>2015</v>
      </c>
      <c r="B112" s="6" t="s">
        <v>0</v>
      </c>
      <c r="C112" s="7" t="s">
        <v>26</v>
      </c>
      <c r="D112" s="2">
        <v>1654</v>
      </c>
      <c r="E112" s="2">
        <v>672</v>
      </c>
      <c r="F112" s="2">
        <v>770</v>
      </c>
      <c r="G112" s="2">
        <v>113</v>
      </c>
      <c r="H112" s="2">
        <v>261</v>
      </c>
      <c r="I112" s="2">
        <v>328</v>
      </c>
      <c r="J112" s="2">
        <v>88</v>
      </c>
      <c r="K112" s="2">
        <v>1</v>
      </c>
      <c r="L112" s="2">
        <v>0</v>
      </c>
      <c r="M112" s="2">
        <v>3887</v>
      </c>
    </row>
    <row r="113" spans="1:13" s="8" customFormat="1" ht="12.75" customHeight="1" x14ac:dyDescent="0.3">
      <c r="A113" s="5">
        <v>2015</v>
      </c>
      <c r="B113" s="6" t="s">
        <v>0</v>
      </c>
      <c r="C113" s="7" t="s">
        <v>28</v>
      </c>
      <c r="D113" s="2">
        <v>765</v>
      </c>
      <c r="E113" s="2">
        <v>327</v>
      </c>
      <c r="F113" s="2">
        <v>713</v>
      </c>
      <c r="G113" s="2">
        <v>60</v>
      </c>
      <c r="H113" s="2">
        <v>566</v>
      </c>
      <c r="I113" s="2">
        <v>217</v>
      </c>
      <c r="J113" s="2">
        <v>28</v>
      </c>
      <c r="K113" s="2">
        <v>4</v>
      </c>
      <c r="L113" s="2">
        <v>0</v>
      </c>
      <c r="M113" s="2">
        <v>2680</v>
      </c>
    </row>
    <row r="114" spans="1:13" s="8" customFormat="1" ht="12.75" customHeight="1" x14ac:dyDescent="0.3">
      <c r="A114" s="5">
        <v>2015</v>
      </c>
      <c r="B114" s="6" t="s">
        <v>0</v>
      </c>
      <c r="C114" s="7" t="s">
        <v>27</v>
      </c>
      <c r="D114" s="2">
        <v>592</v>
      </c>
      <c r="E114" s="2">
        <v>158</v>
      </c>
      <c r="F114" s="2">
        <v>62</v>
      </c>
      <c r="G114" s="2">
        <v>61</v>
      </c>
      <c r="H114" s="2">
        <v>194</v>
      </c>
      <c r="I114" s="2">
        <v>116</v>
      </c>
      <c r="J114" s="2">
        <v>43</v>
      </c>
      <c r="K114" s="2">
        <v>3</v>
      </c>
      <c r="L114" s="2">
        <v>0</v>
      </c>
      <c r="M114" s="2">
        <v>1229</v>
      </c>
    </row>
    <row r="115" spans="1:13" s="8" customFormat="1" ht="12.75" customHeight="1" x14ac:dyDescent="0.3">
      <c r="A115" s="5">
        <v>2016</v>
      </c>
      <c r="B115" s="6" t="s">
        <v>0</v>
      </c>
      <c r="C115" s="7" t="s">
        <v>1</v>
      </c>
      <c r="D115" s="2">
        <v>591414</v>
      </c>
      <c r="E115" s="2">
        <v>227861</v>
      </c>
      <c r="F115" s="2">
        <v>74550</v>
      </c>
      <c r="G115" s="2">
        <v>137408</v>
      </c>
      <c r="H115" s="2">
        <v>167493</v>
      </c>
      <c r="I115" s="2">
        <v>150054</v>
      </c>
      <c r="J115" s="2">
        <v>29162</v>
      </c>
      <c r="K115" s="2">
        <v>5788</v>
      </c>
      <c r="L115" s="2">
        <v>147</v>
      </c>
      <c r="M115" s="2">
        <v>1383877</v>
      </c>
    </row>
    <row r="116" spans="1:13" s="8" customFormat="1" ht="12.75" customHeight="1" x14ac:dyDescent="0.3">
      <c r="A116" s="5">
        <v>2016</v>
      </c>
      <c r="B116" s="6" t="s">
        <v>0</v>
      </c>
      <c r="C116" s="7" t="s">
        <v>2</v>
      </c>
      <c r="D116" s="2">
        <v>111975</v>
      </c>
      <c r="E116" s="2">
        <v>49578</v>
      </c>
      <c r="F116" s="2">
        <v>17830</v>
      </c>
      <c r="G116" s="2">
        <v>32358</v>
      </c>
      <c r="H116" s="2">
        <v>35671</v>
      </c>
      <c r="I116" s="2">
        <v>29534</v>
      </c>
      <c r="J116" s="2">
        <v>5739</v>
      </c>
      <c r="K116" s="2">
        <v>1236</v>
      </c>
      <c r="L116" s="2">
        <v>6</v>
      </c>
      <c r="M116" s="2">
        <v>283927</v>
      </c>
    </row>
    <row r="117" spans="1:13" s="8" customFormat="1" ht="12.75" customHeight="1" x14ac:dyDescent="0.3">
      <c r="A117" s="5">
        <v>2016</v>
      </c>
      <c r="B117" s="6" t="s">
        <v>0</v>
      </c>
      <c r="C117" s="7" t="s">
        <v>3</v>
      </c>
      <c r="D117" s="2">
        <v>51765</v>
      </c>
      <c r="E117" s="2">
        <v>19356</v>
      </c>
      <c r="F117" s="2">
        <v>15795</v>
      </c>
      <c r="G117" s="2">
        <v>23282</v>
      </c>
      <c r="H117" s="2">
        <v>22114</v>
      </c>
      <c r="I117" s="2">
        <v>14147</v>
      </c>
      <c r="J117" s="2">
        <v>2738</v>
      </c>
      <c r="K117" s="2">
        <v>792</v>
      </c>
      <c r="L117" s="2">
        <v>0</v>
      </c>
      <c r="M117" s="2">
        <v>149989</v>
      </c>
    </row>
    <row r="118" spans="1:13" s="8" customFormat="1" ht="12.75" customHeight="1" x14ac:dyDescent="0.3">
      <c r="A118" s="5">
        <v>2016</v>
      </c>
      <c r="B118" s="6" t="s">
        <v>0</v>
      </c>
      <c r="C118" s="7" t="s">
        <v>4</v>
      </c>
      <c r="D118" s="2">
        <v>43048</v>
      </c>
      <c r="E118" s="2">
        <v>18156</v>
      </c>
      <c r="F118" s="2">
        <v>8603</v>
      </c>
      <c r="G118" s="2">
        <v>11471</v>
      </c>
      <c r="H118" s="2">
        <v>10785</v>
      </c>
      <c r="I118" s="2">
        <v>12326</v>
      </c>
      <c r="J118" s="2">
        <v>1178</v>
      </c>
      <c r="K118" s="2">
        <v>237</v>
      </c>
      <c r="L118" s="2">
        <v>4</v>
      </c>
      <c r="M118" s="2">
        <v>105808</v>
      </c>
    </row>
    <row r="119" spans="1:13" s="8" customFormat="1" ht="12.75" customHeight="1" x14ac:dyDescent="0.3">
      <c r="A119" s="5">
        <v>2016</v>
      </c>
      <c r="B119" s="6" t="s">
        <v>0</v>
      </c>
      <c r="C119" s="7" t="s">
        <v>5</v>
      </c>
      <c r="D119" s="2">
        <v>48997</v>
      </c>
      <c r="E119" s="2">
        <v>19627</v>
      </c>
      <c r="F119" s="2">
        <v>5285</v>
      </c>
      <c r="G119" s="2">
        <v>5028</v>
      </c>
      <c r="H119" s="2">
        <v>5075</v>
      </c>
      <c r="I119" s="2">
        <v>8713</v>
      </c>
      <c r="J119" s="2">
        <v>2121</v>
      </c>
      <c r="K119" s="2">
        <v>474</v>
      </c>
      <c r="L119" s="2">
        <v>1</v>
      </c>
      <c r="M119" s="2">
        <v>95321</v>
      </c>
    </row>
    <row r="120" spans="1:13" s="8" customFormat="1" ht="12.75" customHeight="1" x14ac:dyDescent="0.3">
      <c r="A120" s="5">
        <v>2016</v>
      </c>
      <c r="B120" s="6" t="s">
        <v>0</v>
      </c>
      <c r="C120" s="7" t="s">
        <v>8</v>
      </c>
      <c r="D120" s="2">
        <v>29422</v>
      </c>
      <c r="E120" s="2">
        <v>15905</v>
      </c>
      <c r="F120" s="2">
        <v>3321</v>
      </c>
      <c r="G120" s="2">
        <v>8473</v>
      </c>
      <c r="H120" s="2">
        <v>10075</v>
      </c>
      <c r="I120" s="2">
        <v>10308</v>
      </c>
      <c r="J120" s="2">
        <v>1452</v>
      </c>
      <c r="K120" s="2">
        <v>1089</v>
      </c>
      <c r="L120" s="2">
        <v>86</v>
      </c>
      <c r="M120" s="2">
        <v>80131</v>
      </c>
    </row>
    <row r="121" spans="1:13" s="8" customFormat="1" ht="12.75" customHeight="1" x14ac:dyDescent="0.3">
      <c r="A121" s="5">
        <v>2016</v>
      </c>
      <c r="B121" s="6" t="s">
        <v>0</v>
      </c>
      <c r="C121" s="7" t="s">
        <v>6</v>
      </c>
      <c r="D121" s="2">
        <v>34694</v>
      </c>
      <c r="E121" s="2">
        <v>9555</v>
      </c>
      <c r="F121" s="2">
        <v>2266</v>
      </c>
      <c r="G121" s="2">
        <v>5563</v>
      </c>
      <c r="H121" s="2">
        <v>9676</v>
      </c>
      <c r="I121" s="2">
        <v>8286</v>
      </c>
      <c r="J121" s="2">
        <v>1849</v>
      </c>
      <c r="K121" s="2">
        <v>336</v>
      </c>
      <c r="L121" s="2">
        <v>0</v>
      </c>
      <c r="M121" s="2">
        <v>72225</v>
      </c>
    </row>
    <row r="122" spans="1:13" s="8" customFormat="1" ht="12.75" customHeight="1" x14ac:dyDescent="0.3">
      <c r="A122" s="5">
        <v>2016</v>
      </c>
      <c r="B122" s="6" t="s">
        <v>0</v>
      </c>
      <c r="C122" s="7" t="s">
        <v>9</v>
      </c>
      <c r="D122" s="2">
        <v>28524</v>
      </c>
      <c r="E122" s="2">
        <v>10640</v>
      </c>
      <c r="F122" s="2">
        <v>325</v>
      </c>
      <c r="G122" s="2">
        <v>6604</v>
      </c>
      <c r="H122" s="2">
        <v>11602</v>
      </c>
      <c r="I122" s="2">
        <v>8115</v>
      </c>
      <c r="J122" s="2">
        <v>1447</v>
      </c>
      <c r="K122" s="2">
        <v>102</v>
      </c>
      <c r="L122" s="2">
        <v>0</v>
      </c>
      <c r="M122" s="2">
        <v>67359</v>
      </c>
    </row>
    <row r="123" spans="1:13" s="8" customFormat="1" ht="12.75" customHeight="1" x14ac:dyDescent="0.3">
      <c r="A123" s="5">
        <v>2016</v>
      </c>
      <c r="B123" s="6" t="s">
        <v>0</v>
      </c>
      <c r="C123" s="7" t="s">
        <v>13</v>
      </c>
      <c r="D123" s="2">
        <v>31423</v>
      </c>
      <c r="E123" s="2">
        <v>10942</v>
      </c>
      <c r="F123" s="2">
        <v>2975</v>
      </c>
      <c r="G123" s="2">
        <v>5287</v>
      </c>
      <c r="H123" s="2">
        <v>6046</v>
      </c>
      <c r="I123" s="2">
        <v>5887</v>
      </c>
      <c r="J123" s="2">
        <v>1899</v>
      </c>
      <c r="K123" s="2">
        <v>56</v>
      </c>
      <c r="L123" s="2">
        <v>1</v>
      </c>
      <c r="M123" s="2">
        <v>64516</v>
      </c>
    </row>
    <row r="124" spans="1:13" s="8" customFormat="1" ht="12.75" customHeight="1" x14ac:dyDescent="0.3">
      <c r="A124" s="5">
        <v>2016</v>
      </c>
      <c r="B124" s="6" t="s">
        <v>0</v>
      </c>
      <c r="C124" s="7" t="s">
        <v>7</v>
      </c>
      <c r="D124" s="2">
        <v>32673</v>
      </c>
      <c r="E124" s="2">
        <v>7695</v>
      </c>
      <c r="F124" s="2">
        <v>1432</v>
      </c>
      <c r="G124" s="2">
        <v>2499</v>
      </c>
      <c r="H124" s="2">
        <v>7866</v>
      </c>
      <c r="I124" s="2">
        <v>6544</v>
      </c>
      <c r="J124" s="2">
        <v>1496</v>
      </c>
      <c r="K124" s="2">
        <v>159</v>
      </c>
      <c r="L124" s="2">
        <v>0</v>
      </c>
      <c r="M124" s="2">
        <v>60364</v>
      </c>
    </row>
    <row r="125" spans="1:13" s="8" customFormat="1" ht="12.75" customHeight="1" x14ac:dyDescent="0.3">
      <c r="A125" s="5">
        <v>2016</v>
      </c>
      <c r="B125" s="6" t="s">
        <v>0</v>
      </c>
      <c r="C125" s="7" t="s">
        <v>12</v>
      </c>
      <c r="D125" s="2">
        <v>20557</v>
      </c>
      <c r="E125" s="2">
        <v>10189</v>
      </c>
      <c r="F125" s="2">
        <v>3904</v>
      </c>
      <c r="G125" s="2">
        <v>6160</v>
      </c>
      <c r="H125" s="2">
        <v>4862</v>
      </c>
      <c r="I125" s="2">
        <v>5256</v>
      </c>
      <c r="J125" s="2">
        <v>1141</v>
      </c>
      <c r="K125" s="2">
        <v>282</v>
      </c>
      <c r="L125" s="2">
        <v>13</v>
      </c>
      <c r="M125" s="2">
        <v>52364</v>
      </c>
    </row>
    <row r="126" spans="1:13" s="8" customFormat="1" ht="12.75" customHeight="1" x14ac:dyDescent="0.3">
      <c r="A126" s="5">
        <v>2016</v>
      </c>
      <c r="B126" s="6" t="s">
        <v>0</v>
      </c>
      <c r="C126" s="7" t="s">
        <v>15</v>
      </c>
      <c r="D126" s="2">
        <v>25008</v>
      </c>
      <c r="E126" s="2">
        <v>7836</v>
      </c>
      <c r="F126" s="2">
        <v>845</v>
      </c>
      <c r="G126" s="2">
        <v>4172</v>
      </c>
      <c r="H126" s="2">
        <v>4662</v>
      </c>
      <c r="I126" s="2">
        <v>4313</v>
      </c>
      <c r="J126" s="2">
        <v>1170</v>
      </c>
      <c r="K126" s="2">
        <v>51</v>
      </c>
      <c r="L126" s="2">
        <v>3</v>
      </c>
      <c r="M126" s="2">
        <v>48060</v>
      </c>
    </row>
    <row r="127" spans="1:13" s="8" customFormat="1" ht="12.75" customHeight="1" x14ac:dyDescent="0.3">
      <c r="A127" s="5">
        <v>2016</v>
      </c>
      <c r="B127" s="6" t="s">
        <v>0</v>
      </c>
      <c r="C127" s="7" t="s">
        <v>11</v>
      </c>
      <c r="D127" s="2">
        <v>21221</v>
      </c>
      <c r="E127" s="2">
        <v>8903</v>
      </c>
      <c r="F127" s="2">
        <v>2778</v>
      </c>
      <c r="G127" s="2">
        <v>5343</v>
      </c>
      <c r="H127" s="2">
        <v>3566</v>
      </c>
      <c r="I127" s="2">
        <v>3708</v>
      </c>
      <c r="J127" s="2">
        <v>1091</v>
      </c>
      <c r="K127" s="2">
        <v>216</v>
      </c>
      <c r="L127" s="2">
        <v>0</v>
      </c>
      <c r="M127" s="2">
        <v>46826</v>
      </c>
    </row>
    <row r="128" spans="1:13" s="8" customFormat="1" ht="12.75" customHeight="1" x14ac:dyDescent="0.3">
      <c r="A128" s="5">
        <v>2016</v>
      </c>
      <c r="B128" s="6" t="s">
        <v>0</v>
      </c>
      <c r="C128" s="7" t="s">
        <v>14</v>
      </c>
      <c r="D128" s="2">
        <v>13510</v>
      </c>
      <c r="E128" s="2">
        <v>7800</v>
      </c>
      <c r="F128" s="2">
        <v>2095</v>
      </c>
      <c r="G128" s="2">
        <v>4075</v>
      </c>
      <c r="H128" s="2">
        <v>10081</v>
      </c>
      <c r="I128" s="2">
        <v>8329</v>
      </c>
      <c r="J128" s="2">
        <v>629</v>
      </c>
      <c r="K128" s="2">
        <v>224</v>
      </c>
      <c r="L128" s="2">
        <v>0</v>
      </c>
      <c r="M128" s="2">
        <v>46743</v>
      </c>
    </row>
    <row r="129" spans="1:13" s="8" customFormat="1" ht="12.75" customHeight="1" x14ac:dyDescent="0.3">
      <c r="A129" s="5">
        <v>2016</v>
      </c>
      <c r="B129" s="6" t="s">
        <v>0</v>
      </c>
      <c r="C129" s="7" t="s">
        <v>10</v>
      </c>
      <c r="D129" s="2">
        <v>22180</v>
      </c>
      <c r="E129" s="2">
        <v>5679</v>
      </c>
      <c r="F129" s="2">
        <v>957</v>
      </c>
      <c r="G129" s="2">
        <v>2862</v>
      </c>
      <c r="H129" s="2">
        <v>3255</v>
      </c>
      <c r="I129" s="2">
        <v>3146</v>
      </c>
      <c r="J129" s="2">
        <v>772</v>
      </c>
      <c r="K129" s="2">
        <v>65</v>
      </c>
      <c r="L129" s="2">
        <v>2</v>
      </c>
      <c r="M129" s="2">
        <v>38918</v>
      </c>
    </row>
    <row r="130" spans="1:13" s="8" customFormat="1" ht="12.75" customHeight="1" x14ac:dyDescent="0.3">
      <c r="A130" s="5">
        <v>2016</v>
      </c>
      <c r="B130" s="6" t="s">
        <v>0</v>
      </c>
      <c r="C130" s="8" t="s">
        <v>16</v>
      </c>
      <c r="D130" s="2">
        <v>14058</v>
      </c>
      <c r="E130" s="2">
        <v>5279</v>
      </c>
      <c r="F130" s="2">
        <v>923</v>
      </c>
      <c r="G130" s="2">
        <v>2674</v>
      </c>
      <c r="H130" s="2">
        <v>6056</v>
      </c>
      <c r="I130" s="2">
        <v>5313</v>
      </c>
      <c r="J130" s="2">
        <v>764</v>
      </c>
      <c r="K130" s="2">
        <v>12</v>
      </c>
      <c r="L130" s="2">
        <v>0</v>
      </c>
      <c r="M130" s="2">
        <v>35079</v>
      </c>
    </row>
    <row r="131" spans="1:13" s="8" customFormat="1" ht="12.75" customHeight="1" x14ac:dyDescent="0.3">
      <c r="A131" s="5">
        <v>2016</v>
      </c>
      <c r="B131" s="6" t="s">
        <v>0</v>
      </c>
      <c r="C131" s="7" t="s">
        <v>19</v>
      </c>
      <c r="D131" s="2">
        <v>13369</v>
      </c>
      <c r="E131" s="2">
        <v>3082</v>
      </c>
      <c r="F131" s="2">
        <v>1576</v>
      </c>
      <c r="G131" s="2">
        <v>3279</v>
      </c>
      <c r="H131" s="2">
        <v>3797</v>
      </c>
      <c r="I131" s="2">
        <v>3561</v>
      </c>
      <c r="J131" s="2">
        <v>847</v>
      </c>
      <c r="K131" s="2">
        <v>0</v>
      </c>
      <c r="L131" s="2">
        <v>0</v>
      </c>
      <c r="M131" s="2">
        <v>29511</v>
      </c>
    </row>
    <row r="132" spans="1:13" s="8" customFormat="1" ht="12.75" customHeight="1" x14ac:dyDescent="0.3">
      <c r="A132" s="5">
        <v>2016</v>
      </c>
      <c r="B132" s="6" t="s">
        <v>0</v>
      </c>
      <c r="C132" s="7" t="s">
        <v>18</v>
      </c>
      <c r="D132" s="2">
        <v>13539</v>
      </c>
      <c r="E132" s="2">
        <v>5134</v>
      </c>
      <c r="F132" s="2">
        <v>916</v>
      </c>
      <c r="G132" s="2">
        <v>2250</v>
      </c>
      <c r="H132" s="2">
        <v>2662</v>
      </c>
      <c r="I132" s="2">
        <v>3697</v>
      </c>
      <c r="J132" s="2">
        <v>847</v>
      </c>
      <c r="K132" s="2">
        <v>238</v>
      </c>
      <c r="L132" s="2">
        <v>0</v>
      </c>
      <c r="M132" s="2">
        <v>29283</v>
      </c>
    </row>
    <row r="133" spans="1:13" s="8" customFormat="1" ht="12.75" customHeight="1" x14ac:dyDescent="0.3">
      <c r="A133" s="5">
        <v>2016</v>
      </c>
      <c r="B133" s="6" t="s">
        <v>0</v>
      </c>
      <c r="C133" s="7" t="s">
        <v>17</v>
      </c>
      <c r="D133" s="2">
        <v>7855</v>
      </c>
      <c r="E133" s="2">
        <v>1870</v>
      </c>
      <c r="F133" s="2">
        <v>347</v>
      </c>
      <c r="G133" s="2">
        <v>840</v>
      </c>
      <c r="H133" s="2">
        <v>2056</v>
      </c>
      <c r="I133" s="2">
        <v>1790</v>
      </c>
      <c r="J133" s="2">
        <v>340</v>
      </c>
      <c r="K133" s="2">
        <v>76</v>
      </c>
      <c r="L133" s="2">
        <v>28</v>
      </c>
      <c r="M133" s="2">
        <v>15202</v>
      </c>
    </row>
    <row r="134" spans="1:13" s="8" customFormat="1" ht="12.75" customHeight="1" x14ac:dyDescent="0.3">
      <c r="A134" s="5">
        <v>2016</v>
      </c>
      <c r="B134" s="6" t="s">
        <v>0</v>
      </c>
      <c r="C134" s="7" t="s">
        <v>21</v>
      </c>
      <c r="D134" s="2">
        <v>6233</v>
      </c>
      <c r="E134" s="2">
        <v>2021</v>
      </c>
      <c r="F134" s="2">
        <v>393</v>
      </c>
      <c r="G134" s="2">
        <v>788</v>
      </c>
      <c r="H134" s="2">
        <v>1246</v>
      </c>
      <c r="I134" s="2">
        <v>1398</v>
      </c>
      <c r="J134" s="2">
        <v>337</v>
      </c>
      <c r="K134" s="2">
        <v>15</v>
      </c>
      <c r="L134" s="2">
        <v>0</v>
      </c>
      <c r="M134" s="2">
        <v>12431</v>
      </c>
    </row>
    <row r="135" spans="1:13" s="8" customFormat="1" ht="12.75" customHeight="1" x14ac:dyDescent="0.3">
      <c r="A135" s="5">
        <v>2016</v>
      </c>
      <c r="B135" s="6" t="s">
        <v>0</v>
      </c>
      <c r="C135" s="7" t="s">
        <v>24</v>
      </c>
      <c r="D135" s="2">
        <v>4793</v>
      </c>
      <c r="E135" s="2">
        <v>2999</v>
      </c>
      <c r="F135" s="2">
        <v>249</v>
      </c>
      <c r="G135" s="2">
        <v>780</v>
      </c>
      <c r="H135" s="2">
        <v>1284</v>
      </c>
      <c r="I135" s="2">
        <v>1304</v>
      </c>
      <c r="J135" s="2">
        <v>294</v>
      </c>
      <c r="K135" s="2">
        <v>0</v>
      </c>
      <c r="L135" s="2">
        <v>0</v>
      </c>
      <c r="M135" s="2">
        <v>11703</v>
      </c>
    </row>
    <row r="136" spans="1:13" s="8" customFormat="1" ht="12.75" customHeight="1" x14ac:dyDescent="0.3">
      <c r="A136" s="5">
        <v>2016</v>
      </c>
      <c r="B136" s="6" t="s">
        <v>0</v>
      </c>
      <c r="C136" s="7" t="s">
        <v>20</v>
      </c>
      <c r="D136" s="2">
        <v>4841</v>
      </c>
      <c r="E136" s="2">
        <v>1990</v>
      </c>
      <c r="F136" s="2">
        <v>347</v>
      </c>
      <c r="G136" s="2">
        <v>1235</v>
      </c>
      <c r="H136" s="2">
        <v>672</v>
      </c>
      <c r="I136" s="2">
        <v>905</v>
      </c>
      <c r="J136" s="2">
        <v>330</v>
      </c>
      <c r="K136" s="2">
        <v>65</v>
      </c>
      <c r="L136" s="2">
        <v>3</v>
      </c>
      <c r="M136" s="2">
        <v>10388</v>
      </c>
    </row>
    <row r="137" spans="1:13" s="8" customFormat="1" ht="12.75" customHeight="1" x14ac:dyDescent="0.3">
      <c r="A137" s="5">
        <v>2016</v>
      </c>
      <c r="B137" s="6" t="s">
        <v>0</v>
      </c>
      <c r="C137" s="7" t="s">
        <v>23</v>
      </c>
      <c r="D137" s="2">
        <v>2289</v>
      </c>
      <c r="E137" s="2">
        <v>880</v>
      </c>
      <c r="F137" s="2">
        <v>107</v>
      </c>
      <c r="G137" s="2">
        <v>774</v>
      </c>
      <c r="H137" s="2">
        <v>2039</v>
      </c>
      <c r="I137" s="2">
        <v>1065</v>
      </c>
      <c r="J137" s="2">
        <v>129</v>
      </c>
      <c r="K137" s="2">
        <v>0</v>
      </c>
      <c r="L137" s="2">
        <v>0</v>
      </c>
      <c r="M137" s="2">
        <v>7283</v>
      </c>
    </row>
    <row r="138" spans="1:13" s="8" customFormat="1" ht="12.75" customHeight="1" x14ac:dyDescent="0.3">
      <c r="A138" s="5">
        <v>2016</v>
      </c>
      <c r="B138" s="6" t="s">
        <v>0</v>
      </c>
      <c r="C138" s="7" t="s">
        <v>25</v>
      </c>
      <c r="D138" s="2">
        <v>3764</v>
      </c>
      <c r="E138" s="2">
        <v>914</v>
      </c>
      <c r="F138" s="2">
        <v>216</v>
      </c>
      <c r="G138" s="2">
        <v>169</v>
      </c>
      <c r="H138" s="2">
        <v>437</v>
      </c>
      <c r="I138" s="2">
        <v>609</v>
      </c>
      <c r="J138" s="2">
        <v>228</v>
      </c>
      <c r="K138" s="2">
        <v>59</v>
      </c>
      <c r="L138" s="2">
        <v>0</v>
      </c>
      <c r="M138" s="2">
        <v>6396</v>
      </c>
    </row>
    <row r="139" spans="1:13" s="8" customFormat="1" ht="12.75" customHeight="1" x14ac:dyDescent="0.3">
      <c r="A139" s="5">
        <v>2016</v>
      </c>
      <c r="B139" s="6" t="s">
        <v>0</v>
      </c>
      <c r="C139" s="7" t="s">
        <v>22</v>
      </c>
      <c r="D139" s="2">
        <v>2695</v>
      </c>
      <c r="E139" s="2">
        <v>587</v>
      </c>
      <c r="F139" s="2">
        <v>195</v>
      </c>
      <c r="G139" s="2">
        <v>980</v>
      </c>
      <c r="H139" s="2">
        <v>423</v>
      </c>
      <c r="I139" s="2">
        <v>568</v>
      </c>
      <c r="J139" s="2">
        <v>147</v>
      </c>
      <c r="K139" s="2">
        <v>0</v>
      </c>
      <c r="L139" s="2">
        <v>0</v>
      </c>
      <c r="M139" s="2">
        <v>5595</v>
      </c>
    </row>
    <row r="140" spans="1:13" s="8" customFormat="1" ht="12.75" customHeight="1" x14ac:dyDescent="0.3">
      <c r="A140" s="5">
        <v>2016</v>
      </c>
      <c r="B140" s="6" t="s">
        <v>0</v>
      </c>
      <c r="C140" s="7" t="s">
        <v>26</v>
      </c>
      <c r="D140" s="2">
        <v>1636</v>
      </c>
      <c r="E140" s="2">
        <v>610</v>
      </c>
      <c r="F140" s="2">
        <v>354</v>
      </c>
      <c r="G140" s="2">
        <v>207</v>
      </c>
      <c r="H140" s="2">
        <v>624</v>
      </c>
      <c r="I140" s="2">
        <v>735</v>
      </c>
      <c r="J140" s="2">
        <v>109</v>
      </c>
      <c r="K140" s="2">
        <v>1</v>
      </c>
      <c r="L140" s="2">
        <v>0</v>
      </c>
      <c r="M140" s="2">
        <v>4276</v>
      </c>
    </row>
    <row r="141" spans="1:13" s="8" customFormat="1" ht="12.75" customHeight="1" x14ac:dyDescent="0.3">
      <c r="A141" s="5">
        <v>2016</v>
      </c>
      <c r="B141" s="6" t="s">
        <v>0</v>
      </c>
      <c r="C141" s="7" t="s">
        <v>28</v>
      </c>
      <c r="D141" s="2">
        <v>772</v>
      </c>
      <c r="E141" s="2">
        <v>375</v>
      </c>
      <c r="F141" s="2">
        <v>449</v>
      </c>
      <c r="G141" s="2">
        <v>204</v>
      </c>
      <c r="H141" s="2">
        <v>701</v>
      </c>
      <c r="I141" s="2">
        <v>338</v>
      </c>
      <c r="J141" s="2">
        <v>26</v>
      </c>
      <c r="K141" s="2">
        <v>0</v>
      </c>
      <c r="L141" s="2">
        <v>0</v>
      </c>
      <c r="M141" s="2">
        <v>2865</v>
      </c>
    </row>
    <row r="142" spans="1:13" s="8" customFormat="1" ht="12.75" customHeight="1" x14ac:dyDescent="0.3">
      <c r="A142" s="5">
        <v>2016</v>
      </c>
      <c r="B142" s="6" t="s">
        <v>0</v>
      </c>
      <c r="C142" s="7" t="s">
        <v>27</v>
      </c>
      <c r="D142" s="2">
        <v>573</v>
      </c>
      <c r="E142" s="2">
        <v>259</v>
      </c>
      <c r="F142" s="2">
        <v>67</v>
      </c>
      <c r="G142" s="2">
        <v>51</v>
      </c>
      <c r="H142" s="2">
        <v>160</v>
      </c>
      <c r="I142" s="2">
        <v>159</v>
      </c>
      <c r="J142" s="2">
        <v>42</v>
      </c>
      <c r="K142" s="2">
        <v>3</v>
      </c>
      <c r="L142" s="2">
        <v>0</v>
      </c>
      <c r="M142" s="2">
        <v>1314</v>
      </c>
    </row>
    <row r="143" spans="1:13" s="8" customFormat="1" ht="12.75" customHeight="1" x14ac:dyDescent="0.3">
      <c r="A143" s="5">
        <v>2017</v>
      </c>
      <c r="B143" s="6" t="s">
        <v>0</v>
      </c>
      <c r="C143" s="7" t="s">
        <v>1</v>
      </c>
      <c r="D143" s="2">
        <v>605885</v>
      </c>
      <c r="E143" s="2">
        <v>244374</v>
      </c>
      <c r="F143" s="2">
        <v>65688</v>
      </c>
      <c r="G143" s="2">
        <v>148823</v>
      </c>
      <c r="H143" s="2">
        <v>179946</v>
      </c>
      <c r="I143" s="2">
        <v>150330</v>
      </c>
      <c r="J143" s="2">
        <v>29777</v>
      </c>
      <c r="K143" s="2">
        <v>8843</v>
      </c>
      <c r="L143" s="2">
        <v>28</v>
      </c>
      <c r="M143" s="2">
        <v>1433694</v>
      </c>
    </row>
    <row r="144" spans="1:13" s="8" customFormat="1" ht="12.75" customHeight="1" x14ac:dyDescent="0.3">
      <c r="A144" s="5">
        <v>2017</v>
      </c>
      <c r="B144" s="6" t="s">
        <v>0</v>
      </c>
      <c r="C144" s="7" t="s">
        <v>2</v>
      </c>
      <c r="D144" s="2">
        <v>110180</v>
      </c>
      <c r="E144" s="2">
        <v>53553</v>
      </c>
      <c r="F144" s="2">
        <v>14353</v>
      </c>
      <c r="G144" s="2">
        <v>38306</v>
      </c>
      <c r="H144" s="2">
        <v>40074</v>
      </c>
      <c r="I144" s="2">
        <v>29695</v>
      </c>
      <c r="J144" s="2">
        <v>5520</v>
      </c>
      <c r="K144" s="2">
        <v>1934</v>
      </c>
      <c r="L144" s="2">
        <v>0</v>
      </c>
      <c r="M144" s="2">
        <v>293615</v>
      </c>
    </row>
    <row r="145" spans="1:13" s="8" customFormat="1" ht="12.75" customHeight="1" x14ac:dyDescent="0.3">
      <c r="A145" s="5">
        <v>2017</v>
      </c>
      <c r="B145" s="6" t="s">
        <v>0</v>
      </c>
      <c r="C145" s="7" t="s">
        <v>3</v>
      </c>
      <c r="D145" s="2">
        <v>54802</v>
      </c>
      <c r="E145" s="2">
        <v>22376</v>
      </c>
      <c r="F145" s="2">
        <v>12132</v>
      </c>
      <c r="G145" s="2">
        <v>22729</v>
      </c>
      <c r="H145" s="2">
        <v>22995</v>
      </c>
      <c r="I145" s="2">
        <v>12621</v>
      </c>
      <c r="J145" s="2">
        <v>2838</v>
      </c>
      <c r="K145" s="2">
        <v>1400</v>
      </c>
      <c r="L145" s="2">
        <v>0</v>
      </c>
      <c r="M145" s="2">
        <v>151893</v>
      </c>
    </row>
    <row r="146" spans="1:13" s="8" customFormat="1" ht="12.75" customHeight="1" x14ac:dyDescent="0.3">
      <c r="A146" s="5">
        <v>2017</v>
      </c>
      <c r="B146" s="6" t="s">
        <v>0</v>
      </c>
      <c r="C146" s="7" t="s">
        <v>4</v>
      </c>
      <c r="D146" s="2">
        <v>40471</v>
      </c>
      <c r="E146" s="2">
        <v>17215</v>
      </c>
      <c r="F146" s="2">
        <v>7898</v>
      </c>
      <c r="G146" s="2">
        <v>9723</v>
      </c>
      <c r="H146" s="2">
        <v>9832</v>
      </c>
      <c r="I146" s="2">
        <v>12155</v>
      </c>
      <c r="J146" s="2">
        <v>1144</v>
      </c>
      <c r="K146" s="2">
        <v>292</v>
      </c>
      <c r="L146" s="2">
        <v>0</v>
      </c>
      <c r="M146" s="2">
        <v>98730</v>
      </c>
    </row>
    <row r="147" spans="1:13" s="8" customFormat="1" ht="12.75" customHeight="1" x14ac:dyDescent="0.3">
      <c r="A147" s="5">
        <v>2017</v>
      </c>
      <c r="B147" s="6" t="s">
        <v>0</v>
      </c>
      <c r="C147" s="7" t="s">
        <v>5</v>
      </c>
      <c r="D147" s="2">
        <v>47853</v>
      </c>
      <c r="E147" s="2">
        <v>19425</v>
      </c>
      <c r="F147" s="2">
        <v>3739</v>
      </c>
      <c r="G147" s="2">
        <v>5446</v>
      </c>
      <c r="H147" s="2">
        <v>6083</v>
      </c>
      <c r="I147" s="2">
        <v>8472</v>
      </c>
      <c r="J147" s="2">
        <v>2201</v>
      </c>
      <c r="K147" s="2">
        <v>632</v>
      </c>
      <c r="L147" s="2">
        <v>0</v>
      </c>
      <c r="M147" s="2">
        <v>93851</v>
      </c>
    </row>
    <row r="148" spans="1:13" s="8" customFormat="1" ht="12.75" customHeight="1" x14ac:dyDescent="0.3">
      <c r="A148" s="5">
        <v>2017</v>
      </c>
      <c r="B148" s="6" t="s">
        <v>0</v>
      </c>
      <c r="C148" s="7" t="s">
        <v>8</v>
      </c>
      <c r="D148" s="2">
        <v>30440</v>
      </c>
      <c r="E148" s="2">
        <v>17752</v>
      </c>
      <c r="F148" s="2">
        <v>3766</v>
      </c>
      <c r="G148" s="2">
        <v>9668</v>
      </c>
      <c r="H148" s="2">
        <v>11680</v>
      </c>
      <c r="I148" s="2">
        <v>7765</v>
      </c>
      <c r="J148" s="2">
        <v>1687</v>
      </c>
      <c r="K148" s="2">
        <v>893</v>
      </c>
      <c r="L148" s="2">
        <v>0</v>
      </c>
      <c r="M148" s="2">
        <v>83651</v>
      </c>
    </row>
    <row r="149" spans="1:13" s="8" customFormat="1" ht="12.75" customHeight="1" x14ac:dyDescent="0.3">
      <c r="A149" s="5">
        <v>2017</v>
      </c>
      <c r="B149" s="6" t="s">
        <v>0</v>
      </c>
      <c r="C149" s="7" t="s">
        <v>6</v>
      </c>
      <c r="D149" s="2">
        <v>36543</v>
      </c>
      <c r="E149" s="2">
        <v>9673</v>
      </c>
      <c r="F149" s="2">
        <v>3754</v>
      </c>
      <c r="G149" s="2">
        <v>4094</v>
      </c>
      <c r="H149" s="2">
        <v>12966</v>
      </c>
      <c r="I149" s="2">
        <v>7612</v>
      </c>
      <c r="J149" s="2">
        <v>1862</v>
      </c>
      <c r="K149" s="2">
        <v>842</v>
      </c>
      <c r="L149" s="2">
        <v>0</v>
      </c>
      <c r="M149" s="2">
        <v>77346</v>
      </c>
    </row>
    <row r="150" spans="1:13" s="8" customFormat="1" ht="12.75" customHeight="1" x14ac:dyDescent="0.3">
      <c r="A150" s="5">
        <v>2017</v>
      </c>
      <c r="B150" s="6" t="s">
        <v>0</v>
      </c>
      <c r="C150" s="7" t="s">
        <v>9</v>
      </c>
      <c r="D150" s="2">
        <v>30752</v>
      </c>
      <c r="E150" s="2">
        <v>12876</v>
      </c>
      <c r="F150" s="2">
        <v>1411</v>
      </c>
      <c r="G150" s="2">
        <v>6754</v>
      </c>
      <c r="H150" s="2">
        <v>10532</v>
      </c>
      <c r="I150" s="2">
        <v>7987</v>
      </c>
      <c r="J150" s="2">
        <v>1740</v>
      </c>
      <c r="K150" s="2">
        <v>145</v>
      </c>
      <c r="L150" s="2">
        <v>0</v>
      </c>
      <c r="M150" s="2">
        <v>72197</v>
      </c>
    </row>
    <row r="151" spans="1:13" s="8" customFormat="1" ht="12.75" customHeight="1" x14ac:dyDescent="0.3">
      <c r="A151" s="5">
        <v>2017</v>
      </c>
      <c r="B151" s="6" t="s">
        <v>0</v>
      </c>
      <c r="C151" s="7" t="s">
        <v>7</v>
      </c>
      <c r="D151" s="2">
        <v>32176</v>
      </c>
      <c r="E151" s="2">
        <v>8335</v>
      </c>
      <c r="F151" s="2">
        <v>1277</v>
      </c>
      <c r="G151" s="2">
        <v>3683</v>
      </c>
      <c r="H151" s="2">
        <v>7533</v>
      </c>
      <c r="I151" s="2">
        <v>7077</v>
      </c>
      <c r="J151" s="2">
        <v>1528</v>
      </c>
      <c r="K151" s="2">
        <v>166</v>
      </c>
      <c r="L151" s="2">
        <v>12</v>
      </c>
      <c r="M151" s="2">
        <v>61787</v>
      </c>
    </row>
    <row r="152" spans="1:13" s="8" customFormat="1" ht="12.75" customHeight="1" x14ac:dyDescent="0.3">
      <c r="A152" s="5">
        <v>2017</v>
      </c>
      <c r="B152" s="6" t="s">
        <v>0</v>
      </c>
      <c r="C152" s="7" t="s">
        <v>13</v>
      </c>
      <c r="D152" s="2">
        <v>30420</v>
      </c>
      <c r="E152" s="2">
        <v>9039</v>
      </c>
      <c r="F152" s="2">
        <v>1809</v>
      </c>
      <c r="G152" s="2">
        <v>5075</v>
      </c>
      <c r="H152" s="2">
        <v>6316</v>
      </c>
      <c r="I152" s="2">
        <v>5470</v>
      </c>
      <c r="J152" s="2">
        <v>1793</v>
      </c>
      <c r="K152" s="2">
        <v>26</v>
      </c>
      <c r="L152" s="2">
        <v>0</v>
      </c>
      <c r="M152" s="2">
        <v>59948</v>
      </c>
    </row>
    <row r="153" spans="1:13" s="8" customFormat="1" ht="12.75" customHeight="1" x14ac:dyDescent="0.3">
      <c r="A153" s="5">
        <v>2017</v>
      </c>
      <c r="B153" s="6" t="s">
        <v>0</v>
      </c>
      <c r="C153" s="7" t="s">
        <v>12</v>
      </c>
      <c r="D153" s="2">
        <v>23614</v>
      </c>
      <c r="E153" s="2">
        <v>10402</v>
      </c>
      <c r="F153" s="2">
        <v>3906</v>
      </c>
      <c r="G153" s="2">
        <v>7644</v>
      </c>
      <c r="H153" s="2">
        <v>5259</v>
      </c>
      <c r="I153" s="2">
        <v>5673</v>
      </c>
      <c r="J153" s="2">
        <v>1136</v>
      </c>
      <c r="K153" s="2">
        <v>238</v>
      </c>
      <c r="L153" s="2">
        <v>10</v>
      </c>
      <c r="M153" s="2">
        <v>57882</v>
      </c>
    </row>
    <row r="154" spans="1:13" s="8" customFormat="1" ht="12.75" customHeight="1" x14ac:dyDescent="0.3">
      <c r="A154" s="5">
        <v>2017</v>
      </c>
      <c r="B154" s="6" t="s">
        <v>0</v>
      </c>
      <c r="C154" s="7" t="s">
        <v>14</v>
      </c>
      <c r="D154" s="2">
        <v>15668</v>
      </c>
      <c r="E154" s="2">
        <v>10694</v>
      </c>
      <c r="F154" s="2">
        <v>1326</v>
      </c>
      <c r="G154" s="2">
        <v>6392</v>
      </c>
      <c r="H154" s="2">
        <v>12156</v>
      </c>
      <c r="I154" s="2">
        <v>9962</v>
      </c>
      <c r="J154" s="2">
        <v>583</v>
      </c>
      <c r="K154" s="2">
        <v>655</v>
      </c>
      <c r="L154" s="2">
        <v>0</v>
      </c>
      <c r="M154" s="2">
        <v>57436</v>
      </c>
    </row>
    <row r="155" spans="1:13" s="8" customFormat="1" ht="12.75" customHeight="1" x14ac:dyDescent="0.3">
      <c r="A155" s="5">
        <v>2017</v>
      </c>
      <c r="B155" s="6" t="s">
        <v>0</v>
      </c>
      <c r="C155" s="7" t="s">
        <v>11</v>
      </c>
      <c r="D155" s="2">
        <v>20966</v>
      </c>
      <c r="E155" s="2">
        <v>10321</v>
      </c>
      <c r="F155" s="2">
        <v>2767</v>
      </c>
      <c r="G155" s="2">
        <v>6607</v>
      </c>
      <c r="H155" s="2">
        <v>4761</v>
      </c>
      <c r="I155" s="2">
        <v>5068</v>
      </c>
      <c r="J155" s="2">
        <v>973</v>
      </c>
      <c r="K155" s="2">
        <v>196</v>
      </c>
      <c r="L155" s="2">
        <v>0</v>
      </c>
      <c r="M155" s="2">
        <v>51659</v>
      </c>
    </row>
    <row r="156" spans="1:13" s="8" customFormat="1" ht="12.75" customHeight="1" x14ac:dyDescent="0.3">
      <c r="A156" s="5">
        <v>2017</v>
      </c>
      <c r="B156" s="6" t="s">
        <v>0</v>
      </c>
      <c r="C156" s="7" t="s">
        <v>15</v>
      </c>
      <c r="D156" s="2">
        <v>25851</v>
      </c>
      <c r="E156" s="2">
        <v>8941</v>
      </c>
      <c r="F156" s="2">
        <v>1576</v>
      </c>
      <c r="G156" s="2">
        <v>4758</v>
      </c>
      <c r="H156" s="2">
        <v>4404</v>
      </c>
      <c r="I156" s="2">
        <v>4263</v>
      </c>
      <c r="J156" s="2">
        <v>1192</v>
      </c>
      <c r="K156" s="2">
        <v>0</v>
      </c>
      <c r="L156" s="2">
        <v>0</v>
      </c>
      <c r="M156" s="2">
        <v>50985</v>
      </c>
    </row>
    <row r="157" spans="1:13" s="8" customFormat="1" ht="12.75" customHeight="1" x14ac:dyDescent="0.3">
      <c r="A157" s="5">
        <v>2017</v>
      </c>
      <c r="B157" s="6" t="s">
        <v>0</v>
      </c>
      <c r="C157" s="7" t="s">
        <v>10</v>
      </c>
      <c r="D157" s="2">
        <v>21685</v>
      </c>
      <c r="E157" s="2">
        <v>5985</v>
      </c>
      <c r="F157" s="2">
        <v>1232</v>
      </c>
      <c r="G157" s="2">
        <v>3134</v>
      </c>
      <c r="H157" s="2">
        <v>3411</v>
      </c>
      <c r="I157" s="2">
        <v>3504</v>
      </c>
      <c r="J157" s="2">
        <v>795</v>
      </c>
      <c r="K157" s="2">
        <v>32</v>
      </c>
      <c r="L157" s="2">
        <v>0</v>
      </c>
      <c r="M157" s="2">
        <v>39778</v>
      </c>
    </row>
    <row r="158" spans="1:13" s="8" customFormat="1" ht="12.75" customHeight="1" x14ac:dyDescent="0.3">
      <c r="A158" s="5">
        <v>2017</v>
      </c>
      <c r="B158" s="6" t="s">
        <v>0</v>
      </c>
      <c r="C158" s="8" t="s">
        <v>16</v>
      </c>
      <c r="D158" s="2">
        <v>14364</v>
      </c>
      <c r="E158" s="2">
        <v>5579</v>
      </c>
      <c r="F158" s="2">
        <v>991</v>
      </c>
      <c r="G158" s="2">
        <v>3450</v>
      </c>
      <c r="H158" s="2">
        <v>5261</v>
      </c>
      <c r="I158" s="2">
        <v>6079</v>
      </c>
      <c r="J158" s="2">
        <v>816</v>
      </c>
      <c r="K158" s="2">
        <v>249</v>
      </c>
      <c r="L158" s="2">
        <v>0</v>
      </c>
      <c r="M158" s="2">
        <v>36789</v>
      </c>
    </row>
    <row r="159" spans="1:13" s="8" customFormat="1" ht="12.75" customHeight="1" x14ac:dyDescent="0.3">
      <c r="A159" s="5">
        <v>2017</v>
      </c>
      <c r="B159" s="6" t="s">
        <v>0</v>
      </c>
      <c r="C159" s="7" t="s">
        <v>19</v>
      </c>
      <c r="D159" s="2">
        <v>15344</v>
      </c>
      <c r="E159" s="2">
        <v>4557</v>
      </c>
      <c r="F159" s="2">
        <v>735</v>
      </c>
      <c r="G159" s="2">
        <v>2734</v>
      </c>
      <c r="H159" s="2">
        <v>3633</v>
      </c>
      <c r="I159" s="2">
        <v>3352</v>
      </c>
      <c r="J159" s="2">
        <v>929</v>
      </c>
      <c r="K159" s="2">
        <v>200</v>
      </c>
      <c r="L159" s="2">
        <v>0</v>
      </c>
      <c r="M159" s="2">
        <v>31484</v>
      </c>
    </row>
    <row r="160" spans="1:13" s="8" customFormat="1" ht="12.75" customHeight="1" x14ac:dyDescent="0.3">
      <c r="A160" s="5">
        <v>2017</v>
      </c>
      <c r="B160" s="6" t="s">
        <v>0</v>
      </c>
      <c r="C160" s="7" t="s">
        <v>18</v>
      </c>
      <c r="D160" s="2">
        <v>15262</v>
      </c>
      <c r="E160" s="2">
        <v>4323</v>
      </c>
      <c r="F160" s="2">
        <v>154</v>
      </c>
      <c r="G160" s="2">
        <v>1247</v>
      </c>
      <c r="H160" s="2">
        <v>2508</v>
      </c>
      <c r="I160" s="2">
        <v>3300</v>
      </c>
      <c r="J160" s="2">
        <v>891</v>
      </c>
      <c r="K160" s="2">
        <v>137</v>
      </c>
      <c r="L160" s="2">
        <v>0</v>
      </c>
      <c r="M160" s="2">
        <v>27822</v>
      </c>
    </row>
    <row r="161" spans="1:13" s="8" customFormat="1" ht="12.75" customHeight="1" x14ac:dyDescent="0.3">
      <c r="A161" s="5">
        <v>2017</v>
      </c>
      <c r="B161" s="6" t="s">
        <v>0</v>
      </c>
      <c r="C161" s="7" t="s">
        <v>17</v>
      </c>
      <c r="D161" s="2">
        <v>8423</v>
      </c>
      <c r="E161" s="2">
        <v>1967</v>
      </c>
      <c r="F161" s="2">
        <v>635</v>
      </c>
      <c r="G161" s="2">
        <v>1051</v>
      </c>
      <c r="H161" s="2">
        <v>3559</v>
      </c>
      <c r="I161" s="2">
        <v>2604</v>
      </c>
      <c r="J161" s="2">
        <v>413</v>
      </c>
      <c r="K161" s="2">
        <v>243</v>
      </c>
      <c r="L161" s="2">
        <v>3</v>
      </c>
      <c r="M161" s="2">
        <v>18898</v>
      </c>
    </row>
    <row r="162" spans="1:13" s="8" customFormat="1" ht="12.75" customHeight="1" x14ac:dyDescent="0.3">
      <c r="A162" s="5">
        <v>2017</v>
      </c>
      <c r="B162" s="6" t="s">
        <v>0</v>
      </c>
      <c r="C162" s="7" t="s">
        <v>21</v>
      </c>
      <c r="D162" s="2">
        <v>7379</v>
      </c>
      <c r="E162" s="2">
        <v>2375</v>
      </c>
      <c r="F162" s="2">
        <v>247</v>
      </c>
      <c r="G162" s="2">
        <v>812</v>
      </c>
      <c r="H162" s="2">
        <v>2200</v>
      </c>
      <c r="I162" s="2">
        <v>2390</v>
      </c>
      <c r="J162" s="2">
        <v>424</v>
      </c>
      <c r="K162" s="2">
        <v>222</v>
      </c>
      <c r="L162" s="2">
        <v>2</v>
      </c>
      <c r="M162" s="2">
        <v>16051</v>
      </c>
    </row>
    <row r="163" spans="1:13" s="8" customFormat="1" ht="12.75" customHeight="1" x14ac:dyDescent="0.3">
      <c r="A163" s="5">
        <v>2017</v>
      </c>
      <c r="B163" s="6" t="s">
        <v>0</v>
      </c>
      <c r="C163" s="7" t="s">
        <v>24</v>
      </c>
      <c r="D163" s="2">
        <v>6222</v>
      </c>
      <c r="E163" s="2">
        <v>1830</v>
      </c>
      <c r="F163" s="2">
        <v>334</v>
      </c>
      <c r="G163" s="2">
        <v>516</v>
      </c>
      <c r="H163" s="2">
        <v>943</v>
      </c>
      <c r="I163" s="2">
        <v>1113</v>
      </c>
      <c r="J163" s="2">
        <v>303</v>
      </c>
      <c r="K163" s="2">
        <v>104</v>
      </c>
      <c r="L163" s="2">
        <v>0</v>
      </c>
      <c r="M163" s="2">
        <v>11365</v>
      </c>
    </row>
    <row r="164" spans="1:13" s="8" customFormat="1" ht="12.75" customHeight="1" x14ac:dyDescent="0.3">
      <c r="A164" s="5">
        <v>2017</v>
      </c>
      <c r="B164" s="6" t="s">
        <v>0</v>
      </c>
      <c r="C164" s="7" t="s">
        <v>20</v>
      </c>
      <c r="D164" s="2">
        <v>4959</v>
      </c>
      <c r="E164" s="2">
        <v>2044</v>
      </c>
      <c r="F164" s="2">
        <v>439</v>
      </c>
      <c r="G164" s="2">
        <v>1056</v>
      </c>
      <c r="H164" s="2">
        <v>959</v>
      </c>
      <c r="I164" s="2">
        <v>853</v>
      </c>
      <c r="J164" s="2">
        <v>363</v>
      </c>
      <c r="K164" s="2">
        <v>50</v>
      </c>
      <c r="L164" s="2">
        <v>0</v>
      </c>
      <c r="M164" s="2">
        <v>10723</v>
      </c>
    </row>
    <row r="165" spans="1:13" s="8" customFormat="1" ht="12.75" customHeight="1" x14ac:dyDescent="0.3">
      <c r="A165" s="5">
        <v>2017</v>
      </c>
      <c r="B165" s="6" t="s">
        <v>0</v>
      </c>
      <c r="C165" s="7" t="s">
        <v>23</v>
      </c>
      <c r="D165" s="2">
        <v>2592</v>
      </c>
      <c r="E165" s="2">
        <v>2097</v>
      </c>
      <c r="F165" s="2">
        <v>53</v>
      </c>
      <c r="G165" s="2">
        <v>2014</v>
      </c>
      <c r="H165" s="2">
        <v>524</v>
      </c>
      <c r="I165" s="2">
        <v>544</v>
      </c>
      <c r="J165" s="2">
        <v>142</v>
      </c>
      <c r="K165" s="2">
        <v>17</v>
      </c>
      <c r="L165" s="2">
        <v>0</v>
      </c>
      <c r="M165" s="2">
        <v>7983</v>
      </c>
    </row>
    <row r="166" spans="1:13" s="8" customFormat="1" ht="12.75" customHeight="1" x14ac:dyDescent="0.3">
      <c r="A166" s="5">
        <v>2017</v>
      </c>
      <c r="B166" s="6" t="s">
        <v>0</v>
      </c>
      <c r="C166" s="7" t="s">
        <v>25</v>
      </c>
      <c r="D166" s="2">
        <v>4174</v>
      </c>
      <c r="E166" s="2">
        <v>905</v>
      </c>
      <c r="F166" s="2">
        <v>228</v>
      </c>
      <c r="G166" s="2">
        <v>274</v>
      </c>
      <c r="H166" s="2">
        <v>763</v>
      </c>
      <c r="I166" s="2">
        <v>1108</v>
      </c>
      <c r="J166" s="2">
        <v>168</v>
      </c>
      <c r="K166" s="2">
        <v>135</v>
      </c>
      <c r="L166" s="2">
        <v>0</v>
      </c>
      <c r="M166" s="2">
        <v>7755</v>
      </c>
    </row>
    <row r="167" spans="1:13" s="8" customFormat="1" ht="12.75" customHeight="1" x14ac:dyDescent="0.3">
      <c r="A167" s="5">
        <v>2017</v>
      </c>
      <c r="B167" s="6" t="s">
        <v>0</v>
      </c>
      <c r="C167" s="7" t="s">
        <v>22</v>
      </c>
      <c r="D167" s="2">
        <v>2713</v>
      </c>
      <c r="E167" s="2">
        <v>868</v>
      </c>
      <c r="F167" s="2">
        <v>151</v>
      </c>
      <c r="G167" s="2">
        <v>905</v>
      </c>
      <c r="H167" s="2">
        <v>504</v>
      </c>
      <c r="I167" s="2">
        <v>543</v>
      </c>
      <c r="J167" s="2">
        <v>150</v>
      </c>
      <c r="K167" s="2">
        <v>20</v>
      </c>
      <c r="L167" s="2">
        <v>1</v>
      </c>
      <c r="M167" s="2">
        <v>5855</v>
      </c>
    </row>
    <row r="168" spans="1:13" s="8" customFormat="1" ht="12.75" customHeight="1" x14ac:dyDescent="0.3">
      <c r="A168" s="5">
        <v>2017</v>
      </c>
      <c r="B168" s="6" t="s">
        <v>0</v>
      </c>
      <c r="C168" s="7" t="s">
        <v>26</v>
      </c>
      <c r="D168" s="2">
        <v>1693</v>
      </c>
      <c r="E168" s="2">
        <v>722</v>
      </c>
      <c r="F168" s="2">
        <v>406</v>
      </c>
      <c r="G168" s="2">
        <v>118</v>
      </c>
      <c r="H168" s="2">
        <v>596</v>
      </c>
      <c r="I168" s="2">
        <v>711</v>
      </c>
      <c r="J168" s="2">
        <v>85</v>
      </c>
      <c r="K168" s="2">
        <v>12</v>
      </c>
      <c r="L168" s="2">
        <v>0</v>
      </c>
      <c r="M168" s="2">
        <v>4343</v>
      </c>
    </row>
    <row r="169" spans="1:13" s="8" customFormat="1" ht="12.75" customHeight="1" x14ac:dyDescent="0.3">
      <c r="A169" s="5">
        <v>2017</v>
      </c>
      <c r="B169" s="6" t="s">
        <v>0</v>
      </c>
      <c r="C169" s="7" t="s">
        <v>28</v>
      </c>
      <c r="D169" s="2">
        <v>808</v>
      </c>
      <c r="E169" s="2">
        <v>350</v>
      </c>
      <c r="F169" s="2">
        <v>305</v>
      </c>
      <c r="G169" s="2">
        <v>553</v>
      </c>
      <c r="H169" s="2">
        <v>416</v>
      </c>
      <c r="I169" s="2">
        <v>297</v>
      </c>
      <c r="J169" s="2">
        <v>63</v>
      </c>
      <c r="K169" s="2">
        <v>0</v>
      </c>
      <c r="L169" s="2">
        <v>0</v>
      </c>
      <c r="M169" s="2">
        <v>2792</v>
      </c>
    </row>
    <row r="170" spans="1:13" s="8" customFormat="1" ht="12.75" customHeight="1" x14ac:dyDescent="0.3">
      <c r="A170" s="5">
        <v>2017</v>
      </c>
      <c r="B170" s="6" t="s">
        <v>0</v>
      </c>
      <c r="C170" s="7" t="s">
        <v>27</v>
      </c>
      <c r="D170" s="2">
        <v>531</v>
      </c>
      <c r="E170" s="2">
        <v>170</v>
      </c>
      <c r="F170" s="2">
        <v>64</v>
      </c>
      <c r="G170" s="2">
        <v>80</v>
      </c>
      <c r="H170" s="2">
        <v>78</v>
      </c>
      <c r="I170" s="2">
        <v>112</v>
      </c>
      <c r="J170" s="2">
        <v>38</v>
      </c>
      <c r="K170" s="2">
        <v>3</v>
      </c>
      <c r="L170" s="2">
        <v>0</v>
      </c>
      <c r="M170" s="2">
        <v>1076</v>
      </c>
    </row>
    <row r="171" spans="1:13" s="8" customFormat="1" ht="12.75" customHeight="1" x14ac:dyDescent="0.3">
      <c r="A171" s="5">
        <v>2018</v>
      </c>
      <c r="B171" s="6" t="s">
        <v>0</v>
      </c>
      <c r="C171" s="7" t="s">
        <v>1</v>
      </c>
      <c r="D171" s="2">
        <v>612596</v>
      </c>
      <c r="E171" s="2">
        <v>223951</v>
      </c>
      <c r="F171" s="2">
        <v>58335</v>
      </c>
      <c r="G171" s="2">
        <v>173448</v>
      </c>
      <c r="H171" s="2">
        <v>171956</v>
      </c>
      <c r="I171" s="2">
        <v>157568</v>
      </c>
      <c r="J171" s="2">
        <v>30008</v>
      </c>
      <c r="K171" s="2">
        <v>11393</v>
      </c>
      <c r="L171" s="2">
        <v>143</v>
      </c>
      <c r="M171" s="2">
        <v>1439398</v>
      </c>
    </row>
    <row r="172" spans="1:13" s="8" customFormat="1" ht="12.75" customHeight="1" x14ac:dyDescent="0.3">
      <c r="A172" s="5">
        <v>2018</v>
      </c>
      <c r="B172" s="6" t="s">
        <v>0</v>
      </c>
      <c r="C172" s="7" t="s">
        <v>2</v>
      </c>
      <c r="D172" s="2">
        <v>114368</v>
      </c>
      <c r="E172" s="2">
        <v>47769</v>
      </c>
      <c r="F172" s="2">
        <v>14339</v>
      </c>
      <c r="G172" s="2">
        <v>48220</v>
      </c>
      <c r="H172" s="2">
        <v>30699</v>
      </c>
      <c r="I172" s="2">
        <v>29039</v>
      </c>
      <c r="J172" s="2">
        <v>5486</v>
      </c>
      <c r="K172" s="2">
        <v>2836</v>
      </c>
      <c r="L172" s="2">
        <v>0</v>
      </c>
      <c r="M172" s="2">
        <v>292756</v>
      </c>
    </row>
    <row r="173" spans="1:13" s="8" customFormat="1" ht="12.75" customHeight="1" x14ac:dyDescent="0.3">
      <c r="A173" s="5">
        <v>2018</v>
      </c>
      <c r="B173" s="6" t="s">
        <v>0</v>
      </c>
      <c r="C173" s="7" t="s">
        <v>3</v>
      </c>
      <c r="D173" s="2">
        <v>55513</v>
      </c>
      <c r="E173" s="2">
        <v>21048</v>
      </c>
      <c r="F173" s="2">
        <v>11548</v>
      </c>
      <c r="G173" s="2">
        <v>32089</v>
      </c>
      <c r="H173" s="2">
        <v>24804</v>
      </c>
      <c r="I173" s="2">
        <v>14216</v>
      </c>
      <c r="J173" s="2">
        <v>2821</v>
      </c>
      <c r="K173" s="2">
        <v>1997</v>
      </c>
      <c r="L173" s="2">
        <v>45</v>
      </c>
      <c r="M173" s="2">
        <v>164081</v>
      </c>
    </row>
    <row r="174" spans="1:13" s="8" customFormat="1" ht="12.75" customHeight="1" x14ac:dyDescent="0.3">
      <c r="A174" s="5">
        <v>2018</v>
      </c>
      <c r="B174" s="6" t="s">
        <v>0</v>
      </c>
      <c r="C174" s="7" t="s">
        <v>4</v>
      </c>
      <c r="D174" s="2">
        <v>39520</v>
      </c>
      <c r="E174" s="2">
        <v>15970</v>
      </c>
      <c r="F174" s="2">
        <v>5086</v>
      </c>
      <c r="G174" s="2">
        <v>8790</v>
      </c>
      <c r="H174" s="2">
        <v>10225</v>
      </c>
      <c r="I174" s="2">
        <v>12011</v>
      </c>
      <c r="J174" s="2">
        <v>1166</v>
      </c>
      <c r="K174" s="2">
        <v>235</v>
      </c>
      <c r="L174" s="2">
        <v>20</v>
      </c>
      <c r="M174" s="2">
        <v>93023</v>
      </c>
    </row>
    <row r="175" spans="1:13" s="8" customFormat="1" ht="12.75" customHeight="1" x14ac:dyDescent="0.3">
      <c r="A175" s="5">
        <v>2018</v>
      </c>
      <c r="B175" s="6" t="s">
        <v>0</v>
      </c>
      <c r="C175" s="7" t="s">
        <v>5</v>
      </c>
      <c r="D175" s="2">
        <v>47075</v>
      </c>
      <c r="E175" s="2">
        <v>16549</v>
      </c>
      <c r="F175" s="2">
        <v>2920</v>
      </c>
      <c r="G175" s="2">
        <v>4704</v>
      </c>
      <c r="H175" s="2">
        <v>8054</v>
      </c>
      <c r="I175" s="2">
        <v>9594</v>
      </c>
      <c r="J175" s="2">
        <v>2287</v>
      </c>
      <c r="K175" s="2">
        <v>402</v>
      </c>
      <c r="L175" s="2">
        <v>0</v>
      </c>
      <c r="M175" s="2">
        <v>91585</v>
      </c>
    </row>
    <row r="176" spans="1:13" s="8" customFormat="1" ht="12.75" customHeight="1" x14ac:dyDescent="0.3">
      <c r="A176" s="5">
        <v>2018</v>
      </c>
      <c r="B176" s="6" t="s">
        <v>0</v>
      </c>
      <c r="C176" s="7" t="s">
        <v>8</v>
      </c>
      <c r="D176" s="2">
        <v>31028</v>
      </c>
      <c r="E176" s="2">
        <v>15391</v>
      </c>
      <c r="F176" s="2">
        <v>2200</v>
      </c>
      <c r="G176" s="2">
        <v>9538</v>
      </c>
      <c r="H176" s="2">
        <v>10375</v>
      </c>
      <c r="I176" s="2">
        <v>8474</v>
      </c>
      <c r="J176" s="2">
        <v>1681</v>
      </c>
      <c r="K176" s="2">
        <v>1442</v>
      </c>
      <c r="L176" s="2">
        <v>0</v>
      </c>
      <c r="M176" s="2">
        <v>80129</v>
      </c>
    </row>
    <row r="177" spans="1:13" s="8" customFormat="1" ht="12.75" customHeight="1" x14ac:dyDescent="0.3">
      <c r="A177" s="5">
        <v>2018</v>
      </c>
      <c r="B177" s="6" t="s">
        <v>0</v>
      </c>
      <c r="C177" s="7" t="s">
        <v>9</v>
      </c>
      <c r="D177" s="2">
        <v>33373</v>
      </c>
      <c r="E177" s="2">
        <v>9902</v>
      </c>
      <c r="F177" s="2">
        <v>841</v>
      </c>
      <c r="G177" s="2">
        <v>10011</v>
      </c>
      <c r="H177" s="2">
        <v>11603</v>
      </c>
      <c r="I177" s="2">
        <v>11391</v>
      </c>
      <c r="J177" s="2">
        <v>1763</v>
      </c>
      <c r="K177" s="2">
        <v>859</v>
      </c>
      <c r="L177" s="2">
        <v>0</v>
      </c>
      <c r="M177" s="2">
        <v>79743</v>
      </c>
    </row>
    <row r="178" spans="1:13" s="8" customFormat="1" ht="12.75" customHeight="1" x14ac:dyDescent="0.3">
      <c r="A178" s="5">
        <v>2018</v>
      </c>
      <c r="B178" s="6" t="s">
        <v>0</v>
      </c>
      <c r="C178" s="7" t="s">
        <v>13</v>
      </c>
      <c r="D178" s="2">
        <v>31487</v>
      </c>
      <c r="E178" s="2">
        <v>9255</v>
      </c>
      <c r="F178" s="2">
        <v>1911</v>
      </c>
      <c r="G178" s="2">
        <v>7103</v>
      </c>
      <c r="H178" s="2">
        <v>6987</v>
      </c>
      <c r="I178" s="2">
        <v>5486</v>
      </c>
      <c r="J178" s="2">
        <v>1793</v>
      </c>
      <c r="K178" s="2">
        <v>4</v>
      </c>
      <c r="L178" s="2">
        <v>0</v>
      </c>
      <c r="M178" s="2">
        <v>64026</v>
      </c>
    </row>
    <row r="179" spans="1:13" s="8" customFormat="1" ht="12.75" customHeight="1" x14ac:dyDescent="0.3">
      <c r="A179" s="5">
        <v>2018</v>
      </c>
      <c r="B179" s="6" t="s">
        <v>0</v>
      </c>
      <c r="C179" s="7" t="s">
        <v>6</v>
      </c>
      <c r="D179" s="2">
        <v>29380</v>
      </c>
      <c r="E179" s="2">
        <v>7918</v>
      </c>
      <c r="F179" s="2">
        <v>1684</v>
      </c>
      <c r="G179" s="2">
        <v>4859</v>
      </c>
      <c r="H179" s="2">
        <v>10233</v>
      </c>
      <c r="I179" s="2">
        <v>7883</v>
      </c>
      <c r="J179" s="2">
        <v>1525</v>
      </c>
      <c r="K179" s="2">
        <v>459</v>
      </c>
      <c r="L179" s="2">
        <v>17</v>
      </c>
      <c r="M179" s="2">
        <v>63958</v>
      </c>
    </row>
    <row r="180" spans="1:13" s="8" customFormat="1" ht="12.75" customHeight="1" x14ac:dyDescent="0.3">
      <c r="A180" s="5">
        <v>2018</v>
      </c>
      <c r="B180" s="6" t="s">
        <v>0</v>
      </c>
      <c r="C180" s="7" t="s">
        <v>15</v>
      </c>
      <c r="D180" s="2">
        <v>25253</v>
      </c>
      <c r="E180" s="2">
        <v>11216</v>
      </c>
      <c r="F180" s="2">
        <v>2012</v>
      </c>
      <c r="G180" s="2">
        <v>8100</v>
      </c>
      <c r="H180" s="2">
        <v>5143</v>
      </c>
      <c r="I180" s="2">
        <v>4371</v>
      </c>
      <c r="J180" s="2">
        <v>1418</v>
      </c>
      <c r="K180" s="2">
        <v>28</v>
      </c>
      <c r="L180" s="2">
        <v>0</v>
      </c>
      <c r="M180" s="2">
        <v>57541</v>
      </c>
    </row>
    <row r="181" spans="1:13" s="8" customFormat="1" ht="12.75" customHeight="1" x14ac:dyDescent="0.3">
      <c r="A181" s="5">
        <v>2018</v>
      </c>
      <c r="B181" s="6" t="s">
        <v>0</v>
      </c>
      <c r="C181" s="7" t="s">
        <v>7</v>
      </c>
      <c r="D181" s="2">
        <v>32470</v>
      </c>
      <c r="E181" s="2">
        <v>7675</v>
      </c>
      <c r="F181" s="2">
        <v>962</v>
      </c>
      <c r="G181" s="2">
        <v>2868</v>
      </c>
      <c r="H181" s="2">
        <v>6353</v>
      </c>
      <c r="I181" s="2">
        <v>5367</v>
      </c>
      <c r="J181" s="2">
        <v>1457</v>
      </c>
      <c r="K181" s="2">
        <v>122</v>
      </c>
      <c r="L181" s="2">
        <v>2</v>
      </c>
      <c r="M181" s="2">
        <v>57276</v>
      </c>
    </row>
    <row r="182" spans="1:13" s="8" customFormat="1" ht="12.75" customHeight="1" x14ac:dyDescent="0.3">
      <c r="A182" s="5">
        <v>2018</v>
      </c>
      <c r="B182" s="6" t="s">
        <v>0</v>
      </c>
      <c r="C182" s="7" t="s">
        <v>12</v>
      </c>
      <c r="D182" s="2">
        <v>22876</v>
      </c>
      <c r="E182" s="2">
        <v>9973</v>
      </c>
      <c r="F182" s="2">
        <v>4877</v>
      </c>
      <c r="G182" s="2">
        <v>8967</v>
      </c>
      <c r="H182" s="2">
        <v>4484</v>
      </c>
      <c r="I182" s="2">
        <v>4168</v>
      </c>
      <c r="J182" s="2">
        <v>1075</v>
      </c>
      <c r="K182" s="2">
        <v>460</v>
      </c>
      <c r="L182" s="2">
        <v>37</v>
      </c>
      <c r="M182" s="2">
        <v>56917</v>
      </c>
    </row>
    <row r="183" spans="1:13" s="8" customFormat="1" ht="12.75" customHeight="1" x14ac:dyDescent="0.3">
      <c r="A183" s="5">
        <v>2018</v>
      </c>
      <c r="B183" s="6" t="s">
        <v>0</v>
      </c>
      <c r="C183" s="7" t="s">
        <v>14</v>
      </c>
      <c r="D183" s="2">
        <v>15505</v>
      </c>
      <c r="E183" s="2">
        <v>9984</v>
      </c>
      <c r="F183" s="2">
        <v>1376</v>
      </c>
      <c r="G183" s="2">
        <v>3492</v>
      </c>
      <c r="H183" s="2">
        <v>11393</v>
      </c>
      <c r="I183" s="2">
        <v>11081</v>
      </c>
      <c r="J183" s="2">
        <v>584</v>
      </c>
      <c r="K183" s="2">
        <v>986</v>
      </c>
      <c r="L183" s="2">
        <v>1</v>
      </c>
      <c r="M183" s="2">
        <v>54402</v>
      </c>
    </row>
    <row r="184" spans="1:13" s="8" customFormat="1" ht="12.75" customHeight="1" x14ac:dyDescent="0.3">
      <c r="A184" s="5">
        <v>2018</v>
      </c>
      <c r="B184" s="6" t="s">
        <v>0</v>
      </c>
      <c r="C184" s="7" t="s">
        <v>11</v>
      </c>
      <c r="D184" s="2">
        <v>22229</v>
      </c>
      <c r="E184" s="2">
        <v>8070</v>
      </c>
      <c r="F184" s="2">
        <v>2572</v>
      </c>
      <c r="G184" s="2">
        <v>6448</v>
      </c>
      <c r="H184" s="2">
        <v>5755</v>
      </c>
      <c r="I184" s="2">
        <v>5408</v>
      </c>
      <c r="J184" s="2">
        <v>1052</v>
      </c>
      <c r="K184" s="2">
        <v>205</v>
      </c>
      <c r="L184" s="2">
        <v>0</v>
      </c>
      <c r="M184" s="2">
        <v>51739</v>
      </c>
    </row>
    <row r="185" spans="1:13" s="8" customFormat="1" ht="12.75" customHeight="1" x14ac:dyDescent="0.3">
      <c r="A185" s="5">
        <v>2018</v>
      </c>
      <c r="B185" s="6" t="s">
        <v>0</v>
      </c>
      <c r="C185" s="7" t="s">
        <v>10</v>
      </c>
      <c r="D185" s="2">
        <v>23260</v>
      </c>
      <c r="E185" s="2">
        <v>6906</v>
      </c>
      <c r="F185" s="2">
        <v>1656</v>
      </c>
      <c r="G185" s="2">
        <v>3753</v>
      </c>
      <c r="H185" s="2">
        <v>3183</v>
      </c>
      <c r="I185" s="2">
        <v>2946</v>
      </c>
      <c r="J185" s="2">
        <v>925</v>
      </c>
      <c r="K185" s="2">
        <v>96</v>
      </c>
      <c r="L185" s="2">
        <v>0</v>
      </c>
      <c r="M185" s="2">
        <v>42725</v>
      </c>
    </row>
    <row r="186" spans="1:13" s="8" customFormat="1" ht="12.75" customHeight="1" x14ac:dyDescent="0.3">
      <c r="A186" s="5">
        <v>2018</v>
      </c>
      <c r="B186" s="6" t="s">
        <v>0</v>
      </c>
      <c r="C186" s="7" t="s">
        <v>19</v>
      </c>
      <c r="D186" s="2">
        <v>17389</v>
      </c>
      <c r="E186" s="2">
        <v>5212</v>
      </c>
      <c r="F186" s="2">
        <v>471</v>
      </c>
      <c r="G186" s="2">
        <v>3229</v>
      </c>
      <c r="H186" s="2">
        <v>5679</v>
      </c>
      <c r="I186" s="2">
        <v>5090</v>
      </c>
      <c r="J186" s="2">
        <v>952</v>
      </c>
      <c r="K186" s="2">
        <v>23</v>
      </c>
      <c r="L186" s="2">
        <v>0</v>
      </c>
      <c r="M186" s="2">
        <v>38045</v>
      </c>
    </row>
    <row r="187" spans="1:13" s="8" customFormat="1" ht="12.75" customHeight="1" x14ac:dyDescent="0.3">
      <c r="A187" s="5">
        <v>2018</v>
      </c>
      <c r="B187" s="6" t="s">
        <v>0</v>
      </c>
      <c r="C187" s="8" t="s">
        <v>16</v>
      </c>
      <c r="D187" s="2">
        <v>16137</v>
      </c>
      <c r="E187" s="2">
        <v>5300</v>
      </c>
      <c r="F187" s="2">
        <v>880</v>
      </c>
      <c r="G187" s="2">
        <v>3799</v>
      </c>
      <c r="H187" s="2">
        <v>3554</v>
      </c>
      <c r="I187" s="2">
        <v>5927</v>
      </c>
      <c r="J187" s="2">
        <v>802</v>
      </c>
      <c r="K187" s="2">
        <v>210</v>
      </c>
      <c r="L187" s="2">
        <v>0</v>
      </c>
      <c r="M187" s="2">
        <v>36609</v>
      </c>
    </row>
    <row r="188" spans="1:13" s="8" customFormat="1" ht="12.75" customHeight="1" x14ac:dyDescent="0.3">
      <c r="A188" s="5">
        <v>2018</v>
      </c>
      <c r="B188" s="6" t="s">
        <v>0</v>
      </c>
      <c r="C188" s="7" t="s">
        <v>18</v>
      </c>
      <c r="D188" s="2">
        <v>14081</v>
      </c>
      <c r="E188" s="2">
        <v>3601</v>
      </c>
      <c r="F188" s="2">
        <v>126</v>
      </c>
      <c r="G188" s="2">
        <v>725</v>
      </c>
      <c r="H188" s="2">
        <v>1836</v>
      </c>
      <c r="I188" s="2">
        <v>3276</v>
      </c>
      <c r="J188" s="2">
        <v>861</v>
      </c>
      <c r="K188" s="2">
        <v>19</v>
      </c>
      <c r="L188" s="2">
        <v>0</v>
      </c>
      <c r="M188" s="2">
        <v>24525</v>
      </c>
    </row>
    <row r="189" spans="1:13" s="8" customFormat="1" ht="12.75" customHeight="1" x14ac:dyDescent="0.3">
      <c r="A189" s="5">
        <v>2018</v>
      </c>
      <c r="B189" s="6" t="s">
        <v>0</v>
      </c>
      <c r="C189" s="7" t="s">
        <v>17</v>
      </c>
      <c r="D189" s="2">
        <v>8761</v>
      </c>
      <c r="E189" s="2">
        <v>2740</v>
      </c>
      <c r="F189" s="2">
        <v>601</v>
      </c>
      <c r="G189" s="2">
        <v>1619</v>
      </c>
      <c r="H189" s="2">
        <v>3174</v>
      </c>
      <c r="I189" s="2">
        <v>2222</v>
      </c>
      <c r="J189" s="2">
        <v>420</v>
      </c>
      <c r="K189" s="2">
        <v>175</v>
      </c>
      <c r="L189" s="2">
        <v>17</v>
      </c>
      <c r="M189" s="2">
        <v>19729</v>
      </c>
    </row>
    <row r="190" spans="1:13" s="8" customFormat="1" ht="12.75" customHeight="1" x14ac:dyDescent="0.3">
      <c r="A190" s="5">
        <v>2018</v>
      </c>
      <c r="B190" s="6" t="s">
        <v>0</v>
      </c>
      <c r="C190" s="7" t="s">
        <v>21</v>
      </c>
      <c r="D190" s="2">
        <v>8076</v>
      </c>
      <c r="E190" s="2">
        <v>2278</v>
      </c>
      <c r="F190" s="2">
        <v>222</v>
      </c>
      <c r="G190" s="2">
        <v>640</v>
      </c>
      <c r="H190" s="2">
        <v>2069</v>
      </c>
      <c r="I190" s="2">
        <v>2880</v>
      </c>
      <c r="J190" s="2">
        <v>460</v>
      </c>
      <c r="K190" s="2">
        <v>356</v>
      </c>
      <c r="L190" s="2">
        <v>1</v>
      </c>
      <c r="M190" s="2">
        <v>16982</v>
      </c>
    </row>
    <row r="191" spans="1:13" s="8" customFormat="1" ht="12.75" customHeight="1" x14ac:dyDescent="0.3">
      <c r="A191" s="5">
        <v>2018</v>
      </c>
      <c r="B191" s="6" t="s">
        <v>0</v>
      </c>
      <c r="C191" s="7" t="s">
        <v>20</v>
      </c>
      <c r="D191" s="2">
        <v>5683</v>
      </c>
      <c r="E191" s="2">
        <v>1969</v>
      </c>
      <c r="F191" s="2">
        <v>399</v>
      </c>
      <c r="G191" s="2">
        <v>1011</v>
      </c>
      <c r="H191" s="2">
        <v>1233</v>
      </c>
      <c r="I191" s="2">
        <v>1186</v>
      </c>
      <c r="J191" s="2">
        <v>394</v>
      </c>
      <c r="K191" s="2">
        <v>57</v>
      </c>
      <c r="L191" s="2">
        <v>3</v>
      </c>
      <c r="M191" s="2">
        <v>11935</v>
      </c>
    </row>
    <row r="192" spans="1:13" s="8" customFormat="1" ht="12.75" customHeight="1" x14ac:dyDescent="0.3">
      <c r="A192" s="5">
        <v>2018</v>
      </c>
      <c r="B192" s="6" t="s">
        <v>0</v>
      </c>
      <c r="C192" s="7" t="s">
        <v>24</v>
      </c>
      <c r="D192" s="2">
        <v>5970</v>
      </c>
      <c r="E192" s="2">
        <v>1490</v>
      </c>
      <c r="F192" s="2">
        <v>308</v>
      </c>
      <c r="G192" s="2">
        <v>336</v>
      </c>
      <c r="H192" s="2">
        <v>889</v>
      </c>
      <c r="I192" s="2">
        <v>890</v>
      </c>
      <c r="J192" s="2">
        <v>294</v>
      </c>
      <c r="K192" s="2">
        <v>123</v>
      </c>
      <c r="L192" s="2">
        <v>0</v>
      </c>
      <c r="M192" s="2">
        <v>10300</v>
      </c>
    </row>
    <row r="193" spans="1:13" s="8" customFormat="1" ht="12.75" customHeight="1" x14ac:dyDescent="0.3">
      <c r="A193" s="5">
        <v>2018</v>
      </c>
      <c r="B193" s="6" t="s">
        <v>0</v>
      </c>
      <c r="C193" s="7" t="s">
        <v>23</v>
      </c>
      <c r="D193" s="2">
        <v>2363</v>
      </c>
      <c r="E193" s="2">
        <v>1086</v>
      </c>
      <c r="F193" s="2">
        <v>114</v>
      </c>
      <c r="G193" s="2">
        <v>1032</v>
      </c>
      <c r="H193" s="2">
        <v>1336</v>
      </c>
      <c r="I193" s="2">
        <v>1703</v>
      </c>
      <c r="J193" s="2">
        <v>178</v>
      </c>
      <c r="K193" s="2">
        <v>22</v>
      </c>
      <c r="L193" s="2">
        <v>0</v>
      </c>
      <c r="M193" s="2">
        <v>7834</v>
      </c>
    </row>
    <row r="194" spans="1:13" s="8" customFormat="1" ht="12.75" customHeight="1" x14ac:dyDescent="0.3">
      <c r="A194" s="5">
        <v>2018</v>
      </c>
      <c r="B194" s="6" t="s">
        <v>0</v>
      </c>
      <c r="C194" s="7" t="s">
        <v>25</v>
      </c>
      <c r="D194" s="2">
        <v>4129</v>
      </c>
      <c r="E194" s="2">
        <v>819</v>
      </c>
      <c r="F194" s="2">
        <v>265</v>
      </c>
      <c r="G194" s="2">
        <v>297</v>
      </c>
      <c r="H194" s="2">
        <v>730</v>
      </c>
      <c r="I194" s="2">
        <v>1116</v>
      </c>
      <c r="J194" s="2">
        <v>185</v>
      </c>
      <c r="K194" s="2">
        <v>100</v>
      </c>
      <c r="L194" s="2">
        <v>0</v>
      </c>
      <c r="M194" s="2">
        <v>7641</v>
      </c>
    </row>
    <row r="195" spans="1:13" s="8" customFormat="1" ht="12.75" customHeight="1" x14ac:dyDescent="0.3">
      <c r="A195" s="5">
        <v>2018</v>
      </c>
      <c r="B195" s="6" t="s">
        <v>0</v>
      </c>
      <c r="C195" s="7" t="s">
        <v>22</v>
      </c>
      <c r="D195" s="2">
        <v>3157</v>
      </c>
      <c r="E195" s="2">
        <v>727</v>
      </c>
      <c r="F195" s="2">
        <v>112</v>
      </c>
      <c r="G195" s="2">
        <v>418</v>
      </c>
      <c r="H195" s="2">
        <v>569</v>
      </c>
      <c r="I195" s="2">
        <v>732</v>
      </c>
      <c r="J195" s="2">
        <v>186</v>
      </c>
      <c r="K195" s="2">
        <v>55</v>
      </c>
      <c r="L195" s="2">
        <v>0</v>
      </c>
      <c r="M195" s="2">
        <v>5956</v>
      </c>
    </row>
    <row r="196" spans="1:13" s="8" customFormat="1" ht="12.75" customHeight="1" x14ac:dyDescent="0.3">
      <c r="A196" s="5">
        <v>2018</v>
      </c>
      <c r="B196" s="6" t="s">
        <v>0</v>
      </c>
      <c r="C196" s="7" t="s">
        <v>26</v>
      </c>
      <c r="D196" s="2">
        <v>1976</v>
      </c>
      <c r="E196" s="2">
        <v>768</v>
      </c>
      <c r="F196" s="2">
        <v>176</v>
      </c>
      <c r="G196" s="2">
        <v>595</v>
      </c>
      <c r="H196" s="2">
        <v>371</v>
      </c>
      <c r="I196" s="2">
        <v>395</v>
      </c>
      <c r="J196" s="2">
        <v>112</v>
      </c>
      <c r="K196" s="2">
        <v>62</v>
      </c>
      <c r="L196" s="2">
        <v>0</v>
      </c>
      <c r="M196" s="2">
        <v>4455</v>
      </c>
    </row>
    <row r="197" spans="1:13" s="8" customFormat="1" ht="12.75" customHeight="1" x14ac:dyDescent="0.3">
      <c r="A197" s="5">
        <v>2018</v>
      </c>
      <c r="B197" s="6" t="s">
        <v>0</v>
      </c>
      <c r="C197" s="7" t="s">
        <v>28</v>
      </c>
      <c r="D197" s="2">
        <v>704</v>
      </c>
      <c r="E197" s="2">
        <v>123</v>
      </c>
      <c r="F197" s="2">
        <v>617</v>
      </c>
      <c r="G197" s="2">
        <v>679</v>
      </c>
      <c r="H197" s="2">
        <v>1116</v>
      </c>
      <c r="I197" s="2">
        <v>575</v>
      </c>
      <c r="J197" s="2">
        <v>71</v>
      </c>
      <c r="K197" s="2">
        <v>50</v>
      </c>
      <c r="L197" s="2">
        <v>0</v>
      </c>
      <c r="M197" s="2">
        <v>3935</v>
      </c>
    </row>
    <row r="198" spans="1:13" s="8" customFormat="1" ht="12.75" customHeight="1" x14ac:dyDescent="0.3">
      <c r="A198" s="5">
        <v>2018</v>
      </c>
      <c r="B198" s="6" t="s">
        <v>0</v>
      </c>
      <c r="C198" s="7" t="s">
        <v>27</v>
      </c>
      <c r="D198" s="2">
        <v>833</v>
      </c>
      <c r="E198" s="2">
        <v>212</v>
      </c>
      <c r="F198" s="2">
        <v>60</v>
      </c>
      <c r="G198" s="2">
        <v>126</v>
      </c>
      <c r="H198" s="2">
        <v>109</v>
      </c>
      <c r="I198" s="2">
        <v>141</v>
      </c>
      <c r="J198" s="2">
        <v>60</v>
      </c>
      <c r="K198" s="2">
        <v>10</v>
      </c>
      <c r="L198" s="2">
        <v>0</v>
      </c>
      <c r="M198" s="2">
        <v>1551</v>
      </c>
    </row>
    <row r="199" spans="1:13" s="8" customFormat="1" ht="12.75" customHeight="1" x14ac:dyDescent="0.3">
      <c r="A199" s="5">
        <v>2019</v>
      </c>
      <c r="B199" s="6" t="s">
        <v>0</v>
      </c>
      <c r="C199" s="7" t="s">
        <v>1</v>
      </c>
      <c r="D199" s="2">
        <v>602750</v>
      </c>
      <c r="E199" s="2">
        <v>217345</v>
      </c>
      <c r="F199" s="2">
        <v>77120</v>
      </c>
      <c r="G199" s="2">
        <v>190668</v>
      </c>
      <c r="H199" s="2">
        <v>169074</v>
      </c>
      <c r="I199" s="2">
        <v>158647</v>
      </c>
      <c r="J199" s="2">
        <v>29224</v>
      </c>
      <c r="K199" s="2">
        <v>13788</v>
      </c>
      <c r="L199" s="2">
        <v>25</v>
      </c>
      <c r="M199" s="2">
        <v>1458641</v>
      </c>
    </row>
    <row r="200" spans="1:13" s="8" customFormat="1" ht="12.75" customHeight="1" x14ac:dyDescent="0.3">
      <c r="A200" s="5">
        <v>2019</v>
      </c>
      <c r="B200" s="6" t="s">
        <v>0</v>
      </c>
      <c r="C200" s="8" t="s">
        <v>2</v>
      </c>
      <c r="D200" s="2">
        <v>112601</v>
      </c>
      <c r="E200" s="2">
        <v>49530</v>
      </c>
      <c r="F200" s="2">
        <v>19211</v>
      </c>
      <c r="G200" s="2">
        <v>49896</v>
      </c>
      <c r="H200" s="2">
        <v>30808</v>
      </c>
      <c r="I200" s="2">
        <v>33122</v>
      </c>
      <c r="J200" s="2">
        <v>5326</v>
      </c>
      <c r="K200" s="2">
        <v>5254</v>
      </c>
      <c r="L200" s="2">
        <v>0</v>
      </c>
      <c r="M200" s="2">
        <v>305748</v>
      </c>
    </row>
    <row r="201" spans="1:13" s="8" customFormat="1" ht="12.75" customHeight="1" x14ac:dyDescent="0.3">
      <c r="A201" s="5">
        <v>2019</v>
      </c>
      <c r="B201" s="6" t="s">
        <v>0</v>
      </c>
      <c r="C201" s="8" t="s">
        <v>3</v>
      </c>
      <c r="D201" s="2">
        <v>52480</v>
      </c>
      <c r="E201" s="2">
        <v>19563</v>
      </c>
      <c r="F201" s="2">
        <v>12215</v>
      </c>
      <c r="G201" s="2">
        <v>31649</v>
      </c>
      <c r="H201" s="2">
        <v>27545</v>
      </c>
      <c r="I201" s="2">
        <v>12974</v>
      </c>
      <c r="J201" s="2">
        <v>2750</v>
      </c>
      <c r="K201" s="2">
        <v>1526</v>
      </c>
      <c r="L201" s="2">
        <v>5</v>
      </c>
      <c r="M201" s="2">
        <v>160707</v>
      </c>
    </row>
    <row r="202" spans="1:13" s="8" customFormat="1" ht="12.75" customHeight="1" x14ac:dyDescent="0.3">
      <c r="A202" s="5">
        <v>2019</v>
      </c>
      <c r="B202" s="6" t="s">
        <v>0</v>
      </c>
      <c r="C202" s="8" t="s">
        <v>4</v>
      </c>
      <c r="D202" s="2">
        <v>38075</v>
      </c>
      <c r="E202" s="2">
        <v>16377</v>
      </c>
      <c r="F202" s="2">
        <v>7262</v>
      </c>
      <c r="G202" s="2">
        <v>9409</v>
      </c>
      <c r="H202" s="2">
        <v>10669</v>
      </c>
      <c r="I202" s="2">
        <v>11237</v>
      </c>
      <c r="J202" s="2">
        <v>1132</v>
      </c>
      <c r="K202" s="2">
        <v>178</v>
      </c>
      <c r="L202" s="2">
        <v>0</v>
      </c>
      <c r="M202" s="2">
        <v>94339</v>
      </c>
    </row>
    <row r="203" spans="1:13" s="8" customFormat="1" ht="12.75" customHeight="1" x14ac:dyDescent="0.3">
      <c r="A203" s="5">
        <v>2019</v>
      </c>
      <c r="B203" s="6" t="s">
        <v>0</v>
      </c>
      <c r="C203" s="8" t="s">
        <v>5</v>
      </c>
      <c r="D203" s="2">
        <v>45486</v>
      </c>
      <c r="E203" s="2">
        <v>12639</v>
      </c>
      <c r="F203" s="2">
        <v>2966</v>
      </c>
      <c r="G203" s="2">
        <v>7293</v>
      </c>
      <c r="H203" s="2">
        <v>7596</v>
      </c>
      <c r="I203" s="2">
        <v>12487</v>
      </c>
      <c r="J203" s="2">
        <v>2152</v>
      </c>
      <c r="K203" s="2">
        <v>676</v>
      </c>
      <c r="L203" s="2">
        <v>1</v>
      </c>
      <c r="M203" s="2">
        <v>91296</v>
      </c>
    </row>
    <row r="204" spans="1:13" s="8" customFormat="1" ht="12.75" customHeight="1" x14ac:dyDescent="0.3">
      <c r="A204" s="5">
        <v>2019</v>
      </c>
      <c r="B204" s="6" t="s">
        <v>0</v>
      </c>
      <c r="C204" s="8" t="s">
        <v>8</v>
      </c>
      <c r="D204" s="2">
        <v>31408</v>
      </c>
      <c r="E204" s="2">
        <v>14966</v>
      </c>
      <c r="F204" s="2">
        <v>3655</v>
      </c>
      <c r="G204" s="2">
        <v>13138</v>
      </c>
      <c r="H204" s="2">
        <v>7866</v>
      </c>
      <c r="I204" s="2">
        <v>8264</v>
      </c>
      <c r="J204" s="2">
        <v>1611</v>
      </c>
      <c r="K204" s="2">
        <v>792</v>
      </c>
      <c r="L204" s="2">
        <v>0</v>
      </c>
      <c r="M204" s="2">
        <v>81700</v>
      </c>
    </row>
    <row r="205" spans="1:13" s="8" customFormat="1" ht="12.75" customHeight="1" x14ac:dyDescent="0.3">
      <c r="A205" s="5">
        <v>2019</v>
      </c>
      <c r="B205" s="6" t="s">
        <v>0</v>
      </c>
      <c r="C205" s="8" t="s">
        <v>9</v>
      </c>
      <c r="D205" s="2">
        <v>32742</v>
      </c>
      <c r="E205" s="2">
        <v>11032</v>
      </c>
      <c r="F205" s="2">
        <v>1357</v>
      </c>
      <c r="G205" s="2">
        <v>11065</v>
      </c>
      <c r="H205" s="2">
        <v>10254</v>
      </c>
      <c r="I205" s="2">
        <v>11027</v>
      </c>
      <c r="J205" s="2">
        <v>1766</v>
      </c>
      <c r="K205" s="2">
        <v>591</v>
      </c>
      <c r="L205" s="2">
        <v>0</v>
      </c>
      <c r="M205" s="2">
        <v>79834</v>
      </c>
    </row>
    <row r="206" spans="1:13" s="8" customFormat="1" ht="12.75" customHeight="1" x14ac:dyDescent="0.3">
      <c r="A206" s="5">
        <v>2019</v>
      </c>
      <c r="B206" s="6" t="s">
        <v>0</v>
      </c>
      <c r="C206" s="8" t="s">
        <v>29</v>
      </c>
      <c r="D206" s="2">
        <v>31007</v>
      </c>
      <c r="E206" s="2">
        <v>8558</v>
      </c>
      <c r="F206" s="2">
        <v>2772</v>
      </c>
      <c r="G206" s="2">
        <v>7212</v>
      </c>
      <c r="H206" s="2">
        <v>7830</v>
      </c>
      <c r="I206" s="2">
        <v>7428</v>
      </c>
      <c r="J206" s="2">
        <v>1897</v>
      </c>
      <c r="K206" s="2">
        <v>553</v>
      </c>
      <c r="L206" s="2">
        <v>0</v>
      </c>
      <c r="M206" s="2">
        <v>67257</v>
      </c>
    </row>
    <row r="207" spans="1:13" s="8" customFormat="1" ht="12.75" customHeight="1" x14ac:dyDescent="0.3">
      <c r="A207" s="5">
        <v>2019</v>
      </c>
      <c r="B207" s="6" t="s">
        <v>0</v>
      </c>
      <c r="C207" s="8" t="s">
        <v>13</v>
      </c>
      <c r="D207" s="2">
        <v>31579</v>
      </c>
      <c r="E207" s="2">
        <v>8018</v>
      </c>
      <c r="F207" s="2">
        <v>2323</v>
      </c>
      <c r="G207" s="2">
        <v>8079</v>
      </c>
      <c r="H207" s="2">
        <v>7188</v>
      </c>
      <c r="I207" s="2">
        <v>5853</v>
      </c>
      <c r="J207" s="2">
        <v>1665</v>
      </c>
      <c r="K207" s="2">
        <v>47</v>
      </c>
      <c r="L207" s="2">
        <v>1</v>
      </c>
      <c r="M207" s="2">
        <v>64753</v>
      </c>
    </row>
    <row r="208" spans="1:13" s="8" customFormat="1" ht="12.75" customHeight="1" x14ac:dyDescent="0.3">
      <c r="A208" s="5">
        <v>2019</v>
      </c>
      <c r="B208" s="6" t="s">
        <v>0</v>
      </c>
      <c r="C208" s="8" t="s">
        <v>7</v>
      </c>
      <c r="D208" s="2">
        <v>31415</v>
      </c>
      <c r="E208" s="2">
        <v>7821</v>
      </c>
      <c r="F208" s="2">
        <v>968</v>
      </c>
      <c r="G208" s="2">
        <v>8969</v>
      </c>
      <c r="H208" s="2">
        <v>6142</v>
      </c>
      <c r="I208" s="2">
        <v>4775</v>
      </c>
      <c r="J208" s="2">
        <v>1395</v>
      </c>
      <c r="K208" s="2">
        <v>853</v>
      </c>
      <c r="L208" s="2">
        <v>2</v>
      </c>
      <c r="M208" s="2">
        <v>62340</v>
      </c>
    </row>
    <row r="209" spans="1:13" s="8" customFormat="1" ht="12.75" customHeight="1" x14ac:dyDescent="0.3">
      <c r="A209" s="5">
        <v>2019</v>
      </c>
      <c r="B209" s="6" t="s">
        <v>0</v>
      </c>
      <c r="C209" s="8" t="s">
        <v>12</v>
      </c>
      <c r="D209" s="2">
        <v>20705</v>
      </c>
      <c r="E209" s="2">
        <v>9687</v>
      </c>
      <c r="F209" s="2">
        <v>7459</v>
      </c>
      <c r="G209" s="2">
        <v>9904</v>
      </c>
      <c r="H209" s="2">
        <v>4076</v>
      </c>
      <c r="I209" s="2">
        <v>4046</v>
      </c>
      <c r="J209" s="2">
        <v>1028</v>
      </c>
      <c r="K209" s="2">
        <v>227</v>
      </c>
      <c r="L209" s="2">
        <v>0</v>
      </c>
      <c r="M209" s="2">
        <v>57132</v>
      </c>
    </row>
    <row r="210" spans="1:13" s="8" customFormat="1" ht="12.75" customHeight="1" x14ac:dyDescent="0.3">
      <c r="A210" s="5">
        <v>2019</v>
      </c>
      <c r="B210" s="6" t="s">
        <v>0</v>
      </c>
      <c r="C210" s="8" t="s">
        <v>15</v>
      </c>
      <c r="D210" s="2">
        <v>26748</v>
      </c>
      <c r="E210" s="2">
        <v>9407</v>
      </c>
      <c r="F210" s="2">
        <v>4138</v>
      </c>
      <c r="G210" s="2">
        <v>4182</v>
      </c>
      <c r="H210" s="2">
        <v>4844</v>
      </c>
      <c r="I210" s="2">
        <v>5121</v>
      </c>
      <c r="J210" s="2">
        <v>1358</v>
      </c>
      <c r="K210" s="2">
        <v>97</v>
      </c>
      <c r="L210" s="2">
        <v>2</v>
      </c>
      <c r="M210" s="2">
        <v>55897</v>
      </c>
    </row>
    <row r="211" spans="1:13" s="8" customFormat="1" ht="12.75" customHeight="1" x14ac:dyDescent="0.3">
      <c r="A211" s="5">
        <v>2019</v>
      </c>
      <c r="B211" s="6" t="s">
        <v>0</v>
      </c>
      <c r="C211" s="8" t="s">
        <v>11</v>
      </c>
      <c r="D211" s="2">
        <v>21392</v>
      </c>
      <c r="E211" s="2">
        <v>8588</v>
      </c>
      <c r="F211" s="2">
        <v>3708</v>
      </c>
      <c r="G211" s="2">
        <v>5360</v>
      </c>
      <c r="H211" s="2">
        <v>4995</v>
      </c>
      <c r="I211" s="2">
        <v>4753</v>
      </c>
      <c r="J211" s="2">
        <v>912</v>
      </c>
      <c r="K211" s="2">
        <v>147</v>
      </c>
      <c r="L211" s="2">
        <v>0</v>
      </c>
      <c r="M211" s="2">
        <v>49855</v>
      </c>
    </row>
    <row r="212" spans="1:13" s="8" customFormat="1" ht="12.75" customHeight="1" x14ac:dyDescent="0.3">
      <c r="A212" s="5">
        <v>2019</v>
      </c>
      <c r="B212" s="6" t="s">
        <v>0</v>
      </c>
      <c r="C212" s="8" t="s">
        <v>14</v>
      </c>
      <c r="D212" s="2">
        <v>14988</v>
      </c>
      <c r="E212" s="2">
        <v>5694</v>
      </c>
      <c r="F212" s="2">
        <v>1488</v>
      </c>
      <c r="G212" s="2">
        <v>5909</v>
      </c>
      <c r="H212" s="2">
        <v>8907</v>
      </c>
      <c r="I212" s="2">
        <v>8671</v>
      </c>
      <c r="J212" s="2">
        <v>519</v>
      </c>
      <c r="K212" s="2">
        <v>601</v>
      </c>
      <c r="L212" s="2">
        <v>0</v>
      </c>
      <c r="M212" s="2">
        <v>46777</v>
      </c>
    </row>
    <row r="213" spans="1:13" s="8" customFormat="1" ht="12.75" customHeight="1" x14ac:dyDescent="0.3">
      <c r="A213" s="5">
        <v>2019</v>
      </c>
      <c r="B213" s="6" t="s">
        <v>0</v>
      </c>
      <c r="C213" s="8" t="s">
        <v>10</v>
      </c>
      <c r="D213" s="2">
        <v>22909</v>
      </c>
      <c r="E213" s="2">
        <v>6873</v>
      </c>
      <c r="F213" s="2">
        <v>1400</v>
      </c>
      <c r="G213" s="2">
        <v>3996</v>
      </c>
      <c r="H213" s="2">
        <v>3081</v>
      </c>
      <c r="I213" s="2">
        <v>2967</v>
      </c>
      <c r="J213" s="2">
        <v>879</v>
      </c>
      <c r="K213" s="2">
        <v>79</v>
      </c>
      <c r="L213" s="2">
        <v>0</v>
      </c>
      <c r="M213" s="2">
        <v>42184</v>
      </c>
    </row>
    <row r="214" spans="1:13" s="8" customFormat="1" ht="12.75" customHeight="1" x14ac:dyDescent="0.3">
      <c r="A214" s="5">
        <v>2019</v>
      </c>
      <c r="B214" s="6" t="s">
        <v>0</v>
      </c>
      <c r="C214" s="8" t="s">
        <v>19</v>
      </c>
      <c r="D214" s="2">
        <v>17528</v>
      </c>
      <c r="E214" s="2">
        <v>4388</v>
      </c>
      <c r="F214" s="2">
        <v>1021</v>
      </c>
      <c r="G214" s="2">
        <v>3798</v>
      </c>
      <c r="H214" s="2">
        <v>6136</v>
      </c>
      <c r="I214" s="2">
        <v>4453</v>
      </c>
      <c r="J214" s="2">
        <v>925</v>
      </c>
      <c r="K214" s="2">
        <v>188</v>
      </c>
      <c r="L214" s="2">
        <v>0</v>
      </c>
      <c r="M214" s="2">
        <v>38437</v>
      </c>
    </row>
    <row r="215" spans="1:13" s="8" customFormat="1" ht="12.75" customHeight="1" x14ac:dyDescent="0.3">
      <c r="A215" s="5">
        <v>2019</v>
      </c>
      <c r="B215" s="6" t="s">
        <v>0</v>
      </c>
      <c r="C215" s="8" t="s">
        <v>16</v>
      </c>
      <c r="D215" s="2">
        <v>14609</v>
      </c>
      <c r="E215" s="2">
        <v>4489</v>
      </c>
      <c r="F215" s="2">
        <v>1738</v>
      </c>
      <c r="G215" s="2">
        <v>2052</v>
      </c>
      <c r="H215" s="2">
        <v>5869</v>
      </c>
      <c r="I215" s="2">
        <v>7090</v>
      </c>
      <c r="J215" s="2">
        <v>705</v>
      </c>
      <c r="K215" s="2">
        <v>194</v>
      </c>
      <c r="L215" s="2">
        <v>3</v>
      </c>
      <c r="M215" s="2">
        <v>36749</v>
      </c>
    </row>
    <row r="216" spans="1:13" s="8" customFormat="1" ht="12.75" customHeight="1" x14ac:dyDescent="0.3">
      <c r="A216" s="5">
        <v>2019</v>
      </c>
      <c r="B216" s="6" t="s">
        <v>0</v>
      </c>
      <c r="C216" s="8" t="s">
        <v>18</v>
      </c>
      <c r="D216" s="2">
        <v>15208</v>
      </c>
      <c r="E216" s="2">
        <v>3590</v>
      </c>
      <c r="F216" s="2">
        <v>200</v>
      </c>
      <c r="G216" s="2">
        <v>1986</v>
      </c>
      <c r="H216" s="2">
        <v>2583</v>
      </c>
      <c r="I216" s="2">
        <v>4549</v>
      </c>
      <c r="J216" s="2">
        <v>916</v>
      </c>
      <c r="K216" s="2">
        <v>685</v>
      </c>
      <c r="L216" s="2">
        <v>0</v>
      </c>
      <c r="M216" s="2">
        <v>29717</v>
      </c>
    </row>
    <row r="217" spans="1:13" s="8" customFormat="1" ht="12.75" customHeight="1" x14ac:dyDescent="0.3">
      <c r="A217" s="5">
        <v>2019</v>
      </c>
      <c r="B217" s="6" t="s">
        <v>0</v>
      </c>
      <c r="C217" s="8" t="s">
        <v>17</v>
      </c>
      <c r="D217" s="2">
        <v>8903</v>
      </c>
      <c r="E217" s="2">
        <v>3087</v>
      </c>
      <c r="F217" s="2">
        <v>548</v>
      </c>
      <c r="G217" s="2">
        <v>1901</v>
      </c>
      <c r="H217" s="2">
        <v>3470</v>
      </c>
      <c r="I217" s="2">
        <v>2215</v>
      </c>
      <c r="J217" s="2">
        <v>466</v>
      </c>
      <c r="K217" s="2">
        <v>623</v>
      </c>
      <c r="L217" s="2">
        <v>9</v>
      </c>
      <c r="M217" s="2">
        <v>21222</v>
      </c>
    </row>
    <row r="218" spans="1:13" s="8" customFormat="1" ht="12.75" customHeight="1" x14ac:dyDescent="0.3">
      <c r="A218" s="5">
        <v>2019</v>
      </c>
      <c r="B218" s="6" t="s">
        <v>0</v>
      </c>
      <c r="C218" s="8" t="s">
        <v>21</v>
      </c>
      <c r="D218" s="2">
        <v>8964</v>
      </c>
      <c r="E218" s="2">
        <v>2835</v>
      </c>
      <c r="F218" s="2">
        <v>185</v>
      </c>
      <c r="G218" s="2">
        <v>917</v>
      </c>
      <c r="H218" s="2">
        <v>1758</v>
      </c>
      <c r="I218" s="2">
        <v>2230</v>
      </c>
      <c r="J218" s="2">
        <v>433</v>
      </c>
      <c r="K218" s="2">
        <v>173</v>
      </c>
      <c r="L218" s="2">
        <v>2</v>
      </c>
      <c r="M218" s="2">
        <v>17497</v>
      </c>
    </row>
    <row r="219" spans="1:13" s="8" customFormat="1" ht="12.75" customHeight="1" x14ac:dyDescent="0.3">
      <c r="A219" s="5">
        <v>2019</v>
      </c>
      <c r="B219" s="6" t="s">
        <v>0</v>
      </c>
      <c r="C219" s="8" t="s">
        <v>20</v>
      </c>
      <c r="D219" s="2">
        <v>5916</v>
      </c>
      <c r="E219" s="2">
        <v>1817</v>
      </c>
      <c r="F219" s="2">
        <v>254</v>
      </c>
      <c r="G219" s="2">
        <v>592</v>
      </c>
      <c r="H219" s="2">
        <v>1210</v>
      </c>
      <c r="I219" s="2">
        <v>976</v>
      </c>
      <c r="J219" s="2">
        <v>354</v>
      </c>
      <c r="K219" s="2">
        <v>41</v>
      </c>
      <c r="L219" s="2">
        <v>0</v>
      </c>
      <c r="M219" s="2">
        <v>11160</v>
      </c>
    </row>
    <row r="220" spans="1:13" s="8" customFormat="1" ht="12.75" customHeight="1" x14ac:dyDescent="0.3">
      <c r="A220" s="5">
        <v>2019</v>
      </c>
      <c r="B220" s="6" t="s">
        <v>0</v>
      </c>
      <c r="C220" s="8" t="s">
        <v>24</v>
      </c>
      <c r="D220" s="2">
        <v>6011</v>
      </c>
      <c r="E220" s="2">
        <v>2146</v>
      </c>
      <c r="F220" s="2">
        <v>264</v>
      </c>
      <c r="G220" s="2">
        <v>489</v>
      </c>
      <c r="H220" s="2">
        <v>817</v>
      </c>
      <c r="I220" s="2">
        <v>825</v>
      </c>
      <c r="J220" s="2">
        <v>288</v>
      </c>
      <c r="K220" s="2">
        <v>69</v>
      </c>
      <c r="L220" s="2">
        <v>0</v>
      </c>
      <c r="M220" s="2">
        <v>10909</v>
      </c>
    </row>
    <row r="221" spans="1:13" s="8" customFormat="1" ht="12.75" customHeight="1" x14ac:dyDescent="0.3">
      <c r="A221" s="5">
        <v>2019</v>
      </c>
      <c r="B221" s="6" t="s">
        <v>0</v>
      </c>
      <c r="C221" s="8" t="s">
        <v>23</v>
      </c>
      <c r="D221" s="2">
        <v>2199</v>
      </c>
      <c r="E221" s="2">
        <v>2798</v>
      </c>
      <c r="F221" s="2">
        <v>55</v>
      </c>
      <c r="G221" s="2">
        <v>282</v>
      </c>
      <c r="H221" s="2">
        <v>2214</v>
      </c>
      <c r="I221" s="2">
        <v>270</v>
      </c>
      <c r="J221" s="2">
        <v>149</v>
      </c>
      <c r="K221" s="2">
        <v>10</v>
      </c>
      <c r="L221" s="2">
        <v>0</v>
      </c>
      <c r="M221" s="2">
        <v>7977</v>
      </c>
    </row>
    <row r="222" spans="1:13" s="8" customFormat="1" ht="12.75" customHeight="1" x14ac:dyDescent="0.3">
      <c r="A222" s="5">
        <v>2019</v>
      </c>
      <c r="B222" s="6" t="s">
        <v>0</v>
      </c>
      <c r="C222" s="8" t="s">
        <v>25</v>
      </c>
      <c r="D222" s="2">
        <v>3617</v>
      </c>
      <c r="E222" s="2">
        <v>1353</v>
      </c>
      <c r="F222" s="2">
        <v>141</v>
      </c>
      <c r="G222" s="2">
        <v>243</v>
      </c>
      <c r="H222" s="2">
        <v>676</v>
      </c>
      <c r="I222" s="2">
        <v>1074</v>
      </c>
      <c r="J222" s="2">
        <v>169</v>
      </c>
      <c r="K222" s="2">
        <v>74</v>
      </c>
      <c r="L222" s="2">
        <v>0</v>
      </c>
      <c r="M222" s="2">
        <v>7347</v>
      </c>
    </row>
    <row r="223" spans="1:13" s="8" customFormat="1" ht="12.75" customHeight="1" x14ac:dyDescent="0.3">
      <c r="A223" s="5">
        <v>2019</v>
      </c>
      <c r="B223" s="6" t="s">
        <v>0</v>
      </c>
      <c r="C223" s="8" t="s">
        <v>22</v>
      </c>
      <c r="D223" s="2">
        <v>3053</v>
      </c>
      <c r="E223" s="2">
        <v>701</v>
      </c>
      <c r="F223" s="2">
        <v>98</v>
      </c>
      <c r="G223" s="2">
        <v>596</v>
      </c>
      <c r="H223" s="2">
        <v>575</v>
      </c>
      <c r="I223" s="2">
        <v>959</v>
      </c>
      <c r="J223" s="2">
        <v>196</v>
      </c>
      <c r="K223" s="2">
        <v>57</v>
      </c>
      <c r="L223" s="2">
        <v>0</v>
      </c>
      <c r="M223" s="2">
        <v>6235</v>
      </c>
    </row>
    <row r="224" spans="1:13" s="8" customFormat="1" ht="12.75" customHeight="1" x14ac:dyDescent="0.3">
      <c r="A224" s="5">
        <v>2019</v>
      </c>
      <c r="B224" s="6" t="s">
        <v>0</v>
      </c>
      <c r="C224" s="8" t="s">
        <v>30</v>
      </c>
      <c r="D224" s="2">
        <v>598</v>
      </c>
      <c r="E224" s="2">
        <v>430</v>
      </c>
      <c r="F224" s="2">
        <v>861</v>
      </c>
      <c r="G224" s="2">
        <v>1275</v>
      </c>
      <c r="H224" s="2">
        <v>1359</v>
      </c>
      <c r="I224" s="2">
        <v>723</v>
      </c>
      <c r="J224" s="2">
        <v>63</v>
      </c>
      <c r="K224" s="2">
        <v>41</v>
      </c>
      <c r="L224" s="2">
        <v>0</v>
      </c>
      <c r="M224" s="2">
        <v>5350</v>
      </c>
    </row>
    <row r="225" spans="1:13" s="8" customFormat="1" ht="12.75" customHeight="1" x14ac:dyDescent="0.3">
      <c r="A225" s="5">
        <v>2019</v>
      </c>
      <c r="B225" s="6" t="s">
        <v>0</v>
      </c>
      <c r="C225" s="8" t="s">
        <v>26</v>
      </c>
      <c r="D225" s="2">
        <v>1813</v>
      </c>
      <c r="E225" s="2">
        <v>737</v>
      </c>
      <c r="F225" s="2">
        <v>732</v>
      </c>
      <c r="G225" s="2">
        <v>374</v>
      </c>
      <c r="H225" s="2">
        <v>418</v>
      </c>
      <c r="I225" s="2">
        <v>410</v>
      </c>
      <c r="J225" s="2">
        <v>108</v>
      </c>
      <c r="K225" s="2">
        <v>7</v>
      </c>
      <c r="L225" s="2">
        <v>0</v>
      </c>
      <c r="M225" s="2">
        <v>4599</v>
      </c>
    </row>
    <row r="226" spans="1:13" s="8" customFormat="1" ht="12.75" customHeight="1" x14ac:dyDescent="0.3">
      <c r="A226" s="5">
        <v>2019</v>
      </c>
      <c r="B226" s="6" t="s">
        <v>0</v>
      </c>
      <c r="C226" s="8" t="s">
        <v>27</v>
      </c>
      <c r="D226" s="2">
        <v>796</v>
      </c>
      <c r="E226" s="2">
        <v>221</v>
      </c>
      <c r="F226" s="2">
        <v>101</v>
      </c>
      <c r="G226" s="2">
        <v>102</v>
      </c>
      <c r="H226" s="2">
        <v>188</v>
      </c>
      <c r="I226" s="2">
        <v>148</v>
      </c>
      <c r="J226" s="2">
        <v>62</v>
      </c>
      <c r="K226" s="2">
        <v>5</v>
      </c>
      <c r="L226" s="2">
        <v>0</v>
      </c>
      <c r="M226" s="2">
        <v>1623</v>
      </c>
    </row>
    <row r="227" spans="1:13" s="8" customFormat="1" ht="12.75" customHeight="1" x14ac:dyDescent="0.3">
      <c r="A227" s="5">
        <v>2020</v>
      </c>
      <c r="B227" s="7" t="s">
        <v>0</v>
      </c>
      <c r="C227" s="9" t="s">
        <v>1</v>
      </c>
      <c r="D227" s="3">
        <v>590544</v>
      </c>
      <c r="E227" s="3">
        <v>213890</v>
      </c>
      <c r="F227" s="3">
        <v>66923</v>
      </c>
      <c r="G227" s="3">
        <v>163429</v>
      </c>
      <c r="H227" s="3">
        <v>175378</v>
      </c>
      <c r="I227" s="3">
        <v>149007</v>
      </c>
      <c r="J227" s="3">
        <v>28243</v>
      </c>
      <c r="K227" s="3">
        <v>13343</v>
      </c>
      <c r="L227" s="3">
        <v>132</v>
      </c>
      <c r="M227" s="3">
        <v>1400889</v>
      </c>
    </row>
    <row r="228" spans="1:13" s="8" customFormat="1" ht="12.75" customHeight="1" x14ac:dyDescent="0.3">
      <c r="A228" s="5">
        <v>2020</v>
      </c>
      <c r="B228" s="7" t="s">
        <v>0</v>
      </c>
      <c r="C228" s="8" t="s">
        <v>2</v>
      </c>
      <c r="D228" s="3">
        <v>104948</v>
      </c>
      <c r="E228" s="3">
        <v>48324</v>
      </c>
      <c r="F228" s="3">
        <v>10534</v>
      </c>
      <c r="G228" s="3">
        <v>40753</v>
      </c>
      <c r="H228" s="3">
        <v>38365</v>
      </c>
      <c r="I228" s="3">
        <v>28146</v>
      </c>
      <c r="J228" s="3">
        <v>5460</v>
      </c>
      <c r="K228" s="3">
        <v>5778</v>
      </c>
      <c r="L228" s="3">
        <v>0</v>
      </c>
      <c r="M228" s="3">
        <v>282308</v>
      </c>
    </row>
    <row r="229" spans="1:13" s="8" customFormat="1" ht="12.75" customHeight="1" x14ac:dyDescent="0.3">
      <c r="A229" s="5">
        <v>2020</v>
      </c>
      <c r="B229" s="7" t="s">
        <v>0</v>
      </c>
      <c r="C229" s="8" t="s">
        <v>3</v>
      </c>
      <c r="D229" s="3">
        <v>52861</v>
      </c>
      <c r="E229" s="3">
        <v>18573</v>
      </c>
      <c r="F229" s="3">
        <v>11224</v>
      </c>
      <c r="G229" s="3">
        <v>32491</v>
      </c>
      <c r="H229" s="3">
        <v>23629</v>
      </c>
      <c r="I229" s="3">
        <v>12310</v>
      </c>
      <c r="J229" s="3">
        <v>2587</v>
      </c>
      <c r="K229" s="3">
        <v>1006</v>
      </c>
      <c r="L229" s="3">
        <v>0</v>
      </c>
      <c r="M229" s="3">
        <v>154681</v>
      </c>
    </row>
    <row r="230" spans="1:13" s="8" customFormat="1" ht="12.75" customHeight="1" x14ac:dyDescent="0.3">
      <c r="A230" s="5">
        <v>2020</v>
      </c>
      <c r="B230" s="7" t="s">
        <v>0</v>
      </c>
      <c r="C230" s="8" t="s">
        <v>4</v>
      </c>
      <c r="D230" s="3">
        <v>38052</v>
      </c>
      <c r="E230" s="3">
        <v>16717</v>
      </c>
      <c r="F230" s="3">
        <v>6207</v>
      </c>
      <c r="G230" s="3">
        <v>9591</v>
      </c>
      <c r="H230" s="3">
        <v>9722</v>
      </c>
      <c r="I230" s="3">
        <v>11837</v>
      </c>
      <c r="J230" s="3">
        <v>1060</v>
      </c>
      <c r="K230" s="3">
        <v>296</v>
      </c>
      <c r="L230" s="3">
        <v>59</v>
      </c>
      <c r="M230" s="3">
        <v>93541</v>
      </c>
    </row>
    <row r="231" spans="1:13" s="8" customFormat="1" ht="12.75" customHeight="1" x14ac:dyDescent="0.3">
      <c r="A231" s="5">
        <v>2020</v>
      </c>
      <c r="B231" s="7" t="s">
        <v>0</v>
      </c>
      <c r="C231" s="8" t="s">
        <v>5</v>
      </c>
      <c r="D231" s="3">
        <v>43944</v>
      </c>
      <c r="E231" s="3">
        <v>14811</v>
      </c>
      <c r="F231" s="3">
        <v>3012</v>
      </c>
      <c r="G231" s="3">
        <v>4509</v>
      </c>
      <c r="H231" s="3">
        <v>6091</v>
      </c>
      <c r="I231" s="3">
        <v>9228</v>
      </c>
      <c r="J231" s="3">
        <v>1963</v>
      </c>
      <c r="K231" s="3">
        <v>410</v>
      </c>
      <c r="L231" s="3">
        <v>0</v>
      </c>
      <c r="M231" s="3">
        <v>83968</v>
      </c>
    </row>
    <row r="232" spans="1:13" s="8" customFormat="1" ht="12.75" customHeight="1" x14ac:dyDescent="0.3">
      <c r="A232" s="5">
        <v>2020</v>
      </c>
      <c r="B232" s="7" t="s">
        <v>0</v>
      </c>
      <c r="C232" s="8" t="s">
        <v>9</v>
      </c>
      <c r="D232" s="3">
        <v>31236</v>
      </c>
      <c r="E232" s="3">
        <v>10580</v>
      </c>
      <c r="F232" s="3">
        <v>3405</v>
      </c>
      <c r="G232" s="3">
        <v>8170</v>
      </c>
      <c r="H232" s="3">
        <v>14522</v>
      </c>
      <c r="I232" s="3">
        <v>12122</v>
      </c>
      <c r="J232" s="3">
        <v>1706</v>
      </c>
      <c r="K232" s="3">
        <v>635</v>
      </c>
      <c r="L232" s="3">
        <v>30</v>
      </c>
      <c r="M232" s="3">
        <v>82406</v>
      </c>
    </row>
    <row r="233" spans="1:13" s="8" customFormat="1" ht="12.75" customHeight="1" x14ac:dyDescent="0.3">
      <c r="A233" s="5">
        <v>2020</v>
      </c>
      <c r="B233" s="7" t="s">
        <v>0</v>
      </c>
      <c r="C233" s="8" t="s">
        <v>8</v>
      </c>
      <c r="D233" s="3">
        <v>32274</v>
      </c>
      <c r="E233" s="3">
        <v>12592</v>
      </c>
      <c r="F233" s="3">
        <v>5533</v>
      </c>
      <c r="G233" s="3">
        <v>7108</v>
      </c>
      <c r="H233" s="3">
        <v>8399</v>
      </c>
      <c r="I233" s="3">
        <v>9721</v>
      </c>
      <c r="J233" s="3">
        <v>1461</v>
      </c>
      <c r="K233" s="3">
        <v>605</v>
      </c>
      <c r="L233" s="3">
        <v>15</v>
      </c>
      <c r="M233" s="3">
        <v>77708</v>
      </c>
    </row>
    <row r="234" spans="1:13" s="8" customFormat="1" ht="12.75" customHeight="1" x14ac:dyDescent="0.3">
      <c r="A234" s="5">
        <v>2020</v>
      </c>
      <c r="B234" s="7" t="s">
        <v>0</v>
      </c>
      <c r="C234" s="8" t="s">
        <v>13</v>
      </c>
      <c r="D234" s="3">
        <v>30113</v>
      </c>
      <c r="E234" s="3">
        <v>9510</v>
      </c>
      <c r="F234" s="3">
        <v>1889</v>
      </c>
      <c r="G234" s="3">
        <v>6556</v>
      </c>
      <c r="H234" s="3">
        <v>6633</v>
      </c>
      <c r="I234" s="3">
        <v>6526</v>
      </c>
      <c r="J234" s="3">
        <v>1611</v>
      </c>
      <c r="K234" s="3">
        <v>46</v>
      </c>
      <c r="L234" s="3">
        <v>0</v>
      </c>
      <c r="M234" s="3">
        <v>62884</v>
      </c>
    </row>
    <row r="235" spans="1:13" s="8" customFormat="1" ht="12.75" customHeight="1" x14ac:dyDescent="0.3">
      <c r="A235" s="5">
        <v>2020</v>
      </c>
      <c r="B235" s="7" t="s">
        <v>0</v>
      </c>
      <c r="C235" s="8" t="s">
        <v>15</v>
      </c>
      <c r="D235" s="3">
        <v>27881</v>
      </c>
      <c r="E235" s="3">
        <v>9010</v>
      </c>
      <c r="F235" s="3">
        <v>4272</v>
      </c>
      <c r="G235" s="3">
        <v>7143</v>
      </c>
      <c r="H235" s="3">
        <v>6059</v>
      </c>
      <c r="I235" s="3">
        <v>5297</v>
      </c>
      <c r="J235" s="3">
        <v>1557</v>
      </c>
      <c r="K235" s="3">
        <v>106</v>
      </c>
      <c r="L235" s="3">
        <v>0</v>
      </c>
      <c r="M235" s="3">
        <v>61325</v>
      </c>
    </row>
    <row r="236" spans="1:13" s="8" customFormat="1" ht="12.75" customHeight="1" x14ac:dyDescent="0.3">
      <c r="A236" s="5">
        <v>2020</v>
      </c>
      <c r="B236" s="7" t="s">
        <v>0</v>
      </c>
      <c r="C236" s="8" t="s">
        <v>29</v>
      </c>
      <c r="D236" s="3">
        <v>29530</v>
      </c>
      <c r="E236" s="3">
        <v>6155</v>
      </c>
      <c r="F236" s="3">
        <v>2484</v>
      </c>
      <c r="G236" s="3">
        <v>3657</v>
      </c>
      <c r="H236" s="3">
        <v>7679</v>
      </c>
      <c r="I236" s="3">
        <v>7574</v>
      </c>
      <c r="J236" s="3">
        <v>1451</v>
      </c>
      <c r="K236" s="3">
        <v>285</v>
      </c>
      <c r="L236" s="3">
        <v>0</v>
      </c>
      <c r="M236" s="3">
        <v>58815</v>
      </c>
    </row>
    <row r="237" spans="1:13" s="8" customFormat="1" ht="12.75" customHeight="1" x14ac:dyDescent="0.3">
      <c r="A237" s="5">
        <v>2020</v>
      </c>
      <c r="B237" s="7" t="s">
        <v>0</v>
      </c>
      <c r="C237" s="8" t="s">
        <v>12</v>
      </c>
      <c r="D237" s="3">
        <v>21039</v>
      </c>
      <c r="E237" s="3">
        <v>10161</v>
      </c>
      <c r="F237" s="3">
        <v>5054</v>
      </c>
      <c r="G237" s="3">
        <v>7642</v>
      </c>
      <c r="H237" s="3">
        <v>6699</v>
      </c>
      <c r="I237" s="3">
        <v>5047</v>
      </c>
      <c r="J237" s="3">
        <v>1039</v>
      </c>
      <c r="K237" s="3">
        <v>356</v>
      </c>
      <c r="L237" s="3">
        <v>0</v>
      </c>
      <c r="M237" s="3">
        <v>57037</v>
      </c>
    </row>
    <row r="238" spans="1:13" s="8" customFormat="1" ht="12.75" customHeight="1" x14ac:dyDescent="0.3">
      <c r="A238" s="5">
        <v>2020</v>
      </c>
      <c r="B238" s="7" t="s">
        <v>0</v>
      </c>
      <c r="C238" s="8" t="s">
        <v>7</v>
      </c>
      <c r="D238" s="3">
        <v>30555</v>
      </c>
      <c r="E238" s="3">
        <v>6515</v>
      </c>
      <c r="F238" s="3">
        <v>1007</v>
      </c>
      <c r="G238" s="3">
        <v>2396</v>
      </c>
      <c r="H238" s="3">
        <v>6019</v>
      </c>
      <c r="I238" s="3">
        <v>4779</v>
      </c>
      <c r="J238" s="3">
        <v>1432</v>
      </c>
      <c r="K238" s="3">
        <v>161</v>
      </c>
      <c r="L238" s="3">
        <v>9</v>
      </c>
      <c r="M238" s="3">
        <v>52873</v>
      </c>
    </row>
    <row r="239" spans="1:13" s="8" customFormat="1" ht="12.75" customHeight="1" x14ac:dyDescent="0.3">
      <c r="A239" s="5">
        <v>2020</v>
      </c>
      <c r="B239" s="7" t="s">
        <v>0</v>
      </c>
      <c r="C239" s="8" t="s">
        <v>11</v>
      </c>
      <c r="D239" s="3">
        <v>22110</v>
      </c>
      <c r="E239" s="3">
        <v>9529</v>
      </c>
      <c r="F239" s="3">
        <v>3095</v>
      </c>
      <c r="G239" s="3">
        <v>7256</v>
      </c>
      <c r="H239" s="3">
        <v>3468</v>
      </c>
      <c r="I239" s="3">
        <v>3907</v>
      </c>
      <c r="J239" s="3">
        <v>933</v>
      </c>
      <c r="K239" s="3">
        <v>170</v>
      </c>
      <c r="L239" s="3">
        <v>15</v>
      </c>
      <c r="M239" s="3">
        <v>50483</v>
      </c>
    </row>
    <row r="240" spans="1:13" s="8" customFormat="1" ht="12.75" customHeight="1" x14ac:dyDescent="0.3">
      <c r="A240" s="5">
        <v>2020</v>
      </c>
      <c r="B240" s="7" t="s">
        <v>0</v>
      </c>
      <c r="C240" s="8" t="s">
        <v>14</v>
      </c>
      <c r="D240" s="3">
        <v>13812</v>
      </c>
      <c r="E240" s="3">
        <v>7133</v>
      </c>
      <c r="F240" s="3">
        <v>1979</v>
      </c>
      <c r="G240" s="3">
        <v>6773</v>
      </c>
      <c r="H240" s="3">
        <v>7672</v>
      </c>
      <c r="I240" s="3">
        <v>6780</v>
      </c>
      <c r="J240" s="3">
        <v>514</v>
      </c>
      <c r="K240" s="3">
        <v>167</v>
      </c>
      <c r="L240" s="3">
        <v>0</v>
      </c>
      <c r="M240" s="3">
        <v>44830</v>
      </c>
    </row>
    <row r="241" spans="1:14" s="8" customFormat="1" ht="12.75" customHeight="1" x14ac:dyDescent="0.3">
      <c r="A241" s="5">
        <v>2020</v>
      </c>
      <c r="B241" s="7" t="s">
        <v>0</v>
      </c>
      <c r="C241" s="8" t="s">
        <v>10</v>
      </c>
      <c r="D241" s="3">
        <v>23025</v>
      </c>
      <c r="E241" s="3">
        <v>7832</v>
      </c>
      <c r="F241" s="3">
        <v>1134</v>
      </c>
      <c r="G241" s="3">
        <v>3350</v>
      </c>
      <c r="H241" s="3">
        <v>3809</v>
      </c>
      <c r="I241" s="3">
        <v>3494</v>
      </c>
      <c r="J241" s="3">
        <v>893</v>
      </c>
      <c r="K241" s="3">
        <v>97</v>
      </c>
      <c r="L241" s="3">
        <v>0</v>
      </c>
      <c r="M241" s="3">
        <v>43634</v>
      </c>
    </row>
    <row r="242" spans="1:14" s="8" customFormat="1" ht="12.75" customHeight="1" x14ac:dyDescent="0.3">
      <c r="A242" s="5">
        <v>2020</v>
      </c>
      <c r="B242" s="7" t="s">
        <v>0</v>
      </c>
      <c r="C242" s="8" t="s">
        <v>16</v>
      </c>
      <c r="D242" s="3">
        <v>15634</v>
      </c>
      <c r="E242" s="3">
        <v>5690</v>
      </c>
      <c r="F242" s="3">
        <v>644</v>
      </c>
      <c r="G242" s="3">
        <v>2573</v>
      </c>
      <c r="H242" s="3">
        <v>4970</v>
      </c>
      <c r="I242" s="3">
        <v>6507</v>
      </c>
      <c r="J242" s="3">
        <v>800</v>
      </c>
      <c r="K242" s="3">
        <v>177</v>
      </c>
      <c r="L242" s="3">
        <v>0</v>
      </c>
      <c r="M242" s="3">
        <v>36995</v>
      </c>
    </row>
    <row r="243" spans="1:14" s="8" customFormat="1" ht="12.75" customHeight="1" x14ac:dyDescent="0.3">
      <c r="A243" s="5">
        <v>2020</v>
      </c>
      <c r="B243" s="7" t="s">
        <v>0</v>
      </c>
      <c r="C243" s="8" t="s">
        <v>19</v>
      </c>
      <c r="D243" s="3">
        <v>15688</v>
      </c>
      <c r="E243" s="3">
        <v>3884</v>
      </c>
      <c r="F243" s="3">
        <v>1317</v>
      </c>
      <c r="G243" s="3">
        <v>3176</v>
      </c>
      <c r="H243" s="3">
        <v>6690</v>
      </c>
      <c r="I243" s="3">
        <v>4681</v>
      </c>
      <c r="J243" s="3">
        <v>885</v>
      </c>
      <c r="K243" s="3">
        <v>585</v>
      </c>
      <c r="L243" s="3">
        <v>0</v>
      </c>
      <c r="M243" s="3">
        <v>36906</v>
      </c>
    </row>
    <row r="244" spans="1:14" s="8" customFormat="1" ht="12.75" customHeight="1" x14ac:dyDescent="0.3">
      <c r="A244" s="5">
        <v>2020</v>
      </c>
      <c r="B244" s="7" t="s">
        <v>0</v>
      </c>
      <c r="C244" s="8" t="s">
        <v>18</v>
      </c>
      <c r="D244" s="3">
        <v>16334</v>
      </c>
      <c r="E244" s="3">
        <v>4571</v>
      </c>
      <c r="F244" s="3">
        <v>873</v>
      </c>
      <c r="G244" s="3">
        <v>2639</v>
      </c>
      <c r="H244" s="3">
        <v>2799</v>
      </c>
      <c r="I244" s="3">
        <v>2318</v>
      </c>
      <c r="J244" s="3">
        <v>908</v>
      </c>
      <c r="K244" s="3">
        <v>841</v>
      </c>
      <c r="L244" s="3">
        <v>0</v>
      </c>
      <c r="M244" s="3">
        <v>31283</v>
      </c>
    </row>
    <row r="245" spans="1:14" s="8" customFormat="1" ht="12.75" customHeight="1" x14ac:dyDescent="0.3">
      <c r="A245" s="5">
        <v>2020</v>
      </c>
      <c r="B245" s="7" t="s">
        <v>0</v>
      </c>
      <c r="C245" s="8" t="s">
        <v>17</v>
      </c>
      <c r="D245" s="3">
        <v>7827</v>
      </c>
      <c r="E245" s="3">
        <v>2936</v>
      </c>
      <c r="F245" s="3">
        <v>596</v>
      </c>
      <c r="G245" s="3">
        <v>2266</v>
      </c>
      <c r="H245" s="3">
        <v>2806</v>
      </c>
      <c r="I245" s="3">
        <v>2080</v>
      </c>
      <c r="J245" s="3">
        <v>371</v>
      </c>
      <c r="K245" s="3">
        <v>1102</v>
      </c>
      <c r="L245" s="3">
        <v>3</v>
      </c>
      <c r="M245" s="3">
        <v>19987</v>
      </c>
    </row>
    <row r="246" spans="1:14" s="8" customFormat="1" ht="12.75" customHeight="1" x14ac:dyDescent="0.3">
      <c r="A246" s="5">
        <v>2020</v>
      </c>
      <c r="B246" s="7" t="s">
        <v>0</v>
      </c>
      <c r="C246" s="8" t="s">
        <v>21</v>
      </c>
      <c r="D246" s="3">
        <v>8368</v>
      </c>
      <c r="E246" s="3">
        <v>2823</v>
      </c>
      <c r="F246" s="3">
        <v>415</v>
      </c>
      <c r="G246" s="3">
        <v>1230</v>
      </c>
      <c r="H246" s="3">
        <v>1310</v>
      </c>
      <c r="I246" s="3">
        <v>1616</v>
      </c>
      <c r="J246" s="3">
        <v>362</v>
      </c>
      <c r="K246" s="3">
        <v>142</v>
      </c>
      <c r="L246" s="3">
        <v>1</v>
      </c>
      <c r="M246" s="3">
        <v>16267</v>
      </c>
    </row>
    <row r="247" spans="1:14" s="8" customFormat="1" ht="12.75" customHeight="1" x14ac:dyDescent="0.3">
      <c r="A247" s="5">
        <v>2020</v>
      </c>
      <c r="B247" s="7" t="s">
        <v>0</v>
      </c>
      <c r="C247" s="8" t="s">
        <v>24</v>
      </c>
      <c r="D247" s="3">
        <v>7092</v>
      </c>
      <c r="E247" s="3">
        <v>1457</v>
      </c>
      <c r="F247" s="3">
        <v>312</v>
      </c>
      <c r="G247" s="3">
        <v>346</v>
      </c>
      <c r="H247" s="3">
        <v>913</v>
      </c>
      <c r="I247" s="3">
        <v>827</v>
      </c>
      <c r="J247" s="3">
        <v>281</v>
      </c>
      <c r="K247" s="3">
        <v>97</v>
      </c>
      <c r="L247" s="3">
        <v>0</v>
      </c>
      <c r="M247" s="3">
        <v>11325</v>
      </c>
    </row>
    <row r="248" spans="1:14" s="8" customFormat="1" ht="12.75" customHeight="1" x14ac:dyDescent="0.3">
      <c r="A248" s="5">
        <v>2020</v>
      </c>
      <c r="B248" s="7" t="s">
        <v>0</v>
      </c>
      <c r="C248" s="8" t="s">
        <v>20</v>
      </c>
      <c r="D248" s="3">
        <v>5584</v>
      </c>
      <c r="E248" s="3">
        <v>1173</v>
      </c>
      <c r="F248" s="3">
        <v>205</v>
      </c>
      <c r="G248" s="3">
        <v>709</v>
      </c>
      <c r="H248" s="3">
        <v>804</v>
      </c>
      <c r="I248" s="3">
        <v>1082</v>
      </c>
      <c r="J248" s="3">
        <v>371</v>
      </c>
      <c r="K248" s="3">
        <v>88</v>
      </c>
      <c r="L248" s="3">
        <v>0</v>
      </c>
      <c r="M248" s="3">
        <v>10016</v>
      </c>
    </row>
    <row r="249" spans="1:14" s="8" customFormat="1" ht="12.75" customHeight="1" x14ac:dyDescent="0.3">
      <c r="A249" s="5">
        <v>2020</v>
      </c>
      <c r="B249" s="7" t="s">
        <v>0</v>
      </c>
      <c r="C249" s="8" t="s">
        <v>25</v>
      </c>
      <c r="D249" s="3">
        <v>4440</v>
      </c>
      <c r="E249" s="3">
        <v>868</v>
      </c>
      <c r="F249" s="3">
        <v>111</v>
      </c>
      <c r="G249" s="3">
        <v>431</v>
      </c>
      <c r="H249" s="3">
        <v>860</v>
      </c>
      <c r="I249" s="3">
        <v>1063</v>
      </c>
      <c r="J249" s="3">
        <v>120</v>
      </c>
      <c r="K249" s="3">
        <v>69</v>
      </c>
      <c r="L249" s="3">
        <v>0</v>
      </c>
      <c r="M249" s="3">
        <v>7962</v>
      </c>
    </row>
    <row r="250" spans="1:14" s="8" customFormat="1" ht="12.75" customHeight="1" x14ac:dyDescent="0.3">
      <c r="A250" s="5">
        <v>2020</v>
      </c>
      <c r="B250" s="7" t="s">
        <v>0</v>
      </c>
      <c r="C250" s="8" t="s">
        <v>23</v>
      </c>
      <c r="D250" s="3">
        <v>2408</v>
      </c>
      <c r="E250" s="3">
        <v>1548</v>
      </c>
      <c r="F250" s="3">
        <v>591</v>
      </c>
      <c r="G250" s="3">
        <v>346</v>
      </c>
      <c r="H250" s="3">
        <v>2219</v>
      </c>
      <c r="I250" s="3">
        <v>177</v>
      </c>
      <c r="J250" s="3">
        <v>119</v>
      </c>
      <c r="K250" s="3">
        <v>10</v>
      </c>
      <c r="L250" s="3">
        <v>0</v>
      </c>
      <c r="M250" s="3">
        <v>7418</v>
      </c>
    </row>
    <row r="251" spans="1:14" s="8" customFormat="1" ht="12.75" customHeight="1" x14ac:dyDescent="0.3">
      <c r="A251" s="5">
        <v>2020</v>
      </c>
      <c r="B251" s="7" t="s">
        <v>0</v>
      </c>
      <c r="C251" s="8" t="s">
        <v>22</v>
      </c>
      <c r="D251" s="3">
        <v>3331</v>
      </c>
      <c r="E251" s="3">
        <v>507</v>
      </c>
      <c r="F251" s="3">
        <v>67</v>
      </c>
      <c r="G251" s="3">
        <v>405</v>
      </c>
      <c r="H251" s="3">
        <v>844</v>
      </c>
      <c r="I251" s="3">
        <v>701</v>
      </c>
      <c r="J251" s="3">
        <v>208</v>
      </c>
      <c r="K251" s="3">
        <v>52</v>
      </c>
      <c r="L251" s="3">
        <v>0</v>
      </c>
      <c r="M251" s="3">
        <v>6115</v>
      </c>
    </row>
    <row r="252" spans="1:14" s="8" customFormat="1" ht="12.75" customHeight="1" x14ac:dyDescent="0.3">
      <c r="A252" s="5">
        <v>2020</v>
      </c>
      <c r="B252" s="7" t="s">
        <v>0</v>
      </c>
      <c r="C252" s="8" t="s">
        <v>30</v>
      </c>
      <c r="D252" s="3">
        <v>572</v>
      </c>
      <c r="E252" s="3">
        <v>311</v>
      </c>
      <c r="F252" s="3">
        <v>524</v>
      </c>
      <c r="G252" s="3">
        <v>1527</v>
      </c>
      <c r="H252" s="3">
        <v>1790</v>
      </c>
      <c r="I252" s="3">
        <v>762</v>
      </c>
      <c r="J252" s="3">
        <v>56</v>
      </c>
      <c r="K252" s="3">
        <v>35</v>
      </c>
      <c r="L252" s="3">
        <v>0</v>
      </c>
      <c r="M252" s="3">
        <v>5577</v>
      </c>
    </row>
    <row r="253" spans="1:14" s="8" customFormat="1" ht="12.75" customHeight="1" x14ac:dyDescent="0.3">
      <c r="A253" s="5">
        <v>2020</v>
      </c>
      <c r="B253" s="7" t="s">
        <v>0</v>
      </c>
      <c r="C253" s="8" t="s">
        <v>26</v>
      </c>
      <c r="D253" s="3">
        <v>1238</v>
      </c>
      <c r="E253" s="3">
        <v>534</v>
      </c>
      <c r="F253" s="3">
        <v>411</v>
      </c>
      <c r="G253" s="3">
        <v>316</v>
      </c>
      <c r="H253" s="3">
        <v>505</v>
      </c>
      <c r="I253" s="3">
        <v>334</v>
      </c>
      <c r="J253" s="3">
        <v>63</v>
      </c>
      <c r="K253" s="3">
        <v>3</v>
      </c>
      <c r="L253" s="3">
        <v>0</v>
      </c>
      <c r="M253" s="3">
        <v>3404</v>
      </c>
    </row>
    <row r="254" spans="1:14" s="8" customFormat="1" ht="12.75" customHeight="1" x14ac:dyDescent="0.3">
      <c r="A254" s="5">
        <v>2020</v>
      </c>
      <c r="B254" s="7" t="s">
        <v>0</v>
      </c>
      <c r="C254" s="8" t="s">
        <v>27</v>
      </c>
      <c r="D254" s="3">
        <v>648</v>
      </c>
      <c r="E254" s="3">
        <v>146</v>
      </c>
      <c r="F254" s="3">
        <v>28</v>
      </c>
      <c r="G254" s="3">
        <v>70</v>
      </c>
      <c r="H254" s="3">
        <v>102</v>
      </c>
      <c r="I254" s="3">
        <v>91</v>
      </c>
      <c r="J254" s="3">
        <v>32</v>
      </c>
      <c r="K254" s="3">
        <v>24</v>
      </c>
      <c r="L254" s="3">
        <v>0</v>
      </c>
      <c r="M254" s="3">
        <v>1141</v>
      </c>
    </row>
    <row r="255" spans="1:14" s="8" customFormat="1" ht="12.75" customHeight="1" x14ac:dyDescent="0.3">
      <c r="A255" s="5">
        <v>2021</v>
      </c>
      <c r="B255" s="8" t="s">
        <v>0</v>
      </c>
      <c r="C255" s="8" t="s">
        <v>1</v>
      </c>
      <c r="D255" s="2">
        <v>586810.25000000023</v>
      </c>
      <c r="E255" s="2">
        <v>208499</v>
      </c>
      <c r="F255" s="2">
        <v>64004</v>
      </c>
      <c r="G255" s="2">
        <v>152877</v>
      </c>
      <c r="H255" s="2">
        <v>154034</v>
      </c>
      <c r="I255" s="2">
        <v>141381</v>
      </c>
      <c r="J255" s="2">
        <v>27828</v>
      </c>
      <c r="K255" s="2">
        <v>19719</v>
      </c>
      <c r="L255" s="2">
        <v>21</v>
      </c>
      <c r="M255" s="2">
        <v>1355173.2500000005</v>
      </c>
      <c r="N255" s="10"/>
    </row>
    <row r="256" spans="1:14" s="8" customFormat="1" ht="12.75" customHeight="1" x14ac:dyDescent="0.3">
      <c r="A256" s="5">
        <v>2021</v>
      </c>
      <c r="B256" s="8" t="s">
        <v>0</v>
      </c>
      <c r="C256" s="8" t="s">
        <v>2</v>
      </c>
      <c r="D256" s="2">
        <v>97172.620000000054</v>
      </c>
      <c r="E256" s="2">
        <v>40176</v>
      </c>
      <c r="F256" s="2">
        <v>10327</v>
      </c>
      <c r="G256" s="2">
        <v>28432</v>
      </c>
      <c r="H256" s="2">
        <v>22437</v>
      </c>
      <c r="I256" s="2">
        <v>22068</v>
      </c>
      <c r="J256" s="2">
        <v>5159</v>
      </c>
      <c r="K256" s="2">
        <v>5808</v>
      </c>
      <c r="L256" s="2">
        <v>0</v>
      </c>
      <c r="M256" s="2">
        <v>231579.61999999976</v>
      </c>
    </row>
    <row r="257" spans="1:13" s="8" customFormat="1" ht="12.75" customHeight="1" x14ac:dyDescent="0.3">
      <c r="A257" s="5">
        <v>2021</v>
      </c>
      <c r="B257" s="8" t="s">
        <v>0</v>
      </c>
      <c r="C257" s="8" t="s">
        <v>3</v>
      </c>
      <c r="D257" s="2">
        <v>52131.005000000056</v>
      </c>
      <c r="E257" s="2">
        <v>18394</v>
      </c>
      <c r="F257" s="2">
        <v>9456</v>
      </c>
      <c r="G257" s="2">
        <v>21825</v>
      </c>
      <c r="H257" s="2">
        <v>21497</v>
      </c>
      <c r="I257" s="2">
        <v>11994</v>
      </c>
      <c r="J257" s="2">
        <v>2557</v>
      </c>
      <c r="K257" s="2">
        <v>2100</v>
      </c>
      <c r="L257" s="2">
        <v>1</v>
      </c>
      <c r="M257" s="2">
        <v>139955.00499999998</v>
      </c>
    </row>
    <row r="258" spans="1:13" s="8" customFormat="1" ht="12.75" customHeight="1" x14ac:dyDescent="0.3">
      <c r="A258" s="5">
        <v>2021</v>
      </c>
      <c r="B258" s="8" t="s">
        <v>0</v>
      </c>
      <c r="C258" s="8" t="s">
        <v>4</v>
      </c>
      <c r="D258" s="2">
        <v>39279.369999999995</v>
      </c>
      <c r="E258" s="2">
        <v>16315</v>
      </c>
      <c r="F258" s="2">
        <v>6304</v>
      </c>
      <c r="G258" s="2">
        <v>10084</v>
      </c>
      <c r="H258" s="2">
        <v>10436</v>
      </c>
      <c r="I258" s="2">
        <v>12050</v>
      </c>
      <c r="J258" s="2">
        <v>1254</v>
      </c>
      <c r="K258" s="2">
        <v>210</v>
      </c>
      <c r="L258" s="2">
        <v>0</v>
      </c>
      <c r="M258" s="2">
        <v>95932.37000000001</v>
      </c>
    </row>
    <row r="259" spans="1:13" s="8" customFormat="1" ht="12.75" customHeight="1" x14ac:dyDescent="0.3">
      <c r="A259" s="5">
        <v>2021</v>
      </c>
      <c r="B259" s="8" t="s">
        <v>0</v>
      </c>
      <c r="C259" s="8" t="s">
        <v>5</v>
      </c>
      <c r="D259" s="2">
        <v>44954.195000000007</v>
      </c>
      <c r="E259" s="2">
        <v>16033</v>
      </c>
      <c r="F259" s="2">
        <v>2739</v>
      </c>
      <c r="G259" s="2">
        <v>5499</v>
      </c>
      <c r="H259" s="2">
        <v>7605</v>
      </c>
      <c r="I259" s="2">
        <v>10525</v>
      </c>
      <c r="J259" s="2">
        <v>1844</v>
      </c>
      <c r="K259" s="2">
        <v>432</v>
      </c>
      <c r="L259" s="2">
        <v>5</v>
      </c>
      <c r="M259" s="2">
        <v>89636.195000000051</v>
      </c>
    </row>
    <row r="260" spans="1:13" s="8" customFormat="1" ht="12.75" customHeight="1" x14ac:dyDescent="0.3">
      <c r="A260" s="5">
        <v>2021</v>
      </c>
      <c r="B260" s="8" t="s">
        <v>0</v>
      </c>
      <c r="C260" s="8" t="s">
        <v>9</v>
      </c>
      <c r="D260" s="2">
        <v>32039.110000000004</v>
      </c>
      <c r="E260" s="2">
        <v>10719</v>
      </c>
      <c r="F260" s="2">
        <v>2047</v>
      </c>
      <c r="G260" s="2">
        <v>8297</v>
      </c>
      <c r="H260" s="2">
        <v>12914</v>
      </c>
      <c r="I260" s="2">
        <v>11133</v>
      </c>
      <c r="J260" s="2">
        <v>1667</v>
      </c>
      <c r="K260" s="2">
        <v>4098</v>
      </c>
      <c r="L260" s="2">
        <v>0</v>
      </c>
      <c r="M260" s="2">
        <v>82914.11</v>
      </c>
    </row>
    <row r="261" spans="1:13" s="8" customFormat="1" ht="12.75" customHeight="1" x14ac:dyDescent="0.3">
      <c r="A261" s="5">
        <v>2021</v>
      </c>
      <c r="B261" s="8" t="s">
        <v>0</v>
      </c>
      <c r="C261" s="8" t="s">
        <v>8</v>
      </c>
      <c r="D261" s="2">
        <v>32193.415000000041</v>
      </c>
      <c r="E261" s="2">
        <v>14118</v>
      </c>
      <c r="F261" s="2">
        <v>4601</v>
      </c>
      <c r="G261" s="2">
        <v>7580</v>
      </c>
      <c r="H261" s="2">
        <v>6268</v>
      </c>
      <c r="I261" s="2">
        <v>7710</v>
      </c>
      <c r="J261" s="2">
        <v>1446</v>
      </c>
      <c r="K261" s="2">
        <v>436</v>
      </c>
      <c r="L261" s="2">
        <v>0</v>
      </c>
      <c r="M261" s="2">
        <v>74352.415000000081</v>
      </c>
    </row>
    <row r="262" spans="1:13" s="8" customFormat="1" ht="12.75" customHeight="1" x14ac:dyDescent="0.3">
      <c r="A262" s="5">
        <v>2021</v>
      </c>
      <c r="B262" s="8" t="s">
        <v>0</v>
      </c>
      <c r="C262" s="8" t="s">
        <v>7</v>
      </c>
      <c r="D262" s="2">
        <v>32127.940000000021</v>
      </c>
      <c r="E262" s="2">
        <v>8832</v>
      </c>
      <c r="F262" s="2">
        <v>1075</v>
      </c>
      <c r="G262" s="2">
        <v>7155</v>
      </c>
      <c r="H262" s="2">
        <v>8815</v>
      </c>
      <c r="I262" s="2">
        <v>6409</v>
      </c>
      <c r="J262" s="2">
        <v>1412</v>
      </c>
      <c r="K262" s="2">
        <v>179</v>
      </c>
      <c r="L262" s="2">
        <v>2</v>
      </c>
      <c r="M262" s="2">
        <v>66006.94000000009</v>
      </c>
    </row>
    <row r="263" spans="1:13" s="8" customFormat="1" ht="12.75" customHeight="1" x14ac:dyDescent="0.3">
      <c r="A263" s="5">
        <v>2021</v>
      </c>
      <c r="B263" s="8" t="s">
        <v>0</v>
      </c>
      <c r="C263" s="8" t="s">
        <v>31</v>
      </c>
      <c r="D263" s="2">
        <v>30872.755000000016</v>
      </c>
      <c r="E263" s="2">
        <v>6474</v>
      </c>
      <c r="F263" s="2">
        <v>2138</v>
      </c>
      <c r="G263" s="2">
        <v>5969</v>
      </c>
      <c r="H263" s="2">
        <v>8107</v>
      </c>
      <c r="I263" s="2">
        <v>7561</v>
      </c>
      <c r="J263" s="2">
        <v>1369</v>
      </c>
      <c r="K263" s="2">
        <v>515</v>
      </c>
      <c r="L263" s="2">
        <v>0</v>
      </c>
      <c r="M263" s="2">
        <v>63005.755000000099</v>
      </c>
    </row>
    <row r="264" spans="1:13" s="8" customFormat="1" ht="12.75" customHeight="1" x14ac:dyDescent="0.3">
      <c r="A264" s="5">
        <v>2021</v>
      </c>
      <c r="B264" s="8" t="s">
        <v>0</v>
      </c>
      <c r="C264" s="8" t="s">
        <v>15</v>
      </c>
      <c r="D264" s="2">
        <v>26758.375</v>
      </c>
      <c r="E264" s="2">
        <v>8135</v>
      </c>
      <c r="F264" s="2">
        <v>3989</v>
      </c>
      <c r="G264" s="2">
        <v>7465</v>
      </c>
      <c r="H264" s="2">
        <v>5892</v>
      </c>
      <c r="I264" s="2">
        <v>5380</v>
      </c>
      <c r="J264" s="2">
        <v>1485</v>
      </c>
      <c r="K264" s="2">
        <v>829</v>
      </c>
      <c r="L264" s="2">
        <v>0</v>
      </c>
      <c r="M264" s="2">
        <v>59933.375000000007</v>
      </c>
    </row>
    <row r="265" spans="1:13" s="8" customFormat="1" ht="12.75" customHeight="1" x14ac:dyDescent="0.3">
      <c r="A265" s="5">
        <v>2021</v>
      </c>
      <c r="B265" s="8" t="s">
        <v>0</v>
      </c>
      <c r="C265" s="8" t="s">
        <v>13</v>
      </c>
      <c r="D265" s="2">
        <v>28845.815000000035</v>
      </c>
      <c r="E265" s="2">
        <v>9789</v>
      </c>
      <c r="F265" s="2">
        <v>1489</v>
      </c>
      <c r="G265" s="2">
        <v>5794</v>
      </c>
      <c r="H265" s="2">
        <v>6090</v>
      </c>
      <c r="I265" s="2">
        <v>5219</v>
      </c>
      <c r="J265" s="2">
        <v>1678</v>
      </c>
      <c r="K265" s="2">
        <v>945</v>
      </c>
      <c r="L265" s="2">
        <v>0</v>
      </c>
      <c r="M265" s="2">
        <v>59849.81500000009</v>
      </c>
    </row>
    <row r="266" spans="1:13" s="8" customFormat="1" ht="12.75" customHeight="1" x14ac:dyDescent="0.3">
      <c r="A266" s="5">
        <v>2021</v>
      </c>
      <c r="B266" s="8" t="s">
        <v>0</v>
      </c>
      <c r="C266" s="8" t="s">
        <v>12</v>
      </c>
      <c r="D266" s="2">
        <v>20553.73</v>
      </c>
      <c r="E266" s="2">
        <v>10934</v>
      </c>
      <c r="F266" s="2">
        <v>5361</v>
      </c>
      <c r="G266" s="2">
        <v>7602</v>
      </c>
      <c r="H266" s="2">
        <v>5005</v>
      </c>
      <c r="I266" s="2">
        <v>4434</v>
      </c>
      <c r="J266" s="2">
        <v>1034</v>
      </c>
      <c r="K266" s="2">
        <v>256</v>
      </c>
      <c r="L266" s="2">
        <v>9</v>
      </c>
      <c r="M266" s="2">
        <v>55188.730000000025</v>
      </c>
    </row>
    <row r="267" spans="1:13" s="8" customFormat="1" ht="12.75" customHeight="1" x14ac:dyDescent="0.3">
      <c r="A267" s="5">
        <v>2021</v>
      </c>
      <c r="B267" s="8" t="s">
        <v>0</v>
      </c>
      <c r="C267" s="8" t="s">
        <v>11</v>
      </c>
      <c r="D267" s="2">
        <v>22737.965000000011</v>
      </c>
      <c r="E267" s="2">
        <v>10129</v>
      </c>
      <c r="F267" s="2">
        <v>2949</v>
      </c>
      <c r="G267" s="2">
        <v>7588</v>
      </c>
      <c r="H267" s="2">
        <v>3244</v>
      </c>
      <c r="I267" s="2">
        <v>3247</v>
      </c>
      <c r="J267" s="2">
        <v>980</v>
      </c>
      <c r="K267" s="2">
        <v>306</v>
      </c>
      <c r="L267" s="2">
        <v>0</v>
      </c>
      <c r="M267" s="2">
        <v>51180.965000000026</v>
      </c>
    </row>
    <row r="268" spans="1:13" s="8" customFormat="1" ht="12.75" customHeight="1" x14ac:dyDescent="0.3">
      <c r="A268" s="5">
        <v>2021</v>
      </c>
      <c r="B268" s="8" t="s">
        <v>0</v>
      </c>
      <c r="C268" s="8" t="s">
        <v>14</v>
      </c>
      <c r="D268" s="2">
        <v>13583.469999999998</v>
      </c>
      <c r="E268" s="2">
        <v>6685</v>
      </c>
      <c r="F268" s="2">
        <v>1280</v>
      </c>
      <c r="G268" s="2">
        <v>6918</v>
      </c>
      <c r="H268" s="2">
        <v>9322</v>
      </c>
      <c r="I268" s="2">
        <v>9322</v>
      </c>
      <c r="J268" s="2">
        <v>528</v>
      </c>
      <c r="K268" s="2">
        <v>343</v>
      </c>
      <c r="L268" s="2">
        <v>0</v>
      </c>
      <c r="M268" s="2">
        <v>47981.470000000016</v>
      </c>
    </row>
    <row r="269" spans="1:13" s="8" customFormat="1" ht="12.75" customHeight="1" x14ac:dyDescent="0.3">
      <c r="A269" s="5">
        <v>2021</v>
      </c>
      <c r="B269" s="8" t="s">
        <v>0</v>
      </c>
      <c r="C269" s="8" t="s">
        <v>10</v>
      </c>
      <c r="D269" s="2">
        <v>24938.31500000001</v>
      </c>
      <c r="E269" s="2">
        <v>7020</v>
      </c>
      <c r="F269" s="2">
        <v>1103</v>
      </c>
      <c r="G269" s="2">
        <v>3869</v>
      </c>
      <c r="H269" s="2">
        <v>3212</v>
      </c>
      <c r="I269" s="2">
        <v>3834</v>
      </c>
      <c r="J269" s="2">
        <v>945</v>
      </c>
      <c r="K269" s="2">
        <v>132</v>
      </c>
      <c r="L269" s="2">
        <v>0</v>
      </c>
      <c r="M269" s="2">
        <v>45053.315000000046</v>
      </c>
    </row>
    <row r="270" spans="1:13" s="8" customFormat="1" ht="12.75" customHeight="1" x14ac:dyDescent="0.3">
      <c r="A270" s="5">
        <v>2021</v>
      </c>
      <c r="B270" s="8" t="s">
        <v>0</v>
      </c>
      <c r="C270" s="8" t="s">
        <v>19</v>
      </c>
      <c r="D270" s="2">
        <v>17195.235000000001</v>
      </c>
      <c r="E270" s="2">
        <v>5046</v>
      </c>
      <c r="F270" s="2">
        <v>3383</v>
      </c>
      <c r="G270" s="2">
        <v>4597</v>
      </c>
      <c r="H270" s="2">
        <v>5682</v>
      </c>
      <c r="I270" s="2">
        <v>4176</v>
      </c>
      <c r="J270" s="2">
        <v>1077</v>
      </c>
      <c r="K270" s="2">
        <v>833</v>
      </c>
      <c r="L270" s="2">
        <v>0</v>
      </c>
      <c r="M270" s="2">
        <v>41989.235000000001</v>
      </c>
    </row>
    <row r="271" spans="1:13" s="8" customFormat="1" ht="12.75" customHeight="1" x14ac:dyDescent="0.3">
      <c r="A271" s="5">
        <v>2021</v>
      </c>
      <c r="B271" s="8" t="s">
        <v>0</v>
      </c>
      <c r="C271" s="8" t="s">
        <v>18</v>
      </c>
      <c r="D271" s="2">
        <v>17799.775000000001</v>
      </c>
      <c r="E271" s="2">
        <v>4835</v>
      </c>
      <c r="F271" s="2">
        <v>1036</v>
      </c>
      <c r="G271" s="2">
        <v>3668</v>
      </c>
      <c r="H271" s="2">
        <v>2182</v>
      </c>
      <c r="I271" s="2">
        <v>2864</v>
      </c>
      <c r="J271" s="2">
        <v>915</v>
      </c>
      <c r="K271" s="2">
        <v>703</v>
      </c>
      <c r="L271" s="2">
        <v>0</v>
      </c>
      <c r="M271" s="2">
        <v>34002.775000000009</v>
      </c>
    </row>
    <row r="272" spans="1:13" s="8" customFormat="1" ht="12.75" customHeight="1" x14ac:dyDescent="0.3">
      <c r="A272" s="5">
        <v>2021</v>
      </c>
      <c r="B272" s="8" t="s">
        <v>0</v>
      </c>
      <c r="C272" s="8" t="s">
        <v>16</v>
      </c>
      <c r="D272" s="2">
        <v>15329.999999999998</v>
      </c>
      <c r="E272" s="2">
        <v>3778</v>
      </c>
      <c r="F272" s="2">
        <v>890</v>
      </c>
      <c r="G272" s="2">
        <v>2552</v>
      </c>
      <c r="H272" s="2">
        <v>3091</v>
      </c>
      <c r="I272" s="2">
        <v>4369</v>
      </c>
      <c r="J272" s="2">
        <v>732</v>
      </c>
      <c r="K272" s="2">
        <v>247</v>
      </c>
      <c r="L272" s="2">
        <v>0</v>
      </c>
      <c r="M272" s="2">
        <v>30989.000000000004</v>
      </c>
    </row>
    <row r="273" spans="1:14" s="8" customFormat="1" ht="12.75" customHeight="1" x14ac:dyDescent="0.3">
      <c r="A273" s="5">
        <v>2021</v>
      </c>
      <c r="B273" s="8" t="s">
        <v>0</v>
      </c>
      <c r="C273" s="8" t="s">
        <v>17</v>
      </c>
      <c r="D273" s="2">
        <v>7275.1200000000008</v>
      </c>
      <c r="E273" s="2">
        <v>2343</v>
      </c>
      <c r="F273" s="2">
        <v>698</v>
      </c>
      <c r="G273" s="2">
        <v>1312</v>
      </c>
      <c r="H273" s="2">
        <v>2802</v>
      </c>
      <c r="I273" s="2">
        <v>1954</v>
      </c>
      <c r="J273" s="2">
        <v>353</v>
      </c>
      <c r="K273" s="2">
        <v>828</v>
      </c>
      <c r="L273" s="2">
        <v>0</v>
      </c>
      <c r="M273" s="2">
        <v>17565.12000000001</v>
      </c>
    </row>
    <row r="274" spans="1:14" s="8" customFormat="1" ht="12.75" customHeight="1" x14ac:dyDescent="0.3">
      <c r="A274" s="5">
        <v>2021</v>
      </c>
      <c r="B274" s="8" t="s">
        <v>0</v>
      </c>
      <c r="C274" s="8" t="s">
        <v>21</v>
      </c>
      <c r="D274" s="2">
        <v>8846.81</v>
      </c>
      <c r="E274" s="2">
        <v>1713</v>
      </c>
      <c r="F274" s="2">
        <v>580</v>
      </c>
      <c r="G274" s="2">
        <v>544</v>
      </c>
      <c r="H274" s="2">
        <v>1288</v>
      </c>
      <c r="I274" s="2">
        <v>1516</v>
      </c>
      <c r="J274" s="2">
        <v>338</v>
      </c>
      <c r="K274" s="2">
        <v>153</v>
      </c>
      <c r="L274" s="2">
        <v>0</v>
      </c>
      <c r="M274" s="2">
        <v>14978.810000000001</v>
      </c>
    </row>
    <row r="275" spans="1:14" s="8" customFormat="1" ht="12.75" customHeight="1" x14ac:dyDescent="0.3">
      <c r="A275" s="5">
        <v>2021</v>
      </c>
      <c r="B275" s="8" t="s">
        <v>0</v>
      </c>
      <c r="C275" s="8" t="s">
        <v>24</v>
      </c>
      <c r="D275" s="2">
        <v>6731.3899999999994</v>
      </c>
      <c r="E275" s="2">
        <v>672</v>
      </c>
      <c r="F275" s="2">
        <v>297</v>
      </c>
      <c r="G275" s="2">
        <v>630</v>
      </c>
      <c r="H275" s="2">
        <v>1030</v>
      </c>
      <c r="I275" s="2">
        <v>1133</v>
      </c>
      <c r="J275" s="2">
        <v>257</v>
      </c>
      <c r="K275" s="2">
        <v>64</v>
      </c>
      <c r="L275" s="2">
        <v>0</v>
      </c>
      <c r="M275" s="2">
        <v>10814.39</v>
      </c>
    </row>
    <row r="276" spans="1:14" s="8" customFormat="1" ht="12.75" customHeight="1" x14ac:dyDescent="0.3">
      <c r="A276" s="5">
        <v>2021</v>
      </c>
      <c r="B276" s="8" t="s">
        <v>0</v>
      </c>
      <c r="C276" s="8" t="s">
        <v>20</v>
      </c>
      <c r="D276" s="2">
        <v>5005.6350000000002</v>
      </c>
      <c r="E276" s="2">
        <v>1470</v>
      </c>
      <c r="F276" s="2">
        <v>536</v>
      </c>
      <c r="G276" s="2">
        <v>857</v>
      </c>
      <c r="H276" s="2">
        <v>977</v>
      </c>
      <c r="I276" s="2">
        <v>991</v>
      </c>
      <c r="J276" s="2">
        <v>281</v>
      </c>
      <c r="K276" s="2">
        <v>78</v>
      </c>
      <c r="L276" s="2">
        <v>4</v>
      </c>
      <c r="M276" s="2">
        <v>10199.634999999997</v>
      </c>
    </row>
    <row r="277" spans="1:14" s="8" customFormat="1" ht="12.75" customHeight="1" x14ac:dyDescent="0.3">
      <c r="A277" s="5">
        <v>2021</v>
      </c>
      <c r="B277" s="8" t="s">
        <v>0</v>
      </c>
      <c r="C277" s="8" t="s">
        <v>25</v>
      </c>
      <c r="D277" s="2">
        <v>3201.88</v>
      </c>
      <c r="E277" s="2">
        <v>1587</v>
      </c>
      <c r="F277" s="2">
        <v>95</v>
      </c>
      <c r="G277" s="2">
        <v>423</v>
      </c>
      <c r="H277" s="2">
        <v>1687</v>
      </c>
      <c r="I277" s="2">
        <v>1730</v>
      </c>
      <c r="J277" s="2">
        <v>129</v>
      </c>
      <c r="K277" s="2">
        <v>140</v>
      </c>
      <c r="L277" s="2">
        <v>0</v>
      </c>
      <c r="M277" s="2">
        <v>8992.8799999999992</v>
      </c>
    </row>
    <row r="278" spans="1:14" s="8" customFormat="1" ht="12.75" customHeight="1" x14ac:dyDescent="0.3">
      <c r="A278" s="5">
        <v>2021</v>
      </c>
      <c r="B278" s="8" t="s">
        <v>0</v>
      </c>
      <c r="C278" s="8" t="s">
        <v>23</v>
      </c>
      <c r="D278" s="2">
        <v>2837.5299999999997</v>
      </c>
      <c r="E278" s="2">
        <v>1533</v>
      </c>
      <c r="F278" s="2">
        <v>914</v>
      </c>
      <c r="G278" s="2">
        <v>354</v>
      </c>
      <c r="H278" s="2">
        <v>1481</v>
      </c>
      <c r="I278" s="2">
        <v>481</v>
      </c>
      <c r="J278" s="2">
        <v>106</v>
      </c>
      <c r="K278" s="2">
        <v>15</v>
      </c>
      <c r="L278" s="2">
        <v>0</v>
      </c>
      <c r="M278" s="2">
        <v>7721.53</v>
      </c>
    </row>
    <row r="279" spans="1:14" s="8" customFormat="1" ht="12.75" customHeight="1" x14ac:dyDescent="0.3">
      <c r="A279" s="5">
        <v>2021</v>
      </c>
      <c r="B279" s="8" t="s">
        <v>0</v>
      </c>
      <c r="C279" s="8" t="s">
        <v>28</v>
      </c>
      <c r="D279" s="2">
        <v>568.89499999999998</v>
      </c>
      <c r="E279" s="2">
        <v>447</v>
      </c>
      <c r="F279" s="2">
        <v>533</v>
      </c>
      <c r="G279" s="2">
        <v>2389</v>
      </c>
      <c r="H279" s="2">
        <v>2140</v>
      </c>
      <c r="I279" s="2">
        <v>508</v>
      </c>
      <c r="J279" s="2">
        <v>48</v>
      </c>
      <c r="K279" s="2">
        <v>0</v>
      </c>
      <c r="L279" s="2">
        <v>0</v>
      </c>
      <c r="M279" s="2">
        <v>6633.8950000000004</v>
      </c>
    </row>
    <row r="280" spans="1:14" s="8" customFormat="1" ht="12.75" customHeight="1" x14ac:dyDescent="0.3">
      <c r="A280" s="5">
        <v>2021</v>
      </c>
      <c r="B280" s="8" t="s">
        <v>0</v>
      </c>
      <c r="C280" s="8" t="s">
        <v>22</v>
      </c>
      <c r="D280" s="2">
        <v>2711.3499999999995</v>
      </c>
      <c r="E280" s="2">
        <v>595</v>
      </c>
      <c r="F280" s="2">
        <v>121</v>
      </c>
      <c r="G280" s="2">
        <v>221</v>
      </c>
      <c r="H280" s="2">
        <v>611</v>
      </c>
      <c r="I280" s="2">
        <v>571</v>
      </c>
      <c r="J280" s="2">
        <v>169</v>
      </c>
      <c r="K280" s="2">
        <v>46</v>
      </c>
      <c r="L280" s="2">
        <v>0</v>
      </c>
      <c r="M280" s="2">
        <v>5045.3500000000004</v>
      </c>
    </row>
    <row r="281" spans="1:14" s="8" customFormat="1" ht="12.75" customHeight="1" x14ac:dyDescent="0.3">
      <c r="A281" s="5">
        <v>2021</v>
      </c>
      <c r="B281" s="8" t="s">
        <v>0</v>
      </c>
      <c r="C281" s="7" t="s">
        <v>26</v>
      </c>
      <c r="D281" s="2">
        <v>707.55</v>
      </c>
      <c r="E281" s="2">
        <v>638</v>
      </c>
      <c r="F281" s="2">
        <v>57</v>
      </c>
      <c r="G281" s="2">
        <v>1196</v>
      </c>
      <c r="H281" s="2">
        <v>148</v>
      </c>
      <c r="I281" s="2">
        <v>140</v>
      </c>
      <c r="J281" s="2">
        <v>39</v>
      </c>
      <c r="K281" s="2">
        <v>2</v>
      </c>
      <c r="L281" s="2">
        <v>0</v>
      </c>
      <c r="M281" s="2">
        <v>2927.55</v>
      </c>
    </row>
    <row r="282" spans="1:14" s="8" customFormat="1" ht="12.75" customHeight="1" x14ac:dyDescent="0.3">
      <c r="A282" s="5">
        <v>2021</v>
      </c>
      <c r="B282" s="8" t="s">
        <v>0</v>
      </c>
      <c r="C282" s="8" t="s">
        <v>27</v>
      </c>
      <c r="D282" s="2">
        <v>411</v>
      </c>
      <c r="E282" s="2">
        <v>89</v>
      </c>
      <c r="F282" s="2">
        <v>6</v>
      </c>
      <c r="G282" s="2">
        <v>57</v>
      </c>
      <c r="H282" s="2">
        <v>71</v>
      </c>
      <c r="I282" s="2">
        <v>62</v>
      </c>
      <c r="J282" s="2">
        <v>26</v>
      </c>
      <c r="K282" s="2">
        <v>21</v>
      </c>
      <c r="L282" s="2">
        <v>0</v>
      </c>
      <c r="M282" s="2">
        <v>743</v>
      </c>
    </row>
    <row r="283" spans="1:14" s="8" customFormat="1" ht="12.75" customHeight="1" x14ac:dyDescent="0.3">
      <c r="A283" s="5">
        <v>2022</v>
      </c>
      <c r="B283" s="8" t="s">
        <v>0</v>
      </c>
      <c r="C283" s="8" t="s">
        <v>5</v>
      </c>
      <c r="D283" s="3">
        <v>44256</v>
      </c>
      <c r="E283" s="3">
        <v>15041</v>
      </c>
      <c r="F283" s="3">
        <v>4177</v>
      </c>
      <c r="G283" s="3">
        <v>6784</v>
      </c>
      <c r="H283" s="3">
        <v>7936</v>
      </c>
      <c r="I283" s="3">
        <v>9352</v>
      </c>
      <c r="J283" s="3">
        <v>1695</v>
      </c>
      <c r="K283" s="3">
        <v>465</v>
      </c>
      <c r="L283" s="3">
        <v>11</v>
      </c>
      <c r="M283" s="3">
        <v>89717</v>
      </c>
      <c r="N283" s="3">
        <v>550</v>
      </c>
    </row>
    <row r="284" spans="1:14" s="8" customFormat="1" ht="12.75" customHeight="1" x14ac:dyDescent="0.3">
      <c r="A284" s="5">
        <v>2022</v>
      </c>
      <c r="B284" s="8" t="s">
        <v>0</v>
      </c>
      <c r="C284" s="8" t="s">
        <v>3</v>
      </c>
      <c r="D284" s="3">
        <v>53650</v>
      </c>
      <c r="E284" s="3">
        <v>17589</v>
      </c>
      <c r="F284" s="3">
        <v>9561</v>
      </c>
      <c r="G284" s="3">
        <v>17551</v>
      </c>
      <c r="H284" s="3">
        <v>20198</v>
      </c>
      <c r="I284" s="3">
        <v>12035</v>
      </c>
      <c r="J284" s="3">
        <v>2461</v>
      </c>
      <c r="K284" s="3">
        <v>1513</v>
      </c>
      <c r="L284" s="3">
        <v>6</v>
      </c>
      <c r="M284" s="3">
        <v>134564</v>
      </c>
      <c r="N284" s="3">
        <v>779</v>
      </c>
    </row>
    <row r="285" spans="1:14" s="8" customFormat="1" ht="12.75" customHeight="1" x14ac:dyDescent="0.3">
      <c r="A285" s="5">
        <v>2022</v>
      </c>
      <c r="B285" s="8" t="s">
        <v>0</v>
      </c>
      <c r="C285" s="8" t="s">
        <v>27</v>
      </c>
      <c r="D285" s="3">
        <v>332</v>
      </c>
      <c r="E285" s="3">
        <v>126</v>
      </c>
      <c r="F285" s="3">
        <v>71</v>
      </c>
      <c r="G285" s="3">
        <v>61</v>
      </c>
      <c r="H285" s="3">
        <v>120</v>
      </c>
      <c r="I285" s="3">
        <v>90</v>
      </c>
      <c r="J285" s="3">
        <v>22</v>
      </c>
      <c r="K285" s="3">
        <v>21</v>
      </c>
      <c r="L285" s="3">
        <v>0</v>
      </c>
      <c r="M285" s="3">
        <v>843</v>
      </c>
      <c r="N285" s="3">
        <v>20</v>
      </c>
    </row>
    <row r="286" spans="1:14" s="8" customFormat="1" ht="12.75" customHeight="1" x14ac:dyDescent="0.3">
      <c r="A286" s="5">
        <v>2022</v>
      </c>
      <c r="B286" s="8" t="s">
        <v>0</v>
      </c>
      <c r="C286" s="8" t="s">
        <v>20</v>
      </c>
      <c r="D286" s="3">
        <v>4768</v>
      </c>
      <c r="E286" s="3">
        <v>1143</v>
      </c>
      <c r="F286" s="3">
        <v>293</v>
      </c>
      <c r="G286" s="3">
        <v>873</v>
      </c>
      <c r="H286" s="3">
        <v>1362</v>
      </c>
      <c r="I286" s="3">
        <v>1021</v>
      </c>
      <c r="J286" s="3">
        <v>302</v>
      </c>
      <c r="K286" s="3">
        <v>111</v>
      </c>
      <c r="L286" s="3">
        <v>0</v>
      </c>
      <c r="M286" s="3">
        <v>9873</v>
      </c>
      <c r="N286" s="3">
        <v>238</v>
      </c>
    </row>
    <row r="287" spans="1:14" s="8" customFormat="1" ht="12.75" customHeight="1" x14ac:dyDescent="0.3">
      <c r="A287" s="5">
        <v>2022</v>
      </c>
      <c r="B287" s="8" t="s">
        <v>0</v>
      </c>
      <c r="C287" s="8" t="s">
        <v>11</v>
      </c>
      <c r="D287" s="3">
        <v>21272</v>
      </c>
      <c r="E287" s="3">
        <v>9129</v>
      </c>
      <c r="F287" s="3">
        <v>2020</v>
      </c>
      <c r="G287" s="3">
        <v>6974</v>
      </c>
      <c r="H287" s="3">
        <v>3416</v>
      </c>
      <c r="I287" s="3">
        <v>3511</v>
      </c>
      <c r="J287" s="3">
        <v>966</v>
      </c>
      <c r="K287" s="3">
        <v>229</v>
      </c>
      <c r="L287" s="3">
        <v>5</v>
      </c>
      <c r="M287" s="3">
        <v>47522</v>
      </c>
      <c r="N287" s="3">
        <v>198</v>
      </c>
    </row>
    <row r="288" spans="1:14" s="8" customFormat="1" ht="12.75" customHeight="1" x14ac:dyDescent="0.3">
      <c r="A288" s="5">
        <v>2022</v>
      </c>
      <c r="B288" s="8" t="s">
        <v>0</v>
      </c>
      <c r="C288" s="8" t="s">
        <v>23</v>
      </c>
      <c r="D288" s="3">
        <v>2578</v>
      </c>
      <c r="E288" s="3">
        <v>1266</v>
      </c>
      <c r="F288" s="3">
        <v>624</v>
      </c>
      <c r="G288" s="3">
        <v>783</v>
      </c>
      <c r="H288" s="3">
        <v>960</v>
      </c>
      <c r="I288" s="3">
        <v>693</v>
      </c>
      <c r="J288" s="3">
        <v>139</v>
      </c>
      <c r="K288" s="3">
        <v>99</v>
      </c>
      <c r="L288" s="3">
        <v>0</v>
      </c>
      <c r="M288" s="3">
        <v>7142</v>
      </c>
      <c r="N288" s="3">
        <v>43</v>
      </c>
    </row>
    <row r="289" spans="1:14" s="8" customFormat="1" ht="12.75" customHeight="1" x14ac:dyDescent="0.3">
      <c r="A289" s="5">
        <v>2022</v>
      </c>
      <c r="B289" s="8" t="s">
        <v>0</v>
      </c>
      <c r="C289" s="8" t="s">
        <v>19</v>
      </c>
      <c r="D289" s="3">
        <v>18334</v>
      </c>
      <c r="E289" s="3">
        <v>3108</v>
      </c>
      <c r="F289" s="3">
        <v>1128</v>
      </c>
      <c r="G289" s="3">
        <v>4626</v>
      </c>
      <c r="H289" s="3">
        <v>4166</v>
      </c>
      <c r="I289" s="3">
        <v>3879</v>
      </c>
      <c r="J289" s="3">
        <v>1097</v>
      </c>
      <c r="K289" s="3">
        <v>337</v>
      </c>
      <c r="L289" s="3">
        <v>0</v>
      </c>
      <c r="M289" s="3">
        <v>36675</v>
      </c>
      <c r="N289" s="3">
        <v>104</v>
      </c>
    </row>
    <row r="290" spans="1:14" s="8" customFormat="1" ht="12.75" customHeight="1" x14ac:dyDescent="0.3">
      <c r="A290" s="5">
        <v>2022</v>
      </c>
      <c r="B290" s="8" t="s">
        <v>0</v>
      </c>
      <c r="C290" s="8" t="s">
        <v>13</v>
      </c>
      <c r="D290" s="3">
        <v>29954</v>
      </c>
      <c r="E290" s="3">
        <v>10447</v>
      </c>
      <c r="F290" s="3">
        <v>2041</v>
      </c>
      <c r="G290" s="3">
        <v>7436</v>
      </c>
      <c r="H290" s="3">
        <v>7650</v>
      </c>
      <c r="I290" s="3">
        <v>7267</v>
      </c>
      <c r="J290" s="3">
        <v>1614</v>
      </c>
      <c r="K290" s="3">
        <v>2111</v>
      </c>
      <c r="L290" s="3">
        <v>6</v>
      </c>
      <c r="M290" s="3">
        <v>68526</v>
      </c>
      <c r="N290" s="3">
        <v>783</v>
      </c>
    </row>
    <row r="291" spans="1:14" s="8" customFormat="1" ht="12.75" customHeight="1" x14ac:dyDescent="0.3">
      <c r="A291" s="5">
        <v>2022</v>
      </c>
      <c r="B291" s="8" t="s">
        <v>0</v>
      </c>
      <c r="C291" s="8" t="s">
        <v>21</v>
      </c>
      <c r="D291" s="3">
        <v>7309</v>
      </c>
      <c r="E291" s="3">
        <v>1573</v>
      </c>
      <c r="F291" s="3">
        <v>121</v>
      </c>
      <c r="G291" s="3">
        <v>515</v>
      </c>
      <c r="H291" s="3">
        <v>1853</v>
      </c>
      <c r="I291" s="3">
        <v>1852</v>
      </c>
      <c r="J291" s="3">
        <v>456</v>
      </c>
      <c r="K291" s="3">
        <v>144</v>
      </c>
      <c r="L291" s="3">
        <v>0</v>
      </c>
      <c r="M291" s="3">
        <v>13823</v>
      </c>
      <c r="N291" s="3">
        <v>320</v>
      </c>
    </row>
    <row r="292" spans="1:14" s="8" customFormat="1" ht="12.75" customHeight="1" x14ac:dyDescent="0.3">
      <c r="A292" s="5">
        <v>2022</v>
      </c>
      <c r="B292" s="8" t="s">
        <v>0</v>
      </c>
      <c r="C292" s="8" t="s">
        <v>12</v>
      </c>
      <c r="D292" s="3">
        <v>20312</v>
      </c>
      <c r="E292" s="3">
        <v>11477</v>
      </c>
      <c r="F292" s="3">
        <v>5502</v>
      </c>
      <c r="G292" s="3">
        <v>7353</v>
      </c>
      <c r="H292" s="3">
        <v>4319</v>
      </c>
      <c r="I292" s="3">
        <v>4855</v>
      </c>
      <c r="J292" s="3">
        <v>982</v>
      </c>
      <c r="K292" s="3">
        <v>826</v>
      </c>
      <c r="L292" s="3">
        <v>9</v>
      </c>
      <c r="M292" s="3">
        <v>55635</v>
      </c>
      <c r="N292" s="3">
        <v>409</v>
      </c>
    </row>
    <row r="293" spans="1:14" s="8" customFormat="1" ht="12.75" customHeight="1" x14ac:dyDescent="0.3">
      <c r="A293" s="5">
        <v>2022</v>
      </c>
      <c r="B293" s="8" t="s">
        <v>0</v>
      </c>
      <c r="C293" s="8" t="s">
        <v>18</v>
      </c>
      <c r="D293" s="3">
        <v>17560</v>
      </c>
      <c r="E293" s="3">
        <v>5233</v>
      </c>
      <c r="F293" s="3">
        <v>1227</v>
      </c>
      <c r="G293" s="3">
        <v>3863</v>
      </c>
      <c r="H293" s="3">
        <v>2926</v>
      </c>
      <c r="I293" s="3">
        <v>3146</v>
      </c>
      <c r="J293" s="3">
        <v>905</v>
      </c>
      <c r="K293" s="3">
        <v>718</v>
      </c>
      <c r="L293" s="3">
        <v>0</v>
      </c>
      <c r="M293" s="3">
        <v>35578</v>
      </c>
      <c r="N293" s="3">
        <v>55</v>
      </c>
    </row>
    <row r="294" spans="1:14" s="8" customFormat="1" ht="12.75" customHeight="1" x14ac:dyDescent="0.3">
      <c r="A294" s="5">
        <v>2022</v>
      </c>
      <c r="B294" s="8" t="s">
        <v>0</v>
      </c>
      <c r="C294" s="8" t="s">
        <v>9</v>
      </c>
      <c r="D294" s="3">
        <v>28835</v>
      </c>
      <c r="E294" s="3">
        <v>10981</v>
      </c>
      <c r="F294" s="3">
        <v>2748</v>
      </c>
      <c r="G294" s="3">
        <v>8382</v>
      </c>
      <c r="H294" s="3">
        <v>11896</v>
      </c>
      <c r="I294" s="3">
        <v>9257</v>
      </c>
      <c r="J294" s="3">
        <v>1821</v>
      </c>
      <c r="K294" s="3">
        <v>781</v>
      </c>
      <c r="L294" s="3">
        <v>0</v>
      </c>
      <c r="M294" s="3">
        <v>74701</v>
      </c>
      <c r="N294" s="3">
        <v>101</v>
      </c>
    </row>
    <row r="295" spans="1:14" s="8" customFormat="1" ht="12.75" customHeight="1" x14ac:dyDescent="0.3">
      <c r="A295" s="5">
        <v>2022</v>
      </c>
      <c r="B295" s="8" t="s">
        <v>0</v>
      </c>
      <c r="C295" s="8" t="s">
        <v>8</v>
      </c>
      <c r="D295" s="3">
        <v>30502</v>
      </c>
      <c r="E295" s="3">
        <v>12147</v>
      </c>
      <c r="F295" s="3">
        <v>1541</v>
      </c>
      <c r="G295" s="3">
        <v>6242</v>
      </c>
      <c r="H295" s="3">
        <v>6037</v>
      </c>
      <c r="I295" s="3">
        <v>5882</v>
      </c>
      <c r="J295" s="3">
        <v>1389</v>
      </c>
      <c r="K295" s="3">
        <v>483</v>
      </c>
      <c r="L295" s="3">
        <v>0</v>
      </c>
      <c r="M295" s="3">
        <v>64223</v>
      </c>
      <c r="N295" s="3">
        <v>517</v>
      </c>
    </row>
    <row r="296" spans="1:14" s="8" customFormat="1" ht="12.75" customHeight="1" x14ac:dyDescent="0.3">
      <c r="A296" s="5">
        <v>2022</v>
      </c>
      <c r="B296" s="8" t="s">
        <v>0</v>
      </c>
      <c r="C296" s="8" t="s">
        <v>16</v>
      </c>
      <c r="D296" s="3">
        <v>14659</v>
      </c>
      <c r="E296" s="3">
        <v>3434</v>
      </c>
      <c r="F296" s="3">
        <v>425</v>
      </c>
      <c r="G296" s="3">
        <v>2252</v>
      </c>
      <c r="H296" s="3">
        <v>2589</v>
      </c>
      <c r="I296" s="3">
        <v>4508</v>
      </c>
      <c r="J296" s="3">
        <v>736</v>
      </c>
      <c r="K296" s="3">
        <v>166</v>
      </c>
      <c r="L296" s="3">
        <v>0</v>
      </c>
      <c r="M296" s="3">
        <v>28769</v>
      </c>
      <c r="N296" s="3">
        <v>124</v>
      </c>
    </row>
    <row r="297" spans="1:14" s="8" customFormat="1" ht="12.75" customHeight="1" x14ac:dyDescent="0.3">
      <c r="A297" s="5">
        <v>2022</v>
      </c>
      <c r="B297" s="8" t="s">
        <v>0</v>
      </c>
      <c r="C297" s="8" t="s">
        <v>22</v>
      </c>
      <c r="D297" s="3">
        <v>2609</v>
      </c>
      <c r="E297" s="3">
        <v>625</v>
      </c>
      <c r="F297" s="3">
        <v>77</v>
      </c>
      <c r="G297" s="3">
        <v>372</v>
      </c>
      <c r="H297" s="3">
        <v>472</v>
      </c>
      <c r="I297" s="3">
        <v>453</v>
      </c>
      <c r="J297" s="3">
        <v>165</v>
      </c>
      <c r="K297" s="3">
        <v>39</v>
      </c>
      <c r="L297" s="3">
        <v>0</v>
      </c>
      <c r="M297" s="3">
        <v>4812</v>
      </c>
      <c r="N297" s="3">
        <v>104</v>
      </c>
    </row>
    <row r="298" spans="1:14" s="8" customFormat="1" ht="12.75" customHeight="1" x14ac:dyDescent="0.3">
      <c r="A298" s="5">
        <v>2022</v>
      </c>
      <c r="B298" s="8" t="s">
        <v>0</v>
      </c>
      <c r="C298" s="8" t="s">
        <v>10</v>
      </c>
      <c r="D298" s="3">
        <v>24982</v>
      </c>
      <c r="E298" s="3">
        <v>7777</v>
      </c>
      <c r="F298" s="3">
        <v>1353</v>
      </c>
      <c r="G298" s="3">
        <v>3279</v>
      </c>
      <c r="H298" s="3">
        <v>3817</v>
      </c>
      <c r="I298" s="3">
        <v>3365</v>
      </c>
      <c r="J298" s="3">
        <v>928</v>
      </c>
      <c r="K298" s="3">
        <v>152</v>
      </c>
      <c r="L298" s="3">
        <v>0</v>
      </c>
      <c r="M298" s="3">
        <v>45653</v>
      </c>
      <c r="N298" s="3">
        <v>518</v>
      </c>
    </row>
    <row r="299" spans="1:14" s="8" customFormat="1" ht="12.75" customHeight="1" x14ac:dyDescent="0.3">
      <c r="A299" s="5">
        <v>2022</v>
      </c>
      <c r="B299" s="8" t="s">
        <v>0</v>
      </c>
      <c r="C299" s="8" t="s">
        <v>2</v>
      </c>
      <c r="D299" s="3">
        <v>84176</v>
      </c>
      <c r="E299" s="3">
        <v>34573</v>
      </c>
      <c r="F299" s="3">
        <v>7480</v>
      </c>
      <c r="G299" s="3">
        <v>18189</v>
      </c>
      <c r="H299" s="3">
        <v>16375</v>
      </c>
      <c r="I299" s="3">
        <v>16157</v>
      </c>
      <c r="J299" s="3">
        <v>4108</v>
      </c>
      <c r="K299" s="3">
        <v>2387</v>
      </c>
      <c r="L299" s="3">
        <v>6</v>
      </c>
      <c r="M299" s="3">
        <v>183451</v>
      </c>
      <c r="N299" s="3">
        <v>523</v>
      </c>
    </row>
    <row r="300" spans="1:14" s="8" customFormat="1" ht="12.75" customHeight="1" x14ac:dyDescent="0.3">
      <c r="A300" s="5">
        <v>2022</v>
      </c>
      <c r="B300" s="8" t="s">
        <v>0</v>
      </c>
      <c r="C300" s="8" t="s">
        <v>31</v>
      </c>
      <c r="D300" s="3">
        <v>31571</v>
      </c>
      <c r="E300" s="3">
        <v>5574</v>
      </c>
      <c r="F300" s="3">
        <v>3073</v>
      </c>
      <c r="G300" s="3">
        <v>4492</v>
      </c>
      <c r="H300" s="3">
        <v>7058</v>
      </c>
      <c r="I300" s="3">
        <v>6647</v>
      </c>
      <c r="J300" s="3">
        <v>1558</v>
      </c>
      <c r="K300" s="3">
        <v>158</v>
      </c>
      <c r="L300" s="3">
        <v>0</v>
      </c>
      <c r="M300" s="3">
        <v>60131</v>
      </c>
      <c r="N300" s="3">
        <v>783</v>
      </c>
    </row>
    <row r="301" spans="1:14" s="8" customFormat="1" ht="12.75" customHeight="1" x14ac:dyDescent="0.3">
      <c r="A301" s="5">
        <v>2022</v>
      </c>
      <c r="B301" s="8" t="s">
        <v>0</v>
      </c>
      <c r="C301" s="8" t="s">
        <v>15</v>
      </c>
      <c r="D301" s="3">
        <v>24192</v>
      </c>
      <c r="E301" s="3">
        <v>7571</v>
      </c>
      <c r="F301" s="3">
        <v>3425</v>
      </c>
      <c r="G301" s="3">
        <v>8425</v>
      </c>
      <c r="H301" s="3">
        <v>6837</v>
      </c>
      <c r="I301" s="3">
        <v>6401</v>
      </c>
      <c r="J301" s="3">
        <v>1449</v>
      </c>
      <c r="K301" s="3">
        <v>304</v>
      </c>
      <c r="L301" s="3">
        <v>0</v>
      </c>
      <c r="M301" s="3">
        <v>58604</v>
      </c>
      <c r="N301" s="3">
        <v>145</v>
      </c>
    </row>
    <row r="302" spans="1:14" s="8" customFormat="1" ht="12.75" customHeight="1" x14ac:dyDescent="0.3">
      <c r="A302" s="5">
        <v>2022</v>
      </c>
      <c r="B302" s="8" t="s">
        <v>0</v>
      </c>
      <c r="C302" s="8" t="s">
        <v>7</v>
      </c>
      <c r="D302" s="3">
        <v>31223</v>
      </c>
      <c r="E302" s="3">
        <v>7992</v>
      </c>
      <c r="F302" s="3">
        <v>521</v>
      </c>
      <c r="G302" s="3">
        <v>6774</v>
      </c>
      <c r="H302" s="3">
        <v>7280</v>
      </c>
      <c r="I302" s="3">
        <v>6152</v>
      </c>
      <c r="J302" s="3">
        <v>1329</v>
      </c>
      <c r="K302" s="3">
        <v>104</v>
      </c>
      <c r="L302" s="3">
        <v>2</v>
      </c>
      <c r="M302" s="3">
        <v>61377</v>
      </c>
      <c r="N302" s="3">
        <v>747</v>
      </c>
    </row>
    <row r="303" spans="1:14" s="8" customFormat="1" ht="12.75" customHeight="1" x14ac:dyDescent="0.3">
      <c r="A303" s="5">
        <v>2022</v>
      </c>
      <c r="B303" s="8" t="s">
        <v>0</v>
      </c>
      <c r="C303" s="8" t="s">
        <v>28</v>
      </c>
      <c r="D303" s="3">
        <v>576</v>
      </c>
      <c r="E303" s="3">
        <v>138</v>
      </c>
      <c r="F303" s="3">
        <v>326</v>
      </c>
      <c r="G303" s="3">
        <v>1563</v>
      </c>
      <c r="H303" s="3">
        <v>1734</v>
      </c>
      <c r="I303" s="3">
        <v>604</v>
      </c>
      <c r="J303" s="3">
        <v>34</v>
      </c>
      <c r="K303" s="3">
        <v>0</v>
      </c>
      <c r="L303" s="3">
        <v>0</v>
      </c>
      <c r="M303" s="3">
        <v>4975</v>
      </c>
      <c r="N303" s="3">
        <v>7</v>
      </c>
    </row>
    <row r="304" spans="1:14" s="8" customFormat="1" ht="12.75" customHeight="1" x14ac:dyDescent="0.3">
      <c r="A304" s="5">
        <v>2022</v>
      </c>
      <c r="B304" s="8" t="s">
        <v>0</v>
      </c>
      <c r="C304" s="8" t="s">
        <v>4</v>
      </c>
      <c r="D304" s="3">
        <v>38978</v>
      </c>
      <c r="E304" s="3">
        <v>15471</v>
      </c>
      <c r="F304" s="3">
        <v>6563</v>
      </c>
      <c r="G304" s="3">
        <v>8187</v>
      </c>
      <c r="H304" s="3">
        <v>10694</v>
      </c>
      <c r="I304" s="3">
        <v>12573</v>
      </c>
      <c r="J304" s="3">
        <v>1175</v>
      </c>
      <c r="K304" s="3">
        <v>277</v>
      </c>
      <c r="L304" s="3">
        <v>0</v>
      </c>
      <c r="M304" s="3">
        <v>93918</v>
      </c>
      <c r="N304" s="3">
        <v>462</v>
      </c>
    </row>
    <row r="305" spans="1:14" s="8" customFormat="1" ht="12.75" customHeight="1" x14ac:dyDescent="0.3">
      <c r="A305" s="5">
        <v>2022</v>
      </c>
      <c r="B305" s="8" t="s">
        <v>0</v>
      </c>
      <c r="C305" s="8" t="s">
        <v>14</v>
      </c>
      <c r="D305" s="3">
        <v>11850</v>
      </c>
      <c r="E305" s="3">
        <v>6632</v>
      </c>
      <c r="F305" s="3">
        <v>485</v>
      </c>
      <c r="G305" s="3">
        <v>7194</v>
      </c>
      <c r="H305" s="3">
        <v>9981</v>
      </c>
      <c r="I305" s="3">
        <v>10499</v>
      </c>
      <c r="J305" s="3">
        <v>530</v>
      </c>
      <c r="K305" s="3">
        <v>401</v>
      </c>
      <c r="L305" s="3">
        <v>0</v>
      </c>
      <c r="M305" s="3">
        <v>47572</v>
      </c>
      <c r="N305" s="3">
        <v>110</v>
      </c>
    </row>
    <row r="306" spans="1:14" s="8" customFormat="1" ht="12.75" customHeight="1" x14ac:dyDescent="0.3">
      <c r="A306" s="5">
        <v>2022</v>
      </c>
      <c r="B306" s="8" t="s">
        <v>0</v>
      </c>
      <c r="C306" s="8" t="s">
        <v>17</v>
      </c>
      <c r="D306" s="3">
        <v>5580</v>
      </c>
      <c r="E306" s="3">
        <v>1728</v>
      </c>
      <c r="F306" s="3">
        <v>413</v>
      </c>
      <c r="G306" s="3">
        <v>554</v>
      </c>
      <c r="H306" s="3">
        <v>1981</v>
      </c>
      <c r="I306" s="3">
        <v>1708</v>
      </c>
      <c r="J306" s="3">
        <v>277</v>
      </c>
      <c r="K306" s="3">
        <v>54</v>
      </c>
      <c r="L306" s="3">
        <v>0</v>
      </c>
      <c r="M306" s="3">
        <v>12295</v>
      </c>
      <c r="N306" s="3">
        <v>290</v>
      </c>
    </row>
    <row r="307" spans="1:14" s="8" customFormat="1" ht="12.75" customHeight="1" x14ac:dyDescent="0.3">
      <c r="A307" s="5">
        <v>2022</v>
      </c>
      <c r="B307" s="8" t="s">
        <v>0</v>
      </c>
      <c r="C307" s="7" t="s">
        <v>25</v>
      </c>
      <c r="D307" s="3">
        <v>2716</v>
      </c>
      <c r="E307" s="3">
        <v>527</v>
      </c>
      <c r="F307" s="3">
        <v>115</v>
      </c>
      <c r="G307" s="3">
        <v>586</v>
      </c>
      <c r="H307" s="3">
        <v>416</v>
      </c>
      <c r="I307" s="3">
        <v>677</v>
      </c>
      <c r="J307" s="3">
        <v>113</v>
      </c>
      <c r="K307" s="3">
        <v>46</v>
      </c>
      <c r="L307" s="3">
        <v>0</v>
      </c>
      <c r="M307" s="3">
        <v>5196</v>
      </c>
      <c r="N307" s="3">
        <v>99</v>
      </c>
    </row>
    <row r="308" spans="1:14" s="8" customFormat="1" ht="12.75" customHeight="1" x14ac:dyDescent="0.3">
      <c r="A308" s="5">
        <v>2022</v>
      </c>
      <c r="B308" s="8" t="s">
        <v>0</v>
      </c>
      <c r="C308" s="8" t="s">
        <v>24</v>
      </c>
      <c r="D308" s="3">
        <v>5470</v>
      </c>
      <c r="E308" s="3">
        <v>875</v>
      </c>
      <c r="F308" s="3">
        <v>284</v>
      </c>
      <c r="G308" s="3">
        <v>414</v>
      </c>
      <c r="H308" s="3">
        <v>802</v>
      </c>
      <c r="I308" s="3">
        <v>1003</v>
      </c>
      <c r="J308" s="3">
        <v>266</v>
      </c>
      <c r="K308" s="3">
        <v>76</v>
      </c>
      <c r="L308" s="3">
        <v>2</v>
      </c>
      <c r="M308" s="3">
        <v>9192</v>
      </c>
      <c r="N308" s="3">
        <v>208</v>
      </c>
    </row>
    <row r="309" spans="1:14" s="8" customFormat="1" ht="12.75" customHeight="1" x14ac:dyDescent="0.3">
      <c r="A309" s="5">
        <v>2022</v>
      </c>
      <c r="B309" s="8" t="s">
        <v>0</v>
      </c>
      <c r="C309" s="7" t="s">
        <v>26</v>
      </c>
      <c r="D309" s="3">
        <v>972</v>
      </c>
      <c r="E309" s="3">
        <v>1744</v>
      </c>
      <c r="F309" s="3">
        <v>96</v>
      </c>
      <c r="G309" s="3">
        <v>1121</v>
      </c>
      <c r="H309" s="3">
        <v>620</v>
      </c>
      <c r="I309" s="3">
        <v>552</v>
      </c>
      <c r="J309" s="3">
        <v>63</v>
      </c>
      <c r="K309" s="3">
        <v>8</v>
      </c>
      <c r="L309" s="3">
        <v>0</v>
      </c>
      <c r="M309" s="3">
        <v>5176</v>
      </c>
      <c r="N309" s="3">
        <v>90</v>
      </c>
    </row>
    <row r="310" spans="1:14" s="8" customFormat="1" ht="12.75" customHeight="1" x14ac:dyDescent="0.3">
      <c r="A310" s="5">
        <v>2022</v>
      </c>
      <c r="B310" s="8" t="s">
        <v>0</v>
      </c>
      <c r="C310" s="8" t="s">
        <v>1</v>
      </c>
      <c r="D310" s="3">
        <v>559216</v>
      </c>
      <c r="E310" s="3">
        <v>193921</v>
      </c>
      <c r="F310" s="3">
        <v>55690</v>
      </c>
      <c r="G310" s="3">
        <v>134845</v>
      </c>
      <c r="H310" s="3">
        <v>143495</v>
      </c>
      <c r="I310" s="3">
        <v>134139</v>
      </c>
      <c r="J310" s="3">
        <v>26580</v>
      </c>
      <c r="K310" s="3">
        <v>12010</v>
      </c>
      <c r="L310" s="3">
        <v>47</v>
      </c>
      <c r="M310" s="3">
        <v>1259943</v>
      </c>
      <c r="N310" s="2">
        <v>8327</v>
      </c>
    </row>
    <row r="311" spans="1:14" s="8" customFormat="1" ht="12.75" customHeight="1" x14ac:dyDescent="0.3">
      <c r="A311" s="5">
        <v>2023</v>
      </c>
      <c r="B311" s="8" t="s">
        <v>0</v>
      </c>
      <c r="C311" s="8" t="s">
        <v>5</v>
      </c>
      <c r="D311" s="3">
        <v>44859</v>
      </c>
      <c r="E311" s="3">
        <v>12944</v>
      </c>
      <c r="F311" s="3">
        <v>3616</v>
      </c>
      <c r="G311" s="3">
        <v>6334</v>
      </c>
      <c r="H311" s="3">
        <v>6630</v>
      </c>
      <c r="I311" s="3">
        <v>8195</v>
      </c>
      <c r="J311" s="3">
        <v>1885</v>
      </c>
      <c r="K311" s="3">
        <v>555</v>
      </c>
      <c r="L311" s="3">
        <v>1</v>
      </c>
      <c r="M311" s="3">
        <v>85019</v>
      </c>
      <c r="N311" s="3">
        <v>556</v>
      </c>
    </row>
    <row r="312" spans="1:14" s="8" customFormat="1" ht="12.75" customHeight="1" x14ac:dyDescent="0.3">
      <c r="A312" s="5">
        <v>2023</v>
      </c>
      <c r="B312" s="8" t="s">
        <v>0</v>
      </c>
      <c r="C312" s="8" t="s">
        <v>3</v>
      </c>
      <c r="D312" s="3">
        <v>50623</v>
      </c>
      <c r="E312" s="3">
        <v>14368</v>
      </c>
      <c r="F312" s="3">
        <v>6183</v>
      </c>
      <c r="G312" s="3">
        <v>20270</v>
      </c>
      <c r="H312" s="3">
        <v>16769</v>
      </c>
      <c r="I312" s="3">
        <v>11046</v>
      </c>
      <c r="J312" s="3">
        <v>2678</v>
      </c>
      <c r="K312" s="3">
        <v>1873</v>
      </c>
      <c r="L312" s="3">
        <v>0</v>
      </c>
      <c r="M312" s="3">
        <v>123810</v>
      </c>
      <c r="N312" s="3">
        <v>814</v>
      </c>
    </row>
    <row r="313" spans="1:14" s="8" customFormat="1" ht="12.75" customHeight="1" x14ac:dyDescent="0.3">
      <c r="A313" s="5">
        <v>2023</v>
      </c>
      <c r="B313" s="8" t="s">
        <v>0</v>
      </c>
      <c r="C313" s="8" t="s">
        <v>27</v>
      </c>
      <c r="D313" s="3">
        <v>306</v>
      </c>
      <c r="E313" s="3">
        <v>115</v>
      </c>
      <c r="F313" s="3">
        <v>59</v>
      </c>
      <c r="G313" s="3">
        <v>32</v>
      </c>
      <c r="H313" s="3">
        <v>102</v>
      </c>
      <c r="I313" s="3">
        <v>96</v>
      </c>
      <c r="J313" s="3">
        <v>20</v>
      </c>
      <c r="K313" s="3">
        <v>9</v>
      </c>
      <c r="L313" s="3">
        <v>0</v>
      </c>
      <c r="M313" s="3">
        <v>739</v>
      </c>
      <c r="N313" s="3">
        <v>25</v>
      </c>
    </row>
    <row r="314" spans="1:14" s="8" customFormat="1" ht="12.75" customHeight="1" x14ac:dyDescent="0.3">
      <c r="A314" s="5">
        <v>2023</v>
      </c>
      <c r="B314" s="8" t="s">
        <v>0</v>
      </c>
      <c r="C314" s="8" t="s">
        <v>20</v>
      </c>
      <c r="D314" s="3">
        <v>4913</v>
      </c>
      <c r="E314" s="3">
        <v>2215</v>
      </c>
      <c r="F314" s="3">
        <v>200</v>
      </c>
      <c r="G314" s="3">
        <v>370</v>
      </c>
      <c r="H314" s="3">
        <v>1725</v>
      </c>
      <c r="I314" s="3">
        <v>994</v>
      </c>
      <c r="J314" s="3">
        <v>303</v>
      </c>
      <c r="K314" s="3">
        <v>78</v>
      </c>
      <c r="L314" s="3">
        <v>0</v>
      </c>
      <c r="M314" s="3">
        <v>10798</v>
      </c>
      <c r="N314" s="3">
        <v>248</v>
      </c>
    </row>
    <row r="315" spans="1:14" s="8" customFormat="1" ht="12.75" customHeight="1" x14ac:dyDescent="0.3">
      <c r="A315" s="5">
        <v>2023</v>
      </c>
      <c r="B315" s="8" t="s">
        <v>0</v>
      </c>
      <c r="C315" s="8" t="s">
        <v>11</v>
      </c>
      <c r="D315" s="3">
        <v>21498</v>
      </c>
      <c r="E315" s="3">
        <v>7879</v>
      </c>
      <c r="F315" s="3">
        <v>2303</v>
      </c>
      <c r="G315" s="3">
        <v>6927</v>
      </c>
      <c r="H315" s="3">
        <v>3390</v>
      </c>
      <c r="I315" s="3">
        <v>3273</v>
      </c>
      <c r="J315" s="3">
        <v>967</v>
      </c>
      <c r="K315" s="3">
        <v>202</v>
      </c>
      <c r="L315" s="3">
        <v>0</v>
      </c>
      <c r="M315" s="3">
        <v>46439</v>
      </c>
      <c r="N315" s="3">
        <v>204</v>
      </c>
    </row>
    <row r="316" spans="1:14" s="8" customFormat="1" ht="12.75" customHeight="1" x14ac:dyDescent="0.3">
      <c r="A316" s="5">
        <v>2023</v>
      </c>
      <c r="B316" s="8" t="s">
        <v>0</v>
      </c>
      <c r="C316" s="8" t="s">
        <v>23</v>
      </c>
      <c r="D316" s="3">
        <v>3128</v>
      </c>
      <c r="E316" s="3">
        <v>708</v>
      </c>
      <c r="F316" s="3">
        <v>665</v>
      </c>
      <c r="G316" s="3">
        <v>636</v>
      </c>
      <c r="H316" s="3">
        <v>776</v>
      </c>
      <c r="I316" s="3">
        <v>948</v>
      </c>
      <c r="J316" s="3">
        <v>150</v>
      </c>
      <c r="K316" s="3">
        <v>36</v>
      </c>
      <c r="L316" s="3">
        <v>0</v>
      </c>
      <c r="M316" s="3">
        <v>7047</v>
      </c>
      <c r="N316" s="3">
        <v>47</v>
      </c>
    </row>
    <row r="317" spans="1:14" s="8" customFormat="1" ht="12.75" customHeight="1" x14ac:dyDescent="0.3">
      <c r="A317" s="5">
        <v>2023</v>
      </c>
      <c r="B317" s="8" t="s">
        <v>0</v>
      </c>
      <c r="C317" s="8" t="s">
        <v>19</v>
      </c>
      <c r="D317" s="3">
        <v>17155</v>
      </c>
      <c r="E317" s="3">
        <v>5430</v>
      </c>
      <c r="F317" s="3">
        <v>1634</v>
      </c>
      <c r="G317" s="3">
        <v>4459</v>
      </c>
      <c r="H317" s="3">
        <v>3063</v>
      </c>
      <c r="I317" s="3">
        <v>2386</v>
      </c>
      <c r="J317" s="3">
        <v>1102</v>
      </c>
      <c r="K317" s="3">
        <v>1301</v>
      </c>
      <c r="L317" s="3">
        <v>0</v>
      </c>
      <c r="M317" s="3">
        <v>36530</v>
      </c>
      <c r="N317" s="3">
        <v>116</v>
      </c>
    </row>
    <row r="318" spans="1:14" s="8" customFormat="1" ht="12.75" customHeight="1" x14ac:dyDescent="0.3">
      <c r="A318" s="5">
        <v>2023</v>
      </c>
      <c r="B318" s="8" t="s">
        <v>0</v>
      </c>
      <c r="C318" s="8" t="s">
        <v>13</v>
      </c>
      <c r="D318" s="3">
        <v>28955</v>
      </c>
      <c r="E318" s="3">
        <v>9498</v>
      </c>
      <c r="F318" s="3">
        <v>1646</v>
      </c>
      <c r="G318" s="3">
        <v>7511</v>
      </c>
      <c r="H318" s="3">
        <v>6345</v>
      </c>
      <c r="I318" s="3">
        <v>6244</v>
      </c>
      <c r="J318" s="3">
        <v>1767</v>
      </c>
      <c r="K318" s="3">
        <v>1021</v>
      </c>
      <c r="L318" s="3">
        <v>0</v>
      </c>
      <c r="M318" s="3">
        <v>62987</v>
      </c>
      <c r="N318" s="3">
        <v>860</v>
      </c>
    </row>
    <row r="319" spans="1:14" s="8" customFormat="1" ht="12.75" customHeight="1" x14ac:dyDescent="0.3">
      <c r="A319" s="5">
        <v>2023</v>
      </c>
      <c r="B319" s="8" t="s">
        <v>0</v>
      </c>
      <c r="C319" s="8" t="s">
        <v>21</v>
      </c>
      <c r="D319" s="3">
        <v>7313</v>
      </c>
      <c r="E319" s="3">
        <v>1733</v>
      </c>
      <c r="F319" s="3">
        <v>153</v>
      </c>
      <c r="G319" s="3">
        <v>1001</v>
      </c>
      <c r="H319" s="3">
        <v>1535</v>
      </c>
      <c r="I319" s="3">
        <v>1857</v>
      </c>
      <c r="J319" s="3">
        <v>441</v>
      </c>
      <c r="K319" s="3">
        <v>141</v>
      </c>
      <c r="L319" s="3">
        <v>0</v>
      </c>
      <c r="M319" s="3">
        <v>14174</v>
      </c>
      <c r="N319" s="3">
        <v>326</v>
      </c>
    </row>
    <row r="320" spans="1:14" s="8" customFormat="1" ht="12.75" customHeight="1" x14ac:dyDescent="0.3">
      <c r="A320" s="5">
        <v>2023</v>
      </c>
      <c r="B320" s="8" t="s">
        <v>0</v>
      </c>
      <c r="C320" s="8" t="s">
        <v>12</v>
      </c>
      <c r="D320" s="3">
        <v>16819</v>
      </c>
      <c r="E320" s="3">
        <v>8774</v>
      </c>
      <c r="F320" s="3">
        <v>3952</v>
      </c>
      <c r="G320" s="3">
        <v>6329</v>
      </c>
      <c r="H320" s="3">
        <v>4086</v>
      </c>
      <c r="I320" s="3">
        <v>4445</v>
      </c>
      <c r="J320" s="3">
        <v>896</v>
      </c>
      <c r="K320" s="3">
        <v>428</v>
      </c>
      <c r="L320" s="3">
        <v>9</v>
      </c>
      <c r="M320" s="3">
        <v>45738</v>
      </c>
      <c r="N320" s="3">
        <v>415</v>
      </c>
    </row>
    <row r="321" spans="1:14" s="8" customFormat="1" ht="12.75" customHeight="1" x14ac:dyDescent="0.3">
      <c r="A321" s="5">
        <v>2023</v>
      </c>
      <c r="B321" s="8" t="s">
        <v>0</v>
      </c>
      <c r="C321" s="8" t="s">
        <v>18</v>
      </c>
      <c r="D321" s="3">
        <v>19857</v>
      </c>
      <c r="E321" s="3">
        <v>5395</v>
      </c>
      <c r="F321" s="3">
        <v>871</v>
      </c>
      <c r="G321" s="3">
        <v>4023</v>
      </c>
      <c r="H321" s="3">
        <v>3302</v>
      </c>
      <c r="I321" s="3">
        <v>3211</v>
      </c>
      <c r="J321" s="3">
        <v>878</v>
      </c>
      <c r="K321" s="3">
        <v>592</v>
      </c>
      <c r="L321" s="3">
        <v>0</v>
      </c>
      <c r="M321" s="3">
        <v>38129</v>
      </c>
      <c r="N321" s="3">
        <v>60</v>
      </c>
    </row>
    <row r="322" spans="1:14" s="8" customFormat="1" ht="12.75" customHeight="1" x14ac:dyDescent="0.3">
      <c r="A322" s="5">
        <v>2023</v>
      </c>
      <c r="B322" s="8" t="s">
        <v>0</v>
      </c>
      <c r="C322" s="8" t="s">
        <v>9</v>
      </c>
      <c r="D322" s="3">
        <v>24250</v>
      </c>
      <c r="E322" s="3">
        <v>9891</v>
      </c>
      <c r="F322" s="3">
        <v>7124</v>
      </c>
      <c r="G322" s="3">
        <v>6609</v>
      </c>
      <c r="H322" s="3">
        <v>10408</v>
      </c>
      <c r="I322" s="3">
        <v>8410</v>
      </c>
      <c r="J322" s="3">
        <v>1635</v>
      </c>
      <c r="K322" s="3">
        <v>2485</v>
      </c>
      <c r="L322" s="3">
        <v>0</v>
      </c>
      <c r="M322" s="3">
        <v>70812</v>
      </c>
      <c r="N322" s="3">
        <v>106</v>
      </c>
    </row>
    <row r="323" spans="1:14" s="8" customFormat="1" ht="12.75" customHeight="1" x14ac:dyDescent="0.3">
      <c r="A323" s="5">
        <v>2023</v>
      </c>
      <c r="B323" s="8" t="s">
        <v>0</v>
      </c>
      <c r="C323" s="8" t="s">
        <v>8</v>
      </c>
      <c r="D323" s="3">
        <v>27895</v>
      </c>
      <c r="E323" s="3">
        <v>10248</v>
      </c>
      <c r="F323" s="3">
        <v>1704</v>
      </c>
      <c r="G323" s="3">
        <v>6532</v>
      </c>
      <c r="H323" s="3">
        <v>6432</v>
      </c>
      <c r="I323" s="3">
        <v>7342</v>
      </c>
      <c r="J323" s="3">
        <v>1432</v>
      </c>
      <c r="K323" s="3">
        <v>433</v>
      </c>
      <c r="L323" s="3">
        <v>0</v>
      </c>
      <c r="M323" s="3">
        <v>62018</v>
      </c>
      <c r="N323" s="3">
        <v>522</v>
      </c>
    </row>
    <row r="324" spans="1:14" s="8" customFormat="1" ht="12.75" customHeight="1" x14ac:dyDescent="0.3">
      <c r="A324" s="5">
        <v>2023</v>
      </c>
      <c r="B324" s="8" t="s">
        <v>0</v>
      </c>
      <c r="C324" s="8" t="s">
        <v>16</v>
      </c>
      <c r="D324" s="3">
        <v>13682</v>
      </c>
      <c r="E324" s="3">
        <v>3375</v>
      </c>
      <c r="F324" s="3">
        <v>437</v>
      </c>
      <c r="G324" s="3">
        <v>2727</v>
      </c>
      <c r="H324" s="3">
        <v>3860</v>
      </c>
      <c r="I324" s="3">
        <v>3611</v>
      </c>
      <c r="J324" s="3">
        <v>741</v>
      </c>
      <c r="K324" s="3">
        <v>255</v>
      </c>
      <c r="L324" s="3">
        <v>0</v>
      </c>
      <c r="M324" s="3">
        <v>28688</v>
      </c>
      <c r="N324" s="3">
        <v>130</v>
      </c>
    </row>
    <row r="325" spans="1:14" s="8" customFormat="1" ht="12.75" customHeight="1" x14ac:dyDescent="0.3">
      <c r="A325" s="5">
        <v>2023</v>
      </c>
      <c r="B325" s="8" t="s">
        <v>0</v>
      </c>
      <c r="C325" s="8" t="s">
        <v>22</v>
      </c>
      <c r="D325" s="3">
        <v>1960</v>
      </c>
      <c r="E325" s="3">
        <v>390</v>
      </c>
      <c r="F325" s="3">
        <v>103</v>
      </c>
      <c r="G325" s="3">
        <v>442</v>
      </c>
      <c r="H325" s="3">
        <v>630</v>
      </c>
      <c r="I325" s="3">
        <v>510</v>
      </c>
      <c r="J325" s="3">
        <v>154</v>
      </c>
      <c r="K325" s="3">
        <v>19</v>
      </c>
      <c r="L325" s="3">
        <v>0</v>
      </c>
      <c r="M325" s="3">
        <v>4208</v>
      </c>
      <c r="N325" s="3">
        <v>105</v>
      </c>
    </row>
    <row r="326" spans="1:14" s="8" customFormat="1" ht="12.75" customHeight="1" x14ac:dyDescent="0.3">
      <c r="A326" s="5">
        <v>2023</v>
      </c>
      <c r="B326" s="8" t="s">
        <v>0</v>
      </c>
      <c r="C326" s="8" t="s">
        <v>10</v>
      </c>
      <c r="D326" s="3">
        <v>25198</v>
      </c>
      <c r="E326" s="3">
        <v>8380</v>
      </c>
      <c r="F326" s="3">
        <v>1275</v>
      </c>
      <c r="G326" s="3">
        <v>3774</v>
      </c>
      <c r="H326" s="3">
        <v>3988</v>
      </c>
      <c r="I326" s="3">
        <v>3554</v>
      </c>
      <c r="J326" s="3">
        <v>952</v>
      </c>
      <c r="K326" s="3">
        <v>84</v>
      </c>
      <c r="L326" s="3">
        <v>0</v>
      </c>
      <c r="M326" s="3">
        <v>47205</v>
      </c>
      <c r="N326" s="3">
        <v>535</v>
      </c>
    </row>
    <row r="327" spans="1:14" s="8" customFormat="1" ht="12.75" customHeight="1" x14ac:dyDescent="0.3">
      <c r="A327" s="5">
        <v>2023</v>
      </c>
      <c r="B327" s="8" t="s">
        <v>0</v>
      </c>
      <c r="C327" s="8" t="s">
        <v>2</v>
      </c>
      <c r="D327" s="3">
        <v>75917</v>
      </c>
      <c r="E327" s="3">
        <v>29976</v>
      </c>
      <c r="F327" s="3">
        <v>8082</v>
      </c>
      <c r="G327" s="3">
        <v>18063</v>
      </c>
      <c r="H327" s="3">
        <v>22772</v>
      </c>
      <c r="I327" s="3">
        <v>18675</v>
      </c>
      <c r="J327" s="3">
        <v>3901</v>
      </c>
      <c r="K327" s="3">
        <v>1523</v>
      </c>
      <c r="L327" s="3">
        <v>11</v>
      </c>
      <c r="M327" s="3">
        <v>178920</v>
      </c>
      <c r="N327" s="3">
        <v>515</v>
      </c>
    </row>
    <row r="328" spans="1:14" s="8" customFormat="1" ht="12.75" customHeight="1" x14ac:dyDescent="0.3">
      <c r="A328" s="5">
        <v>2023</v>
      </c>
      <c r="B328" s="8" t="s">
        <v>0</v>
      </c>
      <c r="C328" s="8" t="s">
        <v>31</v>
      </c>
      <c r="D328" s="3">
        <v>25947</v>
      </c>
      <c r="E328" s="3">
        <v>5754</v>
      </c>
      <c r="F328" s="3">
        <v>3911</v>
      </c>
      <c r="G328" s="3">
        <v>5616</v>
      </c>
      <c r="H328" s="3">
        <v>6521</v>
      </c>
      <c r="I328" s="3">
        <v>5898</v>
      </c>
      <c r="J328" s="3">
        <v>1374</v>
      </c>
      <c r="K328" s="3">
        <v>292</v>
      </c>
      <c r="L328" s="3">
        <v>0</v>
      </c>
      <c r="M328" s="3">
        <v>55313</v>
      </c>
      <c r="N328" s="3">
        <v>839</v>
      </c>
    </row>
    <row r="329" spans="1:14" s="8" customFormat="1" ht="12.75" customHeight="1" x14ac:dyDescent="0.3">
      <c r="A329" s="5">
        <v>2023</v>
      </c>
      <c r="B329" s="8" t="s">
        <v>0</v>
      </c>
      <c r="C329" s="8" t="s">
        <v>15</v>
      </c>
      <c r="D329" s="3">
        <v>21486</v>
      </c>
      <c r="E329" s="3">
        <v>6691</v>
      </c>
      <c r="F329" s="3">
        <v>2594</v>
      </c>
      <c r="G329" s="3">
        <v>7995</v>
      </c>
      <c r="H329" s="3">
        <v>7542</v>
      </c>
      <c r="I329" s="3">
        <v>8084</v>
      </c>
      <c r="J329" s="3">
        <v>1191</v>
      </c>
      <c r="K329" s="3">
        <v>85</v>
      </c>
      <c r="L329" s="3">
        <v>0</v>
      </c>
      <c r="M329" s="3">
        <v>55668</v>
      </c>
      <c r="N329" s="3">
        <v>147</v>
      </c>
    </row>
    <row r="330" spans="1:14" s="8" customFormat="1" ht="12.75" customHeight="1" x14ac:dyDescent="0.3">
      <c r="A330" s="5">
        <v>2023</v>
      </c>
      <c r="B330" s="8" t="s">
        <v>0</v>
      </c>
      <c r="C330" s="8" t="s">
        <v>7</v>
      </c>
      <c r="D330" s="3">
        <v>30113</v>
      </c>
      <c r="E330" s="3">
        <v>5801</v>
      </c>
      <c r="F330" s="3">
        <v>437</v>
      </c>
      <c r="G330" s="3">
        <v>4846</v>
      </c>
      <c r="H330" s="3">
        <v>6943</v>
      </c>
      <c r="I330" s="3">
        <v>6188</v>
      </c>
      <c r="J330" s="3">
        <v>1300</v>
      </c>
      <c r="K330" s="3">
        <v>90</v>
      </c>
      <c r="L330" s="3">
        <v>32</v>
      </c>
      <c r="M330" s="3">
        <v>55750</v>
      </c>
      <c r="N330" s="3">
        <v>773</v>
      </c>
    </row>
    <row r="331" spans="1:14" s="8" customFormat="1" ht="12.75" customHeight="1" x14ac:dyDescent="0.3">
      <c r="A331" s="5">
        <v>2023</v>
      </c>
      <c r="B331" s="8" t="s">
        <v>0</v>
      </c>
      <c r="C331" s="8" t="s">
        <v>28</v>
      </c>
      <c r="D331" s="3">
        <v>624</v>
      </c>
      <c r="E331" s="3">
        <v>318</v>
      </c>
      <c r="F331" s="3">
        <v>442</v>
      </c>
      <c r="G331" s="3">
        <v>1280</v>
      </c>
      <c r="H331" s="3">
        <v>1566</v>
      </c>
      <c r="I331" s="3">
        <v>902</v>
      </c>
      <c r="J331" s="3">
        <v>28</v>
      </c>
      <c r="K331" s="3">
        <v>15</v>
      </c>
      <c r="L331" s="3">
        <v>0</v>
      </c>
      <c r="M331" s="3">
        <v>5175</v>
      </c>
      <c r="N331" s="3">
        <v>7</v>
      </c>
    </row>
    <row r="332" spans="1:14" s="8" customFormat="1" ht="12.75" customHeight="1" x14ac:dyDescent="0.3">
      <c r="A332" s="5">
        <v>2023</v>
      </c>
      <c r="B332" s="8" t="s">
        <v>0</v>
      </c>
      <c r="C332" s="8" t="s">
        <v>4</v>
      </c>
      <c r="D332" s="3">
        <v>38358</v>
      </c>
      <c r="E332" s="3">
        <v>13888</v>
      </c>
      <c r="F332" s="3">
        <v>5835</v>
      </c>
      <c r="G332" s="3">
        <v>7455</v>
      </c>
      <c r="H332" s="3">
        <v>10015</v>
      </c>
      <c r="I332" s="3">
        <v>12208</v>
      </c>
      <c r="J332" s="3">
        <v>1179</v>
      </c>
      <c r="K332" s="3">
        <v>289</v>
      </c>
      <c r="L332" s="3">
        <v>0</v>
      </c>
      <c r="M332" s="3">
        <v>89227</v>
      </c>
      <c r="N332" s="3">
        <v>447</v>
      </c>
    </row>
    <row r="333" spans="1:14" s="8" customFormat="1" ht="12.75" customHeight="1" x14ac:dyDescent="0.3">
      <c r="A333" s="5">
        <v>2023</v>
      </c>
      <c r="B333" s="8" t="s">
        <v>0</v>
      </c>
      <c r="C333" s="8" t="s">
        <v>14</v>
      </c>
      <c r="D333" s="3">
        <v>12255</v>
      </c>
      <c r="E333" s="3">
        <v>7237</v>
      </c>
      <c r="F333" s="3">
        <v>1295</v>
      </c>
      <c r="G333" s="3">
        <v>7062</v>
      </c>
      <c r="H333" s="3">
        <v>10454</v>
      </c>
      <c r="I333" s="3">
        <v>9517</v>
      </c>
      <c r="J333" s="3">
        <v>565</v>
      </c>
      <c r="K333" s="3">
        <v>276</v>
      </c>
      <c r="L333" s="3">
        <v>0</v>
      </c>
      <c r="M333" s="3">
        <v>48661</v>
      </c>
      <c r="N333" s="3">
        <v>116</v>
      </c>
    </row>
    <row r="334" spans="1:14" s="8" customFormat="1" ht="12.75" customHeight="1" x14ac:dyDescent="0.3">
      <c r="A334" s="5">
        <v>2023</v>
      </c>
      <c r="B334" s="8" t="s">
        <v>0</v>
      </c>
      <c r="C334" s="8" t="s">
        <v>17</v>
      </c>
      <c r="D334" s="3">
        <v>5003</v>
      </c>
      <c r="E334" s="3">
        <v>1564</v>
      </c>
      <c r="F334" s="3">
        <v>325</v>
      </c>
      <c r="G334" s="3">
        <v>805</v>
      </c>
      <c r="H334" s="3">
        <v>1796</v>
      </c>
      <c r="I334" s="3">
        <v>1645</v>
      </c>
      <c r="J334" s="3">
        <v>319</v>
      </c>
      <c r="K334" s="3">
        <v>89</v>
      </c>
      <c r="L334" s="3">
        <v>0</v>
      </c>
      <c r="M334" s="3">
        <v>11546</v>
      </c>
      <c r="N334" s="3">
        <v>354</v>
      </c>
    </row>
    <row r="335" spans="1:14" s="8" customFormat="1" ht="12.75" customHeight="1" x14ac:dyDescent="0.3">
      <c r="A335" s="5">
        <v>2023</v>
      </c>
      <c r="B335" s="8" t="s">
        <v>0</v>
      </c>
      <c r="C335" s="7" t="s">
        <v>25</v>
      </c>
      <c r="D335" s="3">
        <v>2520</v>
      </c>
      <c r="E335" s="3">
        <v>952</v>
      </c>
      <c r="F335" s="3">
        <v>609</v>
      </c>
      <c r="G335" s="3">
        <v>802</v>
      </c>
      <c r="H335" s="3">
        <v>590</v>
      </c>
      <c r="I335" s="3">
        <v>1017</v>
      </c>
      <c r="J335" s="3">
        <v>121</v>
      </c>
      <c r="K335" s="3">
        <v>23</v>
      </c>
      <c r="L335" s="3">
        <v>0</v>
      </c>
      <c r="M335" s="3">
        <v>6634</v>
      </c>
      <c r="N335" s="3">
        <v>109</v>
      </c>
    </row>
    <row r="336" spans="1:14" s="8" customFormat="1" ht="12.75" customHeight="1" x14ac:dyDescent="0.3">
      <c r="A336" s="5">
        <v>2023</v>
      </c>
      <c r="B336" s="8" t="s">
        <v>0</v>
      </c>
      <c r="C336" s="8" t="s">
        <v>24</v>
      </c>
      <c r="D336" s="3">
        <v>4564</v>
      </c>
      <c r="E336" s="3">
        <v>1108</v>
      </c>
      <c r="F336" s="3">
        <v>333</v>
      </c>
      <c r="G336" s="3">
        <v>330</v>
      </c>
      <c r="H336" s="3">
        <v>721</v>
      </c>
      <c r="I336" s="3">
        <v>725</v>
      </c>
      <c r="J336" s="3">
        <v>245</v>
      </c>
      <c r="K336" s="3">
        <v>81</v>
      </c>
      <c r="L336" s="3">
        <v>0</v>
      </c>
      <c r="M336" s="3">
        <v>8107</v>
      </c>
      <c r="N336" s="3">
        <v>210</v>
      </c>
    </row>
    <row r="337" spans="1:14" s="8" customFormat="1" ht="12.75" customHeight="1" x14ac:dyDescent="0.3">
      <c r="A337" s="5">
        <v>2023</v>
      </c>
      <c r="B337" s="8" t="s">
        <v>0</v>
      </c>
      <c r="C337" s="7" t="s">
        <v>26</v>
      </c>
      <c r="D337" s="3">
        <v>1329</v>
      </c>
      <c r="E337" s="3">
        <v>705</v>
      </c>
      <c r="F337" s="3">
        <v>151</v>
      </c>
      <c r="G337" s="3">
        <v>1552</v>
      </c>
      <c r="H337" s="3">
        <v>755</v>
      </c>
      <c r="I337" s="3">
        <v>1126</v>
      </c>
      <c r="J337" s="3">
        <v>76</v>
      </c>
      <c r="K337" s="3">
        <v>1</v>
      </c>
      <c r="L337" s="3">
        <v>0</v>
      </c>
      <c r="M337" s="3">
        <v>5695</v>
      </c>
      <c r="N337" s="3">
        <v>96</v>
      </c>
    </row>
    <row r="338" spans="1:14" s="8" customFormat="1" ht="12.75" customHeight="1" x14ac:dyDescent="0.3">
      <c r="A338" s="5">
        <v>2023</v>
      </c>
      <c r="B338" s="8" t="s">
        <v>0</v>
      </c>
      <c r="C338" s="8" t="s">
        <v>1</v>
      </c>
      <c r="D338" s="3">
        <v>526527</v>
      </c>
      <c r="E338" s="3">
        <v>175337</v>
      </c>
      <c r="F338" s="3">
        <v>55939</v>
      </c>
      <c r="G338" s="3">
        <v>133782</v>
      </c>
      <c r="H338" s="3">
        <v>142716</v>
      </c>
      <c r="I338" s="3">
        <v>132107</v>
      </c>
      <c r="J338" s="3">
        <v>26300</v>
      </c>
      <c r="K338" s="3">
        <v>12276</v>
      </c>
      <c r="L338" s="3">
        <v>53</v>
      </c>
      <c r="M338" s="3">
        <v>1205037</v>
      </c>
      <c r="N338" s="3">
        <v>8682</v>
      </c>
    </row>
    <row r="339" spans="1:14" s="8" customFormat="1" x14ac:dyDescent="0.3">
      <c r="A339" s="5">
        <v>2024</v>
      </c>
      <c r="B339" s="8" t="s">
        <v>0</v>
      </c>
      <c r="C339" s="11" t="s">
        <v>5</v>
      </c>
      <c r="D339" s="2">
        <v>40640</v>
      </c>
      <c r="E339" s="2">
        <v>9941</v>
      </c>
      <c r="F339" s="2">
        <v>2959</v>
      </c>
      <c r="G339" s="2">
        <v>4720</v>
      </c>
      <c r="H339" s="2">
        <v>6913</v>
      </c>
      <c r="I339" s="2">
        <v>7344</v>
      </c>
      <c r="J339" s="2">
        <v>1807</v>
      </c>
      <c r="K339" s="2">
        <v>604</v>
      </c>
      <c r="L339" s="2">
        <v>0</v>
      </c>
      <c r="M339" s="2">
        <v>74928</v>
      </c>
      <c r="N339" s="2">
        <v>518</v>
      </c>
    </row>
    <row r="340" spans="1:14" s="8" customFormat="1" x14ac:dyDescent="0.3">
      <c r="A340" s="5">
        <v>2024</v>
      </c>
      <c r="B340" s="8" t="s">
        <v>0</v>
      </c>
      <c r="C340" s="11" t="s">
        <v>3</v>
      </c>
      <c r="D340" s="2">
        <v>48429</v>
      </c>
      <c r="E340" s="2">
        <v>11705</v>
      </c>
      <c r="F340" s="2">
        <v>5390</v>
      </c>
      <c r="G340" s="2">
        <v>10074</v>
      </c>
      <c r="H340" s="2">
        <v>18936</v>
      </c>
      <c r="I340" s="2">
        <v>11875</v>
      </c>
      <c r="J340" s="2">
        <v>2388</v>
      </c>
      <c r="K340" s="2">
        <v>2544</v>
      </c>
      <c r="L340" s="2">
        <v>2</v>
      </c>
      <c r="M340" s="2">
        <v>111343</v>
      </c>
      <c r="N340" s="2">
        <v>834</v>
      </c>
    </row>
    <row r="341" spans="1:14" s="8" customFormat="1" x14ac:dyDescent="0.3">
      <c r="A341" s="5">
        <v>2024</v>
      </c>
      <c r="B341" s="8" t="s">
        <v>0</v>
      </c>
      <c r="C341" s="11" t="s">
        <v>27</v>
      </c>
      <c r="D341" s="2">
        <v>351</v>
      </c>
      <c r="E341" s="2">
        <v>112</v>
      </c>
      <c r="F341" s="2">
        <v>64</v>
      </c>
      <c r="G341" s="2">
        <v>29</v>
      </c>
      <c r="H341" s="2">
        <v>142</v>
      </c>
      <c r="I341" s="2">
        <v>96</v>
      </c>
      <c r="J341" s="2">
        <v>20</v>
      </c>
      <c r="K341" s="2">
        <v>12</v>
      </c>
      <c r="L341" s="2">
        <v>0</v>
      </c>
      <c r="M341" s="2">
        <v>826</v>
      </c>
      <c r="N341" s="2">
        <v>38</v>
      </c>
    </row>
    <row r="342" spans="1:14" s="8" customFormat="1" x14ac:dyDescent="0.3">
      <c r="A342" s="5">
        <v>2024</v>
      </c>
      <c r="B342" s="8" t="s">
        <v>0</v>
      </c>
      <c r="C342" s="11" t="s">
        <v>20</v>
      </c>
      <c r="D342" s="2">
        <v>5093</v>
      </c>
      <c r="E342" s="2">
        <v>1779</v>
      </c>
      <c r="F342" s="2">
        <v>213</v>
      </c>
      <c r="G342" s="2">
        <v>679</v>
      </c>
      <c r="H342" s="2">
        <v>1655</v>
      </c>
      <c r="I342" s="2">
        <v>1216</v>
      </c>
      <c r="J342" s="2">
        <v>308</v>
      </c>
      <c r="K342" s="2">
        <v>148</v>
      </c>
      <c r="L342" s="2">
        <v>0</v>
      </c>
      <c r="M342" s="2">
        <v>11091</v>
      </c>
      <c r="N342" s="2">
        <v>260</v>
      </c>
    </row>
    <row r="343" spans="1:14" s="8" customFormat="1" x14ac:dyDescent="0.3">
      <c r="A343" s="5">
        <v>2024</v>
      </c>
      <c r="B343" s="8" t="s">
        <v>0</v>
      </c>
      <c r="C343" s="11" t="s">
        <v>11</v>
      </c>
      <c r="D343" s="2">
        <v>19853</v>
      </c>
      <c r="E343" s="2">
        <v>6659</v>
      </c>
      <c r="F343" s="2">
        <v>1612</v>
      </c>
      <c r="G343" s="2">
        <v>6344</v>
      </c>
      <c r="H343" s="2">
        <v>2892</v>
      </c>
      <c r="I343" s="2">
        <v>2865</v>
      </c>
      <c r="J343" s="2">
        <v>979</v>
      </c>
      <c r="K343" s="2">
        <v>239</v>
      </c>
      <c r="L343" s="2">
        <v>0</v>
      </c>
      <c r="M343" s="2">
        <v>41443</v>
      </c>
      <c r="N343" s="2">
        <v>202</v>
      </c>
    </row>
    <row r="344" spans="1:14" s="8" customFormat="1" x14ac:dyDescent="0.3">
      <c r="A344" s="5">
        <v>2024</v>
      </c>
      <c r="B344" s="8" t="s">
        <v>0</v>
      </c>
      <c r="C344" s="11" t="s">
        <v>23</v>
      </c>
      <c r="D344" s="2">
        <v>3100</v>
      </c>
      <c r="E344" s="2">
        <v>930</v>
      </c>
      <c r="F344" s="2">
        <v>33</v>
      </c>
      <c r="G344" s="2">
        <v>435</v>
      </c>
      <c r="H344" s="2">
        <v>608</v>
      </c>
      <c r="I344" s="2">
        <v>805</v>
      </c>
      <c r="J344" s="2">
        <v>178</v>
      </c>
      <c r="K344" s="2">
        <v>70</v>
      </c>
      <c r="L344" s="2">
        <v>0</v>
      </c>
      <c r="M344" s="2">
        <v>6159</v>
      </c>
      <c r="N344" s="2">
        <v>52</v>
      </c>
    </row>
    <row r="345" spans="1:14" s="8" customFormat="1" x14ac:dyDescent="0.3">
      <c r="A345" s="5">
        <v>2024</v>
      </c>
      <c r="B345" s="8" t="s">
        <v>0</v>
      </c>
      <c r="C345" s="11" t="s">
        <v>19</v>
      </c>
      <c r="D345" s="2">
        <v>16883</v>
      </c>
      <c r="E345" s="2">
        <v>3706</v>
      </c>
      <c r="F345" s="2">
        <v>1692</v>
      </c>
      <c r="G345" s="2">
        <v>4580</v>
      </c>
      <c r="H345" s="2">
        <v>4513</v>
      </c>
      <c r="I345" s="2">
        <v>3250</v>
      </c>
      <c r="J345" s="2">
        <v>1136</v>
      </c>
      <c r="K345" s="2">
        <v>1232</v>
      </c>
      <c r="L345" s="2">
        <v>0</v>
      </c>
      <c r="M345" s="2">
        <v>36992</v>
      </c>
      <c r="N345" s="2">
        <v>132</v>
      </c>
    </row>
    <row r="346" spans="1:14" s="8" customFormat="1" x14ac:dyDescent="0.3">
      <c r="A346" s="5">
        <v>2024</v>
      </c>
      <c r="B346" s="8" t="s">
        <v>0</v>
      </c>
      <c r="C346" s="11" t="s">
        <v>13</v>
      </c>
      <c r="D346" s="2">
        <v>27559</v>
      </c>
      <c r="E346" s="2">
        <v>8452</v>
      </c>
      <c r="F346" s="2">
        <v>1042</v>
      </c>
      <c r="G346" s="2">
        <v>8102</v>
      </c>
      <c r="H346" s="2">
        <v>7517</v>
      </c>
      <c r="I346" s="2">
        <v>6514</v>
      </c>
      <c r="J346" s="2">
        <v>1706</v>
      </c>
      <c r="K346" s="2">
        <v>1347</v>
      </c>
      <c r="L346" s="2">
        <v>4</v>
      </c>
      <c r="M346" s="2">
        <v>62243</v>
      </c>
      <c r="N346" s="2">
        <v>899</v>
      </c>
    </row>
    <row r="347" spans="1:14" s="8" customFormat="1" x14ac:dyDescent="0.3">
      <c r="A347" s="5">
        <v>2024</v>
      </c>
      <c r="B347" s="8" t="s">
        <v>0</v>
      </c>
      <c r="C347" s="11" t="s">
        <v>21</v>
      </c>
      <c r="D347" s="2">
        <v>7158</v>
      </c>
      <c r="E347" s="2">
        <v>1550</v>
      </c>
      <c r="F347" s="2">
        <v>93</v>
      </c>
      <c r="G347" s="2">
        <v>560</v>
      </c>
      <c r="H347" s="2">
        <v>2150</v>
      </c>
      <c r="I347" s="2">
        <v>2398</v>
      </c>
      <c r="J347" s="2">
        <v>370</v>
      </c>
      <c r="K347" s="2">
        <v>163</v>
      </c>
      <c r="L347" s="2">
        <v>0</v>
      </c>
      <c r="M347" s="2">
        <v>14442</v>
      </c>
      <c r="N347" s="2">
        <v>339</v>
      </c>
    </row>
    <row r="348" spans="1:14" s="8" customFormat="1" x14ac:dyDescent="0.3">
      <c r="A348" s="5">
        <v>2024</v>
      </c>
      <c r="B348" s="8" t="s">
        <v>0</v>
      </c>
      <c r="C348" s="11" t="s">
        <v>12</v>
      </c>
      <c r="D348" s="2">
        <v>16015</v>
      </c>
      <c r="E348" s="2">
        <v>8086</v>
      </c>
      <c r="F348" s="2">
        <v>3773</v>
      </c>
      <c r="G348" s="2">
        <v>5780</v>
      </c>
      <c r="H348" s="2">
        <v>5045</v>
      </c>
      <c r="I348" s="2">
        <v>4727</v>
      </c>
      <c r="J348" s="2">
        <v>917</v>
      </c>
      <c r="K348" s="2">
        <v>302</v>
      </c>
      <c r="L348" s="2">
        <v>9</v>
      </c>
      <c r="M348" s="2">
        <v>44654</v>
      </c>
      <c r="N348" s="2">
        <v>435</v>
      </c>
    </row>
    <row r="349" spans="1:14" s="8" customFormat="1" x14ac:dyDescent="0.3">
      <c r="A349" s="5">
        <v>2024</v>
      </c>
      <c r="B349" s="8" t="s">
        <v>0</v>
      </c>
      <c r="C349" s="8" t="s">
        <v>18</v>
      </c>
      <c r="D349" s="2">
        <v>19363</v>
      </c>
      <c r="E349" s="2">
        <v>4462</v>
      </c>
      <c r="F349" s="2">
        <v>827</v>
      </c>
      <c r="G349" s="2">
        <v>2764</v>
      </c>
      <c r="H349" s="2">
        <v>5260</v>
      </c>
      <c r="I349" s="2">
        <v>5329</v>
      </c>
      <c r="J349" s="2">
        <v>937</v>
      </c>
      <c r="K349" s="2">
        <v>791</v>
      </c>
      <c r="L349" s="2">
        <v>0</v>
      </c>
      <c r="M349" s="2">
        <v>39733</v>
      </c>
      <c r="N349" s="2">
        <v>75</v>
      </c>
    </row>
    <row r="350" spans="1:14" s="8" customFormat="1" x14ac:dyDescent="0.3">
      <c r="A350" s="5">
        <v>2024</v>
      </c>
      <c r="B350" s="8" t="s">
        <v>0</v>
      </c>
      <c r="C350" s="8" t="s">
        <v>9</v>
      </c>
      <c r="D350" s="2">
        <v>23238</v>
      </c>
      <c r="E350" s="2">
        <v>8249</v>
      </c>
      <c r="F350" s="2">
        <v>2840</v>
      </c>
      <c r="G350" s="2">
        <v>4759</v>
      </c>
      <c r="H350" s="2">
        <v>12090</v>
      </c>
      <c r="I350" s="2">
        <v>8481</v>
      </c>
      <c r="J350" s="2">
        <v>1421</v>
      </c>
      <c r="K350" s="2">
        <v>1115</v>
      </c>
      <c r="L350" s="2">
        <v>0</v>
      </c>
      <c r="M350" s="2">
        <v>62193</v>
      </c>
      <c r="N350" s="2">
        <v>111</v>
      </c>
    </row>
    <row r="351" spans="1:14" s="8" customFormat="1" x14ac:dyDescent="0.3">
      <c r="A351" s="5">
        <v>2024</v>
      </c>
      <c r="B351" s="8" t="s">
        <v>0</v>
      </c>
      <c r="C351" s="11" t="s">
        <v>8</v>
      </c>
      <c r="D351" s="2">
        <v>27643</v>
      </c>
      <c r="E351" s="2">
        <v>9874</v>
      </c>
      <c r="F351" s="2">
        <v>1726</v>
      </c>
      <c r="G351" s="2">
        <v>5620</v>
      </c>
      <c r="H351" s="2">
        <v>7553</v>
      </c>
      <c r="I351" s="2">
        <v>7066</v>
      </c>
      <c r="J351" s="2">
        <v>1372</v>
      </c>
      <c r="K351" s="2">
        <v>573</v>
      </c>
      <c r="L351" s="2">
        <v>0</v>
      </c>
      <c r="M351" s="2">
        <v>61427</v>
      </c>
      <c r="N351" s="2">
        <v>519</v>
      </c>
    </row>
    <row r="352" spans="1:14" s="8" customFormat="1" x14ac:dyDescent="0.3">
      <c r="A352" s="5">
        <v>2024</v>
      </c>
      <c r="B352" s="8" t="s">
        <v>0</v>
      </c>
      <c r="C352" s="11" t="s">
        <v>16</v>
      </c>
      <c r="D352" s="2">
        <v>12743</v>
      </c>
      <c r="E352" s="2">
        <v>3464</v>
      </c>
      <c r="F352" s="2">
        <v>605</v>
      </c>
      <c r="G352" s="2">
        <v>1734</v>
      </c>
      <c r="H352" s="2">
        <v>3685</v>
      </c>
      <c r="I352" s="2">
        <v>2672</v>
      </c>
      <c r="J352" s="2">
        <v>691</v>
      </c>
      <c r="K352" s="2">
        <v>263</v>
      </c>
      <c r="L352" s="2">
        <v>0</v>
      </c>
      <c r="M352" s="2">
        <v>25857</v>
      </c>
      <c r="N352" s="2">
        <v>135</v>
      </c>
    </row>
    <row r="353" spans="1:14" s="8" customFormat="1" x14ac:dyDescent="0.3">
      <c r="A353" s="5">
        <v>2024</v>
      </c>
      <c r="B353" s="8" t="s">
        <v>0</v>
      </c>
      <c r="C353" s="11" t="s">
        <v>22</v>
      </c>
      <c r="D353" s="2">
        <v>2158</v>
      </c>
      <c r="E353" s="2">
        <v>446</v>
      </c>
      <c r="F353" s="2">
        <v>81</v>
      </c>
      <c r="G353" s="2">
        <v>363</v>
      </c>
      <c r="H353" s="2">
        <v>426</v>
      </c>
      <c r="I353" s="2">
        <v>401</v>
      </c>
      <c r="J353" s="2">
        <v>160</v>
      </c>
      <c r="K353" s="2">
        <v>39</v>
      </c>
      <c r="L353" s="2">
        <v>0</v>
      </c>
      <c r="M353" s="2">
        <v>4074</v>
      </c>
      <c r="N353" s="2">
        <v>110</v>
      </c>
    </row>
    <row r="354" spans="1:14" s="8" customFormat="1" x14ac:dyDescent="0.3">
      <c r="A354" s="5">
        <v>2024</v>
      </c>
      <c r="B354" s="8" t="s">
        <v>0</v>
      </c>
      <c r="C354" s="11" t="s">
        <v>10</v>
      </c>
      <c r="D354" s="2">
        <v>25234</v>
      </c>
      <c r="E354" s="2">
        <v>7368</v>
      </c>
      <c r="F354" s="2">
        <v>821</v>
      </c>
      <c r="G354" s="2">
        <v>3996</v>
      </c>
      <c r="H354" s="2">
        <v>4159</v>
      </c>
      <c r="I354" s="2">
        <v>4099</v>
      </c>
      <c r="J354" s="2">
        <v>955</v>
      </c>
      <c r="K354" s="2">
        <v>69</v>
      </c>
      <c r="L354" s="2">
        <v>1</v>
      </c>
      <c r="M354" s="2">
        <v>46702</v>
      </c>
      <c r="N354" s="2">
        <v>533</v>
      </c>
    </row>
    <row r="355" spans="1:14" s="8" customFormat="1" x14ac:dyDescent="0.3">
      <c r="A355" s="5">
        <v>2024</v>
      </c>
      <c r="B355" s="8" t="s">
        <v>0</v>
      </c>
      <c r="C355" s="11" t="s">
        <v>2</v>
      </c>
      <c r="D355" s="2">
        <v>65100</v>
      </c>
      <c r="E355" s="2">
        <v>23541</v>
      </c>
      <c r="F355" s="2">
        <v>6898</v>
      </c>
      <c r="G355" s="2">
        <v>15229</v>
      </c>
      <c r="H355" s="2">
        <v>16163</v>
      </c>
      <c r="I355" s="2">
        <v>15522</v>
      </c>
      <c r="J355" s="2">
        <v>3742</v>
      </c>
      <c r="K355" s="2">
        <v>1444</v>
      </c>
      <c r="L355" s="2">
        <v>8</v>
      </c>
      <c r="M355" s="2">
        <v>147647</v>
      </c>
      <c r="N355" s="2">
        <v>474</v>
      </c>
    </row>
    <row r="356" spans="1:14" s="8" customFormat="1" x14ac:dyDescent="0.3">
      <c r="A356" s="5">
        <v>2024</v>
      </c>
      <c r="B356" s="8" t="s">
        <v>0</v>
      </c>
      <c r="C356" s="11" t="s">
        <v>6</v>
      </c>
      <c r="D356" s="2">
        <v>24609</v>
      </c>
      <c r="E356" s="2">
        <v>6677</v>
      </c>
      <c r="F356" s="2">
        <v>1659</v>
      </c>
      <c r="G356" s="2">
        <v>13876</v>
      </c>
      <c r="H356" s="2">
        <v>6188</v>
      </c>
      <c r="I356" s="2">
        <v>4989</v>
      </c>
      <c r="J356" s="2">
        <v>1306</v>
      </c>
      <c r="K356" s="2">
        <v>353</v>
      </c>
      <c r="L356" s="2">
        <v>0</v>
      </c>
      <c r="M356" s="2">
        <v>59657</v>
      </c>
      <c r="N356" s="2">
        <v>864</v>
      </c>
    </row>
    <row r="357" spans="1:14" s="8" customFormat="1" x14ac:dyDescent="0.3">
      <c r="A357" s="5">
        <v>2024</v>
      </c>
      <c r="B357" s="8" t="s">
        <v>0</v>
      </c>
      <c r="C357" s="11" t="s">
        <v>15</v>
      </c>
      <c r="D357" s="2">
        <v>23349</v>
      </c>
      <c r="E357" s="2">
        <v>6225</v>
      </c>
      <c r="F357" s="2">
        <v>2949</v>
      </c>
      <c r="G357" s="2">
        <v>6787</v>
      </c>
      <c r="H357" s="2">
        <v>7234</v>
      </c>
      <c r="I357" s="2">
        <v>5145</v>
      </c>
      <c r="J357" s="2">
        <v>1113</v>
      </c>
      <c r="K357" s="2">
        <v>376</v>
      </c>
      <c r="L357" s="2">
        <v>0</v>
      </c>
      <c r="M357" s="2">
        <v>53178</v>
      </c>
      <c r="N357" s="2">
        <v>148</v>
      </c>
    </row>
    <row r="358" spans="1:14" s="8" customFormat="1" x14ac:dyDescent="0.3">
      <c r="A358" s="5">
        <v>2024</v>
      </c>
      <c r="B358" s="8" t="s">
        <v>0</v>
      </c>
      <c r="C358" s="11" t="s">
        <v>7</v>
      </c>
      <c r="D358" s="2">
        <v>31161</v>
      </c>
      <c r="E358" s="2">
        <v>5634</v>
      </c>
      <c r="F358" s="2">
        <v>628</v>
      </c>
      <c r="G358" s="2">
        <v>7837</v>
      </c>
      <c r="H358" s="2">
        <v>8524</v>
      </c>
      <c r="I358" s="2">
        <v>7648</v>
      </c>
      <c r="J358" s="2">
        <v>1384</v>
      </c>
      <c r="K358" s="2">
        <v>97</v>
      </c>
      <c r="L358" s="2">
        <v>2</v>
      </c>
      <c r="M358" s="2">
        <v>62915</v>
      </c>
      <c r="N358" s="2">
        <v>804</v>
      </c>
    </row>
    <row r="359" spans="1:14" s="8" customFormat="1" x14ac:dyDescent="0.3">
      <c r="A359" s="5">
        <v>2024</v>
      </c>
      <c r="B359" s="8" t="s">
        <v>0</v>
      </c>
      <c r="C359" s="11" t="s">
        <v>28</v>
      </c>
      <c r="D359" s="2">
        <v>472</v>
      </c>
      <c r="E359" s="2">
        <v>461</v>
      </c>
      <c r="F359" s="2">
        <v>253</v>
      </c>
      <c r="G359" s="2">
        <v>1254</v>
      </c>
      <c r="H359" s="2">
        <v>1866</v>
      </c>
      <c r="I359" s="2">
        <v>958</v>
      </c>
      <c r="J359" s="2">
        <v>25</v>
      </c>
      <c r="K359" s="2">
        <v>13</v>
      </c>
      <c r="L359" s="2">
        <v>0</v>
      </c>
      <c r="M359" s="2">
        <v>5302</v>
      </c>
      <c r="N359" s="2">
        <v>8</v>
      </c>
    </row>
    <row r="360" spans="1:14" s="8" customFormat="1" x14ac:dyDescent="0.3">
      <c r="A360" s="5">
        <v>2024</v>
      </c>
      <c r="B360" s="8" t="s">
        <v>0</v>
      </c>
      <c r="C360" s="11" t="s">
        <v>4</v>
      </c>
      <c r="D360" s="2">
        <v>36365</v>
      </c>
      <c r="E360" s="2">
        <v>13253</v>
      </c>
      <c r="F360" s="2">
        <v>5664</v>
      </c>
      <c r="G360" s="2">
        <v>6574</v>
      </c>
      <c r="H360" s="2">
        <v>8983</v>
      </c>
      <c r="I360" s="2">
        <v>11206</v>
      </c>
      <c r="J360" s="2">
        <v>1145</v>
      </c>
      <c r="K360" s="2">
        <v>255</v>
      </c>
      <c r="L360" s="2">
        <v>0</v>
      </c>
      <c r="M360" s="2">
        <v>83445</v>
      </c>
      <c r="N360" s="2">
        <v>420</v>
      </c>
    </row>
    <row r="361" spans="1:14" s="8" customFormat="1" x14ac:dyDescent="0.3">
      <c r="A361" s="5">
        <v>2024</v>
      </c>
      <c r="B361" s="8" t="s">
        <v>0</v>
      </c>
      <c r="C361" s="11" t="s">
        <v>14</v>
      </c>
      <c r="D361" s="2">
        <v>11767</v>
      </c>
      <c r="E361" s="2">
        <v>5142</v>
      </c>
      <c r="F361" s="2">
        <v>1900</v>
      </c>
      <c r="G361" s="2">
        <v>4092</v>
      </c>
      <c r="H361" s="2">
        <v>9274</v>
      </c>
      <c r="I361" s="2">
        <v>10309</v>
      </c>
      <c r="J361" s="2">
        <v>536</v>
      </c>
      <c r="K361" s="2">
        <v>339</v>
      </c>
      <c r="L361" s="2">
        <v>0</v>
      </c>
      <c r="M361" s="2">
        <v>43359</v>
      </c>
      <c r="N361" s="2">
        <v>123</v>
      </c>
    </row>
    <row r="362" spans="1:14" s="8" customFormat="1" x14ac:dyDescent="0.3">
      <c r="A362" s="5">
        <v>2024</v>
      </c>
      <c r="B362" s="8" t="s">
        <v>0</v>
      </c>
      <c r="C362" s="11" t="s">
        <v>17</v>
      </c>
      <c r="D362" s="2">
        <v>5596</v>
      </c>
      <c r="E362" s="2">
        <v>1908</v>
      </c>
      <c r="F362" s="2">
        <v>670</v>
      </c>
      <c r="G362" s="2">
        <v>940</v>
      </c>
      <c r="H362" s="2">
        <v>1756</v>
      </c>
      <c r="I362" s="2">
        <v>1460</v>
      </c>
      <c r="J362" s="2">
        <v>303</v>
      </c>
      <c r="K362" s="2">
        <v>84</v>
      </c>
      <c r="L362" s="2">
        <v>0</v>
      </c>
      <c r="M362" s="2">
        <v>12717</v>
      </c>
      <c r="N362" s="2">
        <v>402</v>
      </c>
    </row>
    <row r="363" spans="1:14" s="8" customFormat="1" x14ac:dyDescent="0.3">
      <c r="A363" s="5">
        <v>2024</v>
      </c>
      <c r="B363" s="8" t="s">
        <v>0</v>
      </c>
      <c r="C363" s="7" t="s">
        <v>25</v>
      </c>
      <c r="D363" s="2">
        <v>2797</v>
      </c>
      <c r="E363" s="2">
        <v>920</v>
      </c>
      <c r="F363" s="2">
        <v>396</v>
      </c>
      <c r="G363" s="2">
        <v>309</v>
      </c>
      <c r="H363" s="2">
        <v>898</v>
      </c>
      <c r="I363" s="2">
        <v>800</v>
      </c>
      <c r="J363" s="2">
        <v>195</v>
      </c>
      <c r="K363" s="2">
        <v>32</v>
      </c>
      <c r="L363" s="2">
        <v>0</v>
      </c>
      <c r="M363" s="2">
        <v>6347</v>
      </c>
      <c r="N363" s="2">
        <v>114</v>
      </c>
    </row>
    <row r="364" spans="1:14" s="8" customFormat="1" x14ac:dyDescent="0.3">
      <c r="A364" s="5">
        <v>2024</v>
      </c>
      <c r="B364" s="8" t="s">
        <v>0</v>
      </c>
      <c r="C364" s="11" t="s">
        <v>24</v>
      </c>
      <c r="D364" s="2">
        <v>4200</v>
      </c>
      <c r="E364" s="2">
        <v>731</v>
      </c>
      <c r="F364" s="2">
        <v>223</v>
      </c>
      <c r="G364" s="2">
        <v>197</v>
      </c>
      <c r="H364" s="2">
        <v>966</v>
      </c>
      <c r="I364" s="2">
        <v>730</v>
      </c>
      <c r="J364" s="2">
        <v>282</v>
      </c>
      <c r="K364" s="2">
        <v>67</v>
      </c>
      <c r="L364" s="2">
        <v>0</v>
      </c>
      <c r="M364" s="2">
        <v>7396</v>
      </c>
      <c r="N364" s="2">
        <v>212</v>
      </c>
    </row>
    <row r="365" spans="1:14" s="8" customFormat="1" x14ac:dyDescent="0.3">
      <c r="A365" s="5">
        <v>2024</v>
      </c>
      <c r="B365" s="8" t="s">
        <v>0</v>
      </c>
      <c r="C365" s="7" t="s">
        <v>26</v>
      </c>
      <c r="D365" s="2">
        <v>1231</v>
      </c>
      <c r="E365" s="2">
        <v>405</v>
      </c>
      <c r="F365" s="2">
        <v>55</v>
      </c>
      <c r="G365" s="2">
        <v>382</v>
      </c>
      <c r="H365" s="2">
        <v>832</v>
      </c>
      <c r="I365" s="2">
        <v>561</v>
      </c>
      <c r="J365" s="2">
        <v>71</v>
      </c>
      <c r="K365" s="2">
        <v>4</v>
      </c>
      <c r="L365" s="2">
        <v>0</v>
      </c>
      <c r="M365" s="2">
        <v>3541</v>
      </c>
      <c r="N365" s="2">
        <v>94</v>
      </c>
    </row>
    <row r="366" spans="1:14" s="8" customFormat="1" x14ac:dyDescent="0.3">
      <c r="A366" s="5">
        <v>2024</v>
      </c>
      <c r="B366" s="8" t="s">
        <v>0</v>
      </c>
      <c r="C366" s="11" t="s">
        <v>1</v>
      </c>
      <c r="D366" s="2">
        <v>502107</v>
      </c>
      <c r="E366" s="2">
        <v>151680</v>
      </c>
      <c r="F366" s="2">
        <v>45066</v>
      </c>
      <c r="G366" s="2">
        <v>118016</v>
      </c>
      <c r="H366" s="2">
        <v>146228</v>
      </c>
      <c r="I366" s="2">
        <v>128466</v>
      </c>
      <c r="J366" s="2">
        <v>25447</v>
      </c>
      <c r="K366" s="2">
        <v>12575</v>
      </c>
      <c r="L366" s="2">
        <v>26</v>
      </c>
      <c r="M366" s="2">
        <v>1129611</v>
      </c>
      <c r="N366" s="2">
        <v>8855</v>
      </c>
    </row>
    <row r="367" spans="1:14" s="8" customFormat="1" x14ac:dyDescent="0.3">
      <c r="A367" s="5">
        <v>2025</v>
      </c>
      <c r="B367" s="8" t="s">
        <v>0</v>
      </c>
      <c r="C367" s="11" t="s">
        <v>5</v>
      </c>
      <c r="D367" s="2">
        <v>38745</v>
      </c>
      <c r="E367" s="2">
        <v>10822</v>
      </c>
      <c r="F367" s="2">
        <v>3323</v>
      </c>
      <c r="G367" s="2">
        <v>5878</v>
      </c>
      <c r="H367" s="2">
        <v>7722</v>
      </c>
      <c r="I367" s="2">
        <v>9222</v>
      </c>
      <c r="J367" s="2">
        <v>1699</v>
      </c>
      <c r="K367" s="2">
        <v>521</v>
      </c>
      <c r="L367" s="2">
        <v>0</v>
      </c>
      <c r="M367" s="2">
        <v>77932</v>
      </c>
      <c r="N367" s="2">
        <v>500</v>
      </c>
    </row>
    <row r="368" spans="1:14" s="8" customFormat="1" x14ac:dyDescent="0.3">
      <c r="A368" s="5">
        <v>2025</v>
      </c>
      <c r="B368" s="8" t="s">
        <v>0</v>
      </c>
      <c r="C368" s="11" t="s">
        <v>3</v>
      </c>
      <c r="D368" s="2">
        <v>41203</v>
      </c>
      <c r="E368" s="2">
        <v>11350</v>
      </c>
      <c r="F368" s="2">
        <v>4927</v>
      </c>
      <c r="G368" s="2">
        <v>9198</v>
      </c>
      <c r="H368" s="2">
        <v>9655</v>
      </c>
      <c r="I368" s="2">
        <v>9927</v>
      </c>
      <c r="J368" s="2">
        <v>2407</v>
      </c>
      <c r="K368" s="2">
        <v>1582</v>
      </c>
      <c r="L368" s="2">
        <v>2</v>
      </c>
      <c r="M368" s="2">
        <v>90251</v>
      </c>
      <c r="N368" s="2">
        <v>846</v>
      </c>
    </row>
    <row r="369" spans="1:14" s="8" customFormat="1" x14ac:dyDescent="0.3">
      <c r="A369" s="5">
        <v>2025</v>
      </c>
      <c r="B369" s="8" t="s">
        <v>0</v>
      </c>
      <c r="C369" s="11" t="s">
        <v>27</v>
      </c>
      <c r="D369" s="2">
        <v>483</v>
      </c>
      <c r="E369" s="2">
        <v>183</v>
      </c>
      <c r="F369" s="2">
        <v>29</v>
      </c>
      <c r="G369" s="2">
        <v>100</v>
      </c>
      <c r="H369" s="2">
        <v>218</v>
      </c>
      <c r="I369" s="2">
        <v>122</v>
      </c>
      <c r="J369" s="2">
        <v>34</v>
      </c>
      <c r="K369" s="2">
        <v>30</v>
      </c>
      <c r="L369" s="2">
        <v>0</v>
      </c>
      <c r="M369" s="2">
        <v>1199</v>
      </c>
      <c r="N369" s="2">
        <v>70</v>
      </c>
    </row>
    <row r="370" spans="1:14" s="8" customFormat="1" x14ac:dyDescent="0.3">
      <c r="A370" s="5">
        <v>2025</v>
      </c>
      <c r="B370" s="8" t="s">
        <v>0</v>
      </c>
      <c r="C370" s="11" t="s">
        <v>20</v>
      </c>
      <c r="D370" s="2">
        <v>5160</v>
      </c>
      <c r="E370" s="2">
        <v>1202</v>
      </c>
      <c r="F370" s="2">
        <v>229</v>
      </c>
      <c r="G370" s="2">
        <v>565</v>
      </c>
      <c r="H370" s="2">
        <v>2157</v>
      </c>
      <c r="I370" s="2">
        <v>1675</v>
      </c>
      <c r="J370" s="2">
        <v>377</v>
      </c>
      <c r="K370" s="2">
        <v>100</v>
      </c>
      <c r="L370" s="2">
        <v>0</v>
      </c>
      <c r="M370" s="2">
        <v>11465</v>
      </c>
      <c r="N370" s="2">
        <v>274</v>
      </c>
    </row>
    <row r="371" spans="1:14" s="8" customFormat="1" x14ac:dyDescent="0.3">
      <c r="A371" s="5">
        <v>2025</v>
      </c>
      <c r="B371" s="8" t="s">
        <v>0</v>
      </c>
      <c r="C371" s="11" t="s">
        <v>11</v>
      </c>
      <c r="D371" s="2">
        <v>20181</v>
      </c>
      <c r="E371" s="2">
        <v>5767</v>
      </c>
      <c r="F371" s="2">
        <v>1966</v>
      </c>
      <c r="G371" s="2">
        <v>4234</v>
      </c>
      <c r="H371" s="2">
        <v>3991</v>
      </c>
      <c r="I371" s="2">
        <v>3142</v>
      </c>
      <c r="J371" s="2">
        <v>885</v>
      </c>
      <c r="K371" s="2">
        <v>284</v>
      </c>
      <c r="L371" s="2">
        <v>0</v>
      </c>
      <c r="M371" s="2">
        <v>40450</v>
      </c>
      <c r="N371" s="2">
        <v>204</v>
      </c>
    </row>
    <row r="372" spans="1:14" s="8" customFormat="1" x14ac:dyDescent="0.3">
      <c r="A372" s="5">
        <v>2025</v>
      </c>
      <c r="B372" s="8" t="s">
        <v>0</v>
      </c>
      <c r="C372" s="11" t="s">
        <v>23</v>
      </c>
      <c r="D372" s="2">
        <v>2736</v>
      </c>
      <c r="E372" s="2">
        <v>1754</v>
      </c>
      <c r="F372" s="2">
        <v>78</v>
      </c>
      <c r="G372" s="2">
        <v>138</v>
      </c>
      <c r="H372" s="2">
        <v>1379</v>
      </c>
      <c r="I372" s="2">
        <v>2110</v>
      </c>
      <c r="J372" s="2">
        <v>138</v>
      </c>
      <c r="K372" s="2">
        <v>58</v>
      </c>
      <c r="L372" s="2">
        <v>0</v>
      </c>
      <c r="M372" s="2">
        <v>8391</v>
      </c>
      <c r="N372" s="2">
        <v>55</v>
      </c>
    </row>
    <row r="373" spans="1:14" s="8" customFormat="1" x14ac:dyDescent="0.3">
      <c r="A373" s="5">
        <v>2025</v>
      </c>
      <c r="B373" s="8" t="s">
        <v>0</v>
      </c>
      <c r="C373" s="11" t="s">
        <v>19</v>
      </c>
      <c r="D373" s="2">
        <v>16525</v>
      </c>
      <c r="E373" s="2">
        <v>2680</v>
      </c>
      <c r="F373" s="2">
        <v>1039</v>
      </c>
      <c r="G373" s="2">
        <v>2412</v>
      </c>
      <c r="H373" s="2">
        <v>4996</v>
      </c>
      <c r="I373" s="2">
        <v>3893</v>
      </c>
      <c r="J373" s="2">
        <v>696</v>
      </c>
      <c r="K373" s="2">
        <v>121</v>
      </c>
      <c r="L373" s="2">
        <v>6</v>
      </c>
      <c r="M373" s="2">
        <v>32368</v>
      </c>
      <c r="N373" s="2">
        <v>141</v>
      </c>
    </row>
    <row r="374" spans="1:14" s="8" customFormat="1" x14ac:dyDescent="0.3">
      <c r="A374" s="5">
        <v>2025</v>
      </c>
      <c r="B374" s="8" t="s">
        <v>0</v>
      </c>
      <c r="C374" s="11" t="s">
        <v>13</v>
      </c>
      <c r="D374" s="2">
        <v>26099</v>
      </c>
      <c r="E374" s="2">
        <v>6945</v>
      </c>
      <c r="F374" s="2">
        <v>974</v>
      </c>
      <c r="G374" s="2">
        <v>6023</v>
      </c>
      <c r="H374" s="2">
        <v>7457</v>
      </c>
      <c r="I374" s="2">
        <v>5981</v>
      </c>
      <c r="J374" s="2">
        <v>1678</v>
      </c>
      <c r="K374" s="2">
        <v>1575</v>
      </c>
      <c r="L374" s="2">
        <v>11</v>
      </c>
      <c r="M374" s="2">
        <v>56743</v>
      </c>
      <c r="N374" s="2">
        <v>936</v>
      </c>
    </row>
    <row r="375" spans="1:14" s="8" customFormat="1" x14ac:dyDescent="0.3">
      <c r="A375" s="5">
        <v>2025</v>
      </c>
      <c r="B375" s="8" t="s">
        <v>0</v>
      </c>
      <c r="C375" s="11" t="s">
        <v>21</v>
      </c>
      <c r="D375" s="2">
        <v>6282</v>
      </c>
      <c r="E375" s="2">
        <v>1214</v>
      </c>
      <c r="F375" s="2">
        <v>86</v>
      </c>
      <c r="G375" s="2">
        <v>567</v>
      </c>
      <c r="H375" s="2">
        <v>1450</v>
      </c>
      <c r="I375" s="2">
        <v>1324</v>
      </c>
      <c r="J375" s="2">
        <v>338</v>
      </c>
      <c r="K375" s="2">
        <v>182</v>
      </c>
      <c r="L375" s="2">
        <v>0</v>
      </c>
      <c r="M375" s="2">
        <v>11443</v>
      </c>
      <c r="N375" s="2">
        <v>343</v>
      </c>
    </row>
    <row r="376" spans="1:14" s="8" customFormat="1" x14ac:dyDescent="0.3">
      <c r="A376" s="5">
        <v>2025</v>
      </c>
      <c r="B376" s="8" t="s">
        <v>0</v>
      </c>
      <c r="C376" s="11" t="s">
        <v>12</v>
      </c>
      <c r="D376" s="2">
        <v>15792</v>
      </c>
      <c r="E376" s="2">
        <v>7379</v>
      </c>
      <c r="F376" s="2">
        <v>3433</v>
      </c>
      <c r="G376" s="2">
        <v>6633</v>
      </c>
      <c r="H376" s="2">
        <v>4976</v>
      </c>
      <c r="I376" s="2">
        <v>4358</v>
      </c>
      <c r="J376" s="2">
        <v>954</v>
      </c>
      <c r="K376" s="2">
        <v>329</v>
      </c>
      <c r="L376" s="2">
        <v>19</v>
      </c>
      <c r="M376" s="2">
        <v>43873</v>
      </c>
      <c r="N376" s="2">
        <v>445</v>
      </c>
    </row>
    <row r="377" spans="1:14" s="8" customFormat="1" x14ac:dyDescent="0.3">
      <c r="A377" s="5">
        <v>2025</v>
      </c>
      <c r="B377" s="8" t="s">
        <v>0</v>
      </c>
      <c r="C377" s="8" t="s">
        <v>18</v>
      </c>
      <c r="D377" s="2">
        <v>19208</v>
      </c>
      <c r="E377" s="2">
        <v>3852</v>
      </c>
      <c r="F377" s="2">
        <v>1086</v>
      </c>
      <c r="G377" s="2">
        <v>4283</v>
      </c>
      <c r="H377" s="2">
        <v>3137</v>
      </c>
      <c r="I377" s="2">
        <v>2424</v>
      </c>
      <c r="J377" s="2">
        <v>864</v>
      </c>
      <c r="K377" s="2">
        <v>888</v>
      </c>
      <c r="L377" s="2">
        <v>0</v>
      </c>
      <c r="M377" s="2">
        <v>35742</v>
      </c>
      <c r="N377" s="2">
        <v>79</v>
      </c>
    </row>
    <row r="378" spans="1:14" s="8" customFormat="1" x14ac:dyDescent="0.3">
      <c r="A378" s="5">
        <v>2025</v>
      </c>
      <c r="B378" s="8" t="s">
        <v>0</v>
      </c>
      <c r="C378" s="8" t="s">
        <v>9</v>
      </c>
      <c r="D378" s="2">
        <v>23688</v>
      </c>
      <c r="E378" s="2">
        <v>9388</v>
      </c>
      <c r="F378" s="2">
        <v>2511</v>
      </c>
      <c r="G378" s="2">
        <v>6142</v>
      </c>
      <c r="H378" s="2">
        <v>12397</v>
      </c>
      <c r="I378" s="2">
        <v>9142</v>
      </c>
      <c r="J378" s="2">
        <v>1461</v>
      </c>
      <c r="K378" s="2">
        <v>2608</v>
      </c>
      <c r="L378" s="2">
        <v>0</v>
      </c>
      <c r="M378" s="2">
        <v>67337</v>
      </c>
      <c r="N378" s="2">
        <v>122</v>
      </c>
    </row>
    <row r="379" spans="1:14" s="8" customFormat="1" x14ac:dyDescent="0.3">
      <c r="A379" s="5">
        <v>2025</v>
      </c>
      <c r="B379" s="8" t="s">
        <v>0</v>
      </c>
      <c r="C379" s="11" t="s">
        <v>8</v>
      </c>
      <c r="D379" s="2">
        <v>26378</v>
      </c>
      <c r="E379" s="2">
        <v>7841</v>
      </c>
      <c r="F379" s="2">
        <v>3403</v>
      </c>
      <c r="G379" s="2">
        <v>4222</v>
      </c>
      <c r="H379" s="2">
        <v>6493</v>
      </c>
      <c r="I379" s="2">
        <v>6029</v>
      </c>
      <c r="J379" s="2">
        <v>1251</v>
      </c>
      <c r="K379" s="2">
        <v>530</v>
      </c>
      <c r="L379" s="2">
        <v>1</v>
      </c>
      <c r="M379" s="2">
        <v>56148</v>
      </c>
      <c r="N379" s="2">
        <v>512</v>
      </c>
    </row>
    <row r="380" spans="1:14" s="8" customFormat="1" x14ac:dyDescent="0.3">
      <c r="A380" s="5">
        <v>2025</v>
      </c>
      <c r="B380" s="8" t="s">
        <v>0</v>
      </c>
      <c r="C380" s="11" t="s">
        <v>16</v>
      </c>
      <c r="D380" s="2">
        <v>12662</v>
      </c>
      <c r="E380" s="2">
        <v>3963</v>
      </c>
      <c r="F380" s="2">
        <v>369</v>
      </c>
      <c r="G380" s="2">
        <v>2449</v>
      </c>
      <c r="H380" s="2">
        <v>4004</v>
      </c>
      <c r="I380" s="2">
        <v>4764</v>
      </c>
      <c r="J380" s="2">
        <v>661</v>
      </c>
      <c r="K380" s="2">
        <v>384</v>
      </c>
      <c r="L380" s="2">
        <v>0</v>
      </c>
      <c r="M380" s="2">
        <v>29256</v>
      </c>
      <c r="N380" s="2">
        <v>137</v>
      </c>
    </row>
    <row r="381" spans="1:14" s="8" customFormat="1" x14ac:dyDescent="0.3">
      <c r="A381" s="5">
        <v>2025</v>
      </c>
      <c r="B381" s="8" t="s">
        <v>0</v>
      </c>
      <c r="C381" s="11" t="s">
        <v>22</v>
      </c>
      <c r="D381" s="2">
        <v>2015</v>
      </c>
      <c r="E381" s="2">
        <v>453</v>
      </c>
      <c r="F381" s="2">
        <v>78</v>
      </c>
      <c r="G381" s="2">
        <v>272</v>
      </c>
      <c r="H381" s="2">
        <v>475</v>
      </c>
      <c r="I381" s="2">
        <v>400</v>
      </c>
      <c r="J381" s="2">
        <v>132</v>
      </c>
      <c r="K381" s="2">
        <v>22</v>
      </c>
      <c r="L381" s="2">
        <v>0</v>
      </c>
      <c r="M381" s="2">
        <v>3847</v>
      </c>
      <c r="N381" s="2">
        <v>114</v>
      </c>
    </row>
    <row r="382" spans="1:14" s="8" customFormat="1" x14ac:dyDescent="0.3">
      <c r="A382" s="5">
        <v>2025</v>
      </c>
      <c r="B382" s="8" t="s">
        <v>0</v>
      </c>
      <c r="C382" s="11" t="s">
        <v>10</v>
      </c>
      <c r="D382" s="2">
        <v>27078</v>
      </c>
      <c r="E382" s="2">
        <v>6169</v>
      </c>
      <c r="F382" s="2">
        <v>724</v>
      </c>
      <c r="G382" s="2">
        <v>3618</v>
      </c>
      <c r="H382" s="2">
        <v>4328</v>
      </c>
      <c r="I382" s="2">
        <v>4223</v>
      </c>
      <c r="J382" s="2">
        <v>1009</v>
      </c>
      <c r="K382" s="2">
        <v>77</v>
      </c>
      <c r="L382" s="2">
        <v>0</v>
      </c>
      <c r="M382" s="2">
        <v>47226</v>
      </c>
      <c r="N382" s="2">
        <v>515</v>
      </c>
    </row>
    <row r="383" spans="1:14" s="8" customFormat="1" x14ac:dyDescent="0.3">
      <c r="A383" s="5">
        <v>2025</v>
      </c>
      <c r="B383" s="8" t="s">
        <v>0</v>
      </c>
      <c r="C383" s="11" t="s">
        <v>2</v>
      </c>
      <c r="D383" s="2">
        <v>53097</v>
      </c>
      <c r="E383" s="2">
        <v>16431</v>
      </c>
      <c r="F383" s="2">
        <v>8015</v>
      </c>
      <c r="G383" s="2">
        <v>13731</v>
      </c>
      <c r="H383" s="2">
        <v>16468</v>
      </c>
      <c r="I383" s="2">
        <v>15671</v>
      </c>
      <c r="J383" s="2">
        <v>3178</v>
      </c>
      <c r="K383" s="2">
        <v>1257</v>
      </c>
      <c r="L383" s="2">
        <v>10</v>
      </c>
      <c r="M383" s="2">
        <v>127858</v>
      </c>
      <c r="N383" s="2">
        <v>451</v>
      </c>
    </row>
    <row r="384" spans="1:14" s="8" customFormat="1" x14ac:dyDescent="0.3">
      <c r="A384" s="5">
        <v>2025</v>
      </c>
      <c r="B384" s="8" t="s">
        <v>0</v>
      </c>
      <c r="C384" s="11" t="s">
        <v>6</v>
      </c>
      <c r="D384" s="2">
        <v>25252</v>
      </c>
      <c r="E384" s="2">
        <v>5678</v>
      </c>
      <c r="F384" s="2">
        <v>2144</v>
      </c>
      <c r="G384" s="2">
        <v>12402</v>
      </c>
      <c r="H384" s="2">
        <v>7636</v>
      </c>
      <c r="I384" s="2">
        <v>5817</v>
      </c>
      <c r="J384" s="2">
        <v>1436</v>
      </c>
      <c r="K384" s="2">
        <v>293</v>
      </c>
      <c r="L384" s="2">
        <v>6</v>
      </c>
      <c r="M384" s="2">
        <v>60664</v>
      </c>
      <c r="N384" s="2">
        <v>911</v>
      </c>
    </row>
    <row r="385" spans="1:14" s="8" customFormat="1" x14ac:dyDescent="0.3">
      <c r="A385" s="5">
        <v>2025</v>
      </c>
      <c r="B385" s="8" t="s">
        <v>0</v>
      </c>
      <c r="C385" s="11" t="s">
        <v>15</v>
      </c>
      <c r="D385" s="2">
        <v>21026</v>
      </c>
      <c r="E385" s="2">
        <v>6703</v>
      </c>
      <c r="F385" s="2">
        <v>2717</v>
      </c>
      <c r="G385" s="2">
        <v>3987</v>
      </c>
      <c r="H385" s="2">
        <v>6306</v>
      </c>
      <c r="I385" s="2">
        <v>5235</v>
      </c>
      <c r="J385" s="2">
        <v>994</v>
      </c>
      <c r="K385" s="2">
        <v>794</v>
      </c>
      <c r="L385" s="2">
        <v>0</v>
      </c>
      <c r="M385" s="2">
        <v>47762</v>
      </c>
      <c r="N385" s="2">
        <v>149</v>
      </c>
    </row>
    <row r="386" spans="1:14" s="8" customFormat="1" x14ac:dyDescent="0.3">
      <c r="A386" s="5">
        <v>2025</v>
      </c>
      <c r="B386" s="8" t="s">
        <v>0</v>
      </c>
      <c r="C386" s="11" t="s">
        <v>7</v>
      </c>
      <c r="D386" s="2">
        <v>30051</v>
      </c>
      <c r="E386" s="2">
        <v>6259</v>
      </c>
      <c r="F386" s="2">
        <v>1102</v>
      </c>
      <c r="G386" s="2">
        <v>8384</v>
      </c>
      <c r="H386" s="2">
        <v>8019</v>
      </c>
      <c r="I386" s="2">
        <v>7135</v>
      </c>
      <c r="J386" s="2">
        <v>1333</v>
      </c>
      <c r="K386" s="2">
        <v>325</v>
      </c>
      <c r="L386" s="2">
        <v>2</v>
      </c>
      <c r="M386" s="2">
        <v>62610</v>
      </c>
      <c r="N386" s="2">
        <v>813</v>
      </c>
    </row>
    <row r="387" spans="1:14" s="8" customFormat="1" x14ac:dyDescent="0.3">
      <c r="A387" s="5">
        <v>2025</v>
      </c>
      <c r="B387" s="8" t="s">
        <v>0</v>
      </c>
      <c r="C387" s="11" t="s">
        <v>28</v>
      </c>
      <c r="D387" s="2">
        <v>604</v>
      </c>
      <c r="E387" s="2">
        <v>338</v>
      </c>
      <c r="F387" s="2">
        <v>239</v>
      </c>
      <c r="G387" s="2">
        <v>1446</v>
      </c>
      <c r="H387" s="2">
        <v>3108</v>
      </c>
      <c r="I387" s="2">
        <v>1584</v>
      </c>
      <c r="J387" s="2">
        <v>32</v>
      </c>
      <c r="K387" s="2">
        <v>5</v>
      </c>
      <c r="L387" s="2">
        <v>0</v>
      </c>
      <c r="M387" s="2">
        <v>7356</v>
      </c>
      <c r="N387" s="2">
        <v>9</v>
      </c>
    </row>
    <row r="388" spans="1:14" s="8" customFormat="1" x14ac:dyDescent="0.3">
      <c r="A388" s="5">
        <v>2025</v>
      </c>
      <c r="B388" s="8" t="s">
        <v>0</v>
      </c>
      <c r="C388" s="11" t="s">
        <v>4</v>
      </c>
      <c r="D388" s="2">
        <v>35669</v>
      </c>
      <c r="E388" s="2">
        <v>12372</v>
      </c>
      <c r="F388" s="2">
        <v>4493</v>
      </c>
      <c r="G388" s="2">
        <v>6049</v>
      </c>
      <c r="H388" s="2">
        <v>9482</v>
      </c>
      <c r="I388" s="2">
        <v>11942</v>
      </c>
      <c r="J388" s="2">
        <v>1020</v>
      </c>
      <c r="K388" s="2">
        <v>296</v>
      </c>
      <c r="L388" s="2">
        <v>0</v>
      </c>
      <c r="M388" s="2">
        <v>81323</v>
      </c>
      <c r="N388" s="2">
        <v>405</v>
      </c>
    </row>
    <row r="389" spans="1:14" s="8" customFormat="1" x14ac:dyDescent="0.3">
      <c r="A389" s="5">
        <v>2025</v>
      </c>
      <c r="B389" s="8" t="s">
        <v>0</v>
      </c>
      <c r="C389" s="11" t="s">
        <v>14</v>
      </c>
      <c r="D389" s="2">
        <v>12517</v>
      </c>
      <c r="E389" s="2">
        <v>7657</v>
      </c>
      <c r="F389" s="2">
        <v>2594</v>
      </c>
      <c r="G389" s="2">
        <v>6008</v>
      </c>
      <c r="H389" s="2">
        <v>9687</v>
      </c>
      <c r="I389" s="2">
        <v>9951</v>
      </c>
      <c r="J389" s="2">
        <v>615</v>
      </c>
      <c r="K389" s="2">
        <v>519</v>
      </c>
      <c r="L389" s="2">
        <v>0</v>
      </c>
      <c r="M389" s="2">
        <v>49548</v>
      </c>
      <c r="N389" s="2">
        <v>125</v>
      </c>
    </row>
    <row r="390" spans="1:14" s="8" customFormat="1" x14ac:dyDescent="0.3">
      <c r="A390" s="5">
        <v>2025</v>
      </c>
      <c r="B390" s="8" t="s">
        <v>0</v>
      </c>
      <c r="C390" s="11" t="s">
        <v>17</v>
      </c>
      <c r="D390" s="2">
        <v>6883</v>
      </c>
      <c r="E390" s="2">
        <v>1668</v>
      </c>
      <c r="F390" s="2">
        <v>766</v>
      </c>
      <c r="G390" s="2">
        <v>621</v>
      </c>
      <c r="H390" s="2">
        <v>2394</v>
      </c>
      <c r="I390" s="2">
        <v>1844</v>
      </c>
      <c r="J390" s="2">
        <v>293</v>
      </c>
      <c r="K390" s="2">
        <v>248</v>
      </c>
      <c r="L390" s="2">
        <v>0</v>
      </c>
      <c r="M390" s="2">
        <v>14717</v>
      </c>
      <c r="N390" s="2">
        <v>418</v>
      </c>
    </row>
    <row r="391" spans="1:14" s="8" customFormat="1" x14ac:dyDescent="0.3">
      <c r="A391" s="5">
        <v>2025</v>
      </c>
      <c r="B391" s="8" t="s">
        <v>0</v>
      </c>
      <c r="C391" s="7" t="s">
        <v>25</v>
      </c>
      <c r="D391" s="2">
        <v>3197</v>
      </c>
      <c r="E391" s="2">
        <v>977</v>
      </c>
      <c r="F391" s="2">
        <v>507</v>
      </c>
      <c r="G391" s="2">
        <v>922</v>
      </c>
      <c r="H391" s="2">
        <v>718</v>
      </c>
      <c r="I391" s="2">
        <v>859</v>
      </c>
      <c r="J391" s="2">
        <v>156</v>
      </c>
      <c r="K391" s="2">
        <v>84</v>
      </c>
      <c r="L391" s="2">
        <v>0</v>
      </c>
      <c r="M391" s="2">
        <v>7420</v>
      </c>
      <c r="N391" s="2">
        <v>123</v>
      </c>
    </row>
    <row r="392" spans="1:14" s="8" customFormat="1" x14ac:dyDescent="0.3">
      <c r="A392" s="5">
        <v>2025</v>
      </c>
      <c r="B392" s="8" t="s">
        <v>0</v>
      </c>
      <c r="C392" s="11" t="s">
        <v>24</v>
      </c>
      <c r="D392" s="2">
        <v>3497</v>
      </c>
      <c r="E392" s="2">
        <v>481</v>
      </c>
      <c r="F392" s="2">
        <v>191</v>
      </c>
      <c r="G392" s="2">
        <v>186</v>
      </c>
      <c r="H392" s="2">
        <v>1000</v>
      </c>
      <c r="I392" s="2">
        <v>750</v>
      </c>
      <c r="J392" s="2">
        <v>210</v>
      </c>
      <c r="K392" s="2">
        <v>109</v>
      </c>
      <c r="L392" s="2">
        <v>0</v>
      </c>
      <c r="M392" s="2">
        <v>6424</v>
      </c>
      <c r="N392" s="2">
        <v>213</v>
      </c>
    </row>
    <row r="393" spans="1:14" s="8" customFormat="1" x14ac:dyDescent="0.3">
      <c r="A393" s="5">
        <v>2025</v>
      </c>
      <c r="B393" s="8" t="s">
        <v>0</v>
      </c>
      <c r="C393" s="7" t="s">
        <v>26</v>
      </c>
      <c r="D393" s="2">
        <v>1752</v>
      </c>
      <c r="E393" s="2">
        <v>639</v>
      </c>
      <c r="F393" s="2">
        <v>38</v>
      </c>
      <c r="G393" s="2">
        <v>748</v>
      </c>
      <c r="H393" s="2">
        <v>284</v>
      </c>
      <c r="I393" s="2">
        <v>401</v>
      </c>
      <c r="J393" s="2">
        <v>100</v>
      </c>
      <c r="K393" s="2">
        <v>34</v>
      </c>
      <c r="L393" s="2">
        <v>0</v>
      </c>
      <c r="M393" s="2">
        <v>3996</v>
      </c>
      <c r="N393" s="2">
        <v>99</v>
      </c>
    </row>
    <row r="394" spans="1:14" s="8" customFormat="1" x14ac:dyDescent="0.3">
      <c r="A394" s="5">
        <v>2025</v>
      </c>
      <c r="B394" s="8" t="s">
        <v>0</v>
      </c>
      <c r="C394" s="11" t="s">
        <v>1</v>
      </c>
      <c r="D394" s="2">
        <v>477780</v>
      </c>
      <c r="E394" s="2">
        <v>140165</v>
      </c>
      <c r="F394" s="2">
        <v>47061</v>
      </c>
      <c r="G394" s="2">
        <v>111218</v>
      </c>
      <c r="H394" s="2">
        <v>139937</v>
      </c>
      <c r="I394" s="2">
        <v>129925</v>
      </c>
      <c r="J394" s="2">
        <v>23951</v>
      </c>
      <c r="K394" s="2">
        <v>13255</v>
      </c>
      <c r="L394" s="2">
        <v>57</v>
      </c>
      <c r="M394" s="2">
        <v>1083349</v>
      </c>
      <c r="N394" s="2">
        <v>9009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92"/>
  <sheetViews>
    <sheetView showGridLines="0" zoomScaleNormal="100" workbookViewId="0">
      <pane ySplit="4" topLeftCell="A5" activePane="bottomLeft" state="frozen"/>
      <selection pane="bottomLeft" activeCell="L8" sqref="L8"/>
    </sheetView>
  </sheetViews>
  <sheetFormatPr baseColWidth="10" defaultColWidth="10.88671875" defaultRowHeight="15.6" x14ac:dyDescent="0.3"/>
  <cols>
    <col min="1" max="1" width="3.33203125" style="15" customWidth="1"/>
    <col min="2" max="2" width="8.5546875" style="22" customWidth="1"/>
    <col min="3" max="3" width="23.6640625" style="15" customWidth="1"/>
    <col min="4" max="4" width="38.88671875" style="15" customWidth="1"/>
    <col min="5" max="5" width="10.88671875" style="15" bestFit="1" customWidth="1"/>
    <col min="6" max="6" width="16.33203125" style="15" bestFit="1" customWidth="1"/>
    <col min="7" max="7" width="9.33203125" style="15" bestFit="1" customWidth="1"/>
    <col min="8" max="8" width="14.5546875" style="15" bestFit="1" customWidth="1"/>
    <col min="9" max="9" width="10.88671875" style="15" bestFit="1" customWidth="1"/>
    <col min="10" max="10" width="16.33203125" style="15" bestFit="1" customWidth="1"/>
    <col min="11" max="11" width="11" style="15" bestFit="1" customWidth="1"/>
    <col min="12" max="12" width="14.5546875" style="15" bestFit="1" customWidth="1"/>
    <col min="13" max="13" width="10.88671875" style="15" bestFit="1" customWidth="1"/>
    <col min="14" max="14" width="16.33203125" style="15" bestFit="1" customWidth="1"/>
    <col min="15" max="15" width="11" style="15" bestFit="1" customWidth="1"/>
    <col min="16" max="16" width="14.5546875" style="15" bestFit="1" customWidth="1"/>
    <col min="17" max="17" width="10.88671875" style="15" bestFit="1" customWidth="1"/>
    <col min="18" max="18" width="13" style="15" bestFit="1" customWidth="1"/>
    <col min="19" max="19" width="12.109375" style="15" bestFit="1" customWidth="1"/>
    <col min="20" max="20" width="14.5546875" style="15" bestFit="1" customWidth="1"/>
    <col min="21" max="21" width="10.88671875" style="15" bestFit="1" customWidth="1"/>
    <col min="22" max="22" width="13" style="15" bestFit="1" customWidth="1"/>
    <col min="23" max="23" width="12.109375" style="15" bestFit="1" customWidth="1"/>
    <col min="24" max="24" width="14.5546875" style="15" bestFit="1" customWidth="1"/>
    <col min="25" max="25" width="10.88671875" style="15" bestFit="1" customWidth="1"/>
    <col min="26" max="26" width="13" style="15" bestFit="1" customWidth="1"/>
    <col min="27" max="27" width="11" style="15" bestFit="1" customWidth="1"/>
    <col min="28" max="28" width="14.5546875" style="15" bestFit="1" customWidth="1"/>
    <col min="29" max="29" width="10.88671875" style="15" bestFit="1" customWidth="1"/>
    <col min="30" max="30" width="13" style="15" bestFit="1" customWidth="1"/>
    <col min="31" max="31" width="12.109375" style="15" bestFit="1" customWidth="1"/>
    <col min="32" max="32" width="14.5546875" style="15" bestFit="1" customWidth="1"/>
    <col min="33" max="33" width="10.88671875" style="15" bestFit="1" customWidth="1"/>
    <col min="34" max="34" width="13" style="15" bestFit="1" customWidth="1"/>
    <col min="35" max="35" width="12.109375" style="15" bestFit="1" customWidth="1"/>
    <col min="36" max="36" width="14.5546875" style="15" bestFit="1" customWidth="1"/>
    <col min="37" max="38" width="11.109375" style="15" customWidth="1"/>
    <col min="39" max="40" width="13.44140625" style="15" customWidth="1"/>
    <col min="41" max="41" width="14.109375" style="15" customWidth="1"/>
    <col min="42" max="42" width="11.88671875" style="15" bestFit="1" customWidth="1"/>
    <col min="43" max="44" width="14.5546875" style="15" bestFit="1" customWidth="1"/>
    <col min="45" max="16384" width="10.88671875" style="15"/>
  </cols>
  <sheetData>
    <row r="1" spans="2:44" x14ac:dyDescent="0.3">
      <c r="B1" s="14" t="s">
        <v>45</v>
      </c>
    </row>
    <row r="2" spans="2:44" s="16" customFormat="1" x14ac:dyDescent="0.3"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2:44" s="16" customFormat="1" x14ac:dyDescent="0.3">
      <c r="B3" s="14"/>
      <c r="C3" s="17"/>
      <c r="D3" s="17"/>
      <c r="E3" s="70" t="s">
        <v>46</v>
      </c>
      <c r="F3" s="71"/>
      <c r="G3" s="71"/>
      <c r="H3" s="72"/>
      <c r="I3" s="71" t="s">
        <v>47</v>
      </c>
      <c r="J3" s="71"/>
      <c r="K3" s="71"/>
      <c r="L3" s="71"/>
      <c r="M3" s="70" t="s">
        <v>48</v>
      </c>
      <c r="N3" s="71"/>
      <c r="O3" s="71"/>
      <c r="P3" s="72"/>
      <c r="Q3" s="71" t="s">
        <v>49</v>
      </c>
      <c r="R3" s="71"/>
      <c r="S3" s="71"/>
      <c r="T3" s="71"/>
      <c r="U3" s="70" t="s">
        <v>50</v>
      </c>
      <c r="V3" s="71"/>
      <c r="W3" s="71"/>
      <c r="X3" s="72"/>
      <c r="Y3" s="71" t="s">
        <v>51</v>
      </c>
      <c r="Z3" s="71"/>
      <c r="AA3" s="71"/>
      <c r="AB3" s="71"/>
      <c r="AC3" s="70" t="s">
        <v>52</v>
      </c>
      <c r="AD3" s="71"/>
      <c r="AE3" s="71"/>
      <c r="AF3" s="72"/>
      <c r="AG3" s="71" t="s">
        <v>53</v>
      </c>
      <c r="AH3" s="71"/>
      <c r="AI3" s="71"/>
      <c r="AJ3" s="71"/>
      <c r="AK3" s="70" t="s">
        <v>54</v>
      </c>
      <c r="AL3" s="71"/>
      <c r="AM3" s="71"/>
      <c r="AN3" s="72"/>
      <c r="AO3" s="70" t="s">
        <v>1</v>
      </c>
      <c r="AP3" s="71"/>
      <c r="AQ3" s="71"/>
      <c r="AR3" s="72"/>
    </row>
    <row r="4" spans="2:44" s="16" customFormat="1" ht="31.2" x14ac:dyDescent="0.3">
      <c r="B4" s="18" t="s">
        <v>32</v>
      </c>
      <c r="C4" s="19" t="s">
        <v>33</v>
      </c>
      <c r="D4" s="19" t="s">
        <v>55</v>
      </c>
      <c r="E4" s="20" t="s">
        <v>56</v>
      </c>
      <c r="F4" s="18" t="s">
        <v>44</v>
      </c>
      <c r="G4" s="18" t="s">
        <v>35</v>
      </c>
      <c r="H4" s="21" t="s">
        <v>57</v>
      </c>
      <c r="I4" s="18" t="s">
        <v>56</v>
      </c>
      <c r="J4" s="18" t="s">
        <v>44</v>
      </c>
      <c r="K4" s="18" t="s">
        <v>35</v>
      </c>
      <c r="L4" s="18" t="s">
        <v>57</v>
      </c>
      <c r="M4" s="20" t="s">
        <v>56</v>
      </c>
      <c r="N4" s="18" t="s">
        <v>44</v>
      </c>
      <c r="O4" s="18" t="s">
        <v>35</v>
      </c>
      <c r="P4" s="21" t="s">
        <v>57</v>
      </c>
      <c r="Q4" s="18" t="s">
        <v>56</v>
      </c>
      <c r="R4" s="18" t="s">
        <v>44</v>
      </c>
      <c r="S4" s="18" t="s">
        <v>35</v>
      </c>
      <c r="T4" s="18" t="s">
        <v>57</v>
      </c>
      <c r="U4" s="20" t="s">
        <v>56</v>
      </c>
      <c r="V4" s="18" t="s">
        <v>44</v>
      </c>
      <c r="W4" s="18" t="s">
        <v>35</v>
      </c>
      <c r="X4" s="21" t="s">
        <v>57</v>
      </c>
      <c r="Y4" s="18" t="s">
        <v>56</v>
      </c>
      <c r="Z4" s="18" t="s">
        <v>44</v>
      </c>
      <c r="AA4" s="18" t="s">
        <v>35</v>
      </c>
      <c r="AB4" s="18" t="s">
        <v>57</v>
      </c>
      <c r="AC4" s="20" t="s">
        <v>56</v>
      </c>
      <c r="AD4" s="18" t="s">
        <v>44</v>
      </c>
      <c r="AE4" s="18" t="s">
        <v>35</v>
      </c>
      <c r="AF4" s="21" t="s">
        <v>57</v>
      </c>
      <c r="AG4" s="18" t="s">
        <v>56</v>
      </c>
      <c r="AH4" s="18" t="s">
        <v>44</v>
      </c>
      <c r="AI4" s="18" t="s">
        <v>35</v>
      </c>
      <c r="AJ4" s="18" t="s">
        <v>57</v>
      </c>
      <c r="AK4" s="20" t="s">
        <v>56</v>
      </c>
      <c r="AL4" s="18" t="s">
        <v>44</v>
      </c>
      <c r="AM4" s="18" t="s">
        <v>35</v>
      </c>
      <c r="AN4" s="21" t="s">
        <v>57</v>
      </c>
      <c r="AO4" s="20" t="s">
        <v>56</v>
      </c>
      <c r="AP4" s="18" t="s">
        <v>44</v>
      </c>
      <c r="AQ4" s="18" t="s">
        <v>35</v>
      </c>
      <c r="AR4" s="21" t="s">
        <v>57</v>
      </c>
    </row>
    <row r="5" spans="2:44" x14ac:dyDescent="0.3">
      <c r="B5" s="22">
        <v>2012</v>
      </c>
      <c r="C5" s="23" t="s">
        <v>62</v>
      </c>
      <c r="D5" s="23" t="s">
        <v>63</v>
      </c>
      <c r="E5" s="24">
        <v>547</v>
      </c>
      <c r="F5" s="25">
        <v>1530</v>
      </c>
      <c r="G5" s="25">
        <v>7909</v>
      </c>
      <c r="H5" s="26">
        <v>17152</v>
      </c>
      <c r="I5" s="25">
        <v>575</v>
      </c>
      <c r="J5" s="25">
        <v>1334</v>
      </c>
      <c r="K5" s="25">
        <v>26081</v>
      </c>
      <c r="L5" s="25">
        <v>57081</v>
      </c>
      <c r="M5" s="24">
        <v>166</v>
      </c>
      <c r="N5" s="25">
        <v>196</v>
      </c>
      <c r="O5" s="25">
        <v>13252</v>
      </c>
      <c r="P5" s="26">
        <v>29687</v>
      </c>
      <c r="Q5" s="25">
        <v>47</v>
      </c>
      <c r="R5" s="25">
        <v>50</v>
      </c>
      <c r="S5" s="25">
        <v>9370</v>
      </c>
      <c r="T5" s="25">
        <v>17510</v>
      </c>
      <c r="U5" s="24">
        <v>25</v>
      </c>
      <c r="V5" s="25">
        <v>27</v>
      </c>
      <c r="W5" s="25">
        <v>6759</v>
      </c>
      <c r="X5" s="26">
        <v>16622</v>
      </c>
      <c r="Y5" s="25">
        <v>12</v>
      </c>
      <c r="Z5" s="25">
        <v>12</v>
      </c>
      <c r="AA5" s="25">
        <v>6702</v>
      </c>
      <c r="AB5" s="25">
        <v>10354</v>
      </c>
      <c r="AC5" s="24">
        <v>14</v>
      </c>
      <c r="AD5" s="25">
        <v>14</v>
      </c>
      <c r="AE5" s="25">
        <v>10282</v>
      </c>
      <c r="AF5" s="26">
        <v>21485</v>
      </c>
      <c r="AG5" s="25">
        <v>4</v>
      </c>
      <c r="AH5" s="25">
        <v>4</v>
      </c>
      <c r="AI5" s="25">
        <v>5631</v>
      </c>
      <c r="AJ5" s="25">
        <v>11906</v>
      </c>
      <c r="AK5" s="24">
        <v>1</v>
      </c>
      <c r="AL5" s="25">
        <v>1</v>
      </c>
      <c r="AM5" s="25">
        <v>2005</v>
      </c>
      <c r="AN5" s="26">
        <v>4193</v>
      </c>
      <c r="AO5" s="24">
        <v>1391</v>
      </c>
      <c r="AP5" s="25">
        <v>3168</v>
      </c>
      <c r="AQ5" s="25">
        <v>87991</v>
      </c>
      <c r="AR5" s="26">
        <v>185990</v>
      </c>
    </row>
    <row r="6" spans="2:44" x14ac:dyDescent="0.3">
      <c r="B6" s="22">
        <v>2012</v>
      </c>
      <c r="C6" s="23" t="s">
        <v>64</v>
      </c>
      <c r="D6" s="23" t="s">
        <v>65</v>
      </c>
      <c r="E6" s="24">
        <v>523</v>
      </c>
      <c r="F6" s="25">
        <v>1171</v>
      </c>
      <c r="G6" s="25">
        <v>5483</v>
      </c>
      <c r="H6" s="26">
        <v>13741</v>
      </c>
      <c r="I6" s="25">
        <v>431</v>
      </c>
      <c r="J6" s="25">
        <v>801</v>
      </c>
      <c r="K6" s="25">
        <v>12688</v>
      </c>
      <c r="L6" s="25">
        <v>31469</v>
      </c>
      <c r="M6" s="24">
        <v>58</v>
      </c>
      <c r="N6" s="25">
        <v>63</v>
      </c>
      <c r="O6" s="25">
        <v>4270</v>
      </c>
      <c r="P6" s="26">
        <v>10391</v>
      </c>
      <c r="Q6" s="25">
        <v>15</v>
      </c>
      <c r="R6" s="25">
        <v>16</v>
      </c>
      <c r="S6" s="25">
        <v>2491</v>
      </c>
      <c r="T6" s="25">
        <v>5319</v>
      </c>
      <c r="U6" s="24">
        <v>9</v>
      </c>
      <c r="V6" s="25">
        <v>9</v>
      </c>
      <c r="W6" s="25">
        <v>1757</v>
      </c>
      <c r="X6" s="26">
        <v>5636</v>
      </c>
      <c r="Y6" s="25">
        <v>2</v>
      </c>
      <c r="Z6" s="25">
        <v>2</v>
      </c>
      <c r="AA6" s="25">
        <v>819</v>
      </c>
      <c r="AB6" s="25">
        <v>1646</v>
      </c>
      <c r="AC6" s="24">
        <v>3</v>
      </c>
      <c r="AD6" s="25">
        <v>3</v>
      </c>
      <c r="AE6" s="25">
        <v>2462</v>
      </c>
      <c r="AF6" s="26">
        <v>5376</v>
      </c>
      <c r="AG6" s="25"/>
      <c r="AH6" s="25"/>
      <c r="AI6" s="25"/>
      <c r="AJ6" s="25"/>
      <c r="AK6" s="24">
        <v>1</v>
      </c>
      <c r="AL6" s="25">
        <v>1</v>
      </c>
      <c r="AM6" s="25">
        <v>1810</v>
      </c>
      <c r="AN6" s="26">
        <v>5766</v>
      </c>
      <c r="AO6" s="24">
        <v>1042</v>
      </c>
      <c r="AP6" s="25">
        <v>2066</v>
      </c>
      <c r="AQ6" s="25">
        <v>31780</v>
      </c>
      <c r="AR6" s="26">
        <v>79344</v>
      </c>
    </row>
    <row r="7" spans="2:44" x14ac:dyDescent="0.3">
      <c r="B7" s="22">
        <v>2012</v>
      </c>
      <c r="C7" s="23" t="s">
        <v>66</v>
      </c>
      <c r="D7" s="23" t="s">
        <v>67</v>
      </c>
      <c r="E7" s="24">
        <v>1592</v>
      </c>
      <c r="F7" s="25">
        <v>4823</v>
      </c>
      <c r="G7" s="25">
        <v>21729</v>
      </c>
      <c r="H7" s="26">
        <v>53503</v>
      </c>
      <c r="I7" s="25">
        <v>2414</v>
      </c>
      <c r="J7" s="25">
        <v>5372</v>
      </c>
      <c r="K7" s="25">
        <v>98344</v>
      </c>
      <c r="L7" s="25">
        <v>241120</v>
      </c>
      <c r="M7" s="24">
        <v>744</v>
      </c>
      <c r="N7" s="25">
        <v>956</v>
      </c>
      <c r="O7" s="25">
        <v>58924</v>
      </c>
      <c r="P7" s="26">
        <v>144176</v>
      </c>
      <c r="Q7" s="25">
        <v>228</v>
      </c>
      <c r="R7" s="25">
        <v>242</v>
      </c>
      <c r="S7" s="25">
        <v>38650</v>
      </c>
      <c r="T7" s="25">
        <v>84625</v>
      </c>
      <c r="U7" s="24">
        <v>70</v>
      </c>
      <c r="V7" s="25">
        <v>71</v>
      </c>
      <c r="W7" s="25">
        <v>20126</v>
      </c>
      <c r="X7" s="26">
        <v>43659</v>
      </c>
      <c r="Y7" s="25">
        <v>36</v>
      </c>
      <c r="Z7" s="25">
        <v>38</v>
      </c>
      <c r="AA7" s="25">
        <v>16325</v>
      </c>
      <c r="AB7" s="25">
        <v>33111</v>
      </c>
      <c r="AC7" s="24">
        <v>86</v>
      </c>
      <c r="AD7" s="25">
        <v>91</v>
      </c>
      <c r="AE7" s="25">
        <v>53907</v>
      </c>
      <c r="AF7" s="26">
        <v>131154</v>
      </c>
      <c r="AG7" s="25">
        <v>43</v>
      </c>
      <c r="AH7" s="25">
        <v>43</v>
      </c>
      <c r="AI7" s="25">
        <v>47667</v>
      </c>
      <c r="AJ7" s="25">
        <v>115948</v>
      </c>
      <c r="AK7" s="24">
        <v>20</v>
      </c>
      <c r="AL7" s="25">
        <v>20</v>
      </c>
      <c r="AM7" s="25">
        <v>76174</v>
      </c>
      <c r="AN7" s="26">
        <v>194223</v>
      </c>
      <c r="AO7" s="24">
        <v>5233</v>
      </c>
      <c r="AP7" s="25">
        <v>11656</v>
      </c>
      <c r="AQ7" s="25">
        <v>431846</v>
      </c>
      <c r="AR7" s="26">
        <v>1041519</v>
      </c>
    </row>
    <row r="8" spans="2:44" x14ac:dyDescent="0.3">
      <c r="B8" s="22">
        <v>2012</v>
      </c>
      <c r="C8" s="23" t="s">
        <v>0</v>
      </c>
      <c r="D8" s="23" t="s">
        <v>68</v>
      </c>
      <c r="E8" s="24">
        <v>2797</v>
      </c>
      <c r="F8" s="25">
        <v>4502</v>
      </c>
      <c r="G8" s="25">
        <v>23449</v>
      </c>
      <c r="H8" s="26">
        <v>48654</v>
      </c>
      <c r="I8" s="25">
        <v>2801</v>
      </c>
      <c r="J8" s="25">
        <v>4037</v>
      </c>
      <c r="K8" s="25">
        <v>84926</v>
      </c>
      <c r="L8" s="25">
        <v>180804</v>
      </c>
      <c r="M8" s="24">
        <v>927</v>
      </c>
      <c r="N8" s="25">
        <v>1048</v>
      </c>
      <c r="O8" s="25">
        <v>75177</v>
      </c>
      <c r="P8" s="26">
        <v>165039</v>
      </c>
      <c r="Q8" s="25">
        <v>486</v>
      </c>
      <c r="R8" s="25">
        <v>528</v>
      </c>
      <c r="S8" s="25">
        <v>83515</v>
      </c>
      <c r="T8" s="25">
        <v>188503</v>
      </c>
      <c r="U8" s="24">
        <v>191</v>
      </c>
      <c r="V8" s="25">
        <v>194</v>
      </c>
      <c r="W8" s="25">
        <v>49373</v>
      </c>
      <c r="X8" s="26">
        <v>118060</v>
      </c>
      <c r="Y8" s="25">
        <v>90</v>
      </c>
      <c r="Z8" s="25">
        <v>90</v>
      </c>
      <c r="AA8" s="25">
        <v>36623</v>
      </c>
      <c r="AB8" s="25">
        <v>77385</v>
      </c>
      <c r="AC8" s="24">
        <v>149</v>
      </c>
      <c r="AD8" s="25">
        <v>152</v>
      </c>
      <c r="AE8" s="25">
        <v>91554</v>
      </c>
      <c r="AF8" s="26">
        <v>210910</v>
      </c>
      <c r="AG8" s="25">
        <v>51</v>
      </c>
      <c r="AH8" s="25">
        <v>51</v>
      </c>
      <c r="AI8" s="25">
        <v>57799</v>
      </c>
      <c r="AJ8" s="25">
        <v>144270</v>
      </c>
      <c r="AK8" s="24">
        <v>24</v>
      </c>
      <c r="AL8" s="25">
        <v>24</v>
      </c>
      <c r="AM8" s="25">
        <v>67749</v>
      </c>
      <c r="AN8" s="26">
        <v>140539</v>
      </c>
      <c r="AO8" s="24">
        <v>7516</v>
      </c>
      <c r="AP8" s="25">
        <v>10626</v>
      </c>
      <c r="AQ8" s="25">
        <v>570165</v>
      </c>
      <c r="AR8" s="26">
        <v>1274164</v>
      </c>
    </row>
    <row r="9" spans="2:44" x14ac:dyDescent="0.3">
      <c r="B9" s="22">
        <v>2012</v>
      </c>
      <c r="C9" s="23" t="s">
        <v>69</v>
      </c>
      <c r="D9" s="23" t="s">
        <v>70</v>
      </c>
      <c r="E9" s="24">
        <v>890</v>
      </c>
      <c r="F9" s="25">
        <v>1261</v>
      </c>
      <c r="G9" s="25">
        <v>6652</v>
      </c>
      <c r="H9" s="26">
        <v>14207</v>
      </c>
      <c r="I9" s="25">
        <v>532</v>
      </c>
      <c r="J9" s="25">
        <v>779</v>
      </c>
      <c r="K9" s="25">
        <v>12912</v>
      </c>
      <c r="L9" s="25">
        <v>30150</v>
      </c>
      <c r="M9" s="24">
        <v>91</v>
      </c>
      <c r="N9" s="25">
        <v>92</v>
      </c>
      <c r="O9" s="25">
        <v>5767</v>
      </c>
      <c r="P9" s="26">
        <v>14352</v>
      </c>
      <c r="Q9" s="25">
        <v>44</v>
      </c>
      <c r="R9" s="25">
        <v>46</v>
      </c>
      <c r="S9" s="25">
        <v>6357</v>
      </c>
      <c r="T9" s="25">
        <v>16311</v>
      </c>
      <c r="U9" s="24">
        <v>14</v>
      </c>
      <c r="V9" s="25">
        <v>14</v>
      </c>
      <c r="W9" s="25">
        <v>3590</v>
      </c>
      <c r="X9" s="26">
        <v>8483</v>
      </c>
      <c r="Y9" s="25">
        <v>10</v>
      </c>
      <c r="Z9" s="25">
        <v>10</v>
      </c>
      <c r="AA9" s="25">
        <v>3933</v>
      </c>
      <c r="AB9" s="25">
        <v>8987</v>
      </c>
      <c r="AC9" s="24">
        <v>11</v>
      </c>
      <c r="AD9" s="25">
        <v>11</v>
      </c>
      <c r="AE9" s="25">
        <v>4672</v>
      </c>
      <c r="AF9" s="26">
        <v>14539</v>
      </c>
      <c r="AG9" s="25">
        <v>9</v>
      </c>
      <c r="AH9" s="25">
        <v>9</v>
      </c>
      <c r="AI9" s="25">
        <v>9511</v>
      </c>
      <c r="AJ9" s="25">
        <v>24286</v>
      </c>
      <c r="AK9" s="24">
        <v>2</v>
      </c>
      <c r="AL9" s="25">
        <v>2</v>
      </c>
      <c r="AM9" s="25">
        <v>45</v>
      </c>
      <c r="AN9" s="26">
        <v>8287</v>
      </c>
      <c r="AO9" s="24">
        <v>1603</v>
      </c>
      <c r="AP9" s="25">
        <v>2224</v>
      </c>
      <c r="AQ9" s="25">
        <v>53439</v>
      </c>
      <c r="AR9" s="26">
        <v>139602</v>
      </c>
    </row>
    <row r="10" spans="2:44" x14ac:dyDescent="0.3">
      <c r="B10" s="22">
        <v>2012</v>
      </c>
      <c r="C10" s="23" t="s">
        <v>71</v>
      </c>
      <c r="D10" s="23" t="s">
        <v>72</v>
      </c>
      <c r="E10" s="24">
        <v>54755</v>
      </c>
      <c r="F10" s="25">
        <v>75776</v>
      </c>
      <c r="G10" s="25">
        <v>355827</v>
      </c>
      <c r="H10" s="26">
        <v>805091</v>
      </c>
      <c r="I10" s="25">
        <v>87324</v>
      </c>
      <c r="J10" s="25">
        <v>115065</v>
      </c>
      <c r="K10" s="25">
        <v>2565678</v>
      </c>
      <c r="L10" s="25">
        <v>5785912</v>
      </c>
      <c r="M10" s="24">
        <v>47490</v>
      </c>
      <c r="N10" s="25">
        <v>53134</v>
      </c>
      <c r="O10" s="25">
        <v>3720142</v>
      </c>
      <c r="P10" s="26">
        <v>8543388</v>
      </c>
      <c r="Q10" s="25">
        <v>25171</v>
      </c>
      <c r="R10" s="25">
        <v>26573</v>
      </c>
      <c r="S10" s="25">
        <v>3948851</v>
      </c>
      <c r="T10" s="25">
        <v>9332973</v>
      </c>
      <c r="U10" s="24">
        <v>9150</v>
      </c>
      <c r="V10" s="25">
        <v>9365</v>
      </c>
      <c r="W10" s="25">
        <v>2342054</v>
      </c>
      <c r="X10" s="26">
        <v>5692325</v>
      </c>
      <c r="Y10" s="25">
        <v>4458</v>
      </c>
      <c r="Z10" s="25">
        <v>4529</v>
      </c>
      <c r="AA10" s="25">
        <v>1574235</v>
      </c>
      <c r="AB10" s="25">
        <v>3911687</v>
      </c>
      <c r="AC10" s="24">
        <v>5698</v>
      </c>
      <c r="AD10" s="25">
        <v>5802</v>
      </c>
      <c r="AE10" s="25">
        <v>3163369</v>
      </c>
      <c r="AF10" s="26">
        <v>7952527</v>
      </c>
      <c r="AG10" s="25">
        <v>2052</v>
      </c>
      <c r="AH10" s="25">
        <v>2074</v>
      </c>
      <c r="AI10" s="25">
        <v>2160029</v>
      </c>
      <c r="AJ10" s="25">
        <v>5582296</v>
      </c>
      <c r="AK10" s="24">
        <v>707</v>
      </c>
      <c r="AL10" s="25">
        <v>713</v>
      </c>
      <c r="AM10" s="25">
        <v>1834481</v>
      </c>
      <c r="AN10" s="26">
        <v>4595278</v>
      </c>
      <c r="AO10" s="24">
        <v>236805</v>
      </c>
      <c r="AP10" s="25">
        <v>293031</v>
      </c>
      <c r="AQ10" s="25">
        <v>21664666</v>
      </c>
      <c r="AR10" s="26">
        <v>52201477</v>
      </c>
    </row>
    <row r="11" spans="2:44" x14ac:dyDescent="0.3">
      <c r="B11" s="22">
        <v>2013</v>
      </c>
      <c r="C11" s="23" t="s">
        <v>62</v>
      </c>
      <c r="D11" s="23" t="s">
        <v>63</v>
      </c>
      <c r="E11" s="24">
        <v>559</v>
      </c>
      <c r="F11" s="25">
        <v>1563</v>
      </c>
      <c r="G11" s="25">
        <v>8288</v>
      </c>
      <c r="H11" s="26">
        <v>17296</v>
      </c>
      <c r="I11" s="25">
        <v>576</v>
      </c>
      <c r="J11" s="25">
        <v>1330</v>
      </c>
      <c r="K11" s="25">
        <v>26003</v>
      </c>
      <c r="L11" s="25">
        <v>57006</v>
      </c>
      <c r="M11" s="24">
        <v>165</v>
      </c>
      <c r="N11" s="25">
        <v>195</v>
      </c>
      <c r="O11" s="25">
        <v>13448</v>
      </c>
      <c r="P11" s="26">
        <v>28821</v>
      </c>
      <c r="Q11" s="25">
        <v>43</v>
      </c>
      <c r="R11" s="25">
        <v>45</v>
      </c>
      <c r="S11" s="25">
        <v>7055</v>
      </c>
      <c r="T11" s="25">
        <v>15500</v>
      </c>
      <c r="U11" s="24">
        <v>18</v>
      </c>
      <c r="V11" s="25">
        <v>22</v>
      </c>
      <c r="W11" s="25">
        <v>7735</v>
      </c>
      <c r="X11" s="26">
        <v>13401</v>
      </c>
      <c r="Y11" s="25">
        <v>12</v>
      </c>
      <c r="Z11" s="25">
        <v>13</v>
      </c>
      <c r="AA11" s="25">
        <v>6011</v>
      </c>
      <c r="AB11" s="25">
        <v>11363</v>
      </c>
      <c r="AC11" s="24">
        <v>15</v>
      </c>
      <c r="AD11" s="25">
        <v>15</v>
      </c>
      <c r="AE11" s="25">
        <v>11943</v>
      </c>
      <c r="AF11" s="26">
        <v>22173</v>
      </c>
      <c r="AG11" s="25">
        <v>3</v>
      </c>
      <c r="AH11" s="25">
        <v>3</v>
      </c>
      <c r="AI11" s="25">
        <v>3613</v>
      </c>
      <c r="AJ11" s="25">
        <v>9227</v>
      </c>
      <c r="AK11" s="24">
        <v>1</v>
      </c>
      <c r="AL11" s="25">
        <v>1</v>
      </c>
      <c r="AM11" s="25">
        <v>2663</v>
      </c>
      <c r="AN11" s="26">
        <v>5155</v>
      </c>
      <c r="AO11" s="24">
        <v>1392</v>
      </c>
      <c r="AP11" s="25">
        <v>3187</v>
      </c>
      <c r="AQ11" s="25">
        <v>86759</v>
      </c>
      <c r="AR11" s="26">
        <v>179942</v>
      </c>
    </row>
    <row r="12" spans="2:44" x14ac:dyDescent="0.3">
      <c r="B12" s="22">
        <v>2013</v>
      </c>
      <c r="C12" s="23" t="s">
        <v>64</v>
      </c>
      <c r="D12" s="23" t="s">
        <v>65</v>
      </c>
      <c r="E12" s="24">
        <v>572</v>
      </c>
      <c r="F12" s="25">
        <v>1239</v>
      </c>
      <c r="G12" s="25">
        <v>5926</v>
      </c>
      <c r="H12" s="26">
        <v>14568</v>
      </c>
      <c r="I12" s="25">
        <v>492</v>
      </c>
      <c r="J12" s="25">
        <v>911</v>
      </c>
      <c r="K12" s="25">
        <v>14221</v>
      </c>
      <c r="L12" s="25">
        <v>35324</v>
      </c>
      <c r="M12" s="24">
        <v>59</v>
      </c>
      <c r="N12" s="25">
        <v>64</v>
      </c>
      <c r="O12" s="25">
        <v>4455</v>
      </c>
      <c r="P12" s="26">
        <v>9874</v>
      </c>
      <c r="Q12" s="25">
        <v>24</v>
      </c>
      <c r="R12" s="25">
        <v>24</v>
      </c>
      <c r="S12" s="25">
        <v>3599</v>
      </c>
      <c r="T12" s="25">
        <v>8395</v>
      </c>
      <c r="U12" s="24">
        <v>2</v>
      </c>
      <c r="V12" s="25">
        <v>2</v>
      </c>
      <c r="W12" s="25">
        <v>939</v>
      </c>
      <c r="X12" s="26">
        <v>1185</v>
      </c>
      <c r="Y12" s="25">
        <v>4</v>
      </c>
      <c r="Z12" s="25">
        <v>4</v>
      </c>
      <c r="AA12" s="25">
        <v>1797</v>
      </c>
      <c r="AB12" s="25">
        <v>3352</v>
      </c>
      <c r="AC12" s="24">
        <v>4</v>
      </c>
      <c r="AD12" s="25">
        <v>4</v>
      </c>
      <c r="AE12" s="25">
        <v>1818</v>
      </c>
      <c r="AF12" s="26">
        <v>5054</v>
      </c>
      <c r="AG12" s="25"/>
      <c r="AH12" s="25"/>
      <c r="AI12" s="25"/>
      <c r="AJ12" s="25"/>
      <c r="AK12" s="24">
        <v>1</v>
      </c>
      <c r="AL12" s="25">
        <v>1</v>
      </c>
      <c r="AM12" s="25">
        <v>2529</v>
      </c>
      <c r="AN12" s="26">
        <v>5874</v>
      </c>
      <c r="AO12" s="24">
        <v>1158</v>
      </c>
      <c r="AP12" s="25">
        <v>2249</v>
      </c>
      <c r="AQ12" s="25">
        <v>35284</v>
      </c>
      <c r="AR12" s="26">
        <v>83626</v>
      </c>
    </row>
    <row r="13" spans="2:44" x14ac:dyDescent="0.3">
      <c r="B13" s="22">
        <v>2013</v>
      </c>
      <c r="C13" s="23" t="s">
        <v>66</v>
      </c>
      <c r="D13" s="23" t="s">
        <v>67</v>
      </c>
      <c r="E13" s="24">
        <v>1439</v>
      </c>
      <c r="F13" s="25">
        <v>3706</v>
      </c>
      <c r="G13" s="25">
        <v>17239</v>
      </c>
      <c r="H13" s="26">
        <v>42681</v>
      </c>
      <c r="I13" s="25">
        <v>2306</v>
      </c>
      <c r="J13" s="25">
        <v>5122</v>
      </c>
      <c r="K13" s="25">
        <v>94389</v>
      </c>
      <c r="L13" s="25">
        <v>232031</v>
      </c>
      <c r="M13" s="24">
        <v>753</v>
      </c>
      <c r="N13" s="25">
        <v>955</v>
      </c>
      <c r="O13" s="25">
        <v>59644</v>
      </c>
      <c r="P13" s="26">
        <v>143286</v>
      </c>
      <c r="Q13" s="25">
        <v>227</v>
      </c>
      <c r="R13" s="25">
        <v>245</v>
      </c>
      <c r="S13" s="25">
        <v>37589</v>
      </c>
      <c r="T13" s="25">
        <v>84957</v>
      </c>
      <c r="U13" s="24">
        <v>70</v>
      </c>
      <c r="V13" s="25">
        <v>71</v>
      </c>
      <c r="W13" s="25">
        <v>23136</v>
      </c>
      <c r="X13" s="26">
        <v>43738</v>
      </c>
      <c r="Y13" s="25">
        <v>36</v>
      </c>
      <c r="Z13" s="25">
        <v>38</v>
      </c>
      <c r="AA13" s="25">
        <v>12955</v>
      </c>
      <c r="AB13" s="25">
        <v>32966</v>
      </c>
      <c r="AC13" s="24">
        <v>83</v>
      </c>
      <c r="AD13" s="25">
        <v>84</v>
      </c>
      <c r="AE13" s="25">
        <v>52426</v>
      </c>
      <c r="AF13" s="26">
        <v>118588</v>
      </c>
      <c r="AG13" s="25">
        <v>35</v>
      </c>
      <c r="AH13" s="25">
        <v>35</v>
      </c>
      <c r="AI13" s="25">
        <v>46354</v>
      </c>
      <c r="AJ13" s="25">
        <v>93012</v>
      </c>
      <c r="AK13" s="24">
        <v>17</v>
      </c>
      <c r="AL13" s="25">
        <v>17</v>
      </c>
      <c r="AM13" s="25">
        <v>54438</v>
      </c>
      <c r="AN13" s="26">
        <v>132403</v>
      </c>
      <c r="AO13" s="24">
        <v>4966</v>
      </c>
      <c r="AP13" s="25">
        <v>10273</v>
      </c>
      <c r="AQ13" s="25">
        <v>398170</v>
      </c>
      <c r="AR13" s="26">
        <v>923662</v>
      </c>
    </row>
    <row r="14" spans="2:44" x14ac:dyDescent="0.3">
      <c r="B14" s="22">
        <v>2013</v>
      </c>
      <c r="C14" s="23" t="s">
        <v>0</v>
      </c>
      <c r="D14" s="23" t="s">
        <v>68</v>
      </c>
      <c r="E14" s="24">
        <v>2270</v>
      </c>
      <c r="F14" s="25">
        <v>3515</v>
      </c>
      <c r="G14" s="25">
        <v>19007</v>
      </c>
      <c r="H14" s="26">
        <v>39102</v>
      </c>
      <c r="I14" s="25">
        <v>2580</v>
      </c>
      <c r="J14" s="25">
        <v>3686</v>
      </c>
      <c r="K14" s="25">
        <v>79460</v>
      </c>
      <c r="L14" s="25">
        <v>167190</v>
      </c>
      <c r="M14" s="24">
        <v>875</v>
      </c>
      <c r="N14" s="25">
        <v>970</v>
      </c>
      <c r="O14" s="25">
        <v>71846</v>
      </c>
      <c r="P14" s="26">
        <v>152665</v>
      </c>
      <c r="Q14" s="25">
        <v>478</v>
      </c>
      <c r="R14" s="25">
        <v>512</v>
      </c>
      <c r="S14" s="25">
        <v>84555</v>
      </c>
      <c r="T14" s="25">
        <v>182291</v>
      </c>
      <c r="U14" s="24">
        <v>185</v>
      </c>
      <c r="V14" s="25">
        <v>191</v>
      </c>
      <c r="W14" s="25">
        <v>55159</v>
      </c>
      <c r="X14" s="26">
        <v>116140</v>
      </c>
      <c r="Y14" s="25">
        <v>82</v>
      </c>
      <c r="Z14" s="25">
        <v>83</v>
      </c>
      <c r="AA14" s="25">
        <v>36872</v>
      </c>
      <c r="AB14" s="25">
        <v>72485</v>
      </c>
      <c r="AC14" s="24">
        <v>118</v>
      </c>
      <c r="AD14" s="25">
        <v>118</v>
      </c>
      <c r="AE14" s="25">
        <v>70226</v>
      </c>
      <c r="AF14" s="26">
        <v>159818</v>
      </c>
      <c r="AG14" s="25">
        <v>42</v>
      </c>
      <c r="AH14" s="25">
        <v>42</v>
      </c>
      <c r="AI14" s="25">
        <v>52174</v>
      </c>
      <c r="AJ14" s="25">
        <v>113875</v>
      </c>
      <c r="AK14" s="24">
        <v>22</v>
      </c>
      <c r="AL14" s="25">
        <v>22</v>
      </c>
      <c r="AM14" s="25">
        <v>61899</v>
      </c>
      <c r="AN14" s="26">
        <v>125944</v>
      </c>
      <c r="AO14" s="24">
        <v>6652</v>
      </c>
      <c r="AP14" s="25">
        <v>9139</v>
      </c>
      <c r="AQ14" s="25">
        <v>531198</v>
      </c>
      <c r="AR14" s="26">
        <v>1129510</v>
      </c>
    </row>
    <row r="15" spans="2:44" x14ac:dyDescent="0.3">
      <c r="B15" s="22">
        <v>2013</v>
      </c>
      <c r="C15" s="23" t="s">
        <v>69</v>
      </c>
      <c r="D15" s="23" t="s">
        <v>70</v>
      </c>
      <c r="E15" s="24">
        <v>657</v>
      </c>
      <c r="F15" s="25">
        <v>957</v>
      </c>
      <c r="G15" s="25">
        <v>5072</v>
      </c>
      <c r="H15" s="26">
        <v>10963</v>
      </c>
      <c r="I15" s="25">
        <v>486</v>
      </c>
      <c r="J15" s="25">
        <v>724</v>
      </c>
      <c r="K15" s="25">
        <v>12254</v>
      </c>
      <c r="L15" s="25">
        <v>28733</v>
      </c>
      <c r="M15" s="24">
        <v>80</v>
      </c>
      <c r="N15" s="25">
        <v>82</v>
      </c>
      <c r="O15" s="25">
        <v>5973</v>
      </c>
      <c r="P15" s="26">
        <v>13429</v>
      </c>
      <c r="Q15" s="25">
        <v>34</v>
      </c>
      <c r="R15" s="25">
        <v>34</v>
      </c>
      <c r="S15" s="25">
        <v>5457</v>
      </c>
      <c r="T15" s="25">
        <v>12218</v>
      </c>
      <c r="U15" s="24">
        <v>19</v>
      </c>
      <c r="V15" s="25">
        <v>19</v>
      </c>
      <c r="W15" s="25">
        <v>4645</v>
      </c>
      <c r="X15" s="26">
        <v>11630</v>
      </c>
      <c r="Y15" s="25">
        <v>6</v>
      </c>
      <c r="Z15" s="25">
        <v>6</v>
      </c>
      <c r="AA15" s="25">
        <v>2781</v>
      </c>
      <c r="AB15" s="25">
        <v>5185</v>
      </c>
      <c r="AC15" s="24">
        <v>11</v>
      </c>
      <c r="AD15" s="25">
        <v>11</v>
      </c>
      <c r="AE15" s="25">
        <v>5626</v>
      </c>
      <c r="AF15" s="26">
        <v>14009</v>
      </c>
      <c r="AG15" s="25">
        <v>8</v>
      </c>
      <c r="AH15" s="25">
        <v>8</v>
      </c>
      <c r="AI15" s="25">
        <v>10986</v>
      </c>
      <c r="AJ15" s="25">
        <v>22006</v>
      </c>
      <c r="AK15" s="24">
        <v>2</v>
      </c>
      <c r="AL15" s="25">
        <v>2</v>
      </c>
      <c r="AM15" s="25">
        <v>307</v>
      </c>
      <c r="AN15" s="26">
        <v>11260</v>
      </c>
      <c r="AO15" s="24">
        <v>1303</v>
      </c>
      <c r="AP15" s="25">
        <v>1843</v>
      </c>
      <c r="AQ15" s="25">
        <v>53101</v>
      </c>
      <c r="AR15" s="26">
        <v>129433</v>
      </c>
    </row>
    <row r="16" spans="2:44" x14ac:dyDescent="0.3">
      <c r="B16" s="22">
        <v>2013</v>
      </c>
      <c r="C16" s="23" t="s">
        <v>71</v>
      </c>
      <c r="D16" s="23" t="s">
        <v>72</v>
      </c>
      <c r="E16" s="24">
        <v>50871</v>
      </c>
      <c r="F16" s="25">
        <v>69325</v>
      </c>
      <c r="G16" s="25">
        <v>331255</v>
      </c>
      <c r="H16" s="26">
        <v>749286</v>
      </c>
      <c r="I16" s="25">
        <v>85430</v>
      </c>
      <c r="J16" s="25">
        <v>112754</v>
      </c>
      <c r="K16" s="25">
        <v>2545020</v>
      </c>
      <c r="L16" s="25">
        <v>5682993</v>
      </c>
      <c r="M16" s="24">
        <v>47332</v>
      </c>
      <c r="N16" s="25">
        <v>52978</v>
      </c>
      <c r="O16" s="25">
        <v>3769501</v>
      </c>
      <c r="P16" s="26">
        <v>8506571</v>
      </c>
      <c r="Q16" s="25">
        <v>25379</v>
      </c>
      <c r="R16" s="25">
        <v>26852</v>
      </c>
      <c r="S16" s="25">
        <v>4075518</v>
      </c>
      <c r="T16" s="25">
        <v>9430795</v>
      </c>
      <c r="U16" s="24">
        <v>9226</v>
      </c>
      <c r="V16" s="25">
        <v>9471</v>
      </c>
      <c r="W16" s="25">
        <v>2418238</v>
      </c>
      <c r="X16" s="26">
        <v>5750573</v>
      </c>
      <c r="Y16" s="25">
        <v>4594</v>
      </c>
      <c r="Z16" s="25">
        <v>4651</v>
      </c>
      <c r="AA16" s="25">
        <v>1641538</v>
      </c>
      <c r="AB16" s="25">
        <v>4011359</v>
      </c>
      <c r="AC16" s="24">
        <v>5839</v>
      </c>
      <c r="AD16" s="25">
        <v>5953</v>
      </c>
      <c r="AE16" s="25">
        <v>3254065</v>
      </c>
      <c r="AF16" s="26">
        <v>8096382</v>
      </c>
      <c r="AG16" s="25">
        <v>2072</v>
      </c>
      <c r="AH16" s="25">
        <v>2099</v>
      </c>
      <c r="AI16" s="25">
        <v>2227903</v>
      </c>
      <c r="AJ16" s="25">
        <v>5641957</v>
      </c>
      <c r="AK16" s="24">
        <v>694</v>
      </c>
      <c r="AL16" s="25">
        <v>696</v>
      </c>
      <c r="AM16" s="25">
        <v>1797423</v>
      </c>
      <c r="AN16" s="26">
        <v>4526378</v>
      </c>
      <c r="AO16" s="24">
        <v>231437</v>
      </c>
      <c r="AP16" s="25">
        <v>284779</v>
      </c>
      <c r="AQ16" s="25">
        <v>22060461</v>
      </c>
      <c r="AR16" s="26">
        <v>52396294</v>
      </c>
    </row>
    <row r="17" spans="2:44" x14ac:dyDescent="0.3">
      <c r="B17" s="22">
        <v>2014</v>
      </c>
      <c r="C17" s="23" t="s">
        <v>62</v>
      </c>
      <c r="D17" s="23" t="s">
        <v>63</v>
      </c>
      <c r="E17" s="24">
        <v>514</v>
      </c>
      <c r="F17" s="25">
        <v>1473</v>
      </c>
      <c r="G17" s="25">
        <v>7612</v>
      </c>
      <c r="H17" s="26">
        <v>15889</v>
      </c>
      <c r="I17" s="25">
        <v>534</v>
      </c>
      <c r="J17" s="25">
        <v>1140</v>
      </c>
      <c r="K17" s="25">
        <v>21285</v>
      </c>
      <c r="L17" s="25">
        <v>47477</v>
      </c>
      <c r="M17" s="24">
        <v>131</v>
      </c>
      <c r="N17" s="25">
        <v>147</v>
      </c>
      <c r="O17" s="25">
        <v>10262</v>
      </c>
      <c r="P17" s="26">
        <v>22378</v>
      </c>
      <c r="Q17" s="25">
        <v>37</v>
      </c>
      <c r="R17" s="25">
        <v>39</v>
      </c>
      <c r="S17" s="25">
        <v>6684</v>
      </c>
      <c r="T17" s="25">
        <v>13629</v>
      </c>
      <c r="U17" s="24">
        <v>19</v>
      </c>
      <c r="V17" s="25">
        <v>20</v>
      </c>
      <c r="W17" s="25">
        <v>5213</v>
      </c>
      <c r="X17" s="26">
        <v>12546</v>
      </c>
      <c r="Y17" s="25">
        <v>10</v>
      </c>
      <c r="Z17" s="25">
        <v>10</v>
      </c>
      <c r="AA17" s="25">
        <v>3120</v>
      </c>
      <c r="AB17" s="25">
        <v>8442</v>
      </c>
      <c r="AC17" s="24">
        <v>10</v>
      </c>
      <c r="AD17" s="25">
        <v>12</v>
      </c>
      <c r="AE17" s="25">
        <v>6358</v>
      </c>
      <c r="AF17" s="26">
        <v>15940</v>
      </c>
      <c r="AG17" s="25">
        <v>2</v>
      </c>
      <c r="AH17" s="25">
        <v>2</v>
      </c>
      <c r="AI17" s="25">
        <v>1059</v>
      </c>
      <c r="AJ17" s="25">
        <v>4646</v>
      </c>
      <c r="AK17" s="24">
        <v>2</v>
      </c>
      <c r="AL17" s="25">
        <v>2</v>
      </c>
      <c r="AM17" s="25">
        <v>2848</v>
      </c>
      <c r="AN17" s="26">
        <v>10367</v>
      </c>
      <c r="AO17" s="24">
        <v>1259</v>
      </c>
      <c r="AP17" s="25">
        <v>2845</v>
      </c>
      <c r="AQ17" s="25">
        <v>64441</v>
      </c>
      <c r="AR17" s="26">
        <v>151314</v>
      </c>
    </row>
    <row r="18" spans="2:44" x14ac:dyDescent="0.3">
      <c r="B18" s="22">
        <v>2014</v>
      </c>
      <c r="C18" s="23" t="s">
        <v>64</v>
      </c>
      <c r="D18" s="23" t="s">
        <v>65</v>
      </c>
      <c r="E18" s="24">
        <v>586</v>
      </c>
      <c r="F18" s="25">
        <v>1346</v>
      </c>
      <c r="G18" s="25">
        <v>6100</v>
      </c>
      <c r="H18" s="26">
        <v>15269</v>
      </c>
      <c r="I18" s="25">
        <v>527</v>
      </c>
      <c r="J18" s="25">
        <v>970</v>
      </c>
      <c r="K18" s="25">
        <v>14888</v>
      </c>
      <c r="L18" s="25">
        <v>37518</v>
      </c>
      <c r="M18" s="24">
        <v>54</v>
      </c>
      <c r="N18" s="25">
        <v>60</v>
      </c>
      <c r="O18" s="25">
        <v>4038</v>
      </c>
      <c r="P18" s="26">
        <v>9124</v>
      </c>
      <c r="Q18" s="25">
        <v>27</v>
      </c>
      <c r="R18" s="25">
        <v>27</v>
      </c>
      <c r="S18" s="25">
        <v>4213</v>
      </c>
      <c r="T18" s="25">
        <v>9569</v>
      </c>
      <c r="U18" s="24">
        <v>2</v>
      </c>
      <c r="V18" s="25">
        <v>2</v>
      </c>
      <c r="W18" s="25">
        <v>391</v>
      </c>
      <c r="X18" s="26">
        <v>1088</v>
      </c>
      <c r="Y18" s="25">
        <v>2</v>
      </c>
      <c r="Z18" s="25">
        <v>2</v>
      </c>
      <c r="AA18" s="25">
        <v>977</v>
      </c>
      <c r="AB18" s="25">
        <v>1771</v>
      </c>
      <c r="AC18" s="24">
        <v>6</v>
      </c>
      <c r="AD18" s="25">
        <v>6</v>
      </c>
      <c r="AE18" s="25">
        <v>2215</v>
      </c>
      <c r="AF18" s="26">
        <v>7554</v>
      </c>
      <c r="AG18" s="25"/>
      <c r="AH18" s="25"/>
      <c r="AI18" s="25"/>
      <c r="AJ18" s="25"/>
      <c r="AK18" s="24">
        <v>1</v>
      </c>
      <c r="AL18" s="25">
        <v>1</v>
      </c>
      <c r="AM18" s="25">
        <v>2921</v>
      </c>
      <c r="AN18" s="26">
        <v>6426</v>
      </c>
      <c r="AO18" s="24">
        <v>1205</v>
      </c>
      <c r="AP18" s="25">
        <v>2414</v>
      </c>
      <c r="AQ18" s="25">
        <v>35743</v>
      </c>
      <c r="AR18" s="26">
        <v>88319</v>
      </c>
    </row>
    <row r="19" spans="2:44" x14ac:dyDescent="0.3">
      <c r="B19" s="22">
        <v>2014</v>
      </c>
      <c r="C19" s="23" t="s">
        <v>66</v>
      </c>
      <c r="D19" s="23" t="s">
        <v>67</v>
      </c>
      <c r="E19" s="24">
        <v>1523</v>
      </c>
      <c r="F19" s="25">
        <v>3896</v>
      </c>
      <c r="G19" s="25">
        <v>18120</v>
      </c>
      <c r="H19" s="26">
        <v>44679</v>
      </c>
      <c r="I19" s="25">
        <v>2279</v>
      </c>
      <c r="J19" s="25">
        <v>5055</v>
      </c>
      <c r="K19" s="25">
        <v>93160</v>
      </c>
      <c r="L19" s="25">
        <v>226329</v>
      </c>
      <c r="M19" s="24">
        <v>714</v>
      </c>
      <c r="N19" s="25">
        <v>899</v>
      </c>
      <c r="O19" s="25">
        <v>56948</v>
      </c>
      <c r="P19" s="26">
        <v>135063</v>
      </c>
      <c r="Q19" s="25">
        <v>220</v>
      </c>
      <c r="R19" s="25">
        <v>232</v>
      </c>
      <c r="S19" s="25">
        <v>37097</v>
      </c>
      <c r="T19" s="25">
        <v>82060</v>
      </c>
      <c r="U19" s="24">
        <v>73</v>
      </c>
      <c r="V19" s="25">
        <v>76</v>
      </c>
      <c r="W19" s="25">
        <v>22844</v>
      </c>
      <c r="X19" s="26">
        <v>45783</v>
      </c>
      <c r="Y19" s="25">
        <v>32</v>
      </c>
      <c r="Z19" s="25">
        <v>32</v>
      </c>
      <c r="AA19" s="25">
        <v>13252</v>
      </c>
      <c r="AB19" s="25">
        <v>27538</v>
      </c>
      <c r="AC19" s="24">
        <v>83</v>
      </c>
      <c r="AD19" s="25">
        <v>84</v>
      </c>
      <c r="AE19" s="25">
        <v>50811</v>
      </c>
      <c r="AF19" s="26">
        <v>116639</v>
      </c>
      <c r="AG19" s="25">
        <v>34</v>
      </c>
      <c r="AH19" s="25">
        <v>34</v>
      </c>
      <c r="AI19" s="25">
        <v>46186</v>
      </c>
      <c r="AJ19" s="25">
        <v>97668</v>
      </c>
      <c r="AK19" s="24">
        <v>20</v>
      </c>
      <c r="AL19" s="25">
        <v>20</v>
      </c>
      <c r="AM19" s="25">
        <v>57137</v>
      </c>
      <c r="AN19" s="26">
        <v>170745</v>
      </c>
      <c r="AO19" s="24">
        <v>4978</v>
      </c>
      <c r="AP19" s="25">
        <v>10328</v>
      </c>
      <c r="AQ19" s="25">
        <v>395555</v>
      </c>
      <c r="AR19" s="26">
        <v>946504</v>
      </c>
    </row>
    <row r="20" spans="2:44" x14ac:dyDescent="0.3">
      <c r="B20" s="22">
        <v>2014</v>
      </c>
      <c r="C20" s="23" t="s">
        <v>0</v>
      </c>
      <c r="D20" s="23" t="s">
        <v>68</v>
      </c>
      <c r="E20" s="24">
        <v>1829</v>
      </c>
      <c r="F20" s="25">
        <v>2875</v>
      </c>
      <c r="G20" s="25">
        <v>15998</v>
      </c>
      <c r="H20" s="26">
        <v>31576</v>
      </c>
      <c r="I20" s="25">
        <v>2152</v>
      </c>
      <c r="J20" s="25">
        <v>3126</v>
      </c>
      <c r="K20" s="25">
        <v>69472</v>
      </c>
      <c r="L20" s="25">
        <v>144383</v>
      </c>
      <c r="M20" s="24">
        <v>774</v>
      </c>
      <c r="N20" s="25">
        <v>874</v>
      </c>
      <c r="O20" s="25">
        <v>66659</v>
      </c>
      <c r="P20" s="26">
        <v>139655</v>
      </c>
      <c r="Q20" s="25">
        <v>462</v>
      </c>
      <c r="R20" s="25">
        <v>495</v>
      </c>
      <c r="S20" s="25">
        <v>79208</v>
      </c>
      <c r="T20" s="25">
        <v>174227</v>
      </c>
      <c r="U20" s="24">
        <v>170</v>
      </c>
      <c r="V20" s="25">
        <v>174</v>
      </c>
      <c r="W20" s="25">
        <v>51043</v>
      </c>
      <c r="X20" s="26">
        <v>106257</v>
      </c>
      <c r="Y20" s="25">
        <v>90</v>
      </c>
      <c r="Z20" s="25">
        <v>92</v>
      </c>
      <c r="AA20" s="25">
        <v>31531</v>
      </c>
      <c r="AB20" s="25">
        <v>81078</v>
      </c>
      <c r="AC20" s="24">
        <v>132</v>
      </c>
      <c r="AD20" s="25">
        <v>135</v>
      </c>
      <c r="AE20" s="25">
        <v>79645</v>
      </c>
      <c r="AF20" s="26">
        <v>182998</v>
      </c>
      <c r="AG20" s="25">
        <v>49</v>
      </c>
      <c r="AH20" s="25">
        <v>49</v>
      </c>
      <c r="AI20" s="25">
        <v>56078</v>
      </c>
      <c r="AJ20" s="25">
        <v>134978</v>
      </c>
      <c r="AK20" s="24">
        <v>28</v>
      </c>
      <c r="AL20" s="25">
        <v>28</v>
      </c>
      <c r="AM20" s="25">
        <v>62341</v>
      </c>
      <c r="AN20" s="26">
        <v>171642</v>
      </c>
      <c r="AO20" s="24">
        <v>5686</v>
      </c>
      <c r="AP20" s="25">
        <v>7848</v>
      </c>
      <c r="AQ20" s="25">
        <v>511975</v>
      </c>
      <c r="AR20" s="26">
        <v>1166794</v>
      </c>
    </row>
    <row r="21" spans="2:44" x14ac:dyDescent="0.3">
      <c r="B21" s="22">
        <v>2014</v>
      </c>
      <c r="C21" s="23" t="s">
        <v>69</v>
      </c>
      <c r="D21" s="23" t="s">
        <v>70</v>
      </c>
      <c r="E21" s="24">
        <v>474</v>
      </c>
      <c r="F21" s="25">
        <v>720</v>
      </c>
      <c r="G21" s="25">
        <v>3491</v>
      </c>
      <c r="H21" s="26">
        <v>8417</v>
      </c>
      <c r="I21" s="25">
        <v>401</v>
      </c>
      <c r="J21" s="25">
        <v>587</v>
      </c>
      <c r="K21" s="25">
        <v>10147</v>
      </c>
      <c r="L21" s="25">
        <v>24027</v>
      </c>
      <c r="M21" s="24">
        <v>72</v>
      </c>
      <c r="N21" s="25">
        <v>73</v>
      </c>
      <c r="O21" s="25">
        <v>4781</v>
      </c>
      <c r="P21" s="26">
        <v>11202</v>
      </c>
      <c r="Q21" s="25">
        <v>43</v>
      </c>
      <c r="R21" s="25">
        <v>44</v>
      </c>
      <c r="S21" s="25">
        <v>6821</v>
      </c>
      <c r="T21" s="25">
        <v>14804</v>
      </c>
      <c r="U21" s="24">
        <v>19</v>
      </c>
      <c r="V21" s="25">
        <v>19</v>
      </c>
      <c r="W21" s="25">
        <v>4353</v>
      </c>
      <c r="X21" s="26">
        <v>12055</v>
      </c>
      <c r="Y21" s="25">
        <v>13</v>
      </c>
      <c r="Z21" s="25">
        <v>13</v>
      </c>
      <c r="AA21" s="25">
        <v>4362</v>
      </c>
      <c r="AB21" s="25">
        <v>11257</v>
      </c>
      <c r="AC21" s="24">
        <v>10</v>
      </c>
      <c r="AD21" s="25">
        <v>10</v>
      </c>
      <c r="AE21" s="25">
        <v>3903</v>
      </c>
      <c r="AF21" s="26">
        <v>13269</v>
      </c>
      <c r="AG21" s="25">
        <v>8</v>
      </c>
      <c r="AH21" s="25">
        <v>8</v>
      </c>
      <c r="AI21" s="25">
        <v>7949</v>
      </c>
      <c r="AJ21" s="25">
        <v>22980</v>
      </c>
      <c r="AK21" s="24">
        <v>1</v>
      </c>
      <c r="AL21" s="25">
        <v>1</v>
      </c>
      <c r="AM21" s="25">
        <v>469</v>
      </c>
      <c r="AN21" s="26">
        <v>6146</v>
      </c>
      <c r="AO21" s="24">
        <v>1041</v>
      </c>
      <c r="AP21" s="25">
        <v>1475</v>
      </c>
      <c r="AQ21" s="25">
        <v>46276</v>
      </c>
      <c r="AR21" s="26">
        <v>124157</v>
      </c>
    </row>
    <row r="22" spans="2:44" x14ac:dyDescent="0.3">
      <c r="B22" s="22">
        <v>2014</v>
      </c>
      <c r="C22" s="23" t="s">
        <v>71</v>
      </c>
      <c r="D22" s="23" t="s">
        <v>72</v>
      </c>
      <c r="E22" s="24">
        <v>49191</v>
      </c>
      <c r="F22" s="25">
        <v>67783</v>
      </c>
      <c r="G22" s="25">
        <v>332062</v>
      </c>
      <c r="H22" s="26">
        <v>731033</v>
      </c>
      <c r="I22" s="25">
        <v>83365</v>
      </c>
      <c r="J22" s="25">
        <v>109752</v>
      </c>
      <c r="K22" s="25">
        <v>2530598</v>
      </c>
      <c r="L22" s="25">
        <v>5530107</v>
      </c>
      <c r="M22" s="24">
        <v>46449</v>
      </c>
      <c r="N22" s="25">
        <v>51934</v>
      </c>
      <c r="O22" s="25">
        <v>3736122</v>
      </c>
      <c r="P22" s="26">
        <v>8342973</v>
      </c>
      <c r="Q22" s="25">
        <v>25494</v>
      </c>
      <c r="R22" s="25">
        <v>26931</v>
      </c>
      <c r="S22" s="25">
        <v>4094509</v>
      </c>
      <c r="T22" s="25">
        <v>9445901</v>
      </c>
      <c r="U22" s="24">
        <v>9273</v>
      </c>
      <c r="V22" s="25">
        <v>9522</v>
      </c>
      <c r="W22" s="25">
        <v>2441988</v>
      </c>
      <c r="X22" s="26">
        <v>5787675</v>
      </c>
      <c r="Y22" s="25">
        <v>4632</v>
      </c>
      <c r="Z22" s="25">
        <v>4695</v>
      </c>
      <c r="AA22" s="25">
        <v>1664925</v>
      </c>
      <c r="AB22" s="25">
        <v>4049596</v>
      </c>
      <c r="AC22" s="24">
        <v>5882</v>
      </c>
      <c r="AD22" s="25">
        <v>6011</v>
      </c>
      <c r="AE22" s="25">
        <v>3289762</v>
      </c>
      <c r="AF22" s="26">
        <v>8204350</v>
      </c>
      <c r="AG22" s="25">
        <v>2067</v>
      </c>
      <c r="AH22" s="25">
        <v>2096</v>
      </c>
      <c r="AI22" s="25">
        <v>2241151</v>
      </c>
      <c r="AJ22" s="25">
        <v>5697801</v>
      </c>
      <c r="AK22" s="24">
        <v>670</v>
      </c>
      <c r="AL22" s="25">
        <v>675</v>
      </c>
      <c r="AM22" s="25">
        <v>1758347</v>
      </c>
      <c r="AN22" s="26">
        <v>4378303</v>
      </c>
      <c r="AO22" s="24">
        <v>227023</v>
      </c>
      <c r="AP22" s="25">
        <v>279399</v>
      </c>
      <c r="AQ22" s="25">
        <v>22089464</v>
      </c>
      <c r="AR22" s="26">
        <v>52167739</v>
      </c>
    </row>
    <row r="23" spans="2:44" x14ac:dyDescent="0.3">
      <c r="B23" s="22">
        <v>2015</v>
      </c>
      <c r="C23" s="23" t="s">
        <v>62</v>
      </c>
      <c r="D23" s="23" t="s">
        <v>63</v>
      </c>
      <c r="E23" s="24">
        <v>525</v>
      </c>
      <c r="F23" s="25">
        <v>1497</v>
      </c>
      <c r="G23" s="25">
        <v>8051</v>
      </c>
      <c r="H23" s="26">
        <v>16700</v>
      </c>
      <c r="I23" s="25">
        <v>535</v>
      </c>
      <c r="J23" s="25">
        <v>1224</v>
      </c>
      <c r="K23" s="25">
        <v>24519</v>
      </c>
      <c r="L23" s="25">
        <v>52136</v>
      </c>
      <c r="M23" s="24">
        <v>138</v>
      </c>
      <c r="N23" s="25">
        <v>156</v>
      </c>
      <c r="O23" s="25">
        <v>10267</v>
      </c>
      <c r="P23" s="26">
        <v>23041</v>
      </c>
      <c r="Q23" s="25">
        <v>37</v>
      </c>
      <c r="R23" s="25">
        <v>38</v>
      </c>
      <c r="S23" s="25">
        <v>7153</v>
      </c>
      <c r="T23" s="25">
        <v>13346</v>
      </c>
      <c r="U23" s="24">
        <v>20</v>
      </c>
      <c r="V23" s="25">
        <v>20</v>
      </c>
      <c r="W23" s="25">
        <v>5503</v>
      </c>
      <c r="X23" s="26">
        <v>12324</v>
      </c>
      <c r="Y23" s="25">
        <v>10</v>
      </c>
      <c r="Z23" s="25">
        <v>11</v>
      </c>
      <c r="AA23" s="25">
        <v>4872</v>
      </c>
      <c r="AB23" s="25">
        <v>9567</v>
      </c>
      <c r="AC23" s="24">
        <v>16</v>
      </c>
      <c r="AD23" s="25">
        <v>18</v>
      </c>
      <c r="AE23" s="25">
        <v>11292</v>
      </c>
      <c r="AF23" s="26">
        <v>24244</v>
      </c>
      <c r="AG23" s="25">
        <v>5</v>
      </c>
      <c r="AH23" s="25">
        <v>5</v>
      </c>
      <c r="AI23" s="25">
        <v>3963</v>
      </c>
      <c r="AJ23" s="25">
        <v>12937</v>
      </c>
      <c r="AK23" s="24">
        <v>2</v>
      </c>
      <c r="AL23" s="25">
        <v>2</v>
      </c>
      <c r="AM23" s="25">
        <v>3076</v>
      </c>
      <c r="AN23" s="26">
        <v>11674</v>
      </c>
      <c r="AO23" s="24">
        <v>1288</v>
      </c>
      <c r="AP23" s="25">
        <v>2971</v>
      </c>
      <c r="AQ23" s="25">
        <v>78696</v>
      </c>
      <c r="AR23" s="26">
        <v>175969</v>
      </c>
    </row>
    <row r="24" spans="2:44" x14ac:dyDescent="0.3">
      <c r="B24" s="22">
        <v>2015</v>
      </c>
      <c r="C24" s="23" t="s">
        <v>64</v>
      </c>
      <c r="D24" s="23" t="s">
        <v>65</v>
      </c>
      <c r="E24" s="24">
        <v>566</v>
      </c>
      <c r="F24" s="25">
        <v>1354</v>
      </c>
      <c r="G24" s="25">
        <v>6039</v>
      </c>
      <c r="H24" s="26">
        <v>15025</v>
      </c>
      <c r="I24" s="25">
        <v>514</v>
      </c>
      <c r="J24" s="25">
        <v>963</v>
      </c>
      <c r="K24" s="25">
        <v>14995</v>
      </c>
      <c r="L24" s="25">
        <v>37257</v>
      </c>
      <c r="M24" s="24">
        <v>65</v>
      </c>
      <c r="N24" s="25">
        <v>70</v>
      </c>
      <c r="O24" s="25">
        <v>4906</v>
      </c>
      <c r="P24" s="26">
        <v>11274</v>
      </c>
      <c r="Q24" s="25">
        <v>18</v>
      </c>
      <c r="R24" s="25">
        <v>18</v>
      </c>
      <c r="S24" s="25">
        <v>2655</v>
      </c>
      <c r="T24" s="25">
        <v>5873</v>
      </c>
      <c r="U24" s="24">
        <v>1</v>
      </c>
      <c r="V24" s="25">
        <v>1</v>
      </c>
      <c r="W24" s="25">
        <v>319</v>
      </c>
      <c r="X24" s="26">
        <v>687</v>
      </c>
      <c r="Y24" s="25">
        <v>2</v>
      </c>
      <c r="Z24" s="25">
        <v>2</v>
      </c>
      <c r="AA24" s="25">
        <v>838</v>
      </c>
      <c r="AB24" s="25">
        <v>1771</v>
      </c>
      <c r="AC24" s="24">
        <v>5</v>
      </c>
      <c r="AD24" s="25">
        <v>5</v>
      </c>
      <c r="AE24" s="25">
        <v>2035</v>
      </c>
      <c r="AF24" s="26">
        <v>6824</v>
      </c>
      <c r="AG24" s="25">
        <v>2</v>
      </c>
      <c r="AH24" s="25">
        <v>2</v>
      </c>
      <c r="AI24" s="25">
        <v>2059</v>
      </c>
      <c r="AJ24" s="25">
        <v>6183</v>
      </c>
      <c r="AK24" s="24"/>
      <c r="AL24" s="25"/>
      <c r="AM24" s="25"/>
      <c r="AN24" s="26"/>
      <c r="AO24" s="24">
        <v>1173</v>
      </c>
      <c r="AP24" s="25">
        <v>2415</v>
      </c>
      <c r="AQ24" s="25">
        <v>33846</v>
      </c>
      <c r="AR24" s="26">
        <v>84894</v>
      </c>
    </row>
    <row r="25" spans="2:44" x14ac:dyDescent="0.3">
      <c r="B25" s="22">
        <v>2015</v>
      </c>
      <c r="C25" s="23" t="s">
        <v>66</v>
      </c>
      <c r="D25" s="23" t="s">
        <v>67</v>
      </c>
      <c r="E25" s="24">
        <v>1464</v>
      </c>
      <c r="F25" s="25">
        <v>3731</v>
      </c>
      <c r="G25" s="25">
        <v>17998</v>
      </c>
      <c r="H25" s="26">
        <v>43476</v>
      </c>
      <c r="I25" s="25">
        <v>2290</v>
      </c>
      <c r="J25" s="25">
        <v>5036</v>
      </c>
      <c r="K25" s="25">
        <v>97075</v>
      </c>
      <c r="L25" s="25">
        <v>228769</v>
      </c>
      <c r="M25" s="24">
        <v>743</v>
      </c>
      <c r="N25" s="25">
        <v>914</v>
      </c>
      <c r="O25" s="25">
        <v>59845</v>
      </c>
      <c r="P25" s="26">
        <v>138004</v>
      </c>
      <c r="Q25" s="25">
        <v>216</v>
      </c>
      <c r="R25" s="25">
        <v>227</v>
      </c>
      <c r="S25" s="25">
        <v>35532</v>
      </c>
      <c r="T25" s="25">
        <v>79784</v>
      </c>
      <c r="U25" s="24">
        <v>86</v>
      </c>
      <c r="V25" s="25">
        <v>86</v>
      </c>
      <c r="W25" s="25">
        <v>24135</v>
      </c>
      <c r="X25" s="26">
        <v>52723</v>
      </c>
      <c r="Y25" s="25">
        <v>34</v>
      </c>
      <c r="Z25" s="25">
        <v>35</v>
      </c>
      <c r="AA25" s="25">
        <v>14641</v>
      </c>
      <c r="AB25" s="25">
        <v>30222</v>
      </c>
      <c r="AC25" s="24">
        <v>79</v>
      </c>
      <c r="AD25" s="25">
        <v>81</v>
      </c>
      <c r="AE25" s="25">
        <v>48476</v>
      </c>
      <c r="AF25" s="26">
        <v>114052</v>
      </c>
      <c r="AG25" s="25">
        <v>39</v>
      </c>
      <c r="AH25" s="25">
        <v>39</v>
      </c>
      <c r="AI25" s="25">
        <v>45274</v>
      </c>
      <c r="AJ25" s="25">
        <v>106596</v>
      </c>
      <c r="AK25" s="24">
        <v>22</v>
      </c>
      <c r="AL25" s="25">
        <v>22</v>
      </c>
      <c r="AM25" s="25">
        <v>62984</v>
      </c>
      <c r="AN25" s="26">
        <v>185183</v>
      </c>
      <c r="AO25" s="24">
        <v>4973</v>
      </c>
      <c r="AP25" s="25">
        <v>10171</v>
      </c>
      <c r="AQ25" s="25">
        <v>405960</v>
      </c>
      <c r="AR25" s="26">
        <v>978809</v>
      </c>
    </row>
    <row r="26" spans="2:44" x14ac:dyDescent="0.3">
      <c r="B26" s="22">
        <v>2015</v>
      </c>
      <c r="C26" s="23" t="s">
        <v>0</v>
      </c>
      <c r="D26" s="23" t="s">
        <v>68</v>
      </c>
      <c r="E26" s="24">
        <v>1957</v>
      </c>
      <c r="F26" s="25">
        <v>3040</v>
      </c>
      <c r="G26" s="25">
        <v>16825</v>
      </c>
      <c r="H26" s="26">
        <v>33455</v>
      </c>
      <c r="I26" s="25">
        <v>2224</v>
      </c>
      <c r="J26" s="25">
        <v>3232</v>
      </c>
      <c r="K26" s="25">
        <v>71596</v>
      </c>
      <c r="L26" s="25">
        <v>149263</v>
      </c>
      <c r="M26" s="24">
        <v>838</v>
      </c>
      <c r="N26" s="25">
        <v>949</v>
      </c>
      <c r="O26" s="25">
        <v>68409</v>
      </c>
      <c r="P26" s="26">
        <v>150056</v>
      </c>
      <c r="Q26" s="25">
        <v>470</v>
      </c>
      <c r="R26" s="25">
        <v>506</v>
      </c>
      <c r="S26" s="25">
        <v>80099</v>
      </c>
      <c r="T26" s="25">
        <v>177831</v>
      </c>
      <c r="U26" s="24">
        <v>188</v>
      </c>
      <c r="V26" s="25">
        <v>193</v>
      </c>
      <c r="W26" s="25">
        <v>50497</v>
      </c>
      <c r="X26" s="26">
        <v>118265</v>
      </c>
      <c r="Y26" s="25">
        <v>101</v>
      </c>
      <c r="Z26" s="25">
        <v>104</v>
      </c>
      <c r="AA26" s="25">
        <v>42508</v>
      </c>
      <c r="AB26" s="25">
        <v>90199</v>
      </c>
      <c r="AC26" s="24">
        <v>148</v>
      </c>
      <c r="AD26" s="25">
        <v>155</v>
      </c>
      <c r="AE26" s="25">
        <v>84327</v>
      </c>
      <c r="AF26" s="26">
        <v>213784</v>
      </c>
      <c r="AG26" s="25">
        <v>62</v>
      </c>
      <c r="AH26" s="25">
        <v>63</v>
      </c>
      <c r="AI26" s="25">
        <v>67610</v>
      </c>
      <c r="AJ26" s="25">
        <v>169834</v>
      </c>
      <c r="AK26" s="24">
        <v>29</v>
      </c>
      <c r="AL26" s="25">
        <v>29</v>
      </c>
      <c r="AM26" s="25">
        <v>71949</v>
      </c>
      <c r="AN26" s="26">
        <v>182664</v>
      </c>
      <c r="AO26" s="24">
        <v>6017</v>
      </c>
      <c r="AP26" s="25">
        <v>8271</v>
      </c>
      <c r="AQ26" s="25">
        <v>553820</v>
      </c>
      <c r="AR26" s="26">
        <v>1285351</v>
      </c>
    </row>
    <row r="27" spans="2:44" x14ac:dyDescent="0.3">
      <c r="B27" s="22">
        <v>2015</v>
      </c>
      <c r="C27" s="23" t="s">
        <v>69</v>
      </c>
      <c r="D27" s="23" t="s">
        <v>70</v>
      </c>
      <c r="E27" s="24">
        <v>503</v>
      </c>
      <c r="F27" s="25">
        <v>882</v>
      </c>
      <c r="G27" s="25">
        <v>4206</v>
      </c>
      <c r="H27" s="26">
        <v>9820</v>
      </c>
      <c r="I27" s="25">
        <v>424</v>
      </c>
      <c r="J27" s="25">
        <v>649</v>
      </c>
      <c r="K27" s="25">
        <v>10470</v>
      </c>
      <c r="L27" s="25">
        <v>26341</v>
      </c>
      <c r="M27" s="24">
        <v>71</v>
      </c>
      <c r="N27" s="25">
        <v>71</v>
      </c>
      <c r="O27" s="25">
        <v>5123</v>
      </c>
      <c r="P27" s="26">
        <v>11331</v>
      </c>
      <c r="Q27" s="25">
        <v>47</v>
      </c>
      <c r="R27" s="25">
        <v>48</v>
      </c>
      <c r="S27" s="25">
        <v>7145</v>
      </c>
      <c r="T27" s="25">
        <v>16582</v>
      </c>
      <c r="U27" s="24">
        <v>15</v>
      </c>
      <c r="V27" s="25">
        <v>15</v>
      </c>
      <c r="W27" s="25">
        <v>3962</v>
      </c>
      <c r="X27" s="26">
        <v>9278</v>
      </c>
      <c r="Y27" s="25">
        <v>8</v>
      </c>
      <c r="Z27" s="25">
        <v>8</v>
      </c>
      <c r="AA27" s="25">
        <v>3108</v>
      </c>
      <c r="AB27" s="25">
        <v>7125</v>
      </c>
      <c r="AC27" s="24">
        <v>10</v>
      </c>
      <c r="AD27" s="25">
        <v>10</v>
      </c>
      <c r="AE27" s="25">
        <v>5564</v>
      </c>
      <c r="AF27" s="26">
        <v>13106</v>
      </c>
      <c r="AG27" s="25">
        <v>9</v>
      </c>
      <c r="AH27" s="25">
        <v>9</v>
      </c>
      <c r="AI27" s="25">
        <v>6578</v>
      </c>
      <c r="AJ27" s="25">
        <v>23392</v>
      </c>
      <c r="AK27" s="24">
        <v>2</v>
      </c>
      <c r="AL27" s="25">
        <v>2</v>
      </c>
      <c r="AM27" s="25">
        <v>1438</v>
      </c>
      <c r="AN27" s="26">
        <v>9127</v>
      </c>
      <c r="AO27" s="24">
        <v>1089</v>
      </c>
      <c r="AP27" s="25">
        <v>1694</v>
      </c>
      <c r="AQ27" s="25">
        <v>47594</v>
      </c>
      <c r="AR27" s="26">
        <v>126102</v>
      </c>
    </row>
    <row r="28" spans="2:44" x14ac:dyDescent="0.3">
      <c r="B28" s="22">
        <v>2015</v>
      </c>
      <c r="C28" s="23" t="s">
        <v>71</v>
      </c>
      <c r="D28" s="23" t="s">
        <v>72</v>
      </c>
      <c r="E28" s="24">
        <v>48386</v>
      </c>
      <c r="F28" s="25">
        <v>66865</v>
      </c>
      <c r="G28" s="25">
        <v>329723</v>
      </c>
      <c r="H28" s="26">
        <v>723505</v>
      </c>
      <c r="I28" s="25">
        <v>83709</v>
      </c>
      <c r="J28" s="25">
        <v>110200</v>
      </c>
      <c r="K28" s="25">
        <v>2538246</v>
      </c>
      <c r="L28" s="25">
        <v>5560738</v>
      </c>
      <c r="M28" s="24">
        <v>47164</v>
      </c>
      <c r="N28" s="25">
        <v>52676</v>
      </c>
      <c r="O28" s="25">
        <v>3794900</v>
      </c>
      <c r="P28" s="26">
        <v>8482071</v>
      </c>
      <c r="Q28" s="25">
        <v>25711</v>
      </c>
      <c r="R28" s="25">
        <v>27203</v>
      </c>
      <c r="S28" s="25">
        <v>4152300</v>
      </c>
      <c r="T28" s="25">
        <v>9552840</v>
      </c>
      <c r="U28" s="24">
        <v>9590</v>
      </c>
      <c r="V28" s="25">
        <v>9813</v>
      </c>
      <c r="W28" s="25">
        <v>2501794</v>
      </c>
      <c r="X28" s="26">
        <v>5962559</v>
      </c>
      <c r="Y28" s="25">
        <v>4726</v>
      </c>
      <c r="Z28" s="25">
        <v>4786</v>
      </c>
      <c r="AA28" s="25">
        <v>1725637</v>
      </c>
      <c r="AB28" s="25">
        <v>4124390</v>
      </c>
      <c r="AC28" s="24">
        <v>6083</v>
      </c>
      <c r="AD28" s="25">
        <v>6203</v>
      </c>
      <c r="AE28" s="25">
        <v>3424197</v>
      </c>
      <c r="AF28" s="26">
        <v>8469045</v>
      </c>
      <c r="AG28" s="25">
        <v>2150</v>
      </c>
      <c r="AH28" s="25">
        <v>2170</v>
      </c>
      <c r="AI28" s="25">
        <v>2319973</v>
      </c>
      <c r="AJ28" s="25">
        <v>5845021</v>
      </c>
      <c r="AK28" s="24">
        <v>682</v>
      </c>
      <c r="AL28" s="25">
        <v>684</v>
      </c>
      <c r="AM28" s="25">
        <v>1755329</v>
      </c>
      <c r="AN28" s="26">
        <v>4397537</v>
      </c>
      <c r="AO28" s="24">
        <v>228201</v>
      </c>
      <c r="AP28" s="25">
        <v>280600</v>
      </c>
      <c r="AQ28" s="25">
        <v>22542099</v>
      </c>
      <c r="AR28" s="26">
        <v>53117706</v>
      </c>
    </row>
    <row r="29" spans="2:44" x14ac:dyDescent="0.3">
      <c r="B29" s="22">
        <v>2016</v>
      </c>
      <c r="C29" s="23" t="s">
        <v>62</v>
      </c>
      <c r="D29" s="23" t="s">
        <v>63</v>
      </c>
      <c r="E29" s="24">
        <v>535</v>
      </c>
      <c r="F29" s="25">
        <v>1555</v>
      </c>
      <c r="G29" s="25">
        <v>8648</v>
      </c>
      <c r="H29" s="26">
        <v>17459</v>
      </c>
      <c r="I29" s="25">
        <v>553</v>
      </c>
      <c r="J29" s="25">
        <v>1246</v>
      </c>
      <c r="K29" s="25">
        <v>25313</v>
      </c>
      <c r="L29" s="25">
        <v>53687</v>
      </c>
      <c r="M29" s="24">
        <v>146</v>
      </c>
      <c r="N29" s="25">
        <v>165</v>
      </c>
      <c r="O29" s="25">
        <v>10993</v>
      </c>
      <c r="P29" s="26">
        <v>24689</v>
      </c>
      <c r="Q29" s="25">
        <v>46</v>
      </c>
      <c r="R29" s="25">
        <v>48</v>
      </c>
      <c r="S29" s="25">
        <v>8234</v>
      </c>
      <c r="T29" s="25">
        <v>16438</v>
      </c>
      <c r="U29" s="24">
        <v>23</v>
      </c>
      <c r="V29" s="25">
        <v>25</v>
      </c>
      <c r="W29" s="25">
        <v>6187</v>
      </c>
      <c r="X29" s="26">
        <v>15295</v>
      </c>
      <c r="Y29" s="25">
        <v>8</v>
      </c>
      <c r="Z29" s="25">
        <v>8</v>
      </c>
      <c r="AA29" s="25">
        <v>3469</v>
      </c>
      <c r="AB29" s="25">
        <v>6891</v>
      </c>
      <c r="AC29" s="24">
        <v>19</v>
      </c>
      <c r="AD29" s="25">
        <v>20</v>
      </c>
      <c r="AE29" s="25">
        <v>13709</v>
      </c>
      <c r="AF29" s="26">
        <v>27498</v>
      </c>
      <c r="AG29" s="25">
        <v>3</v>
      </c>
      <c r="AH29" s="25">
        <v>3</v>
      </c>
      <c r="AI29" s="25">
        <v>2739</v>
      </c>
      <c r="AJ29" s="25">
        <v>8406</v>
      </c>
      <c r="AK29" s="24">
        <v>2</v>
      </c>
      <c r="AL29" s="25">
        <v>3</v>
      </c>
      <c r="AM29" s="25">
        <v>4921</v>
      </c>
      <c r="AN29" s="26">
        <v>16968</v>
      </c>
      <c r="AO29" s="24">
        <v>1335</v>
      </c>
      <c r="AP29" s="25">
        <v>3073</v>
      </c>
      <c r="AQ29" s="25">
        <v>84213</v>
      </c>
      <c r="AR29" s="26">
        <v>187331</v>
      </c>
    </row>
    <row r="30" spans="2:44" x14ac:dyDescent="0.3">
      <c r="B30" s="22">
        <v>2016</v>
      </c>
      <c r="C30" s="23" t="s">
        <v>64</v>
      </c>
      <c r="D30" s="23" t="s">
        <v>65</v>
      </c>
      <c r="E30" s="24">
        <v>602</v>
      </c>
      <c r="F30" s="25">
        <v>1529</v>
      </c>
      <c r="G30" s="25">
        <v>6922</v>
      </c>
      <c r="H30" s="26">
        <v>16538</v>
      </c>
      <c r="I30" s="25">
        <v>553</v>
      </c>
      <c r="J30" s="25">
        <v>1054</v>
      </c>
      <c r="K30" s="25">
        <v>16587</v>
      </c>
      <c r="L30" s="25">
        <v>40342</v>
      </c>
      <c r="M30" s="24">
        <v>70</v>
      </c>
      <c r="N30" s="25">
        <v>77</v>
      </c>
      <c r="O30" s="25">
        <v>5313</v>
      </c>
      <c r="P30" s="26">
        <v>12438</v>
      </c>
      <c r="Q30" s="25">
        <v>13</v>
      </c>
      <c r="R30" s="25">
        <v>13</v>
      </c>
      <c r="S30" s="25">
        <v>1668</v>
      </c>
      <c r="T30" s="25">
        <v>4363</v>
      </c>
      <c r="U30" s="24">
        <v>1</v>
      </c>
      <c r="V30" s="25">
        <v>1</v>
      </c>
      <c r="W30" s="25">
        <v>211</v>
      </c>
      <c r="X30" s="26">
        <v>578</v>
      </c>
      <c r="Y30" s="25">
        <v>4</v>
      </c>
      <c r="Z30" s="25">
        <v>4</v>
      </c>
      <c r="AA30" s="25">
        <v>1697</v>
      </c>
      <c r="AB30" s="25">
        <v>3474</v>
      </c>
      <c r="AC30" s="24">
        <v>4</v>
      </c>
      <c r="AD30" s="25">
        <v>4</v>
      </c>
      <c r="AE30" s="25">
        <v>1588</v>
      </c>
      <c r="AF30" s="26">
        <v>4819</v>
      </c>
      <c r="AG30" s="25">
        <v>1</v>
      </c>
      <c r="AH30" s="25">
        <v>1</v>
      </c>
      <c r="AI30" s="25">
        <v>1547</v>
      </c>
      <c r="AJ30" s="25">
        <v>2810</v>
      </c>
      <c r="AK30" s="24"/>
      <c r="AL30" s="25"/>
      <c r="AM30" s="25"/>
      <c r="AN30" s="26"/>
      <c r="AO30" s="24">
        <v>1248</v>
      </c>
      <c r="AP30" s="25">
        <v>2683</v>
      </c>
      <c r="AQ30" s="25">
        <v>35533</v>
      </c>
      <c r="AR30" s="26">
        <v>85362</v>
      </c>
    </row>
    <row r="31" spans="2:44" x14ac:dyDescent="0.3">
      <c r="B31" s="22">
        <v>2016</v>
      </c>
      <c r="C31" s="23" t="s">
        <v>66</v>
      </c>
      <c r="D31" s="23" t="s">
        <v>67</v>
      </c>
      <c r="E31" s="24">
        <v>1441</v>
      </c>
      <c r="F31" s="25">
        <v>3604</v>
      </c>
      <c r="G31" s="25">
        <v>17716</v>
      </c>
      <c r="H31" s="26">
        <v>41525</v>
      </c>
      <c r="I31" s="25">
        <v>2276</v>
      </c>
      <c r="J31" s="25">
        <v>4947</v>
      </c>
      <c r="K31" s="25">
        <v>97036</v>
      </c>
      <c r="L31" s="25">
        <v>226139</v>
      </c>
      <c r="M31" s="24">
        <v>765</v>
      </c>
      <c r="N31" s="25">
        <v>961</v>
      </c>
      <c r="O31" s="25">
        <v>62690</v>
      </c>
      <c r="P31" s="26">
        <v>143599</v>
      </c>
      <c r="Q31" s="25">
        <v>223</v>
      </c>
      <c r="R31" s="25">
        <v>240</v>
      </c>
      <c r="S31" s="25">
        <v>35983</v>
      </c>
      <c r="T31" s="25">
        <v>85678</v>
      </c>
      <c r="U31" s="24">
        <v>81</v>
      </c>
      <c r="V31" s="25">
        <v>86</v>
      </c>
      <c r="W31" s="25">
        <v>24140</v>
      </c>
      <c r="X31" s="26">
        <v>53944</v>
      </c>
      <c r="Y31" s="25">
        <v>43</v>
      </c>
      <c r="Z31" s="25">
        <v>46</v>
      </c>
      <c r="AA31" s="25">
        <v>15950</v>
      </c>
      <c r="AB31" s="25">
        <v>40110</v>
      </c>
      <c r="AC31" s="24">
        <v>87</v>
      </c>
      <c r="AD31" s="25">
        <v>90</v>
      </c>
      <c r="AE31" s="25">
        <v>51071</v>
      </c>
      <c r="AF31" s="26">
        <v>124912</v>
      </c>
      <c r="AG31" s="25">
        <v>45</v>
      </c>
      <c r="AH31" s="25">
        <v>47</v>
      </c>
      <c r="AI31" s="25">
        <v>53461</v>
      </c>
      <c r="AJ31" s="25">
        <v>130355</v>
      </c>
      <c r="AK31" s="24">
        <v>25</v>
      </c>
      <c r="AL31" s="25">
        <v>25</v>
      </c>
      <c r="AM31" s="25">
        <v>67275</v>
      </c>
      <c r="AN31" s="26">
        <v>241224</v>
      </c>
      <c r="AO31" s="24">
        <v>4986</v>
      </c>
      <c r="AP31" s="25">
        <v>10046</v>
      </c>
      <c r="AQ31" s="25">
        <v>425322</v>
      </c>
      <c r="AR31" s="26">
        <v>1087486</v>
      </c>
    </row>
    <row r="32" spans="2:44" x14ac:dyDescent="0.3">
      <c r="B32" s="22">
        <v>2016</v>
      </c>
      <c r="C32" s="23" t="s">
        <v>0</v>
      </c>
      <c r="D32" s="23" t="s">
        <v>68</v>
      </c>
      <c r="E32" s="24">
        <v>2020</v>
      </c>
      <c r="F32" s="25">
        <v>3061</v>
      </c>
      <c r="G32" s="25">
        <v>16879</v>
      </c>
      <c r="H32" s="26">
        <v>33966</v>
      </c>
      <c r="I32" s="25">
        <v>2341</v>
      </c>
      <c r="J32" s="25">
        <v>3341</v>
      </c>
      <c r="K32" s="25">
        <v>74067</v>
      </c>
      <c r="L32" s="25">
        <v>153460</v>
      </c>
      <c r="M32" s="24">
        <v>836</v>
      </c>
      <c r="N32" s="25">
        <v>952</v>
      </c>
      <c r="O32" s="25">
        <v>69652</v>
      </c>
      <c r="P32" s="26">
        <v>152936</v>
      </c>
      <c r="Q32" s="25">
        <v>496</v>
      </c>
      <c r="R32" s="25">
        <v>529</v>
      </c>
      <c r="S32" s="25">
        <v>80227</v>
      </c>
      <c r="T32" s="25">
        <v>183828</v>
      </c>
      <c r="U32" s="24">
        <v>191</v>
      </c>
      <c r="V32" s="25">
        <v>199</v>
      </c>
      <c r="W32" s="25">
        <v>56739</v>
      </c>
      <c r="X32" s="26">
        <v>122245</v>
      </c>
      <c r="Y32" s="25">
        <v>123</v>
      </c>
      <c r="Z32" s="25">
        <v>124</v>
      </c>
      <c r="AA32" s="25">
        <v>48792</v>
      </c>
      <c r="AB32" s="25">
        <v>107203</v>
      </c>
      <c r="AC32" s="24">
        <v>158</v>
      </c>
      <c r="AD32" s="25">
        <v>161</v>
      </c>
      <c r="AE32" s="25">
        <v>90089</v>
      </c>
      <c r="AF32" s="26">
        <v>217374</v>
      </c>
      <c r="AG32" s="25">
        <v>77</v>
      </c>
      <c r="AH32" s="25">
        <v>79</v>
      </c>
      <c r="AI32" s="25">
        <v>92244</v>
      </c>
      <c r="AJ32" s="25">
        <v>225610</v>
      </c>
      <c r="AK32" s="24">
        <v>29</v>
      </c>
      <c r="AL32" s="25">
        <v>29</v>
      </c>
      <c r="AM32" s="25">
        <v>62725</v>
      </c>
      <c r="AN32" s="26">
        <v>187255</v>
      </c>
      <c r="AO32" s="24">
        <v>6271</v>
      </c>
      <c r="AP32" s="25">
        <v>8475</v>
      </c>
      <c r="AQ32" s="25">
        <v>591414</v>
      </c>
      <c r="AR32" s="26">
        <v>1383877</v>
      </c>
    </row>
    <row r="33" spans="2:44" x14ac:dyDescent="0.3">
      <c r="B33" s="22">
        <v>2016</v>
      </c>
      <c r="C33" s="23" t="s">
        <v>69</v>
      </c>
      <c r="D33" s="23" t="s">
        <v>70</v>
      </c>
      <c r="E33" s="24">
        <v>457</v>
      </c>
      <c r="F33" s="25">
        <v>791</v>
      </c>
      <c r="G33" s="25">
        <v>3834</v>
      </c>
      <c r="H33" s="26">
        <v>9185</v>
      </c>
      <c r="I33" s="25">
        <v>410</v>
      </c>
      <c r="J33" s="25">
        <v>642</v>
      </c>
      <c r="K33" s="25">
        <v>10742</v>
      </c>
      <c r="L33" s="25">
        <v>25796</v>
      </c>
      <c r="M33" s="24">
        <v>95</v>
      </c>
      <c r="N33" s="25">
        <v>100</v>
      </c>
      <c r="O33" s="25">
        <v>6843</v>
      </c>
      <c r="P33" s="26">
        <v>15729</v>
      </c>
      <c r="Q33" s="25">
        <v>42</v>
      </c>
      <c r="R33" s="25">
        <v>43</v>
      </c>
      <c r="S33" s="25">
        <v>7137</v>
      </c>
      <c r="T33" s="25">
        <v>15948</v>
      </c>
      <c r="U33" s="24">
        <v>14</v>
      </c>
      <c r="V33" s="25">
        <v>14</v>
      </c>
      <c r="W33" s="25">
        <v>3414</v>
      </c>
      <c r="X33" s="26">
        <v>8509</v>
      </c>
      <c r="Y33" s="25">
        <v>9</v>
      </c>
      <c r="Z33" s="25">
        <v>10</v>
      </c>
      <c r="AA33" s="25">
        <v>3372</v>
      </c>
      <c r="AB33" s="25">
        <v>8551</v>
      </c>
      <c r="AC33" s="24">
        <v>9</v>
      </c>
      <c r="AD33" s="25">
        <v>9</v>
      </c>
      <c r="AE33" s="25">
        <v>5874</v>
      </c>
      <c r="AF33" s="26">
        <v>12309</v>
      </c>
      <c r="AG33" s="25">
        <v>9</v>
      </c>
      <c r="AH33" s="25">
        <v>9</v>
      </c>
      <c r="AI33" s="25">
        <v>6567</v>
      </c>
      <c r="AJ33" s="25">
        <v>25344</v>
      </c>
      <c r="AK33" s="24">
        <v>3</v>
      </c>
      <c r="AL33" s="25">
        <v>3</v>
      </c>
      <c r="AM33" s="25">
        <v>1604</v>
      </c>
      <c r="AN33" s="26">
        <v>15765</v>
      </c>
      <c r="AO33" s="24">
        <v>1048</v>
      </c>
      <c r="AP33" s="25">
        <v>1621</v>
      </c>
      <c r="AQ33" s="25">
        <v>49387</v>
      </c>
      <c r="AR33" s="26">
        <v>137136</v>
      </c>
    </row>
    <row r="34" spans="2:44" x14ac:dyDescent="0.3">
      <c r="B34" s="22">
        <v>2016</v>
      </c>
      <c r="C34" s="23" t="s">
        <v>71</v>
      </c>
      <c r="D34" s="23" t="s">
        <v>72</v>
      </c>
      <c r="E34" s="24">
        <v>47642</v>
      </c>
      <c r="F34" s="25">
        <v>65895</v>
      </c>
      <c r="G34" s="25">
        <v>330346</v>
      </c>
      <c r="H34" s="26">
        <v>716089</v>
      </c>
      <c r="I34" s="25">
        <v>83749</v>
      </c>
      <c r="J34" s="25">
        <v>110123</v>
      </c>
      <c r="K34" s="25">
        <v>2581403</v>
      </c>
      <c r="L34" s="25">
        <v>5572567</v>
      </c>
      <c r="M34" s="24">
        <v>46855</v>
      </c>
      <c r="N34" s="25">
        <v>52555</v>
      </c>
      <c r="O34" s="25">
        <v>3828066</v>
      </c>
      <c r="P34" s="26">
        <v>8446055</v>
      </c>
      <c r="Q34" s="25">
        <v>25852</v>
      </c>
      <c r="R34" s="25">
        <v>27373</v>
      </c>
      <c r="S34" s="25">
        <v>4211858</v>
      </c>
      <c r="T34" s="25">
        <v>9610152</v>
      </c>
      <c r="U34" s="24">
        <v>9742</v>
      </c>
      <c r="V34" s="25">
        <v>10005</v>
      </c>
      <c r="W34" s="25">
        <v>2590425</v>
      </c>
      <c r="X34" s="26">
        <v>6096973</v>
      </c>
      <c r="Y34" s="25">
        <v>4863</v>
      </c>
      <c r="Z34" s="25">
        <v>4937</v>
      </c>
      <c r="AA34" s="25">
        <v>1777265</v>
      </c>
      <c r="AB34" s="25">
        <v>4271303</v>
      </c>
      <c r="AC34" s="24">
        <v>6239</v>
      </c>
      <c r="AD34" s="25">
        <v>6364</v>
      </c>
      <c r="AE34" s="25">
        <v>3499559</v>
      </c>
      <c r="AF34" s="26">
        <v>8669244</v>
      </c>
      <c r="AG34" s="25">
        <v>2241</v>
      </c>
      <c r="AH34" s="25">
        <v>2272</v>
      </c>
      <c r="AI34" s="25">
        <v>2432226</v>
      </c>
      <c r="AJ34" s="25">
        <v>6138066</v>
      </c>
      <c r="AK34" s="24">
        <v>707</v>
      </c>
      <c r="AL34" s="25">
        <v>711</v>
      </c>
      <c r="AM34" s="25">
        <v>1764697</v>
      </c>
      <c r="AN34" s="26">
        <v>4642931</v>
      </c>
      <c r="AO34" s="24">
        <v>227890</v>
      </c>
      <c r="AP34" s="25">
        <v>280235</v>
      </c>
      <c r="AQ34" s="25">
        <v>23015845</v>
      </c>
      <c r="AR34" s="26">
        <v>54163380</v>
      </c>
    </row>
    <row r="35" spans="2:44" x14ac:dyDescent="0.3">
      <c r="B35" s="22">
        <v>2017</v>
      </c>
      <c r="C35" s="23" t="s">
        <v>62</v>
      </c>
      <c r="D35" s="23" t="s">
        <v>63</v>
      </c>
      <c r="E35" s="24">
        <v>561</v>
      </c>
      <c r="F35" s="25">
        <v>1549</v>
      </c>
      <c r="G35" s="25">
        <v>8382</v>
      </c>
      <c r="H35" s="26">
        <v>17002</v>
      </c>
      <c r="I35" s="25">
        <v>595</v>
      </c>
      <c r="J35" s="25">
        <v>1284</v>
      </c>
      <c r="K35" s="25">
        <v>26257</v>
      </c>
      <c r="L35" s="25">
        <v>55139</v>
      </c>
      <c r="M35" s="24">
        <v>156</v>
      </c>
      <c r="N35" s="25">
        <v>181</v>
      </c>
      <c r="O35" s="25">
        <v>11938</v>
      </c>
      <c r="P35" s="26">
        <v>26700</v>
      </c>
      <c r="Q35" s="25">
        <v>50</v>
      </c>
      <c r="R35" s="25">
        <v>51</v>
      </c>
      <c r="S35" s="25">
        <v>7705</v>
      </c>
      <c r="T35" s="25">
        <v>17064</v>
      </c>
      <c r="U35" s="24">
        <v>23</v>
      </c>
      <c r="V35" s="25">
        <v>23</v>
      </c>
      <c r="W35" s="25">
        <v>5461</v>
      </c>
      <c r="X35" s="26">
        <v>14368</v>
      </c>
      <c r="Y35" s="25">
        <v>8</v>
      </c>
      <c r="Z35" s="25">
        <v>8</v>
      </c>
      <c r="AA35" s="25">
        <v>2417</v>
      </c>
      <c r="AB35" s="25">
        <v>6527</v>
      </c>
      <c r="AC35" s="24">
        <v>24</v>
      </c>
      <c r="AD35" s="25">
        <v>26</v>
      </c>
      <c r="AE35" s="25">
        <v>15689</v>
      </c>
      <c r="AF35" s="26">
        <v>33595</v>
      </c>
      <c r="AG35" s="25">
        <v>6</v>
      </c>
      <c r="AH35" s="25">
        <v>6</v>
      </c>
      <c r="AI35" s="25">
        <v>3196</v>
      </c>
      <c r="AJ35" s="25">
        <v>16839</v>
      </c>
      <c r="AK35" s="24">
        <v>3</v>
      </c>
      <c r="AL35" s="25">
        <v>4</v>
      </c>
      <c r="AM35" s="25">
        <v>5864</v>
      </c>
      <c r="AN35" s="26">
        <v>22479</v>
      </c>
      <c r="AO35" s="24">
        <v>1426</v>
      </c>
      <c r="AP35" s="25">
        <v>3132</v>
      </c>
      <c r="AQ35" s="25">
        <v>86909</v>
      </c>
      <c r="AR35" s="26">
        <v>209713</v>
      </c>
    </row>
    <row r="36" spans="2:44" x14ac:dyDescent="0.3">
      <c r="B36" s="22">
        <v>2017</v>
      </c>
      <c r="C36" s="23" t="s">
        <v>64</v>
      </c>
      <c r="D36" s="23" t="s">
        <v>65</v>
      </c>
      <c r="E36" s="24">
        <v>604</v>
      </c>
      <c r="F36" s="25">
        <v>1494</v>
      </c>
      <c r="G36" s="25">
        <v>6876</v>
      </c>
      <c r="H36" s="26">
        <v>16581</v>
      </c>
      <c r="I36" s="25">
        <v>548</v>
      </c>
      <c r="J36" s="25">
        <v>1025</v>
      </c>
      <c r="K36" s="25">
        <v>16346</v>
      </c>
      <c r="L36" s="25">
        <v>39328</v>
      </c>
      <c r="M36" s="24">
        <v>65</v>
      </c>
      <c r="N36" s="25">
        <v>70</v>
      </c>
      <c r="O36" s="25">
        <v>4602</v>
      </c>
      <c r="P36" s="26">
        <v>10920</v>
      </c>
      <c r="Q36" s="25">
        <v>15</v>
      </c>
      <c r="R36" s="25">
        <v>15</v>
      </c>
      <c r="S36" s="25">
        <v>1683</v>
      </c>
      <c r="T36" s="25">
        <v>4942</v>
      </c>
      <c r="U36" s="24">
        <v>1</v>
      </c>
      <c r="V36" s="25">
        <v>1</v>
      </c>
      <c r="W36" s="25">
        <v>356</v>
      </c>
      <c r="X36" s="26">
        <v>678</v>
      </c>
      <c r="Y36" s="25">
        <v>2</v>
      </c>
      <c r="Z36" s="25">
        <v>2</v>
      </c>
      <c r="AA36" s="25">
        <v>915</v>
      </c>
      <c r="AB36" s="25">
        <v>1599</v>
      </c>
      <c r="AC36" s="24">
        <v>3</v>
      </c>
      <c r="AD36" s="25">
        <v>3</v>
      </c>
      <c r="AE36" s="25">
        <v>1664</v>
      </c>
      <c r="AF36" s="26">
        <v>4633</v>
      </c>
      <c r="AG36" s="25">
        <v>2</v>
      </c>
      <c r="AH36" s="25">
        <v>2</v>
      </c>
      <c r="AI36" s="25">
        <v>1636</v>
      </c>
      <c r="AJ36" s="25">
        <v>5654</v>
      </c>
      <c r="AK36" s="24"/>
      <c r="AL36" s="25"/>
      <c r="AM36" s="25"/>
      <c r="AN36" s="26"/>
      <c r="AO36" s="24">
        <v>1240</v>
      </c>
      <c r="AP36" s="25">
        <v>2612</v>
      </c>
      <c r="AQ36" s="25">
        <v>34078</v>
      </c>
      <c r="AR36" s="26">
        <v>84335</v>
      </c>
    </row>
    <row r="37" spans="2:44" x14ac:dyDescent="0.3">
      <c r="B37" s="22">
        <v>2017</v>
      </c>
      <c r="C37" s="23" t="s">
        <v>66</v>
      </c>
      <c r="D37" s="23" t="s">
        <v>67</v>
      </c>
      <c r="E37" s="24">
        <v>1438</v>
      </c>
      <c r="F37" s="25">
        <v>3498</v>
      </c>
      <c r="G37" s="25">
        <v>17120</v>
      </c>
      <c r="H37" s="26">
        <v>40019</v>
      </c>
      <c r="I37" s="25">
        <v>2272</v>
      </c>
      <c r="J37" s="25">
        <v>4932</v>
      </c>
      <c r="K37" s="25">
        <v>95492</v>
      </c>
      <c r="L37" s="25">
        <v>226702</v>
      </c>
      <c r="M37" s="24">
        <v>757</v>
      </c>
      <c r="N37" s="25">
        <v>943</v>
      </c>
      <c r="O37" s="25">
        <v>60982</v>
      </c>
      <c r="P37" s="26">
        <v>142557</v>
      </c>
      <c r="Q37" s="25">
        <v>217</v>
      </c>
      <c r="R37" s="25">
        <v>231</v>
      </c>
      <c r="S37" s="25">
        <v>33414</v>
      </c>
      <c r="T37" s="25">
        <v>81091</v>
      </c>
      <c r="U37" s="24">
        <v>97</v>
      </c>
      <c r="V37" s="25">
        <v>101</v>
      </c>
      <c r="W37" s="25">
        <v>28486</v>
      </c>
      <c r="X37" s="26">
        <v>63333</v>
      </c>
      <c r="Y37" s="25">
        <v>39</v>
      </c>
      <c r="Z37" s="25">
        <v>39</v>
      </c>
      <c r="AA37" s="25">
        <v>16561</v>
      </c>
      <c r="AB37" s="25">
        <v>33576</v>
      </c>
      <c r="AC37" s="24">
        <v>92</v>
      </c>
      <c r="AD37" s="25">
        <v>95</v>
      </c>
      <c r="AE37" s="25">
        <v>50011</v>
      </c>
      <c r="AF37" s="26">
        <v>135346</v>
      </c>
      <c r="AG37" s="25">
        <v>46</v>
      </c>
      <c r="AH37" s="25">
        <v>48</v>
      </c>
      <c r="AI37" s="25">
        <v>56007</v>
      </c>
      <c r="AJ37" s="25">
        <v>139766</v>
      </c>
      <c r="AK37" s="24">
        <v>27</v>
      </c>
      <c r="AL37" s="25">
        <v>27</v>
      </c>
      <c r="AM37" s="25">
        <v>79242</v>
      </c>
      <c r="AN37" s="26">
        <v>278178</v>
      </c>
      <c r="AO37" s="24">
        <v>4985</v>
      </c>
      <c r="AP37" s="25">
        <v>9914</v>
      </c>
      <c r="AQ37" s="25">
        <v>437315</v>
      </c>
      <c r="AR37" s="26">
        <v>1140568</v>
      </c>
    </row>
    <row r="38" spans="2:44" x14ac:dyDescent="0.3">
      <c r="B38" s="22">
        <v>2017</v>
      </c>
      <c r="C38" s="23" t="s">
        <v>0</v>
      </c>
      <c r="D38" s="23" t="s">
        <v>68</v>
      </c>
      <c r="E38" s="24">
        <v>2228</v>
      </c>
      <c r="F38" s="25">
        <v>3421</v>
      </c>
      <c r="G38" s="25">
        <v>18433</v>
      </c>
      <c r="H38" s="26">
        <v>37421</v>
      </c>
      <c r="I38" s="25">
        <v>2410</v>
      </c>
      <c r="J38" s="25">
        <v>3410</v>
      </c>
      <c r="K38" s="25">
        <v>75152</v>
      </c>
      <c r="L38" s="25">
        <v>155544</v>
      </c>
      <c r="M38" s="24">
        <v>855</v>
      </c>
      <c r="N38" s="25">
        <v>970</v>
      </c>
      <c r="O38" s="25">
        <v>74516</v>
      </c>
      <c r="P38" s="26">
        <v>154475</v>
      </c>
      <c r="Q38" s="25">
        <v>459</v>
      </c>
      <c r="R38" s="25">
        <v>499</v>
      </c>
      <c r="S38" s="25">
        <v>78927</v>
      </c>
      <c r="T38" s="25">
        <v>175014</v>
      </c>
      <c r="U38" s="24">
        <v>189</v>
      </c>
      <c r="V38" s="25">
        <v>193</v>
      </c>
      <c r="W38" s="25">
        <v>54351</v>
      </c>
      <c r="X38" s="26">
        <v>117454</v>
      </c>
      <c r="Y38" s="25">
        <v>128</v>
      </c>
      <c r="Z38" s="25">
        <v>130</v>
      </c>
      <c r="AA38" s="25">
        <v>50649</v>
      </c>
      <c r="AB38" s="25">
        <v>111372</v>
      </c>
      <c r="AC38" s="24">
        <v>175</v>
      </c>
      <c r="AD38" s="25">
        <v>184</v>
      </c>
      <c r="AE38" s="25">
        <v>97954</v>
      </c>
      <c r="AF38" s="26">
        <v>254702</v>
      </c>
      <c r="AG38" s="25">
        <v>73</v>
      </c>
      <c r="AH38" s="25">
        <v>75</v>
      </c>
      <c r="AI38" s="25">
        <v>81583</v>
      </c>
      <c r="AJ38" s="25">
        <v>207061</v>
      </c>
      <c r="AK38" s="24">
        <v>35</v>
      </c>
      <c r="AL38" s="25">
        <v>35</v>
      </c>
      <c r="AM38" s="25">
        <v>74320</v>
      </c>
      <c r="AN38" s="26">
        <v>220651</v>
      </c>
      <c r="AO38" s="24">
        <v>6552</v>
      </c>
      <c r="AP38" s="25">
        <v>8917</v>
      </c>
      <c r="AQ38" s="25">
        <v>605885</v>
      </c>
      <c r="AR38" s="26">
        <v>1433694</v>
      </c>
    </row>
    <row r="39" spans="2:44" x14ac:dyDescent="0.3">
      <c r="B39" s="22">
        <v>2017</v>
      </c>
      <c r="C39" s="23" t="s">
        <v>69</v>
      </c>
      <c r="D39" s="23" t="s">
        <v>70</v>
      </c>
      <c r="E39" s="24">
        <v>487</v>
      </c>
      <c r="F39" s="25">
        <v>833</v>
      </c>
      <c r="G39" s="25">
        <v>4159</v>
      </c>
      <c r="H39" s="26">
        <v>9664</v>
      </c>
      <c r="I39" s="25">
        <v>420</v>
      </c>
      <c r="J39" s="25">
        <v>663</v>
      </c>
      <c r="K39" s="25">
        <v>11284</v>
      </c>
      <c r="L39" s="25">
        <v>26893</v>
      </c>
      <c r="M39" s="24">
        <v>88</v>
      </c>
      <c r="N39" s="25">
        <v>91</v>
      </c>
      <c r="O39" s="25">
        <v>6489</v>
      </c>
      <c r="P39" s="26">
        <v>14440</v>
      </c>
      <c r="Q39" s="25">
        <v>38</v>
      </c>
      <c r="R39" s="25">
        <v>40</v>
      </c>
      <c r="S39" s="25">
        <v>7037</v>
      </c>
      <c r="T39" s="25">
        <v>13723</v>
      </c>
      <c r="U39" s="24">
        <v>14</v>
      </c>
      <c r="V39" s="25">
        <v>14</v>
      </c>
      <c r="W39" s="25">
        <v>3163</v>
      </c>
      <c r="X39" s="26">
        <v>8782</v>
      </c>
      <c r="Y39" s="25">
        <v>11</v>
      </c>
      <c r="Z39" s="25">
        <v>11</v>
      </c>
      <c r="AA39" s="25">
        <v>4050</v>
      </c>
      <c r="AB39" s="25">
        <v>9450</v>
      </c>
      <c r="AC39" s="24">
        <v>15</v>
      </c>
      <c r="AD39" s="25">
        <v>15</v>
      </c>
      <c r="AE39" s="25">
        <v>7002</v>
      </c>
      <c r="AF39" s="26">
        <v>19138</v>
      </c>
      <c r="AG39" s="25">
        <v>5</v>
      </c>
      <c r="AH39" s="25">
        <v>5</v>
      </c>
      <c r="AI39" s="25">
        <v>7005</v>
      </c>
      <c r="AJ39" s="25">
        <v>14648</v>
      </c>
      <c r="AK39" s="24">
        <v>5</v>
      </c>
      <c r="AL39" s="25">
        <v>5</v>
      </c>
      <c r="AM39" s="25">
        <v>1362</v>
      </c>
      <c r="AN39" s="26">
        <v>27367</v>
      </c>
      <c r="AO39" s="24">
        <v>1083</v>
      </c>
      <c r="AP39" s="25">
        <v>1677</v>
      </c>
      <c r="AQ39" s="25">
        <v>51551</v>
      </c>
      <c r="AR39" s="26">
        <v>144105</v>
      </c>
    </row>
    <row r="40" spans="2:44" x14ac:dyDescent="0.3">
      <c r="B40" s="22">
        <v>2017</v>
      </c>
      <c r="C40" s="23" t="s">
        <v>71</v>
      </c>
      <c r="D40" s="23" t="s">
        <v>72</v>
      </c>
      <c r="E40" s="24">
        <v>47861</v>
      </c>
      <c r="F40" s="25">
        <v>66012</v>
      </c>
      <c r="G40" s="25">
        <v>331393</v>
      </c>
      <c r="H40" s="26">
        <v>715580</v>
      </c>
      <c r="I40" s="25">
        <v>83895</v>
      </c>
      <c r="J40" s="25">
        <v>110578</v>
      </c>
      <c r="K40" s="25">
        <v>2613743</v>
      </c>
      <c r="L40" s="25">
        <v>5598311</v>
      </c>
      <c r="M40" s="24">
        <v>47116</v>
      </c>
      <c r="N40" s="25">
        <v>53059</v>
      </c>
      <c r="O40" s="25">
        <v>3911840</v>
      </c>
      <c r="P40" s="26">
        <v>8512164</v>
      </c>
      <c r="Q40" s="25">
        <v>25876</v>
      </c>
      <c r="R40" s="25">
        <v>27461</v>
      </c>
      <c r="S40" s="25">
        <v>4282199</v>
      </c>
      <c r="T40" s="25">
        <v>9632667</v>
      </c>
      <c r="U40" s="24">
        <v>9815</v>
      </c>
      <c r="V40" s="25">
        <v>10092</v>
      </c>
      <c r="W40" s="25">
        <v>2649158</v>
      </c>
      <c r="X40" s="26">
        <v>6145079</v>
      </c>
      <c r="Y40" s="25">
        <v>4930</v>
      </c>
      <c r="Z40" s="25">
        <v>5019</v>
      </c>
      <c r="AA40" s="25">
        <v>1813295</v>
      </c>
      <c r="AB40" s="25">
        <v>4331383</v>
      </c>
      <c r="AC40" s="24">
        <v>6317</v>
      </c>
      <c r="AD40" s="25">
        <v>6448</v>
      </c>
      <c r="AE40" s="25">
        <v>3607418</v>
      </c>
      <c r="AF40" s="26">
        <v>8814449</v>
      </c>
      <c r="AG40" s="25">
        <v>2265</v>
      </c>
      <c r="AH40" s="25">
        <v>2296</v>
      </c>
      <c r="AI40" s="25">
        <v>2439510</v>
      </c>
      <c r="AJ40" s="25">
        <v>6224984</v>
      </c>
      <c r="AK40" s="24">
        <v>725</v>
      </c>
      <c r="AL40" s="25">
        <v>732</v>
      </c>
      <c r="AM40" s="25">
        <v>1829424</v>
      </c>
      <c r="AN40" s="26">
        <v>4818564</v>
      </c>
      <c r="AO40" s="24">
        <v>228800</v>
      </c>
      <c r="AP40" s="25">
        <v>281697</v>
      </c>
      <c r="AQ40" s="25">
        <v>23477980</v>
      </c>
      <c r="AR40" s="26">
        <v>54793181</v>
      </c>
    </row>
    <row r="41" spans="2:44" x14ac:dyDescent="0.3">
      <c r="B41" s="22">
        <v>2018</v>
      </c>
      <c r="C41" s="23" t="s">
        <v>58</v>
      </c>
      <c r="D41" s="23" t="s">
        <v>59</v>
      </c>
      <c r="E41" s="24">
        <v>5390</v>
      </c>
      <c r="F41" s="25">
        <v>5812</v>
      </c>
      <c r="G41" s="25">
        <v>24447</v>
      </c>
      <c r="H41" s="26">
        <v>61824</v>
      </c>
      <c r="I41" s="25">
        <v>16648</v>
      </c>
      <c r="J41" s="25">
        <v>19019</v>
      </c>
      <c r="K41" s="25">
        <v>486617</v>
      </c>
      <c r="L41" s="25">
        <v>1090583</v>
      </c>
      <c r="M41" s="24">
        <v>15538</v>
      </c>
      <c r="N41" s="25">
        <v>17330</v>
      </c>
      <c r="O41" s="25">
        <v>1278980</v>
      </c>
      <c r="P41" s="26">
        <v>2837180</v>
      </c>
      <c r="Q41" s="25">
        <v>9986</v>
      </c>
      <c r="R41" s="25">
        <v>10584</v>
      </c>
      <c r="S41" s="25">
        <v>1624383</v>
      </c>
      <c r="T41" s="25">
        <v>3735785</v>
      </c>
      <c r="U41" s="24">
        <v>4171</v>
      </c>
      <c r="V41" s="25">
        <v>4275</v>
      </c>
      <c r="W41" s="25">
        <v>1098545</v>
      </c>
      <c r="X41" s="26">
        <v>2615081</v>
      </c>
      <c r="Y41" s="25">
        <v>2129</v>
      </c>
      <c r="Z41" s="25">
        <v>2173</v>
      </c>
      <c r="AA41" s="25">
        <v>768850</v>
      </c>
      <c r="AB41" s="25">
        <v>1876580</v>
      </c>
      <c r="AC41" s="24">
        <v>3021</v>
      </c>
      <c r="AD41" s="25">
        <v>3075</v>
      </c>
      <c r="AE41" s="25">
        <v>1657004</v>
      </c>
      <c r="AF41" s="26">
        <v>4174942</v>
      </c>
      <c r="AG41" s="25">
        <v>1011</v>
      </c>
      <c r="AH41" s="25">
        <v>1024</v>
      </c>
      <c r="AI41" s="25">
        <v>1043668</v>
      </c>
      <c r="AJ41" s="25">
        <v>2759022</v>
      </c>
      <c r="AK41" s="24">
        <v>280</v>
      </c>
      <c r="AL41" s="25">
        <v>282</v>
      </c>
      <c r="AM41" s="25">
        <v>624675</v>
      </c>
      <c r="AN41" s="26">
        <v>1721824</v>
      </c>
      <c r="AO41" s="24">
        <v>58174</v>
      </c>
      <c r="AP41" s="25">
        <v>63574</v>
      </c>
      <c r="AQ41" s="25">
        <v>8607169</v>
      </c>
      <c r="AR41" s="26">
        <v>20872821</v>
      </c>
    </row>
    <row r="42" spans="2:44" x14ac:dyDescent="0.3">
      <c r="B42" s="22">
        <v>2018</v>
      </c>
      <c r="C42" s="23" t="s">
        <v>60</v>
      </c>
      <c r="D42" s="23" t="s">
        <v>61</v>
      </c>
      <c r="E42" s="24">
        <v>1</v>
      </c>
      <c r="F42" s="25">
        <v>1</v>
      </c>
      <c r="G42" s="25">
        <v>3</v>
      </c>
      <c r="H42" s="26">
        <v>7</v>
      </c>
      <c r="I42" s="25"/>
      <c r="J42" s="25"/>
      <c r="K42" s="25"/>
      <c r="L42" s="25"/>
      <c r="M42" s="24"/>
      <c r="N42" s="25"/>
      <c r="O42" s="25"/>
      <c r="P42" s="26"/>
      <c r="Q42" s="25"/>
      <c r="R42" s="25"/>
      <c r="S42" s="25"/>
      <c r="T42" s="25"/>
      <c r="U42" s="24"/>
      <c r="V42" s="25"/>
      <c r="W42" s="25"/>
      <c r="X42" s="26"/>
      <c r="Y42" s="25"/>
      <c r="Z42" s="25"/>
      <c r="AA42" s="25"/>
      <c r="AB42" s="25"/>
      <c r="AC42" s="24"/>
      <c r="AD42" s="25"/>
      <c r="AE42" s="25"/>
      <c r="AF42" s="26"/>
      <c r="AG42" s="25"/>
      <c r="AH42" s="25"/>
      <c r="AI42" s="25"/>
      <c r="AJ42" s="25"/>
      <c r="AK42" s="24"/>
      <c r="AL42" s="25"/>
      <c r="AM42" s="25"/>
      <c r="AN42" s="26"/>
      <c r="AO42" s="24">
        <v>1</v>
      </c>
      <c r="AP42" s="25">
        <v>1</v>
      </c>
      <c r="AQ42" s="25">
        <v>3</v>
      </c>
      <c r="AR42" s="26">
        <v>7</v>
      </c>
    </row>
    <row r="43" spans="2:44" x14ac:dyDescent="0.3">
      <c r="B43" s="22">
        <v>2018</v>
      </c>
      <c r="C43" s="23" t="s">
        <v>62</v>
      </c>
      <c r="D43" s="23" t="s">
        <v>63</v>
      </c>
      <c r="E43" s="24">
        <v>503</v>
      </c>
      <c r="F43" s="25">
        <v>1424</v>
      </c>
      <c r="G43" s="25">
        <v>8065</v>
      </c>
      <c r="H43" s="26">
        <v>16174</v>
      </c>
      <c r="I43" s="25">
        <v>529</v>
      </c>
      <c r="J43" s="25">
        <v>1146</v>
      </c>
      <c r="K43" s="25">
        <v>23903</v>
      </c>
      <c r="L43" s="25">
        <v>50045</v>
      </c>
      <c r="M43" s="24">
        <v>151</v>
      </c>
      <c r="N43" s="25">
        <v>171</v>
      </c>
      <c r="O43" s="25">
        <v>12240</v>
      </c>
      <c r="P43" s="26">
        <v>25396</v>
      </c>
      <c r="Q43" s="25">
        <v>46</v>
      </c>
      <c r="R43" s="25">
        <v>47</v>
      </c>
      <c r="S43" s="25">
        <v>6877</v>
      </c>
      <c r="T43" s="25">
        <v>16545</v>
      </c>
      <c r="U43" s="24">
        <v>18</v>
      </c>
      <c r="V43" s="25">
        <v>18</v>
      </c>
      <c r="W43" s="25">
        <v>5468</v>
      </c>
      <c r="X43" s="26">
        <v>10973</v>
      </c>
      <c r="Y43" s="25">
        <v>11</v>
      </c>
      <c r="Z43" s="25">
        <v>11</v>
      </c>
      <c r="AA43" s="25">
        <v>3476</v>
      </c>
      <c r="AB43" s="25">
        <v>9877</v>
      </c>
      <c r="AC43" s="24">
        <v>20</v>
      </c>
      <c r="AD43" s="25">
        <v>24</v>
      </c>
      <c r="AE43" s="25">
        <v>13374</v>
      </c>
      <c r="AF43" s="26">
        <v>29483</v>
      </c>
      <c r="AG43" s="25">
        <v>9</v>
      </c>
      <c r="AH43" s="25">
        <v>10</v>
      </c>
      <c r="AI43" s="25">
        <v>8426</v>
      </c>
      <c r="AJ43" s="25">
        <v>27055</v>
      </c>
      <c r="AK43" s="24">
        <v>1</v>
      </c>
      <c r="AL43" s="25">
        <v>1</v>
      </c>
      <c r="AM43" s="25">
        <v>59</v>
      </c>
      <c r="AN43" s="26">
        <v>6059</v>
      </c>
      <c r="AO43" s="24">
        <v>1288</v>
      </c>
      <c r="AP43" s="25">
        <v>2852</v>
      </c>
      <c r="AQ43" s="25">
        <v>81888</v>
      </c>
      <c r="AR43" s="26">
        <v>191607</v>
      </c>
    </row>
    <row r="44" spans="2:44" x14ac:dyDescent="0.3">
      <c r="B44" s="22">
        <v>2018</v>
      </c>
      <c r="C44" s="23" t="s">
        <v>64</v>
      </c>
      <c r="D44" s="23" t="s">
        <v>65</v>
      </c>
      <c r="E44" s="24">
        <v>590</v>
      </c>
      <c r="F44" s="25">
        <v>1422</v>
      </c>
      <c r="G44" s="25">
        <v>6542</v>
      </c>
      <c r="H44" s="26">
        <v>15520</v>
      </c>
      <c r="I44" s="25">
        <v>540</v>
      </c>
      <c r="J44" s="25">
        <v>971</v>
      </c>
      <c r="K44" s="25">
        <v>15391</v>
      </c>
      <c r="L44" s="25">
        <v>37443</v>
      </c>
      <c r="M44" s="24">
        <v>47</v>
      </c>
      <c r="N44" s="25">
        <v>53</v>
      </c>
      <c r="O44" s="25">
        <v>3906</v>
      </c>
      <c r="P44" s="26">
        <v>8068</v>
      </c>
      <c r="Q44" s="25">
        <v>13</v>
      </c>
      <c r="R44" s="25">
        <v>13</v>
      </c>
      <c r="S44" s="25">
        <v>1300</v>
      </c>
      <c r="T44" s="25">
        <v>4154</v>
      </c>
      <c r="U44" s="24">
        <v>4</v>
      </c>
      <c r="V44" s="25">
        <v>4</v>
      </c>
      <c r="W44" s="25">
        <v>1414</v>
      </c>
      <c r="X44" s="26">
        <v>2678</v>
      </c>
      <c r="Y44" s="25">
        <v>1</v>
      </c>
      <c r="Z44" s="25">
        <v>1</v>
      </c>
      <c r="AA44" s="25">
        <v>510</v>
      </c>
      <c r="AB44" s="25">
        <v>980</v>
      </c>
      <c r="AC44" s="24">
        <v>2</v>
      </c>
      <c r="AD44" s="25">
        <v>2</v>
      </c>
      <c r="AE44" s="25">
        <v>949</v>
      </c>
      <c r="AF44" s="26">
        <v>3310</v>
      </c>
      <c r="AG44" s="25">
        <v>2</v>
      </c>
      <c r="AH44" s="25">
        <v>2</v>
      </c>
      <c r="AI44" s="25">
        <v>2086</v>
      </c>
      <c r="AJ44" s="25">
        <v>4277</v>
      </c>
      <c r="AK44" s="24">
        <v>1</v>
      </c>
      <c r="AL44" s="25">
        <v>1</v>
      </c>
      <c r="AM44" s="25">
        <v>449</v>
      </c>
      <c r="AN44" s="26">
        <v>4823</v>
      </c>
      <c r="AO44" s="24">
        <v>1200</v>
      </c>
      <c r="AP44" s="25">
        <v>2469</v>
      </c>
      <c r="AQ44" s="25">
        <v>32547</v>
      </c>
      <c r="AR44" s="26">
        <v>81253</v>
      </c>
    </row>
    <row r="45" spans="2:44" x14ac:dyDescent="0.3">
      <c r="B45" s="22">
        <v>2018</v>
      </c>
      <c r="C45" s="23" t="s">
        <v>66</v>
      </c>
      <c r="D45" s="23" t="s">
        <v>67</v>
      </c>
      <c r="E45" s="24">
        <v>1360</v>
      </c>
      <c r="F45" s="25">
        <v>3233</v>
      </c>
      <c r="G45" s="25">
        <v>15962</v>
      </c>
      <c r="H45" s="26">
        <v>37429</v>
      </c>
      <c r="I45" s="25">
        <v>2134</v>
      </c>
      <c r="J45" s="25">
        <v>4629</v>
      </c>
      <c r="K45" s="25">
        <v>92857</v>
      </c>
      <c r="L45" s="25">
        <v>215315</v>
      </c>
      <c r="M45" s="24">
        <v>740</v>
      </c>
      <c r="N45" s="25">
        <v>928</v>
      </c>
      <c r="O45" s="25">
        <v>59800</v>
      </c>
      <c r="P45" s="26">
        <v>138729</v>
      </c>
      <c r="Q45" s="25">
        <v>220</v>
      </c>
      <c r="R45" s="25">
        <v>233</v>
      </c>
      <c r="S45" s="25">
        <v>39885</v>
      </c>
      <c r="T45" s="25">
        <v>81264</v>
      </c>
      <c r="U45" s="24">
        <v>82</v>
      </c>
      <c r="V45" s="25">
        <v>87</v>
      </c>
      <c r="W45" s="25">
        <v>20600</v>
      </c>
      <c r="X45" s="26">
        <v>53268</v>
      </c>
      <c r="Y45" s="25">
        <v>56</v>
      </c>
      <c r="Z45" s="25">
        <v>56</v>
      </c>
      <c r="AA45" s="25">
        <v>21410</v>
      </c>
      <c r="AB45" s="25">
        <v>48027</v>
      </c>
      <c r="AC45" s="24">
        <v>92</v>
      </c>
      <c r="AD45" s="25">
        <v>93</v>
      </c>
      <c r="AE45" s="25">
        <v>47697</v>
      </c>
      <c r="AF45" s="26">
        <v>128270</v>
      </c>
      <c r="AG45" s="25">
        <v>61</v>
      </c>
      <c r="AH45" s="25">
        <v>62</v>
      </c>
      <c r="AI45" s="25">
        <v>75989</v>
      </c>
      <c r="AJ45" s="25">
        <v>181021</v>
      </c>
      <c r="AK45" s="24">
        <v>34</v>
      </c>
      <c r="AL45" s="25">
        <v>34</v>
      </c>
      <c r="AM45" s="25">
        <v>88926</v>
      </c>
      <c r="AN45" s="26">
        <v>329922</v>
      </c>
      <c r="AO45" s="24">
        <v>4779</v>
      </c>
      <c r="AP45" s="25">
        <v>9355</v>
      </c>
      <c r="AQ45" s="25">
        <v>463126</v>
      </c>
      <c r="AR45" s="26">
        <v>1213245</v>
      </c>
    </row>
    <row r="46" spans="2:44" x14ac:dyDescent="0.3">
      <c r="B46" s="22">
        <v>2018</v>
      </c>
      <c r="C46" s="23" t="s">
        <v>0</v>
      </c>
      <c r="D46" s="23" t="s">
        <v>68</v>
      </c>
      <c r="E46" s="24">
        <v>2252</v>
      </c>
      <c r="F46" s="25">
        <v>3552</v>
      </c>
      <c r="G46" s="25">
        <v>18933</v>
      </c>
      <c r="H46" s="26">
        <v>37836</v>
      </c>
      <c r="I46" s="25">
        <v>2390</v>
      </c>
      <c r="J46" s="25">
        <v>3361</v>
      </c>
      <c r="K46" s="25">
        <v>75176</v>
      </c>
      <c r="L46" s="25">
        <v>152736</v>
      </c>
      <c r="M46" s="24">
        <v>847</v>
      </c>
      <c r="N46" s="25">
        <v>966</v>
      </c>
      <c r="O46" s="25">
        <v>74754</v>
      </c>
      <c r="P46" s="26">
        <v>152376</v>
      </c>
      <c r="Q46" s="25">
        <v>480</v>
      </c>
      <c r="R46" s="25">
        <v>514</v>
      </c>
      <c r="S46" s="25">
        <v>86007</v>
      </c>
      <c r="T46" s="25">
        <v>180922</v>
      </c>
      <c r="U46" s="24">
        <v>187</v>
      </c>
      <c r="V46" s="25">
        <v>193</v>
      </c>
      <c r="W46" s="25">
        <v>52489</v>
      </c>
      <c r="X46" s="26">
        <v>117597</v>
      </c>
      <c r="Y46" s="25">
        <v>113</v>
      </c>
      <c r="Z46" s="25">
        <v>114</v>
      </c>
      <c r="AA46" s="25">
        <v>42511</v>
      </c>
      <c r="AB46" s="25">
        <v>99319</v>
      </c>
      <c r="AC46" s="24">
        <v>177</v>
      </c>
      <c r="AD46" s="25">
        <v>184</v>
      </c>
      <c r="AE46" s="25">
        <v>106254</v>
      </c>
      <c r="AF46" s="26">
        <v>251759</v>
      </c>
      <c r="AG46" s="25">
        <v>66</v>
      </c>
      <c r="AH46" s="25">
        <v>67</v>
      </c>
      <c r="AI46" s="25">
        <v>76150</v>
      </c>
      <c r="AJ46" s="25">
        <v>188770</v>
      </c>
      <c r="AK46" s="24">
        <v>43</v>
      </c>
      <c r="AL46" s="25">
        <v>43</v>
      </c>
      <c r="AM46" s="25">
        <v>80322</v>
      </c>
      <c r="AN46" s="26">
        <v>258083</v>
      </c>
      <c r="AO46" s="24">
        <v>6555</v>
      </c>
      <c r="AP46" s="25">
        <v>8994</v>
      </c>
      <c r="AQ46" s="25">
        <v>612596</v>
      </c>
      <c r="AR46" s="26">
        <v>1439398</v>
      </c>
    </row>
    <row r="47" spans="2:44" x14ac:dyDescent="0.3">
      <c r="B47" s="22">
        <v>2018</v>
      </c>
      <c r="C47" s="23" t="s">
        <v>69</v>
      </c>
      <c r="D47" s="23" t="s">
        <v>70</v>
      </c>
      <c r="E47" s="24">
        <v>455</v>
      </c>
      <c r="F47" s="25">
        <v>800</v>
      </c>
      <c r="G47" s="25">
        <v>4098</v>
      </c>
      <c r="H47" s="26">
        <v>9281</v>
      </c>
      <c r="I47" s="25">
        <v>387</v>
      </c>
      <c r="J47" s="25">
        <v>616</v>
      </c>
      <c r="K47" s="25">
        <v>10231</v>
      </c>
      <c r="L47" s="25">
        <v>24778</v>
      </c>
      <c r="M47" s="24">
        <v>78</v>
      </c>
      <c r="N47" s="25">
        <v>79</v>
      </c>
      <c r="O47" s="25">
        <v>5636</v>
      </c>
      <c r="P47" s="26">
        <v>12722</v>
      </c>
      <c r="Q47" s="25">
        <v>38</v>
      </c>
      <c r="R47" s="25">
        <v>38</v>
      </c>
      <c r="S47" s="25">
        <v>6593</v>
      </c>
      <c r="T47" s="25">
        <v>13096</v>
      </c>
      <c r="U47" s="24">
        <v>17</v>
      </c>
      <c r="V47" s="25">
        <v>17</v>
      </c>
      <c r="W47" s="25">
        <v>5204</v>
      </c>
      <c r="X47" s="26">
        <v>10588</v>
      </c>
      <c r="Y47" s="25">
        <v>11</v>
      </c>
      <c r="Z47" s="25">
        <v>11</v>
      </c>
      <c r="AA47" s="25">
        <v>5411</v>
      </c>
      <c r="AB47" s="25">
        <v>9924</v>
      </c>
      <c r="AC47" s="24">
        <v>10</v>
      </c>
      <c r="AD47" s="25">
        <v>11</v>
      </c>
      <c r="AE47" s="25">
        <v>3799</v>
      </c>
      <c r="AF47" s="26">
        <v>14377</v>
      </c>
      <c r="AG47" s="25">
        <v>8</v>
      </c>
      <c r="AH47" s="25">
        <v>8</v>
      </c>
      <c r="AI47" s="25">
        <v>7595</v>
      </c>
      <c r="AJ47" s="25">
        <v>21058</v>
      </c>
      <c r="AK47" s="24">
        <v>3</v>
      </c>
      <c r="AL47" s="25">
        <v>3</v>
      </c>
      <c r="AM47" s="25">
        <v>283</v>
      </c>
      <c r="AN47" s="26">
        <v>16442</v>
      </c>
      <c r="AO47" s="24">
        <v>1007</v>
      </c>
      <c r="AP47" s="25">
        <v>1583</v>
      </c>
      <c r="AQ47" s="25">
        <v>48850</v>
      </c>
      <c r="AR47" s="26">
        <v>132266</v>
      </c>
    </row>
    <row r="48" spans="2:44" x14ac:dyDescent="0.3">
      <c r="B48" s="22">
        <v>2018</v>
      </c>
      <c r="C48" s="23" t="s">
        <v>71</v>
      </c>
      <c r="D48" s="23" t="s">
        <v>72</v>
      </c>
      <c r="E48" s="24">
        <v>46392</v>
      </c>
      <c r="F48" s="25">
        <v>64050</v>
      </c>
      <c r="G48" s="25">
        <v>324337</v>
      </c>
      <c r="H48" s="26">
        <v>693150</v>
      </c>
      <c r="I48" s="25">
        <v>82247</v>
      </c>
      <c r="J48" s="25">
        <v>108375</v>
      </c>
      <c r="K48" s="25">
        <v>2588587</v>
      </c>
      <c r="L48" s="25">
        <v>5507854</v>
      </c>
      <c r="M48" s="24">
        <v>46873</v>
      </c>
      <c r="N48" s="25">
        <v>53101</v>
      </c>
      <c r="O48" s="25">
        <v>3931493</v>
      </c>
      <c r="P48" s="26">
        <v>8519372</v>
      </c>
      <c r="Q48" s="25">
        <v>26119</v>
      </c>
      <c r="R48" s="25">
        <v>27764</v>
      </c>
      <c r="S48" s="25">
        <v>4364251</v>
      </c>
      <c r="T48" s="25">
        <v>9770074</v>
      </c>
      <c r="U48" s="24">
        <v>9787</v>
      </c>
      <c r="V48" s="25">
        <v>10054</v>
      </c>
      <c r="W48" s="25">
        <v>2641795</v>
      </c>
      <c r="X48" s="26">
        <v>6135093</v>
      </c>
      <c r="Y48" s="25">
        <v>4915</v>
      </c>
      <c r="Z48" s="25">
        <v>5004</v>
      </c>
      <c r="AA48" s="25">
        <v>1791337</v>
      </c>
      <c r="AB48" s="25">
        <v>4314665</v>
      </c>
      <c r="AC48" s="24">
        <v>6482</v>
      </c>
      <c r="AD48" s="25">
        <v>6621</v>
      </c>
      <c r="AE48" s="25">
        <v>3645262</v>
      </c>
      <c r="AF48" s="26">
        <v>9009047</v>
      </c>
      <c r="AG48" s="25">
        <v>2249</v>
      </c>
      <c r="AH48" s="25">
        <v>2282</v>
      </c>
      <c r="AI48" s="25">
        <v>2433208</v>
      </c>
      <c r="AJ48" s="25">
        <v>6155407</v>
      </c>
      <c r="AK48" s="24">
        <v>752</v>
      </c>
      <c r="AL48" s="25">
        <v>758</v>
      </c>
      <c r="AM48" s="25">
        <v>1827709</v>
      </c>
      <c r="AN48" s="26">
        <v>4903191</v>
      </c>
      <c r="AO48" s="24">
        <v>225816</v>
      </c>
      <c r="AP48" s="25">
        <v>278009</v>
      </c>
      <c r="AQ48" s="25">
        <v>23547979</v>
      </c>
      <c r="AR48" s="26">
        <v>55007853</v>
      </c>
    </row>
    <row r="49" spans="2:45" x14ac:dyDescent="0.3">
      <c r="B49" s="22">
        <v>2019</v>
      </c>
      <c r="C49" s="15" t="s">
        <v>62</v>
      </c>
      <c r="D49" s="15" t="s">
        <v>63</v>
      </c>
      <c r="E49" s="24">
        <v>547</v>
      </c>
      <c r="F49" s="25">
        <v>1567</v>
      </c>
      <c r="G49" s="25">
        <v>8423</v>
      </c>
      <c r="H49" s="26">
        <v>16792</v>
      </c>
      <c r="I49" s="25">
        <v>529</v>
      </c>
      <c r="J49" s="25">
        <v>1100</v>
      </c>
      <c r="K49" s="25">
        <v>22253</v>
      </c>
      <c r="L49" s="25">
        <v>46012</v>
      </c>
      <c r="M49" s="24">
        <v>128</v>
      </c>
      <c r="N49" s="25">
        <v>147</v>
      </c>
      <c r="O49" s="25">
        <v>10571</v>
      </c>
      <c r="P49" s="26">
        <v>21687</v>
      </c>
      <c r="Q49" s="25">
        <v>47</v>
      </c>
      <c r="R49" s="25">
        <v>48</v>
      </c>
      <c r="S49" s="25">
        <v>7583</v>
      </c>
      <c r="T49" s="25">
        <v>16772</v>
      </c>
      <c r="U49" s="24">
        <v>17</v>
      </c>
      <c r="V49" s="25">
        <v>18</v>
      </c>
      <c r="W49" s="25">
        <v>3467</v>
      </c>
      <c r="X49" s="26">
        <v>10623</v>
      </c>
      <c r="Y49" s="25">
        <v>14</v>
      </c>
      <c r="Z49" s="25">
        <v>15</v>
      </c>
      <c r="AA49" s="25">
        <v>4609</v>
      </c>
      <c r="AB49" s="25">
        <v>13012</v>
      </c>
      <c r="AC49" s="24">
        <v>24</v>
      </c>
      <c r="AD49" s="25">
        <v>26</v>
      </c>
      <c r="AE49" s="25">
        <v>12959</v>
      </c>
      <c r="AF49" s="26">
        <v>36238</v>
      </c>
      <c r="AG49" s="25">
        <v>6</v>
      </c>
      <c r="AH49" s="25">
        <v>6</v>
      </c>
      <c r="AI49" s="25">
        <v>4823</v>
      </c>
      <c r="AJ49" s="25">
        <v>15827</v>
      </c>
      <c r="AK49" s="24">
        <v>0</v>
      </c>
      <c r="AL49" s="25">
        <v>0</v>
      </c>
      <c r="AM49" s="25">
        <v>0</v>
      </c>
      <c r="AN49" s="26">
        <v>0</v>
      </c>
      <c r="AO49" s="24">
        <v>1312</v>
      </c>
      <c r="AP49" s="25">
        <v>2927</v>
      </c>
      <c r="AQ49" s="25">
        <v>74688</v>
      </c>
      <c r="AR49" s="26">
        <v>176963</v>
      </c>
      <c r="AS49" s="27"/>
    </row>
    <row r="50" spans="2:45" x14ac:dyDescent="0.3">
      <c r="B50" s="22">
        <v>2019</v>
      </c>
      <c r="C50" s="15" t="s">
        <v>64</v>
      </c>
      <c r="D50" s="15" t="s">
        <v>65</v>
      </c>
      <c r="E50" s="24">
        <v>560</v>
      </c>
      <c r="F50" s="25">
        <v>1383</v>
      </c>
      <c r="G50" s="25">
        <v>6241</v>
      </c>
      <c r="H50" s="26">
        <v>14846</v>
      </c>
      <c r="I50" s="25">
        <v>476</v>
      </c>
      <c r="J50" s="25">
        <v>795</v>
      </c>
      <c r="K50" s="25">
        <v>13068</v>
      </c>
      <c r="L50" s="25">
        <v>31101</v>
      </c>
      <c r="M50" s="24">
        <v>55</v>
      </c>
      <c r="N50" s="25">
        <v>57</v>
      </c>
      <c r="O50" s="25">
        <v>4111</v>
      </c>
      <c r="P50" s="26">
        <v>8462</v>
      </c>
      <c r="Q50" s="25">
        <v>11</v>
      </c>
      <c r="R50" s="25">
        <v>11</v>
      </c>
      <c r="S50" s="25">
        <v>1205</v>
      </c>
      <c r="T50" s="25">
        <v>3514</v>
      </c>
      <c r="U50" s="24">
        <v>2</v>
      </c>
      <c r="V50" s="25">
        <v>2</v>
      </c>
      <c r="W50" s="25">
        <v>514</v>
      </c>
      <c r="X50" s="26">
        <v>1107</v>
      </c>
      <c r="Y50" s="25">
        <v>4</v>
      </c>
      <c r="Z50" s="25">
        <v>5</v>
      </c>
      <c r="AA50" s="25">
        <v>1965</v>
      </c>
      <c r="AB50" s="25">
        <v>4703</v>
      </c>
      <c r="AC50" s="24">
        <v>4</v>
      </c>
      <c r="AD50" s="25">
        <v>4</v>
      </c>
      <c r="AE50" s="25">
        <v>2931</v>
      </c>
      <c r="AF50" s="26">
        <v>5476</v>
      </c>
      <c r="AG50" s="25">
        <v>1</v>
      </c>
      <c r="AH50" s="25">
        <v>1</v>
      </c>
      <c r="AI50" s="25">
        <v>255</v>
      </c>
      <c r="AJ50" s="25">
        <v>3852</v>
      </c>
      <c r="AK50" s="24">
        <v>0</v>
      </c>
      <c r="AL50" s="25"/>
      <c r="AM50" s="25"/>
      <c r="AN50" s="26"/>
      <c r="AO50" s="24">
        <v>1113</v>
      </c>
      <c r="AP50" s="25">
        <v>2258</v>
      </c>
      <c r="AQ50" s="25">
        <v>30290</v>
      </c>
      <c r="AR50" s="26">
        <v>73061</v>
      </c>
      <c r="AS50" s="27"/>
    </row>
    <row r="51" spans="2:45" x14ac:dyDescent="0.3">
      <c r="B51" s="22">
        <v>2019</v>
      </c>
      <c r="C51" s="15" t="s">
        <v>66</v>
      </c>
      <c r="D51" s="15" t="s">
        <v>67</v>
      </c>
      <c r="E51" s="24">
        <v>1486</v>
      </c>
      <c r="F51" s="25">
        <v>3362</v>
      </c>
      <c r="G51" s="25">
        <v>17181</v>
      </c>
      <c r="H51" s="26">
        <v>38581</v>
      </c>
      <c r="I51" s="25">
        <v>2187</v>
      </c>
      <c r="J51" s="25">
        <v>4575</v>
      </c>
      <c r="K51" s="25">
        <v>91894</v>
      </c>
      <c r="L51" s="25">
        <v>207569</v>
      </c>
      <c r="M51" s="24">
        <v>596</v>
      </c>
      <c r="N51" s="25">
        <v>681</v>
      </c>
      <c r="O51" s="25">
        <v>45770</v>
      </c>
      <c r="P51" s="26">
        <v>101191</v>
      </c>
      <c r="Q51" s="25">
        <v>204</v>
      </c>
      <c r="R51" s="25">
        <v>229</v>
      </c>
      <c r="S51" s="25">
        <v>37376</v>
      </c>
      <c r="T51" s="25">
        <v>81173</v>
      </c>
      <c r="U51" s="24">
        <v>72</v>
      </c>
      <c r="V51" s="25">
        <v>77</v>
      </c>
      <c r="W51" s="25">
        <v>21301</v>
      </c>
      <c r="X51" s="26">
        <v>47166</v>
      </c>
      <c r="Y51" s="25">
        <v>44</v>
      </c>
      <c r="Z51" s="25">
        <v>45</v>
      </c>
      <c r="AA51" s="25">
        <v>16259</v>
      </c>
      <c r="AB51" s="25">
        <v>39375</v>
      </c>
      <c r="AC51" s="24">
        <v>97</v>
      </c>
      <c r="AD51" s="25">
        <v>100</v>
      </c>
      <c r="AE51" s="25">
        <v>58115</v>
      </c>
      <c r="AF51" s="26">
        <v>143464</v>
      </c>
      <c r="AG51" s="25">
        <v>44</v>
      </c>
      <c r="AH51" s="25">
        <v>46</v>
      </c>
      <c r="AI51" s="25">
        <v>54518</v>
      </c>
      <c r="AJ51" s="25">
        <v>128288</v>
      </c>
      <c r="AK51" s="24">
        <v>41</v>
      </c>
      <c r="AL51" s="25">
        <v>42</v>
      </c>
      <c r="AM51" s="25">
        <v>101163</v>
      </c>
      <c r="AN51" s="26">
        <v>364629</v>
      </c>
      <c r="AO51" s="24">
        <v>4771</v>
      </c>
      <c r="AP51" s="25">
        <v>9157</v>
      </c>
      <c r="AQ51" s="25">
        <v>443577</v>
      </c>
      <c r="AR51" s="26">
        <v>1151436</v>
      </c>
      <c r="AS51" s="27"/>
    </row>
    <row r="52" spans="2:45" x14ac:dyDescent="0.3">
      <c r="B52" s="22">
        <v>2019</v>
      </c>
      <c r="C52" s="15" t="s">
        <v>0</v>
      </c>
      <c r="D52" s="15" t="s">
        <v>68</v>
      </c>
      <c r="E52" s="24">
        <v>2209</v>
      </c>
      <c r="F52" s="25">
        <v>3482</v>
      </c>
      <c r="G52" s="25">
        <v>18812</v>
      </c>
      <c r="H52" s="26">
        <v>37173</v>
      </c>
      <c r="I52" s="25">
        <v>2282</v>
      </c>
      <c r="J52" s="25">
        <v>3206</v>
      </c>
      <c r="K52" s="25">
        <v>71906</v>
      </c>
      <c r="L52" s="25">
        <v>144601</v>
      </c>
      <c r="M52" s="24">
        <v>784</v>
      </c>
      <c r="N52" s="25">
        <v>911</v>
      </c>
      <c r="O52" s="25">
        <v>67478</v>
      </c>
      <c r="P52" s="26">
        <v>145193</v>
      </c>
      <c r="Q52" s="25">
        <v>492</v>
      </c>
      <c r="R52" s="25">
        <v>526</v>
      </c>
      <c r="S52" s="25">
        <v>85564</v>
      </c>
      <c r="T52" s="25">
        <v>185100</v>
      </c>
      <c r="U52" s="24">
        <v>179</v>
      </c>
      <c r="V52" s="25">
        <v>185</v>
      </c>
      <c r="W52" s="25">
        <v>50446</v>
      </c>
      <c r="X52" s="26">
        <v>115935</v>
      </c>
      <c r="Y52" s="25">
        <v>121</v>
      </c>
      <c r="Z52" s="25">
        <v>124</v>
      </c>
      <c r="AA52" s="25">
        <v>47561</v>
      </c>
      <c r="AB52" s="25">
        <v>107467</v>
      </c>
      <c r="AC52" s="24">
        <v>176</v>
      </c>
      <c r="AD52" s="25">
        <v>184</v>
      </c>
      <c r="AE52" s="25">
        <v>99399</v>
      </c>
      <c r="AF52" s="26">
        <v>254101</v>
      </c>
      <c r="AG52" s="25">
        <v>72</v>
      </c>
      <c r="AH52" s="25">
        <v>75</v>
      </c>
      <c r="AI52" s="25">
        <v>80955</v>
      </c>
      <c r="AJ52" s="25">
        <v>212494</v>
      </c>
      <c r="AK52" s="24">
        <v>41</v>
      </c>
      <c r="AL52" s="25">
        <v>41</v>
      </c>
      <c r="AM52" s="25">
        <v>80629</v>
      </c>
      <c r="AN52" s="26">
        <v>256577</v>
      </c>
      <c r="AO52" s="24">
        <v>6356</v>
      </c>
      <c r="AP52" s="25">
        <v>8734</v>
      </c>
      <c r="AQ52" s="25">
        <v>602750</v>
      </c>
      <c r="AR52" s="26">
        <v>1458641</v>
      </c>
      <c r="AS52" s="27"/>
    </row>
    <row r="53" spans="2:45" x14ac:dyDescent="0.3">
      <c r="B53" s="22">
        <v>2019</v>
      </c>
      <c r="C53" s="15" t="s">
        <v>69</v>
      </c>
      <c r="D53" s="15" t="s">
        <v>70</v>
      </c>
      <c r="E53" s="24">
        <v>425</v>
      </c>
      <c r="F53" s="25">
        <v>763</v>
      </c>
      <c r="G53" s="25">
        <v>3797</v>
      </c>
      <c r="H53" s="26">
        <v>8605</v>
      </c>
      <c r="I53" s="25">
        <v>340</v>
      </c>
      <c r="J53" s="25">
        <v>548</v>
      </c>
      <c r="K53" s="25">
        <v>9457</v>
      </c>
      <c r="L53" s="25">
        <v>22106</v>
      </c>
      <c r="M53" s="24">
        <v>70</v>
      </c>
      <c r="N53" s="25">
        <v>72</v>
      </c>
      <c r="O53" s="25">
        <v>5245</v>
      </c>
      <c r="P53" s="26">
        <v>11430</v>
      </c>
      <c r="Q53" s="25">
        <v>41</v>
      </c>
      <c r="R53" s="25">
        <v>42</v>
      </c>
      <c r="S53" s="25">
        <v>6841</v>
      </c>
      <c r="T53" s="25">
        <v>14589</v>
      </c>
      <c r="U53" s="24">
        <v>23</v>
      </c>
      <c r="V53" s="25">
        <v>23</v>
      </c>
      <c r="W53" s="25">
        <v>5992</v>
      </c>
      <c r="X53" s="26">
        <v>14116</v>
      </c>
      <c r="Y53" s="25">
        <v>7</v>
      </c>
      <c r="Z53" s="25">
        <v>7</v>
      </c>
      <c r="AA53" s="25">
        <v>3677</v>
      </c>
      <c r="AB53" s="25">
        <v>6233</v>
      </c>
      <c r="AC53" s="24">
        <v>10</v>
      </c>
      <c r="AD53" s="25">
        <v>10</v>
      </c>
      <c r="AE53" s="25">
        <v>3101</v>
      </c>
      <c r="AF53" s="26">
        <v>13058</v>
      </c>
      <c r="AG53" s="25">
        <v>10</v>
      </c>
      <c r="AH53" s="25">
        <v>10</v>
      </c>
      <c r="AI53" s="25">
        <v>9979</v>
      </c>
      <c r="AJ53" s="25">
        <v>25777</v>
      </c>
      <c r="AK53" s="24">
        <v>1</v>
      </c>
      <c r="AL53" s="25">
        <v>1</v>
      </c>
      <c r="AM53" s="25">
        <v>1</v>
      </c>
      <c r="AN53" s="26">
        <v>4776</v>
      </c>
      <c r="AO53" s="24">
        <v>927</v>
      </c>
      <c r="AP53" s="25">
        <v>1476</v>
      </c>
      <c r="AQ53" s="25">
        <v>48090</v>
      </c>
      <c r="AR53" s="26">
        <v>120690</v>
      </c>
      <c r="AS53" s="27"/>
    </row>
    <row r="54" spans="2:45" x14ac:dyDescent="0.3">
      <c r="B54" s="22">
        <v>2019</v>
      </c>
      <c r="C54" s="15" t="s">
        <v>71</v>
      </c>
      <c r="D54" s="15" t="s">
        <v>72</v>
      </c>
      <c r="E54" s="24">
        <v>46547</v>
      </c>
      <c r="F54" s="25">
        <v>64242</v>
      </c>
      <c r="G54" s="25">
        <v>322299</v>
      </c>
      <c r="H54" s="26">
        <v>690784</v>
      </c>
      <c r="I54" s="25">
        <v>81384</v>
      </c>
      <c r="J54" s="25">
        <v>106937</v>
      </c>
      <c r="K54" s="25">
        <v>2548238</v>
      </c>
      <c r="L54" s="25">
        <v>5427325</v>
      </c>
      <c r="M54" s="24">
        <v>46636</v>
      </c>
      <c r="N54" s="25">
        <v>52585</v>
      </c>
      <c r="O54" s="25">
        <v>3865976</v>
      </c>
      <c r="P54" s="26">
        <v>8454154</v>
      </c>
      <c r="Q54" s="25">
        <v>25660</v>
      </c>
      <c r="R54" s="25">
        <v>27274</v>
      </c>
      <c r="S54" s="25">
        <v>4225406</v>
      </c>
      <c r="T54" s="25">
        <v>9596903</v>
      </c>
      <c r="U54" s="24">
        <v>9650</v>
      </c>
      <c r="V54" s="25">
        <v>9924</v>
      </c>
      <c r="W54" s="25">
        <v>2559348</v>
      </c>
      <c r="X54" s="26">
        <v>6055582</v>
      </c>
      <c r="Y54" s="25">
        <v>4988</v>
      </c>
      <c r="Z54" s="25">
        <v>5059</v>
      </c>
      <c r="AA54" s="25">
        <v>1782315</v>
      </c>
      <c r="AB54" s="25">
        <v>4367417</v>
      </c>
      <c r="AC54" s="24">
        <v>6443</v>
      </c>
      <c r="AD54" s="25">
        <v>6567</v>
      </c>
      <c r="AE54" s="25">
        <v>3557372</v>
      </c>
      <c r="AF54" s="26">
        <v>8968641</v>
      </c>
      <c r="AG54" s="25">
        <v>2231</v>
      </c>
      <c r="AH54" s="25">
        <v>2263</v>
      </c>
      <c r="AI54" s="25">
        <v>2370860</v>
      </c>
      <c r="AJ54" s="25">
        <v>6096458</v>
      </c>
      <c r="AK54" s="24">
        <v>719</v>
      </c>
      <c r="AL54" s="25">
        <v>725</v>
      </c>
      <c r="AM54" s="25">
        <v>1755560</v>
      </c>
      <c r="AN54" s="26">
        <v>4803535</v>
      </c>
      <c r="AO54" s="24">
        <v>224258</v>
      </c>
      <c r="AP54" s="25">
        <v>275576</v>
      </c>
      <c r="AQ54" s="25">
        <v>22987374</v>
      </c>
      <c r="AR54" s="26">
        <v>54460799</v>
      </c>
      <c r="AS54" s="27"/>
    </row>
    <row r="55" spans="2:45" x14ac:dyDescent="0.3">
      <c r="B55" s="22">
        <v>2020</v>
      </c>
      <c r="C55" s="15" t="s">
        <v>62</v>
      </c>
      <c r="D55" s="15" t="s">
        <v>63</v>
      </c>
      <c r="E55" s="24">
        <v>192</v>
      </c>
      <c r="F55" s="25">
        <v>223</v>
      </c>
      <c r="G55" s="25">
        <v>1081</v>
      </c>
      <c r="H55" s="26">
        <v>2198</v>
      </c>
      <c r="I55" s="25">
        <v>366</v>
      </c>
      <c r="J55" s="25">
        <v>821</v>
      </c>
      <c r="K55" s="25">
        <v>9629</v>
      </c>
      <c r="L55" s="25">
        <v>19404</v>
      </c>
      <c r="M55" s="24">
        <v>191</v>
      </c>
      <c r="N55" s="25">
        <v>850</v>
      </c>
      <c r="O55" s="25">
        <v>14428</v>
      </c>
      <c r="P55" s="26">
        <v>30649</v>
      </c>
      <c r="Q55" s="25">
        <v>89</v>
      </c>
      <c r="R55" s="25">
        <v>619</v>
      </c>
      <c r="S55" s="25">
        <v>14838</v>
      </c>
      <c r="T55" s="25">
        <v>31023</v>
      </c>
      <c r="U55" s="24">
        <v>30</v>
      </c>
      <c r="V55" s="25">
        <v>336</v>
      </c>
      <c r="W55" s="25">
        <v>8745</v>
      </c>
      <c r="X55" s="26">
        <v>18015</v>
      </c>
      <c r="Y55" s="25">
        <v>13</v>
      </c>
      <c r="Z55" s="25">
        <v>58</v>
      </c>
      <c r="AA55" s="25">
        <v>4922</v>
      </c>
      <c r="AB55" s="25">
        <v>10848</v>
      </c>
      <c r="AC55" s="24">
        <v>20</v>
      </c>
      <c r="AD55" s="25">
        <v>53</v>
      </c>
      <c r="AE55" s="25">
        <v>11424</v>
      </c>
      <c r="AF55" s="26">
        <v>28087</v>
      </c>
      <c r="AG55" s="25">
        <v>10</v>
      </c>
      <c r="AH55" s="25">
        <v>20</v>
      </c>
      <c r="AI55" s="25">
        <v>9157</v>
      </c>
      <c r="AJ55" s="25">
        <v>23731</v>
      </c>
      <c r="AK55" s="24">
        <v>1</v>
      </c>
      <c r="AL55" s="25">
        <v>2</v>
      </c>
      <c r="AM55" s="25">
        <v>155</v>
      </c>
      <c r="AN55" s="26">
        <v>4112</v>
      </c>
      <c r="AO55" s="24">
        <v>912</v>
      </c>
      <c r="AP55" s="25">
        <v>2982</v>
      </c>
      <c r="AQ55" s="25">
        <v>74379</v>
      </c>
      <c r="AR55" s="26">
        <v>168067</v>
      </c>
    </row>
    <row r="56" spans="2:45" x14ac:dyDescent="0.3">
      <c r="B56" s="22">
        <v>2020</v>
      </c>
      <c r="C56" s="15" t="s">
        <v>64</v>
      </c>
      <c r="D56" s="15" t="s">
        <v>65</v>
      </c>
      <c r="E56" s="24">
        <v>223</v>
      </c>
      <c r="F56" s="25">
        <v>246</v>
      </c>
      <c r="G56" s="25">
        <v>1147</v>
      </c>
      <c r="H56" s="26">
        <v>2685</v>
      </c>
      <c r="I56" s="25">
        <v>384</v>
      </c>
      <c r="J56" s="25">
        <v>797</v>
      </c>
      <c r="K56" s="25">
        <v>7701</v>
      </c>
      <c r="L56" s="25">
        <v>18296</v>
      </c>
      <c r="M56" s="24">
        <v>108</v>
      </c>
      <c r="N56" s="25">
        <v>482</v>
      </c>
      <c r="O56" s="25">
        <v>7639</v>
      </c>
      <c r="P56" s="26">
        <v>16556</v>
      </c>
      <c r="Q56" s="25">
        <v>27</v>
      </c>
      <c r="R56" s="25">
        <v>243</v>
      </c>
      <c r="S56" s="25">
        <v>3865</v>
      </c>
      <c r="T56" s="25">
        <v>9503</v>
      </c>
      <c r="U56" s="24">
        <v>5</v>
      </c>
      <c r="V56" s="25">
        <v>62</v>
      </c>
      <c r="W56" s="25">
        <v>1310</v>
      </c>
      <c r="X56" s="26">
        <v>2904</v>
      </c>
      <c r="Y56" s="25">
        <v>2</v>
      </c>
      <c r="Z56" s="25">
        <v>49</v>
      </c>
      <c r="AA56" s="25">
        <v>854</v>
      </c>
      <c r="AB56" s="25">
        <v>1713</v>
      </c>
      <c r="AC56" s="24">
        <v>6</v>
      </c>
      <c r="AD56" s="25">
        <v>8</v>
      </c>
      <c r="AE56" s="25">
        <v>3041</v>
      </c>
      <c r="AF56" s="26">
        <v>8196</v>
      </c>
      <c r="AG56" s="25">
        <v>1</v>
      </c>
      <c r="AH56" s="25">
        <v>1</v>
      </c>
      <c r="AI56" s="25">
        <v>37</v>
      </c>
      <c r="AJ56" s="25">
        <v>2545</v>
      </c>
      <c r="AK56" s="24"/>
      <c r="AL56" s="25"/>
      <c r="AM56" s="25"/>
      <c r="AN56" s="26"/>
      <c r="AO56" s="24">
        <v>756</v>
      </c>
      <c r="AP56" s="25">
        <v>1888</v>
      </c>
      <c r="AQ56" s="25">
        <v>25594</v>
      </c>
      <c r="AR56" s="26">
        <v>62398</v>
      </c>
    </row>
    <row r="57" spans="2:45" x14ac:dyDescent="0.3">
      <c r="B57" s="22">
        <v>2020</v>
      </c>
      <c r="C57" s="15" t="s">
        <v>66</v>
      </c>
      <c r="D57" s="15" t="s">
        <v>67</v>
      </c>
      <c r="E57" s="24">
        <v>478</v>
      </c>
      <c r="F57" s="25">
        <v>524</v>
      </c>
      <c r="G57" s="25">
        <v>2550</v>
      </c>
      <c r="H57" s="26">
        <v>5586</v>
      </c>
      <c r="I57" s="25">
        <v>1263</v>
      </c>
      <c r="J57" s="25">
        <v>2158</v>
      </c>
      <c r="K57" s="25">
        <v>29934</v>
      </c>
      <c r="L57" s="25">
        <v>67068</v>
      </c>
      <c r="M57" s="24">
        <v>715</v>
      </c>
      <c r="N57" s="25">
        <v>2332</v>
      </c>
      <c r="O57" s="25">
        <v>51149</v>
      </c>
      <c r="P57" s="26">
        <v>112468</v>
      </c>
      <c r="Q57" s="25">
        <v>324</v>
      </c>
      <c r="R57" s="25">
        <v>1495</v>
      </c>
      <c r="S57" s="25">
        <v>51661</v>
      </c>
      <c r="T57" s="25">
        <v>112954</v>
      </c>
      <c r="U57" s="24">
        <v>111</v>
      </c>
      <c r="V57" s="25">
        <v>498</v>
      </c>
      <c r="W57" s="25">
        <v>33417</v>
      </c>
      <c r="X57" s="26">
        <v>68407</v>
      </c>
      <c r="Y57" s="25">
        <v>57</v>
      </c>
      <c r="Z57" s="25">
        <v>446</v>
      </c>
      <c r="AA57" s="25">
        <v>21865</v>
      </c>
      <c r="AB57" s="25">
        <v>49267</v>
      </c>
      <c r="AC57" s="24">
        <v>106</v>
      </c>
      <c r="AD57" s="25">
        <v>391</v>
      </c>
      <c r="AE57" s="25">
        <v>67017</v>
      </c>
      <c r="AF57" s="26">
        <v>149508</v>
      </c>
      <c r="AG57" s="25">
        <v>54</v>
      </c>
      <c r="AH57" s="25">
        <v>104</v>
      </c>
      <c r="AI57" s="25">
        <v>62659</v>
      </c>
      <c r="AJ57" s="25">
        <v>156610</v>
      </c>
      <c r="AK57" s="24">
        <v>42</v>
      </c>
      <c r="AL57" s="25">
        <v>57</v>
      </c>
      <c r="AM57" s="25">
        <v>101940</v>
      </c>
      <c r="AN57" s="26">
        <v>348466</v>
      </c>
      <c r="AO57" s="24">
        <v>3150</v>
      </c>
      <c r="AP57" s="25">
        <v>8005</v>
      </c>
      <c r="AQ57" s="25">
        <v>422192</v>
      </c>
      <c r="AR57" s="26">
        <v>1070334</v>
      </c>
    </row>
    <row r="58" spans="2:45" x14ac:dyDescent="0.3">
      <c r="B58" s="22">
        <v>2020</v>
      </c>
      <c r="C58" s="15" t="s">
        <v>0</v>
      </c>
      <c r="D58" s="15" t="s">
        <v>68</v>
      </c>
      <c r="E58" s="24">
        <v>1296</v>
      </c>
      <c r="F58" s="25">
        <v>1420</v>
      </c>
      <c r="G58" s="25">
        <v>7188</v>
      </c>
      <c r="H58" s="26">
        <v>14174</v>
      </c>
      <c r="I58" s="25">
        <v>1819</v>
      </c>
      <c r="J58" s="25">
        <v>2886</v>
      </c>
      <c r="K58" s="25">
        <v>43843</v>
      </c>
      <c r="L58" s="25">
        <v>88032</v>
      </c>
      <c r="M58" s="24">
        <v>820</v>
      </c>
      <c r="N58" s="25">
        <v>1829</v>
      </c>
      <c r="O58" s="25">
        <v>65541</v>
      </c>
      <c r="P58" s="26">
        <v>132014</v>
      </c>
      <c r="Q58" s="25">
        <v>490</v>
      </c>
      <c r="R58" s="25">
        <v>978</v>
      </c>
      <c r="S58" s="25">
        <v>87054</v>
      </c>
      <c r="T58" s="25">
        <v>174453</v>
      </c>
      <c r="U58" s="24">
        <v>205</v>
      </c>
      <c r="V58" s="25">
        <v>507</v>
      </c>
      <c r="W58" s="25">
        <v>58786</v>
      </c>
      <c r="X58" s="26">
        <v>124987</v>
      </c>
      <c r="Y58" s="25">
        <v>106</v>
      </c>
      <c r="Z58" s="25">
        <v>200</v>
      </c>
      <c r="AA58" s="25">
        <v>45199</v>
      </c>
      <c r="AB58" s="25">
        <v>91119</v>
      </c>
      <c r="AC58" s="24">
        <v>192</v>
      </c>
      <c r="AD58" s="25">
        <v>307</v>
      </c>
      <c r="AE58" s="25">
        <v>102284</v>
      </c>
      <c r="AF58" s="26">
        <v>259273</v>
      </c>
      <c r="AG58" s="25">
        <v>74</v>
      </c>
      <c r="AH58" s="25">
        <v>156</v>
      </c>
      <c r="AI58" s="25">
        <v>80632</v>
      </c>
      <c r="AJ58" s="25">
        <v>202866</v>
      </c>
      <c r="AK58" s="24">
        <v>53</v>
      </c>
      <c r="AL58" s="25">
        <v>130</v>
      </c>
      <c r="AM58" s="25">
        <v>100017</v>
      </c>
      <c r="AN58" s="26">
        <v>313971</v>
      </c>
      <c r="AO58" s="24">
        <v>5055</v>
      </c>
      <c r="AP58" s="25">
        <v>8413</v>
      </c>
      <c r="AQ58" s="25">
        <v>590544</v>
      </c>
      <c r="AR58" s="26">
        <v>1400889</v>
      </c>
    </row>
    <row r="59" spans="2:45" x14ac:dyDescent="0.3">
      <c r="B59" s="22">
        <v>2020</v>
      </c>
      <c r="C59" s="15" t="s">
        <v>69</v>
      </c>
      <c r="D59" s="15" t="s">
        <v>70</v>
      </c>
      <c r="E59" s="24">
        <v>417</v>
      </c>
      <c r="F59" s="25">
        <v>424</v>
      </c>
      <c r="G59" s="25">
        <v>2213</v>
      </c>
      <c r="H59" s="26">
        <v>4793</v>
      </c>
      <c r="I59" s="25">
        <v>320</v>
      </c>
      <c r="J59" s="25">
        <v>378</v>
      </c>
      <c r="K59" s="25">
        <v>6402</v>
      </c>
      <c r="L59" s="25">
        <v>13509</v>
      </c>
      <c r="M59" s="24">
        <v>87</v>
      </c>
      <c r="N59" s="25">
        <v>219</v>
      </c>
      <c r="O59" s="25">
        <v>7132</v>
      </c>
      <c r="P59" s="26">
        <v>14476</v>
      </c>
      <c r="Q59" s="25">
        <v>44</v>
      </c>
      <c r="R59" s="25">
        <v>201</v>
      </c>
      <c r="S59" s="25">
        <v>6915</v>
      </c>
      <c r="T59" s="25">
        <v>15370</v>
      </c>
      <c r="U59" s="24">
        <v>22</v>
      </c>
      <c r="V59" s="25">
        <v>144</v>
      </c>
      <c r="W59" s="25">
        <v>5179</v>
      </c>
      <c r="X59" s="26">
        <v>13694</v>
      </c>
      <c r="Y59" s="25">
        <v>9</v>
      </c>
      <c r="Z59" s="25">
        <v>69</v>
      </c>
      <c r="AA59" s="25">
        <v>4753</v>
      </c>
      <c r="AB59" s="25">
        <v>8002</v>
      </c>
      <c r="AC59" s="24">
        <v>15</v>
      </c>
      <c r="AD59" s="25">
        <v>77</v>
      </c>
      <c r="AE59" s="25">
        <v>6357</v>
      </c>
      <c r="AF59" s="26">
        <v>21189</v>
      </c>
      <c r="AG59" s="25">
        <v>9</v>
      </c>
      <c r="AH59" s="25">
        <v>14</v>
      </c>
      <c r="AI59" s="25">
        <v>8009</v>
      </c>
      <c r="AJ59" s="25">
        <v>24425</v>
      </c>
      <c r="AK59" s="24">
        <v>3</v>
      </c>
      <c r="AL59" s="25">
        <v>3</v>
      </c>
      <c r="AM59" s="25">
        <v>1295</v>
      </c>
      <c r="AN59" s="26">
        <v>14309</v>
      </c>
      <c r="AO59" s="24">
        <v>926</v>
      </c>
      <c r="AP59" s="25">
        <v>1529</v>
      </c>
      <c r="AQ59" s="25">
        <v>48255</v>
      </c>
      <c r="AR59" s="26">
        <v>129767</v>
      </c>
    </row>
    <row r="60" spans="2:45" x14ac:dyDescent="0.3">
      <c r="B60" s="22">
        <v>2020</v>
      </c>
      <c r="C60" s="15" t="s">
        <v>71</v>
      </c>
      <c r="D60" s="15" t="s">
        <v>72</v>
      </c>
      <c r="E60" s="24">
        <v>26594</v>
      </c>
      <c r="F60" s="25">
        <v>28028</v>
      </c>
      <c r="G60" s="25">
        <v>136790</v>
      </c>
      <c r="H60" s="26">
        <v>296174</v>
      </c>
      <c r="I60" s="25">
        <v>60927</v>
      </c>
      <c r="J60" s="25">
        <v>79478</v>
      </c>
      <c r="K60" s="25">
        <v>1544087</v>
      </c>
      <c r="L60" s="25">
        <v>3253199</v>
      </c>
      <c r="M60" s="24">
        <v>41703</v>
      </c>
      <c r="N60" s="25">
        <v>66643</v>
      </c>
      <c r="O60" s="25">
        <v>3211914</v>
      </c>
      <c r="P60" s="26">
        <v>6809629</v>
      </c>
      <c r="Q60" s="25">
        <v>26463</v>
      </c>
      <c r="R60" s="25">
        <v>46821</v>
      </c>
      <c r="S60" s="25">
        <v>4276889</v>
      </c>
      <c r="T60" s="25">
        <v>9387255</v>
      </c>
      <c r="U60" s="24">
        <v>10605</v>
      </c>
      <c r="V60" s="25">
        <v>20042</v>
      </c>
      <c r="W60" s="25">
        <v>2835771</v>
      </c>
      <c r="X60" s="26">
        <v>6468886</v>
      </c>
      <c r="Y60" s="25">
        <v>5488</v>
      </c>
      <c r="Z60" s="25">
        <v>10843</v>
      </c>
      <c r="AA60" s="25">
        <v>2011620</v>
      </c>
      <c r="AB60" s="25">
        <v>4740203</v>
      </c>
      <c r="AC60" s="24">
        <v>7588</v>
      </c>
      <c r="AD60" s="25">
        <v>15289</v>
      </c>
      <c r="AE60" s="25">
        <v>4232382</v>
      </c>
      <c r="AF60" s="26">
        <v>10371732</v>
      </c>
      <c r="AG60" s="25">
        <v>2522</v>
      </c>
      <c r="AH60" s="25">
        <v>5773</v>
      </c>
      <c r="AI60" s="25">
        <v>2678325</v>
      </c>
      <c r="AJ60" s="25">
        <v>6794036</v>
      </c>
      <c r="AK60" s="24">
        <v>829</v>
      </c>
      <c r="AL60" s="25">
        <v>1840</v>
      </c>
      <c r="AM60" s="25">
        <v>1976540</v>
      </c>
      <c r="AN60" s="26">
        <v>5396420</v>
      </c>
      <c r="AO60" s="24">
        <v>182719</v>
      </c>
      <c r="AP60" s="25">
        <v>274757</v>
      </c>
      <c r="AQ60" s="25">
        <v>22904318</v>
      </c>
      <c r="AR60" s="26">
        <v>53517534</v>
      </c>
    </row>
    <row r="61" spans="2:45" x14ac:dyDescent="0.3">
      <c r="B61" s="22">
        <v>2021</v>
      </c>
      <c r="C61" s="15" t="s">
        <v>62</v>
      </c>
      <c r="D61" s="15" t="s">
        <v>63</v>
      </c>
      <c r="E61" s="24">
        <v>184</v>
      </c>
      <c r="F61" s="25">
        <v>210</v>
      </c>
      <c r="G61" s="25">
        <v>1015</v>
      </c>
      <c r="H61" s="26">
        <v>2061</v>
      </c>
      <c r="I61" s="25">
        <v>381</v>
      </c>
      <c r="J61" s="25">
        <v>826</v>
      </c>
      <c r="K61" s="25">
        <v>9660.8949999999986</v>
      </c>
      <c r="L61" s="25">
        <v>19878.895000000004</v>
      </c>
      <c r="M61" s="24">
        <v>180</v>
      </c>
      <c r="N61" s="25">
        <v>826</v>
      </c>
      <c r="O61" s="25">
        <v>13889</v>
      </c>
      <c r="P61" s="26">
        <v>29066</v>
      </c>
      <c r="Q61" s="25">
        <v>78</v>
      </c>
      <c r="R61" s="25">
        <v>593</v>
      </c>
      <c r="S61" s="25">
        <v>13070.55</v>
      </c>
      <c r="T61" s="25">
        <v>26479.55</v>
      </c>
      <c r="U61" s="24">
        <v>24</v>
      </c>
      <c r="V61" s="25">
        <v>172</v>
      </c>
      <c r="W61" s="25">
        <v>6370.8050000000003</v>
      </c>
      <c r="X61" s="26">
        <v>14621.805</v>
      </c>
      <c r="Y61" s="25">
        <v>6</v>
      </c>
      <c r="Z61" s="25">
        <v>40</v>
      </c>
      <c r="AA61" s="25">
        <v>2320</v>
      </c>
      <c r="AB61" s="25">
        <v>4908</v>
      </c>
      <c r="AC61" s="24">
        <v>25</v>
      </c>
      <c r="AD61" s="25">
        <v>64</v>
      </c>
      <c r="AE61" s="25">
        <v>14230.819999999998</v>
      </c>
      <c r="AF61" s="26">
        <v>36170.82</v>
      </c>
      <c r="AG61" s="25">
        <v>6</v>
      </c>
      <c r="AH61" s="25">
        <v>10</v>
      </c>
      <c r="AI61" s="25">
        <v>6780.1100000000006</v>
      </c>
      <c r="AJ61" s="25">
        <v>13703.11</v>
      </c>
      <c r="AK61" s="24">
        <v>1</v>
      </c>
      <c r="AL61" s="25">
        <v>2</v>
      </c>
      <c r="AM61" s="25">
        <v>580</v>
      </c>
      <c r="AN61" s="26">
        <v>5084</v>
      </c>
      <c r="AO61" s="24">
        <v>885</v>
      </c>
      <c r="AP61" s="25">
        <v>2743</v>
      </c>
      <c r="AQ61" s="25">
        <v>67917.180000000008</v>
      </c>
      <c r="AR61" s="26">
        <v>151973.18</v>
      </c>
    </row>
    <row r="62" spans="2:45" x14ac:dyDescent="0.3">
      <c r="B62" s="22">
        <v>2021</v>
      </c>
      <c r="C62" s="15" t="s">
        <v>64</v>
      </c>
      <c r="D62" s="15" t="s">
        <v>65</v>
      </c>
      <c r="E62" s="24">
        <v>249</v>
      </c>
      <c r="F62" s="25">
        <v>288</v>
      </c>
      <c r="G62" s="25">
        <v>1193</v>
      </c>
      <c r="H62" s="26">
        <v>2824</v>
      </c>
      <c r="I62" s="25">
        <v>392</v>
      </c>
      <c r="J62" s="25">
        <v>834</v>
      </c>
      <c r="K62" s="25">
        <v>7510.9250000000002</v>
      </c>
      <c r="L62" s="25">
        <v>18035.924999999999</v>
      </c>
      <c r="M62" s="24">
        <v>103</v>
      </c>
      <c r="N62" s="25">
        <v>499</v>
      </c>
      <c r="O62" s="25">
        <v>6781.7</v>
      </c>
      <c r="P62" s="26">
        <v>15687.7</v>
      </c>
      <c r="Q62" s="25">
        <v>29</v>
      </c>
      <c r="R62" s="25">
        <v>282</v>
      </c>
      <c r="S62" s="25">
        <v>4116.79</v>
      </c>
      <c r="T62" s="25">
        <v>9780.7900000000009</v>
      </c>
      <c r="U62" s="24">
        <v>12</v>
      </c>
      <c r="V62" s="25">
        <v>181</v>
      </c>
      <c r="W62" s="25">
        <v>2721.7</v>
      </c>
      <c r="X62" s="26">
        <v>7160.7</v>
      </c>
      <c r="Y62" s="25">
        <v>4</v>
      </c>
      <c r="Z62" s="25">
        <v>50</v>
      </c>
      <c r="AA62" s="25">
        <v>1721</v>
      </c>
      <c r="AB62" s="25">
        <v>3478</v>
      </c>
      <c r="AC62" s="24">
        <v>5</v>
      </c>
      <c r="AD62" s="25">
        <v>7</v>
      </c>
      <c r="AE62" s="25">
        <v>2621</v>
      </c>
      <c r="AF62" s="26">
        <v>8108</v>
      </c>
      <c r="AG62" s="25"/>
      <c r="AH62" s="25"/>
      <c r="AI62" s="25"/>
      <c r="AJ62" s="25"/>
      <c r="AK62" s="24"/>
      <c r="AL62" s="25"/>
      <c r="AM62" s="25"/>
      <c r="AN62" s="26"/>
      <c r="AO62" s="24">
        <v>794</v>
      </c>
      <c r="AP62" s="25">
        <v>2141</v>
      </c>
      <c r="AQ62" s="25">
        <v>26666.115000000002</v>
      </c>
      <c r="AR62" s="26">
        <v>65075.115000000005</v>
      </c>
    </row>
    <row r="63" spans="2:45" x14ac:dyDescent="0.3">
      <c r="B63" s="22">
        <v>2021</v>
      </c>
      <c r="C63" s="15" t="s">
        <v>66</v>
      </c>
      <c r="D63" s="15" t="s">
        <v>67</v>
      </c>
      <c r="E63" s="24">
        <v>523</v>
      </c>
      <c r="F63" s="25">
        <v>568</v>
      </c>
      <c r="G63" s="25">
        <v>3008.4449999999997</v>
      </c>
      <c r="H63" s="26">
        <v>6355.4450000000006</v>
      </c>
      <c r="I63" s="25">
        <v>1481</v>
      </c>
      <c r="J63" s="25">
        <v>2674</v>
      </c>
      <c r="K63" s="25">
        <v>36475.255000000041</v>
      </c>
      <c r="L63" s="25">
        <v>79145.255000000077</v>
      </c>
      <c r="M63" s="24">
        <v>740</v>
      </c>
      <c r="N63" s="25">
        <v>2626</v>
      </c>
      <c r="O63" s="25">
        <v>53721.430000000037</v>
      </c>
      <c r="P63" s="26">
        <v>116950.43000000004</v>
      </c>
      <c r="Q63" s="25">
        <v>312</v>
      </c>
      <c r="R63" s="25">
        <v>1568</v>
      </c>
      <c r="S63" s="25">
        <v>54677.29500000002</v>
      </c>
      <c r="T63" s="25">
        <v>108462.29500000004</v>
      </c>
      <c r="U63" s="24">
        <v>122</v>
      </c>
      <c r="V63" s="25">
        <v>588</v>
      </c>
      <c r="W63" s="25">
        <v>35532.834999999999</v>
      </c>
      <c r="X63" s="26">
        <v>74928.835000000006</v>
      </c>
      <c r="Y63" s="25">
        <v>68</v>
      </c>
      <c r="Z63" s="25">
        <v>393</v>
      </c>
      <c r="AA63" s="25">
        <v>25784.81</v>
      </c>
      <c r="AB63" s="25">
        <v>58833.81</v>
      </c>
      <c r="AC63" s="24">
        <v>96</v>
      </c>
      <c r="AD63" s="25">
        <v>529</v>
      </c>
      <c r="AE63" s="25">
        <v>59413.560000000005</v>
      </c>
      <c r="AF63" s="26">
        <v>133495.56</v>
      </c>
      <c r="AG63" s="25">
        <v>60</v>
      </c>
      <c r="AH63" s="25">
        <v>103</v>
      </c>
      <c r="AI63" s="25">
        <v>69002.5</v>
      </c>
      <c r="AJ63" s="25">
        <v>173147.5</v>
      </c>
      <c r="AK63" s="24">
        <v>38</v>
      </c>
      <c r="AL63" s="25">
        <v>66</v>
      </c>
      <c r="AM63" s="25">
        <v>93790.12000000001</v>
      </c>
      <c r="AN63" s="26">
        <v>326566.12</v>
      </c>
      <c r="AO63" s="24">
        <v>3440</v>
      </c>
      <c r="AP63" s="25">
        <v>9115</v>
      </c>
      <c r="AQ63" s="25">
        <v>431406.24999999884</v>
      </c>
      <c r="AR63" s="26">
        <v>1077885.2499999988</v>
      </c>
    </row>
    <row r="64" spans="2:45" x14ac:dyDescent="0.3">
      <c r="B64" s="22">
        <v>2021</v>
      </c>
      <c r="C64" s="15" t="s">
        <v>0</v>
      </c>
      <c r="D64" s="15" t="s">
        <v>68</v>
      </c>
      <c r="E64" s="24">
        <v>1171</v>
      </c>
      <c r="F64" s="25">
        <v>1293</v>
      </c>
      <c r="G64" s="25">
        <v>6682.7649999999931</v>
      </c>
      <c r="H64" s="26">
        <v>13178.764999999996</v>
      </c>
      <c r="I64" s="25">
        <v>1760</v>
      </c>
      <c r="J64" s="25">
        <v>2735</v>
      </c>
      <c r="K64" s="25">
        <v>43882.6600000002</v>
      </c>
      <c r="L64" s="25">
        <v>85313.660000000382</v>
      </c>
      <c r="M64" s="24">
        <v>788</v>
      </c>
      <c r="N64" s="25">
        <v>1686</v>
      </c>
      <c r="O64" s="25">
        <v>64781.390000000145</v>
      </c>
      <c r="P64" s="26">
        <v>125906.39000000023</v>
      </c>
      <c r="Q64" s="25">
        <v>476</v>
      </c>
      <c r="R64" s="25">
        <v>967</v>
      </c>
      <c r="S64" s="25">
        <v>85163.35000000002</v>
      </c>
      <c r="T64" s="25">
        <v>170693.35000000006</v>
      </c>
      <c r="U64" s="24">
        <v>222</v>
      </c>
      <c r="V64" s="25">
        <v>459</v>
      </c>
      <c r="W64" s="25">
        <v>65565.210000000021</v>
      </c>
      <c r="X64" s="26">
        <v>135730.21000000005</v>
      </c>
      <c r="Y64" s="25">
        <v>117</v>
      </c>
      <c r="Z64" s="25">
        <v>251</v>
      </c>
      <c r="AA64" s="25">
        <v>45581.97</v>
      </c>
      <c r="AB64" s="25">
        <v>100991.97000000003</v>
      </c>
      <c r="AC64" s="24">
        <v>177</v>
      </c>
      <c r="AD64" s="25">
        <v>286</v>
      </c>
      <c r="AE64" s="25">
        <v>104330.78499999999</v>
      </c>
      <c r="AF64" s="26">
        <v>244110.785</v>
      </c>
      <c r="AG64" s="25">
        <v>82</v>
      </c>
      <c r="AH64" s="25">
        <v>139</v>
      </c>
      <c r="AI64" s="25">
        <v>76774.225000000006</v>
      </c>
      <c r="AJ64" s="25">
        <v>224126.22499999998</v>
      </c>
      <c r="AK64" s="24">
        <v>42</v>
      </c>
      <c r="AL64" s="25">
        <v>110</v>
      </c>
      <c r="AM64" s="25">
        <v>94047.895000000004</v>
      </c>
      <c r="AN64" s="26">
        <v>255121.89499999999</v>
      </c>
      <c r="AO64" s="24">
        <v>4835</v>
      </c>
      <c r="AP64" s="25">
        <v>7926</v>
      </c>
      <c r="AQ64" s="25">
        <v>586810.2499999943</v>
      </c>
      <c r="AR64" s="26">
        <v>1355173.2499999949</v>
      </c>
    </row>
    <row r="65" spans="2:44" x14ac:dyDescent="0.3">
      <c r="B65" s="22">
        <v>2021</v>
      </c>
      <c r="C65" s="15" t="s">
        <v>69</v>
      </c>
      <c r="D65" s="15" t="s">
        <v>70</v>
      </c>
      <c r="E65" s="24">
        <v>419</v>
      </c>
      <c r="F65" s="25">
        <v>423</v>
      </c>
      <c r="G65" s="25">
        <v>2089.6399999999994</v>
      </c>
      <c r="H65" s="26">
        <v>4630.6400000000003</v>
      </c>
      <c r="I65" s="25">
        <v>333</v>
      </c>
      <c r="J65" s="25">
        <v>394</v>
      </c>
      <c r="K65" s="25">
        <v>6531.4349999999995</v>
      </c>
      <c r="L65" s="25">
        <v>14044.434999999998</v>
      </c>
      <c r="M65" s="24">
        <v>87</v>
      </c>
      <c r="N65" s="25">
        <v>232</v>
      </c>
      <c r="O65" s="25">
        <v>6558.1250000000009</v>
      </c>
      <c r="P65" s="26">
        <v>14316.125</v>
      </c>
      <c r="Q65" s="25">
        <v>38</v>
      </c>
      <c r="R65" s="25">
        <v>198</v>
      </c>
      <c r="S65" s="25">
        <v>6707.3499999999995</v>
      </c>
      <c r="T65" s="25">
        <v>12502.350000000002</v>
      </c>
      <c r="U65" s="24">
        <v>22</v>
      </c>
      <c r="V65" s="25">
        <v>129</v>
      </c>
      <c r="W65" s="25">
        <v>4351.2299999999996</v>
      </c>
      <c r="X65" s="26">
        <v>13088.230000000001</v>
      </c>
      <c r="Y65" s="25">
        <v>14</v>
      </c>
      <c r="Z65" s="25">
        <v>43</v>
      </c>
      <c r="AA65" s="25">
        <v>6720.9</v>
      </c>
      <c r="AB65" s="25">
        <v>12563.900000000001</v>
      </c>
      <c r="AC65" s="24">
        <v>14</v>
      </c>
      <c r="AD65" s="25">
        <v>138</v>
      </c>
      <c r="AE65" s="25">
        <v>5553.9299999999994</v>
      </c>
      <c r="AF65" s="26">
        <v>19488.93</v>
      </c>
      <c r="AG65" s="25">
        <v>9</v>
      </c>
      <c r="AH65" s="25">
        <v>12</v>
      </c>
      <c r="AI65" s="25">
        <v>6955.88</v>
      </c>
      <c r="AJ65" s="25">
        <v>23585.88</v>
      </c>
      <c r="AK65" s="24">
        <v>3</v>
      </c>
      <c r="AL65" s="25">
        <v>3</v>
      </c>
      <c r="AM65" s="25">
        <v>2422.46</v>
      </c>
      <c r="AN65" s="26">
        <v>14193.46</v>
      </c>
      <c r="AO65" s="24">
        <v>939</v>
      </c>
      <c r="AP65" s="25">
        <v>1572</v>
      </c>
      <c r="AQ65" s="25">
        <v>47890.950000000004</v>
      </c>
      <c r="AR65" s="26">
        <v>128413.95000000006</v>
      </c>
    </row>
    <row r="66" spans="2:44" x14ac:dyDescent="0.3">
      <c r="B66" s="22">
        <v>2021</v>
      </c>
      <c r="C66" s="15" t="s">
        <v>71</v>
      </c>
      <c r="D66" s="15" t="s">
        <v>72</v>
      </c>
      <c r="E66" s="24">
        <v>26784</v>
      </c>
      <c r="F66" s="25">
        <v>28261</v>
      </c>
      <c r="G66" s="25">
        <v>140976.76000000155</v>
      </c>
      <c r="H66" s="26">
        <v>296363.75999998581</v>
      </c>
      <c r="I66" s="25">
        <v>61765</v>
      </c>
      <c r="J66" s="25">
        <v>81196</v>
      </c>
      <c r="K66" s="25">
        <v>1591605.0749999494</v>
      </c>
      <c r="L66" s="25">
        <v>3289037.075000111</v>
      </c>
      <c r="M66" s="24">
        <v>41479</v>
      </c>
      <c r="N66" s="25">
        <v>67079</v>
      </c>
      <c r="O66" s="25">
        <v>3205326.6750000431</v>
      </c>
      <c r="P66" s="26">
        <v>6771002.6750001321</v>
      </c>
      <c r="Q66" s="25">
        <v>26297</v>
      </c>
      <c r="R66" s="25">
        <v>46810</v>
      </c>
      <c r="S66" s="25">
        <v>4251896.1300000064</v>
      </c>
      <c r="T66" s="25">
        <v>9329481.1300000623</v>
      </c>
      <c r="U66" s="24">
        <v>10747</v>
      </c>
      <c r="V66" s="25">
        <v>20376</v>
      </c>
      <c r="W66" s="25">
        <v>2855675.3300000103</v>
      </c>
      <c r="X66" s="26">
        <v>6559919.3300000122</v>
      </c>
      <c r="Y66" s="25">
        <v>5579</v>
      </c>
      <c r="Z66" s="25">
        <v>10763</v>
      </c>
      <c r="AA66" s="25">
        <v>2018952.0000000044</v>
      </c>
      <c r="AB66" s="25">
        <v>4810823.0000000019</v>
      </c>
      <c r="AC66" s="24">
        <v>7432</v>
      </c>
      <c r="AD66" s="25">
        <v>15583</v>
      </c>
      <c r="AE66" s="25">
        <v>4079235.4550000066</v>
      </c>
      <c r="AF66" s="26">
        <v>10143088.455000008</v>
      </c>
      <c r="AG66" s="25">
        <v>2570</v>
      </c>
      <c r="AH66" s="25">
        <v>5865</v>
      </c>
      <c r="AI66" s="25">
        <v>2630763.9149999996</v>
      </c>
      <c r="AJ66" s="25">
        <v>6915413.9150000075</v>
      </c>
      <c r="AK66" s="24">
        <v>808</v>
      </c>
      <c r="AL66" s="25">
        <v>1866</v>
      </c>
      <c r="AM66" s="25">
        <v>1912965.2700000005</v>
      </c>
      <c r="AN66" s="26">
        <v>5301305.2699999996</v>
      </c>
      <c r="AO66" s="24">
        <v>183461</v>
      </c>
      <c r="AP66" s="25">
        <v>277799</v>
      </c>
      <c r="AQ66" s="25">
        <v>22687396.609998241</v>
      </c>
      <c r="AR66" s="26">
        <v>53416434.609982423</v>
      </c>
    </row>
    <row r="67" spans="2:44" x14ac:dyDescent="0.3">
      <c r="B67" s="22">
        <v>2022</v>
      </c>
      <c r="C67" s="15" t="s">
        <v>62</v>
      </c>
      <c r="D67" s="15" t="s">
        <v>63</v>
      </c>
      <c r="E67" s="24">
        <v>283</v>
      </c>
      <c r="F67" s="25">
        <v>313</v>
      </c>
      <c r="G67" s="25">
        <v>1510</v>
      </c>
      <c r="H67" s="26">
        <v>2984</v>
      </c>
      <c r="I67" s="25">
        <v>481</v>
      </c>
      <c r="J67" s="25">
        <v>1008</v>
      </c>
      <c r="K67" s="25">
        <v>11594</v>
      </c>
      <c r="L67" s="25">
        <v>24510</v>
      </c>
      <c r="M67" s="24">
        <v>220</v>
      </c>
      <c r="N67" s="25">
        <v>1037</v>
      </c>
      <c r="O67" s="25">
        <v>16671</v>
      </c>
      <c r="P67" s="26">
        <v>34381</v>
      </c>
      <c r="Q67" s="25">
        <v>87</v>
      </c>
      <c r="R67" s="25">
        <v>640</v>
      </c>
      <c r="S67" s="25">
        <v>14861</v>
      </c>
      <c r="T67" s="25">
        <v>29698</v>
      </c>
      <c r="U67" s="24">
        <v>23</v>
      </c>
      <c r="V67" s="25">
        <v>233</v>
      </c>
      <c r="W67" s="25">
        <v>7285</v>
      </c>
      <c r="X67" s="26">
        <v>13982</v>
      </c>
      <c r="Y67" s="25">
        <v>14</v>
      </c>
      <c r="Z67" s="25">
        <v>76</v>
      </c>
      <c r="AA67" s="25">
        <v>5352</v>
      </c>
      <c r="AB67" s="25">
        <v>11790</v>
      </c>
      <c r="AC67" s="24">
        <v>22</v>
      </c>
      <c r="AD67" s="25">
        <v>70</v>
      </c>
      <c r="AE67" s="25">
        <v>13818</v>
      </c>
      <c r="AF67" s="26">
        <v>33072</v>
      </c>
      <c r="AG67" s="25">
        <v>9</v>
      </c>
      <c r="AH67" s="25">
        <v>17</v>
      </c>
      <c r="AI67" s="25">
        <v>9775</v>
      </c>
      <c r="AJ67" s="25">
        <v>23395</v>
      </c>
      <c r="AK67" s="24">
        <v>1</v>
      </c>
      <c r="AL67" s="25">
        <v>2</v>
      </c>
      <c r="AM67" s="25">
        <v>792</v>
      </c>
      <c r="AN67" s="26">
        <v>5526</v>
      </c>
      <c r="AO67" s="24">
        <v>1140</v>
      </c>
      <c r="AP67" s="25">
        <v>3396</v>
      </c>
      <c r="AQ67" s="25">
        <v>81658</v>
      </c>
      <c r="AR67" s="26">
        <v>179338</v>
      </c>
    </row>
    <row r="68" spans="2:44" x14ac:dyDescent="0.3">
      <c r="B68" s="22">
        <v>2022</v>
      </c>
      <c r="C68" s="15" t="s">
        <v>64</v>
      </c>
      <c r="D68" s="15" t="s">
        <v>65</v>
      </c>
      <c r="E68" s="24">
        <v>335</v>
      </c>
      <c r="F68" s="25">
        <v>392</v>
      </c>
      <c r="G68" s="25">
        <v>1561</v>
      </c>
      <c r="H68" s="26">
        <v>3624</v>
      </c>
      <c r="I68" s="25">
        <v>454</v>
      </c>
      <c r="J68" s="25">
        <v>1053</v>
      </c>
      <c r="K68" s="25">
        <v>8862</v>
      </c>
      <c r="L68" s="25">
        <v>20756</v>
      </c>
      <c r="M68" s="24">
        <v>127</v>
      </c>
      <c r="N68" s="25">
        <v>767</v>
      </c>
      <c r="O68" s="25">
        <v>8866</v>
      </c>
      <c r="P68" s="26">
        <v>19986</v>
      </c>
      <c r="Q68" s="25">
        <v>39</v>
      </c>
      <c r="R68" s="25">
        <v>418</v>
      </c>
      <c r="S68" s="25">
        <v>5762</v>
      </c>
      <c r="T68" s="25">
        <v>14025</v>
      </c>
      <c r="U68" s="24">
        <v>12</v>
      </c>
      <c r="V68" s="25">
        <v>226</v>
      </c>
      <c r="W68" s="25">
        <v>3368</v>
      </c>
      <c r="X68" s="26">
        <v>7351</v>
      </c>
      <c r="Y68" s="25">
        <v>10</v>
      </c>
      <c r="Z68" s="25">
        <v>211</v>
      </c>
      <c r="AA68" s="25">
        <v>2437</v>
      </c>
      <c r="AB68" s="25">
        <v>8610</v>
      </c>
      <c r="AC68" s="24">
        <v>4</v>
      </c>
      <c r="AD68" s="25">
        <v>6</v>
      </c>
      <c r="AE68" s="25">
        <v>2562</v>
      </c>
      <c r="AF68" s="26">
        <v>6357</v>
      </c>
      <c r="AG68" s="25">
        <v>1</v>
      </c>
      <c r="AH68" s="25">
        <v>3</v>
      </c>
      <c r="AI68" s="25">
        <v>1414</v>
      </c>
      <c r="AJ68" s="25">
        <v>2225</v>
      </c>
      <c r="AK68" s="24"/>
      <c r="AL68" s="25"/>
      <c r="AM68" s="25"/>
      <c r="AN68" s="26"/>
      <c r="AO68" s="24">
        <v>982</v>
      </c>
      <c r="AP68" s="25">
        <v>3076</v>
      </c>
      <c r="AQ68" s="25">
        <v>34832</v>
      </c>
      <c r="AR68" s="26">
        <v>82934</v>
      </c>
    </row>
    <row r="69" spans="2:44" x14ac:dyDescent="0.3">
      <c r="B69" s="22">
        <v>2022</v>
      </c>
      <c r="C69" s="15" t="s">
        <v>66</v>
      </c>
      <c r="D69" s="15" t="s">
        <v>67</v>
      </c>
      <c r="E69" s="24">
        <v>591</v>
      </c>
      <c r="F69" s="25">
        <v>647</v>
      </c>
      <c r="G69" s="25">
        <v>3123</v>
      </c>
      <c r="H69" s="26">
        <v>6719</v>
      </c>
      <c r="I69" s="25">
        <v>1544</v>
      </c>
      <c r="J69" s="25">
        <v>2776</v>
      </c>
      <c r="K69" s="25">
        <v>37693</v>
      </c>
      <c r="L69" s="25">
        <v>80839</v>
      </c>
      <c r="M69" s="24">
        <v>791</v>
      </c>
      <c r="N69" s="25">
        <v>2877</v>
      </c>
      <c r="O69" s="25">
        <v>58620</v>
      </c>
      <c r="P69" s="26">
        <v>125421</v>
      </c>
      <c r="Q69" s="25">
        <v>320</v>
      </c>
      <c r="R69" s="25">
        <v>1896</v>
      </c>
      <c r="S69" s="25">
        <v>54767</v>
      </c>
      <c r="T69" s="25">
        <v>112195</v>
      </c>
      <c r="U69" s="24">
        <v>122</v>
      </c>
      <c r="V69" s="25">
        <v>694</v>
      </c>
      <c r="W69" s="25">
        <v>35029</v>
      </c>
      <c r="X69" s="26">
        <v>74593</v>
      </c>
      <c r="Y69" s="25">
        <v>55</v>
      </c>
      <c r="Z69" s="25">
        <v>323</v>
      </c>
      <c r="AA69" s="25">
        <v>19797</v>
      </c>
      <c r="AB69" s="25">
        <v>47423</v>
      </c>
      <c r="AC69" s="24">
        <v>119</v>
      </c>
      <c r="AD69" s="25">
        <v>709</v>
      </c>
      <c r="AE69" s="25">
        <v>76089</v>
      </c>
      <c r="AF69" s="26">
        <v>166066</v>
      </c>
      <c r="AG69" s="25">
        <v>50</v>
      </c>
      <c r="AH69" s="25">
        <v>93</v>
      </c>
      <c r="AI69" s="25">
        <v>56296</v>
      </c>
      <c r="AJ69" s="25">
        <v>144835</v>
      </c>
      <c r="AK69" s="24">
        <v>38</v>
      </c>
      <c r="AL69" s="25">
        <v>64</v>
      </c>
      <c r="AM69" s="25">
        <v>90301</v>
      </c>
      <c r="AN69" s="26">
        <v>318857</v>
      </c>
      <c r="AO69" s="24">
        <v>3630</v>
      </c>
      <c r="AP69" s="25">
        <v>10079</v>
      </c>
      <c r="AQ69" s="25">
        <v>431715</v>
      </c>
      <c r="AR69" s="26">
        <v>1076948</v>
      </c>
    </row>
    <row r="70" spans="2:44" x14ac:dyDescent="0.3">
      <c r="B70" s="22">
        <v>2022</v>
      </c>
      <c r="C70" s="15" t="s">
        <v>0</v>
      </c>
      <c r="D70" s="15" t="s">
        <v>68</v>
      </c>
      <c r="E70" s="24">
        <v>1356</v>
      </c>
      <c r="F70" s="25">
        <v>1503</v>
      </c>
      <c r="G70" s="25">
        <v>7300</v>
      </c>
      <c r="H70" s="26">
        <v>14786</v>
      </c>
      <c r="I70" s="25">
        <v>1842</v>
      </c>
      <c r="J70" s="25">
        <v>2913</v>
      </c>
      <c r="K70" s="25">
        <v>46566</v>
      </c>
      <c r="L70" s="25">
        <v>89135</v>
      </c>
      <c r="M70" s="24">
        <v>769</v>
      </c>
      <c r="N70" s="25">
        <v>1678</v>
      </c>
      <c r="O70" s="25">
        <v>62529</v>
      </c>
      <c r="P70" s="26">
        <v>123868</v>
      </c>
      <c r="Q70" s="25">
        <v>486</v>
      </c>
      <c r="R70" s="25">
        <v>1022</v>
      </c>
      <c r="S70" s="25">
        <v>83209</v>
      </c>
      <c r="T70" s="25">
        <v>171297</v>
      </c>
      <c r="U70" s="24">
        <v>222</v>
      </c>
      <c r="V70" s="25">
        <v>492</v>
      </c>
      <c r="W70" s="25">
        <v>65717</v>
      </c>
      <c r="X70" s="26">
        <v>134893</v>
      </c>
      <c r="Y70" s="25">
        <v>108</v>
      </c>
      <c r="Z70" s="25">
        <v>202</v>
      </c>
      <c r="AA70" s="25">
        <v>38944</v>
      </c>
      <c r="AB70" s="25">
        <v>93945</v>
      </c>
      <c r="AC70" s="24">
        <v>171</v>
      </c>
      <c r="AD70" s="25">
        <v>307</v>
      </c>
      <c r="AE70" s="25">
        <v>98119</v>
      </c>
      <c r="AF70" s="26">
        <v>230710</v>
      </c>
      <c r="AG70" s="25">
        <v>67</v>
      </c>
      <c r="AH70" s="25">
        <v>127</v>
      </c>
      <c r="AI70" s="25">
        <v>79984</v>
      </c>
      <c r="AJ70" s="25">
        <v>186936</v>
      </c>
      <c r="AK70" s="24">
        <v>36</v>
      </c>
      <c r="AL70" s="25">
        <v>83</v>
      </c>
      <c r="AM70" s="25">
        <v>76848</v>
      </c>
      <c r="AN70" s="26">
        <v>214373</v>
      </c>
      <c r="AO70" s="24">
        <v>5057</v>
      </c>
      <c r="AP70" s="25">
        <v>8327</v>
      </c>
      <c r="AQ70" s="25">
        <v>559216</v>
      </c>
      <c r="AR70" s="26">
        <v>1259943</v>
      </c>
    </row>
    <row r="71" spans="2:44" x14ac:dyDescent="0.3">
      <c r="B71" s="22">
        <v>2022</v>
      </c>
      <c r="C71" s="15" t="s">
        <v>69</v>
      </c>
      <c r="D71" s="15" t="s">
        <v>70</v>
      </c>
      <c r="E71" s="24">
        <v>519</v>
      </c>
      <c r="F71" s="25">
        <v>529</v>
      </c>
      <c r="G71" s="25">
        <v>2651</v>
      </c>
      <c r="H71" s="26">
        <v>5752</v>
      </c>
      <c r="I71" s="25">
        <v>345</v>
      </c>
      <c r="J71" s="25">
        <v>425</v>
      </c>
      <c r="K71" s="25">
        <v>6517</v>
      </c>
      <c r="L71" s="25">
        <v>14340</v>
      </c>
      <c r="M71" s="24">
        <v>77</v>
      </c>
      <c r="N71" s="25">
        <v>215</v>
      </c>
      <c r="O71" s="25">
        <v>5951</v>
      </c>
      <c r="P71" s="26">
        <v>12073</v>
      </c>
      <c r="Q71" s="25">
        <v>48</v>
      </c>
      <c r="R71" s="25">
        <v>216</v>
      </c>
      <c r="S71" s="25">
        <v>7996</v>
      </c>
      <c r="T71" s="25">
        <v>16604</v>
      </c>
      <c r="U71" s="24">
        <v>17</v>
      </c>
      <c r="V71" s="25">
        <v>137</v>
      </c>
      <c r="W71" s="25">
        <v>4108</v>
      </c>
      <c r="X71" s="26">
        <v>10369</v>
      </c>
      <c r="Y71" s="25">
        <v>13</v>
      </c>
      <c r="Z71" s="25">
        <v>85</v>
      </c>
      <c r="AA71" s="25">
        <v>4709</v>
      </c>
      <c r="AB71" s="25">
        <v>11355</v>
      </c>
      <c r="AC71" s="24">
        <v>23</v>
      </c>
      <c r="AD71" s="25">
        <v>166</v>
      </c>
      <c r="AE71" s="25">
        <v>10613</v>
      </c>
      <c r="AF71" s="26">
        <v>31055</v>
      </c>
      <c r="AG71" s="25">
        <v>8</v>
      </c>
      <c r="AH71" s="25">
        <v>9</v>
      </c>
      <c r="AI71" s="25">
        <v>5654</v>
      </c>
      <c r="AJ71" s="25">
        <v>21977</v>
      </c>
      <c r="AK71" s="24">
        <v>3</v>
      </c>
      <c r="AL71" s="25">
        <v>3</v>
      </c>
      <c r="AM71" s="25">
        <v>2904</v>
      </c>
      <c r="AN71" s="26">
        <v>17826</v>
      </c>
      <c r="AO71" s="24">
        <v>1053</v>
      </c>
      <c r="AP71" s="25">
        <v>1785</v>
      </c>
      <c r="AQ71" s="25">
        <v>51103</v>
      </c>
      <c r="AR71" s="26">
        <v>141351</v>
      </c>
    </row>
    <row r="72" spans="2:44" x14ac:dyDescent="0.3">
      <c r="B72" s="22">
        <v>2022</v>
      </c>
      <c r="C72" s="15" t="s">
        <v>71</v>
      </c>
      <c r="D72" s="15" t="s">
        <v>72</v>
      </c>
      <c r="E72" s="24">
        <v>28367</v>
      </c>
      <c r="F72" s="25">
        <v>30084</v>
      </c>
      <c r="G72" s="25">
        <v>148431</v>
      </c>
      <c r="H72" s="26">
        <v>310344</v>
      </c>
      <c r="I72" s="25">
        <v>62354</v>
      </c>
      <c r="J72" s="25">
        <v>82797</v>
      </c>
      <c r="K72" s="25">
        <v>1608358</v>
      </c>
      <c r="L72" s="25">
        <v>3314077</v>
      </c>
      <c r="M72" s="24">
        <v>41457</v>
      </c>
      <c r="N72" s="25">
        <v>69029</v>
      </c>
      <c r="O72" s="25">
        <v>3201724</v>
      </c>
      <c r="P72" s="26">
        <v>6762782</v>
      </c>
      <c r="Q72" s="25">
        <v>26567</v>
      </c>
      <c r="R72" s="25">
        <v>48384</v>
      </c>
      <c r="S72" s="25">
        <v>4290415</v>
      </c>
      <c r="T72" s="25">
        <v>9412916</v>
      </c>
      <c r="U72" s="24">
        <v>10924</v>
      </c>
      <c r="V72" s="25">
        <v>21382</v>
      </c>
      <c r="W72" s="25">
        <v>2897754</v>
      </c>
      <c r="X72" s="26">
        <v>6666562</v>
      </c>
      <c r="Y72" s="25">
        <v>5705</v>
      </c>
      <c r="Z72" s="25">
        <v>11500</v>
      </c>
      <c r="AA72" s="25">
        <v>2056264</v>
      </c>
      <c r="AB72" s="25">
        <v>4921113</v>
      </c>
      <c r="AC72" s="24">
        <v>7645</v>
      </c>
      <c r="AD72" s="25">
        <v>16860</v>
      </c>
      <c r="AE72" s="25">
        <v>4199404</v>
      </c>
      <c r="AF72" s="26">
        <v>10447456</v>
      </c>
      <c r="AG72" s="25">
        <v>2612</v>
      </c>
      <c r="AH72" s="25">
        <v>6390</v>
      </c>
      <c r="AI72" s="25">
        <v>2712949</v>
      </c>
      <c r="AJ72" s="25">
        <v>7053158</v>
      </c>
      <c r="AK72" s="24">
        <v>806</v>
      </c>
      <c r="AL72" s="25">
        <v>1879</v>
      </c>
      <c r="AM72" s="25">
        <v>1888708</v>
      </c>
      <c r="AN72" s="26">
        <v>5354187</v>
      </c>
      <c r="AO72" s="24">
        <v>186437</v>
      </c>
      <c r="AP72" s="25">
        <v>288305</v>
      </c>
      <c r="AQ72" s="25">
        <v>23004007</v>
      </c>
      <c r="AR72" s="26">
        <v>54242595</v>
      </c>
    </row>
    <row r="73" spans="2:44" x14ac:dyDescent="0.3">
      <c r="B73" s="22">
        <v>2023</v>
      </c>
      <c r="C73" s="15" t="s">
        <v>62</v>
      </c>
      <c r="D73" s="15" t="s">
        <v>63</v>
      </c>
      <c r="E73" s="24">
        <v>310</v>
      </c>
      <c r="F73" s="25">
        <v>344</v>
      </c>
      <c r="G73" s="25">
        <v>1595</v>
      </c>
      <c r="H73" s="26">
        <v>3174</v>
      </c>
      <c r="I73" s="25">
        <v>524</v>
      </c>
      <c r="J73" s="25">
        <v>1084</v>
      </c>
      <c r="K73" s="25">
        <v>12495</v>
      </c>
      <c r="L73" s="25">
        <v>26533</v>
      </c>
      <c r="M73" s="24">
        <v>209</v>
      </c>
      <c r="N73" s="25">
        <v>1021</v>
      </c>
      <c r="O73" s="25">
        <v>16132</v>
      </c>
      <c r="P73" s="26">
        <v>33277</v>
      </c>
      <c r="Q73" s="25">
        <v>92</v>
      </c>
      <c r="R73" s="25">
        <v>683</v>
      </c>
      <c r="S73" s="25">
        <v>15481</v>
      </c>
      <c r="T73" s="25">
        <v>30627</v>
      </c>
      <c r="U73" s="24">
        <v>30</v>
      </c>
      <c r="V73" s="25">
        <v>295</v>
      </c>
      <c r="W73" s="25">
        <v>7798</v>
      </c>
      <c r="X73" s="26">
        <v>18618</v>
      </c>
      <c r="Y73" s="25">
        <v>10</v>
      </c>
      <c r="Z73" s="25">
        <v>74</v>
      </c>
      <c r="AA73" s="25">
        <v>4204</v>
      </c>
      <c r="AB73" s="25">
        <v>9152</v>
      </c>
      <c r="AC73" s="24">
        <v>19</v>
      </c>
      <c r="AD73" s="25">
        <v>58</v>
      </c>
      <c r="AE73" s="25">
        <v>14170</v>
      </c>
      <c r="AF73" s="26">
        <v>26727</v>
      </c>
      <c r="AG73" s="25">
        <v>10</v>
      </c>
      <c r="AH73" s="25">
        <v>17</v>
      </c>
      <c r="AI73" s="25">
        <v>9888</v>
      </c>
      <c r="AJ73" s="25">
        <v>25847</v>
      </c>
      <c r="AK73" s="24"/>
      <c r="AL73" s="25"/>
      <c r="AM73" s="25"/>
      <c r="AN73" s="26"/>
      <c r="AO73" s="24">
        <v>1204</v>
      </c>
      <c r="AP73" s="25">
        <v>3576</v>
      </c>
      <c r="AQ73" s="25">
        <v>81763</v>
      </c>
      <c r="AR73" s="26">
        <v>173955</v>
      </c>
    </row>
    <row r="74" spans="2:44" x14ac:dyDescent="0.3">
      <c r="B74" s="22">
        <v>2023</v>
      </c>
      <c r="C74" s="15" t="s">
        <v>64</v>
      </c>
      <c r="D74" s="15" t="s">
        <v>65</v>
      </c>
      <c r="E74" s="24">
        <v>381</v>
      </c>
      <c r="F74" s="25">
        <v>446</v>
      </c>
      <c r="G74" s="25">
        <v>1830</v>
      </c>
      <c r="H74" s="26">
        <v>4272</v>
      </c>
      <c r="I74" s="25">
        <v>482</v>
      </c>
      <c r="J74" s="25">
        <v>1138</v>
      </c>
      <c r="K74" s="25">
        <v>9415</v>
      </c>
      <c r="L74" s="25">
        <v>22146</v>
      </c>
      <c r="M74" s="24">
        <v>127</v>
      </c>
      <c r="N74" s="25">
        <v>815</v>
      </c>
      <c r="O74" s="25">
        <v>8589</v>
      </c>
      <c r="P74" s="26">
        <v>19409</v>
      </c>
      <c r="Q74" s="25">
        <v>40</v>
      </c>
      <c r="R74" s="25">
        <v>448</v>
      </c>
      <c r="S74" s="25">
        <v>5928</v>
      </c>
      <c r="T74" s="25">
        <v>14242</v>
      </c>
      <c r="U74" s="24">
        <v>12</v>
      </c>
      <c r="V74" s="25">
        <v>250</v>
      </c>
      <c r="W74" s="25">
        <v>3455</v>
      </c>
      <c r="X74" s="26">
        <v>7584</v>
      </c>
      <c r="Y74" s="25">
        <v>5</v>
      </c>
      <c r="Z74" s="25">
        <v>104</v>
      </c>
      <c r="AA74" s="25">
        <v>1880</v>
      </c>
      <c r="AB74" s="25">
        <v>4379</v>
      </c>
      <c r="AC74" s="24">
        <v>6</v>
      </c>
      <c r="AD74" s="25">
        <v>117</v>
      </c>
      <c r="AE74" s="25">
        <v>2989</v>
      </c>
      <c r="AF74" s="26">
        <v>7855</v>
      </c>
      <c r="AG74" s="25">
        <v>2</v>
      </c>
      <c r="AH74" s="25">
        <v>4</v>
      </c>
      <c r="AI74" s="25">
        <v>2449</v>
      </c>
      <c r="AJ74" s="25">
        <v>4869</v>
      </c>
      <c r="AK74" s="24"/>
      <c r="AL74" s="25"/>
      <c r="AM74" s="25"/>
      <c r="AN74" s="26"/>
      <c r="AO74" s="24">
        <v>1055</v>
      </c>
      <c r="AP74" s="25">
        <v>3322</v>
      </c>
      <c r="AQ74" s="25">
        <v>36535</v>
      </c>
      <c r="AR74" s="26">
        <v>84756</v>
      </c>
    </row>
    <row r="75" spans="2:44" x14ac:dyDescent="0.3">
      <c r="B75" s="22">
        <v>2023</v>
      </c>
      <c r="C75" s="15" t="s">
        <v>66</v>
      </c>
      <c r="D75" s="15" t="s">
        <v>67</v>
      </c>
      <c r="E75" s="24">
        <v>643</v>
      </c>
      <c r="F75" s="25">
        <v>702</v>
      </c>
      <c r="G75" s="25">
        <v>3364</v>
      </c>
      <c r="H75" s="26">
        <v>7251</v>
      </c>
      <c r="I75" s="25">
        <v>1566</v>
      </c>
      <c r="J75" s="25">
        <v>2768</v>
      </c>
      <c r="K75" s="25">
        <v>38352</v>
      </c>
      <c r="L75" s="25">
        <v>82758</v>
      </c>
      <c r="M75" s="24">
        <v>830</v>
      </c>
      <c r="N75" s="25">
        <v>3072</v>
      </c>
      <c r="O75" s="25">
        <v>62475</v>
      </c>
      <c r="P75" s="26">
        <v>131766</v>
      </c>
      <c r="Q75" s="25">
        <v>326</v>
      </c>
      <c r="R75" s="25">
        <v>1883</v>
      </c>
      <c r="S75" s="25">
        <v>57606</v>
      </c>
      <c r="T75" s="25">
        <v>115800</v>
      </c>
      <c r="U75" s="24">
        <v>120</v>
      </c>
      <c r="V75" s="25">
        <v>850</v>
      </c>
      <c r="W75" s="25">
        <v>32222</v>
      </c>
      <c r="X75" s="26">
        <v>72374</v>
      </c>
      <c r="Y75" s="25">
        <v>71</v>
      </c>
      <c r="Z75" s="25">
        <v>420</v>
      </c>
      <c r="AA75" s="25">
        <v>24419</v>
      </c>
      <c r="AB75" s="25">
        <v>61635</v>
      </c>
      <c r="AC75" s="24">
        <v>105</v>
      </c>
      <c r="AD75" s="25">
        <v>748</v>
      </c>
      <c r="AE75" s="25">
        <v>62084</v>
      </c>
      <c r="AF75" s="26">
        <v>145113</v>
      </c>
      <c r="AG75" s="25">
        <v>65</v>
      </c>
      <c r="AH75" s="25">
        <v>123</v>
      </c>
      <c r="AI75" s="25">
        <v>73123</v>
      </c>
      <c r="AJ75" s="25">
        <v>180915</v>
      </c>
      <c r="AK75" s="24">
        <v>38</v>
      </c>
      <c r="AL75" s="25">
        <v>61</v>
      </c>
      <c r="AM75" s="25">
        <v>94116</v>
      </c>
      <c r="AN75" s="26">
        <v>332506</v>
      </c>
      <c r="AO75" s="24">
        <v>3764</v>
      </c>
      <c r="AP75" s="25">
        <v>10627</v>
      </c>
      <c r="AQ75" s="25">
        <v>447761</v>
      </c>
      <c r="AR75" s="26">
        <v>1130118</v>
      </c>
    </row>
    <row r="76" spans="2:44" x14ac:dyDescent="0.3">
      <c r="B76" s="22">
        <v>2023</v>
      </c>
      <c r="C76" s="15" t="s">
        <v>0</v>
      </c>
      <c r="D76" s="15" t="s">
        <v>68</v>
      </c>
      <c r="E76" s="24">
        <v>1466</v>
      </c>
      <c r="F76" s="25">
        <v>1634</v>
      </c>
      <c r="G76" s="25">
        <v>7945</v>
      </c>
      <c r="H76" s="26">
        <v>16003</v>
      </c>
      <c r="I76" s="25">
        <v>1886</v>
      </c>
      <c r="J76" s="25">
        <v>3101</v>
      </c>
      <c r="K76" s="25">
        <v>46676</v>
      </c>
      <c r="L76" s="25">
        <v>90977</v>
      </c>
      <c r="M76" s="24">
        <v>753</v>
      </c>
      <c r="N76" s="25">
        <v>1669</v>
      </c>
      <c r="O76" s="25">
        <v>61660</v>
      </c>
      <c r="P76" s="26">
        <v>121839</v>
      </c>
      <c r="Q76" s="25">
        <v>492</v>
      </c>
      <c r="R76" s="25">
        <v>1091</v>
      </c>
      <c r="S76" s="25">
        <v>85205</v>
      </c>
      <c r="T76" s="25">
        <v>172945</v>
      </c>
      <c r="U76" s="24">
        <v>208</v>
      </c>
      <c r="V76" s="25">
        <v>469</v>
      </c>
      <c r="W76" s="25">
        <v>58173</v>
      </c>
      <c r="X76" s="26">
        <v>126702</v>
      </c>
      <c r="Y76" s="25">
        <v>93</v>
      </c>
      <c r="Z76" s="25">
        <v>196</v>
      </c>
      <c r="AA76" s="25">
        <v>40263</v>
      </c>
      <c r="AB76" s="25">
        <v>80517</v>
      </c>
      <c r="AC76" s="24">
        <v>158</v>
      </c>
      <c r="AD76" s="25">
        <v>308</v>
      </c>
      <c r="AE76" s="25">
        <v>84226</v>
      </c>
      <c r="AF76" s="26">
        <v>215504</v>
      </c>
      <c r="AG76" s="25">
        <v>77</v>
      </c>
      <c r="AH76" s="25">
        <v>124</v>
      </c>
      <c r="AI76" s="25">
        <v>87446</v>
      </c>
      <c r="AJ76" s="25">
        <v>211888</v>
      </c>
      <c r="AK76" s="24">
        <v>26</v>
      </c>
      <c r="AL76" s="25">
        <v>90</v>
      </c>
      <c r="AM76" s="25">
        <v>54933</v>
      </c>
      <c r="AN76" s="26">
        <v>168662</v>
      </c>
      <c r="AO76" s="24">
        <v>5159</v>
      </c>
      <c r="AP76" s="25">
        <v>8682</v>
      </c>
      <c r="AQ76" s="25">
        <v>526527</v>
      </c>
      <c r="AR76" s="26">
        <v>1205037</v>
      </c>
    </row>
    <row r="77" spans="2:44" x14ac:dyDescent="0.3">
      <c r="B77" s="22">
        <v>2023</v>
      </c>
      <c r="C77" s="15" t="s">
        <v>69</v>
      </c>
      <c r="D77" s="15" t="s">
        <v>70</v>
      </c>
      <c r="E77" s="24">
        <v>580</v>
      </c>
      <c r="F77" s="25">
        <v>594</v>
      </c>
      <c r="G77" s="25">
        <v>2757</v>
      </c>
      <c r="H77" s="26">
        <v>6180</v>
      </c>
      <c r="I77" s="25">
        <v>348</v>
      </c>
      <c r="J77" s="25">
        <v>444</v>
      </c>
      <c r="K77" s="25">
        <v>6632</v>
      </c>
      <c r="L77" s="25">
        <v>14572</v>
      </c>
      <c r="M77" s="24">
        <v>85</v>
      </c>
      <c r="N77" s="25">
        <v>247</v>
      </c>
      <c r="O77" s="25">
        <v>6653</v>
      </c>
      <c r="P77" s="26">
        <v>13457</v>
      </c>
      <c r="Q77" s="25">
        <v>46</v>
      </c>
      <c r="R77" s="25">
        <v>199</v>
      </c>
      <c r="S77" s="25">
        <v>7707</v>
      </c>
      <c r="T77" s="25">
        <v>16535</v>
      </c>
      <c r="U77" s="24">
        <v>21</v>
      </c>
      <c r="V77" s="25">
        <v>214</v>
      </c>
      <c r="W77" s="25">
        <v>4643</v>
      </c>
      <c r="X77" s="26">
        <v>12928</v>
      </c>
      <c r="Y77" s="25">
        <v>15</v>
      </c>
      <c r="Z77" s="25">
        <v>55</v>
      </c>
      <c r="AA77" s="25">
        <v>5472</v>
      </c>
      <c r="AB77" s="25">
        <v>12900</v>
      </c>
      <c r="AC77" s="24">
        <v>18</v>
      </c>
      <c r="AD77" s="25">
        <v>164</v>
      </c>
      <c r="AE77" s="25">
        <v>8934</v>
      </c>
      <c r="AF77" s="26">
        <v>25255</v>
      </c>
      <c r="AG77" s="25">
        <v>8</v>
      </c>
      <c r="AH77" s="25">
        <v>9</v>
      </c>
      <c r="AI77" s="25">
        <v>6001</v>
      </c>
      <c r="AJ77" s="25">
        <v>20921</v>
      </c>
      <c r="AK77" s="24">
        <v>2</v>
      </c>
      <c r="AL77" s="25">
        <v>2</v>
      </c>
      <c r="AM77" s="25">
        <v>253</v>
      </c>
      <c r="AN77" s="26">
        <v>11617</v>
      </c>
      <c r="AO77" s="24">
        <v>1123</v>
      </c>
      <c r="AP77" s="25">
        <v>1928</v>
      </c>
      <c r="AQ77" s="25">
        <v>49052</v>
      </c>
      <c r="AR77" s="26">
        <v>134365</v>
      </c>
    </row>
    <row r="78" spans="2:44" x14ac:dyDescent="0.3">
      <c r="B78" s="22">
        <v>2023</v>
      </c>
      <c r="C78" s="15" t="s">
        <v>71</v>
      </c>
      <c r="D78" s="15" t="s">
        <v>72</v>
      </c>
      <c r="E78" s="24">
        <v>30084</v>
      </c>
      <c r="F78" s="25">
        <v>31994</v>
      </c>
      <c r="G78" s="25">
        <v>156284</v>
      </c>
      <c r="H78" s="26">
        <v>325453</v>
      </c>
      <c r="I78" s="25">
        <v>62950</v>
      </c>
      <c r="J78" s="25">
        <v>84940</v>
      </c>
      <c r="K78" s="25">
        <v>1629004</v>
      </c>
      <c r="L78" s="25">
        <v>3343696</v>
      </c>
      <c r="M78" s="24">
        <v>41417</v>
      </c>
      <c r="N78" s="25">
        <v>70180</v>
      </c>
      <c r="O78" s="25">
        <v>3217411</v>
      </c>
      <c r="P78" s="26">
        <v>6759003</v>
      </c>
      <c r="Q78" s="25">
        <v>25901</v>
      </c>
      <c r="R78" s="25">
        <v>47581</v>
      </c>
      <c r="S78" s="25">
        <v>4188790</v>
      </c>
      <c r="T78" s="25">
        <v>9167910</v>
      </c>
      <c r="U78" s="24">
        <v>10677</v>
      </c>
      <c r="V78" s="25">
        <v>21645</v>
      </c>
      <c r="W78" s="25">
        <v>2823471</v>
      </c>
      <c r="X78" s="26">
        <v>6509630</v>
      </c>
      <c r="Y78" s="25">
        <v>5498</v>
      </c>
      <c r="Z78" s="25">
        <v>11002</v>
      </c>
      <c r="AA78" s="25">
        <v>1996280</v>
      </c>
      <c r="AB78" s="25">
        <v>4759813</v>
      </c>
      <c r="AC78" s="24">
        <v>7278</v>
      </c>
      <c r="AD78" s="25">
        <v>16286</v>
      </c>
      <c r="AE78" s="25">
        <v>3978167</v>
      </c>
      <c r="AF78" s="26">
        <v>9942343</v>
      </c>
      <c r="AG78" s="25">
        <v>2510</v>
      </c>
      <c r="AH78" s="25">
        <v>6137</v>
      </c>
      <c r="AI78" s="25">
        <v>2606310</v>
      </c>
      <c r="AJ78" s="25">
        <v>6746768</v>
      </c>
      <c r="AK78" s="24">
        <v>775</v>
      </c>
      <c r="AL78" s="25">
        <v>1922</v>
      </c>
      <c r="AM78" s="25">
        <v>1808650</v>
      </c>
      <c r="AN78" s="26">
        <v>5229276</v>
      </c>
      <c r="AO78" s="24">
        <v>187090</v>
      </c>
      <c r="AP78" s="25">
        <v>291687</v>
      </c>
      <c r="AQ78" s="25">
        <v>22404367</v>
      </c>
      <c r="AR78" s="26">
        <v>52783892</v>
      </c>
    </row>
    <row r="79" spans="2:44" x14ac:dyDescent="0.3">
      <c r="B79" s="22">
        <v>2024</v>
      </c>
      <c r="C79" s="15" t="s">
        <v>62</v>
      </c>
      <c r="D79" s="15" t="s">
        <v>63</v>
      </c>
      <c r="E79" s="28">
        <v>375</v>
      </c>
      <c r="F79" s="29">
        <v>417</v>
      </c>
      <c r="G79" s="29">
        <v>1892</v>
      </c>
      <c r="H79" s="30">
        <v>3910</v>
      </c>
      <c r="I79" s="29">
        <v>533</v>
      </c>
      <c r="J79" s="29">
        <v>1139</v>
      </c>
      <c r="K79" s="29">
        <v>13056</v>
      </c>
      <c r="L79" s="29">
        <v>27126</v>
      </c>
      <c r="M79" s="28">
        <v>225</v>
      </c>
      <c r="N79" s="29">
        <v>1122</v>
      </c>
      <c r="O79" s="29">
        <v>17677</v>
      </c>
      <c r="P79" s="30">
        <v>36262</v>
      </c>
      <c r="Q79" s="29">
        <v>87</v>
      </c>
      <c r="R79" s="29">
        <v>676</v>
      </c>
      <c r="S79" s="29">
        <v>15177</v>
      </c>
      <c r="T79" s="29">
        <v>29143</v>
      </c>
      <c r="U79" s="28">
        <v>27</v>
      </c>
      <c r="V79" s="29">
        <v>215</v>
      </c>
      <c r="W79" s="29">
        <v>8139</v>
      </c>
      <c r="X79" s="30">
        <v>16111</v>
      </c>
      <c r="Y79" s="29">
        <v>7</v>
      </c>
      <c r="Z79" s="29">
        <v>113</v>
      </c>
      <c r="AA79" s="29">
        <v>2370</v>
      </c>
      <c r="AB79" s="29">
        <v>5787</v>
      </c>
      <c r="AC79" s="28">
        <v>23</v>
      </c>
      <c r="AD79" s="29">
        <v>67</v>
      </c>
      <c r="AE79" s="29">
        <v>14289</v>
      </c>
      <c r="AF79" s="30">
        <v>33047</v>
      </c>
      <c r="AG79" s="29">
        <v>7</v>
      </c>
      <c r="AH79" s="29">
        <v>17</v>
      </c>
      <c r="AI79" s="29">
        <v>8012</v>
      </c>
      <c r="AJ79" s="29">
        <v>16214</v>
      </c>
      <c r="AK79" s="28">
        <v>1</v>
      </c>
      <c r="AL79" s="29">
        <v>2</v>
      </c>
      <c r="AM79" s="29">
        <v>234</v>
      </c>
      <c r="AN79" s="30">
        <v>4682</v>
      </c>
      <c r="AO79" s="28">
        <v>1285</v>
      </c>
      <c r="AP79" s="29">
        <v>3768</v>
      </c>
      <c r="AQ79" s="29">
        <v>80846</v>
      </c>
      <c r="AR79" s="30">
        <v>172282</v>
      </c>
    </row>
    <row r="80" spans="2:44" x14ac:dyDescent="0.3">
      <c r="B80" s="22">
        <v>2024</v>
      </c>
      <c r="C80" s="15" t="s">
        <v>64</v>
      </c>
      <c r="D80" s="15" t="s">
        <v>65</v>
      </c>
      <c r="E80" s="28">
        <v>417</v>
      </c>
      <c r="F80" s="29">
        <v>500</v>
      </c>
      <c r="G80" s="29">
        <v>1987</v>
      </c>
      <c r="H80" s="30">
        <v>4648</v>
      </c>
      <c r="I80" s="29">
        <v>488</v>
      </c>
      <c r="J80" s="29">
        <v>1206</v>
      </c>
      <c r="K80" s="29">
        <v>9543</v>
      </c>
      <c r="L80" s="29">
        <v>22317</v>
      </c>
      <c r="M80" s="28">
        <v>124</v>
      </c>
      <c r="N80" s="29">
        <v>805</v>
      </c>
      <c r="O80" s="29">
        <v>8332</v>
      </c>
      <c r="P80" s="30">
        <v>18700</v>
      </c>
      <c r="Q80" s="29">
        <v>38</v>
      </c>
      <c r="R80" s="29">
        <v>457</v>
      </c>
      <c r="S80" s="29">
        <v>5865</v>
      </c>
      <c r="T80" s="29">
        <v>13392</v>
      </c>
      <c r="U80" s="28">
        <v>12</v>
      </c>
      <c r="V80" s="29">
        <v>300</v>
      </c>
      <c r="W80" s="29">
        <v>3640</v>
      </c>
      <c r="X80" s="30">
        <v>7394</v>
      </c>
      <c r="Y80" s="29">
        <v>6</v>
      </c>
      <c r="Z80" s="29">
        <v>146</v>
      </c>
      <c r="AA80" s="29">
        <v>2176</v>
      </c>
      <c r="AB80" s="29">
        <v>5242</v>
      </c>
      <c r="AC80" s="28">
        <v>8</v>
      </c>
      <c r="AD80" s="29">
        <v>83</v>
      </c>
      <c r="AE80" s="29">
        <v>4686</v>
      </c>
      <c r="AF80" s="30">
        <v>11263</v>
      </c>
      <c r="AG80" s="29">
        <v>1</v>
      </c>
      <c r="AH80" s="29">
        <v>3</v>
      </c>
      <c r="AI80" s="29">
        <v>1691</v>
      </c>
      <c r="AJ80" s="29">
        <v>2416</v>
      </c>
      <c r="AK80" s="28"/>
      <c r="AL80" s="29"/>
      <c r="AM80" s="29"/>
      <c r="AN80" s="30"/>
      <c r="AO80" s="28">
        <v>1094</v>
      </c>
      <c r="AP80" s="29">
        <v>3500</v>
      </c>
      <c r="AQ80" s="29">
        <v>37920</v>
      </c>
      <c r="AR80" s="30">
        <v>85372</v>
      </c>
    </row>
    <row r="81" spans="2:44" x14ac:dyDescent="0.3">
      <c r="B81" s="22">
        <v>2024</v>
      </c>
      <c r="C81" s="15" t="s">
        <v>66</v>
      </c>
      <c r="D81" s="15" t="s">
        <v>67</v>
      </c>
      <c r="E81" s="28">
        <v>711</v>
      </c>
      <c r="F81" s="29">
        <v>780</v>
      </c>
      <c r="G81" s="29">
        <v>3705</v>
      </c>
      <c r="H81" s="30">
        <v>8055</v>
      </c>
      <c r="I81" s="29">
        <v>1617</v>
      </c>
      <c r="J81" s="29">
        <v>2934</v>
      </c>
      <c r="K81" s="29">
        <v>40285</v>
      </c>
      <c r="L81" s="29">
        <v>84695</v>
      </c>
      <c r="M81" s="28">
        <v>813</v>
      </c>
      <c r="N81" s="29">
        <v>3052</v>
      </c>
      <c r="O81" s="29">
        <v>61362</v>
      </c>
      <c r="P81" s="30">
        <v>127848</v>
      </c>
      <c r="Q81" s="29">
        <v>348</v>
      </c>
      <c r="R81" s="29">
        <v>2001</v>
      </c>
      <c r="S81" s="29">
        <v>60084</v>
      </c>
      <c r="T81" s="29">
        <v>122071</v>
      </c>
      <c r="U81" s="28">
        <v>119</v>
      </c>
      <c r="V81" s="29">
        <v>865</v>
      </c>
      <c r="W81" s="29">
        <v>37927</v>
      </c>
      <c r="X81" s="30">
        <v>71940</v>
      </c>
      <c r="Y81" s="29">
        <v>43</v>
      </c>
      <c r="Z81" s="29">
        <v>414</v>
      </c>
      <c r="AA81" s="29">
        <v>14760</v>
      </c>
      <c r="AB81" s="29">
        <v>36940</v>
      </c>
      <c r="AC81" s="28">
        <v>109</v>
      </c>
      <c r="AD81" s="29">
        <v>802</v>
      </c>
      <c r="AE81" s="29">
        <v>58711</v>
      </c>
      <c r="AF81" s="30">
        <v>153197</v>
      </c>
      <c r="AG81" s="29">
        <v>64</v>
      </c>
      <c r="AH81" s="29">
        <v>118</v>
      </c>
      <c r="AI81" s="29">
        <v>74693</v>
      </c>
      <c r="AJ81" s="29">
        <v>176681</v>
      </c>
      <c r="AK81" s="28">
        <v>39</v>
      </c>
      <c r="AL81" s="29">
        <v>68</v>
      </c>
      <c r="AM81" s="29">
        <v>84702</v>
      </c>
      <c r="AN81" s="30">
        <v>302190</v>
      </c>
      <c r="AO81" s="28">
        <v>3863</v>
      </c>
      <c r="AP81" s="29">
        <v>11034</v>
      </c>
      <c r="AQ81" s="29">
        <v>436229</v>
      </c>
      <c r="AR81" s="30">
        <v>1083617</v>
      </c>
    </row>
    <row r="82" spans="2:44" x14ac:dyDescent="0.3">
      <c r="B82" s="22">
        <v>2024</v>
      </c>
      <c r="C82" s="15" t="s">
        <v>0</v>
      </c>
      <c r="D82" s="15" t="s">
        <v>68</v>
      </c>
      <c r="E82" s="28">
        <v>1592</v>
      </c>
      <c r="F82" s="29">
        <v>1773</v>
      </c>
      <c r="G82" s="29">
        <v>8454</v>
      </c>
      <c r="H82" s="30">
        <v>17218</v>
      </c>
      <c r="I82" s="29">
        <v>1898</v>
      </c>
      <c r="J82" s="29">
        <v>3232</v>
      </c>
      <c r="K82" s="29">
        <v>46743</v>
      </c>
      <c r="L82" s="29">
        <v>90927</v>
      </c>
      <c r="M82" s="28">
        <v>742</v>
      </c>
      <c r="N82" s="29">
        <v>1699</v>
      </c>
      <c r="O82" s="29">
        <v>61505</v>
      </c>
      <c r="P82" s="30">
        <v>119691</v>
      </c>
      <c r="Q82" s="29">
        <v>467</v>
      </c>
      <c r="R82" s="29">
        <v>1062</v>
      </c>
      <c r="S82" s="29">
        <v>82056</v>
      </c>
      <c r="T82" s="29">
        <v>165695</v>
      </c>
      <c r="U82" s="28">
        <v>182</v>
      </c>
      <c r="V82" s="29">
        <v>418</v>
      </c>
      <c r="W82" s="29">
        <v>51079</v>
      </c>
      <c r="X82" s="30">
        <v>109300</v>
      </c>
      <c r="Y82" s="29">
        <v>97</v>
      </c>
      <c r="Z82" s="29">
        <v>199</v>
      </c>
      <c r="AA82" s="29">
        <v>39967</v>
      </c>
      <c r="AB82" s="29">
        <v>82926</v>
      </c>
      <c r="AC82" s="28">
        <v>155</v>
      </c>
      <c r="AD82" s="29">
        <v>273</v>
      </c>
      <c r="AE82" s="29">
        <v>86646</v>
      </c>
      <c r="AF82" s="30">
        <v>207643</v>
      </c>
      <c r="AG82" s="29">
        <v>60</v>
      </c>
      <c r="AH82" s="29">
        <v>98</v>
      </c>
      <c r="AI82" s="29">
        <v>64458</v>
      </c>
      <c r="AJ82" s="29">
        <v>165286</v>
      </c>
      <c r="AK82" s="28">
        <v>30</v>
      </c>
      <c r="AL82" s="29">
        <v>101</v>
      </c>
      <c r="AM82" s="29">
        <v>61199</v>
      </c>
      <c r="AN82" s="30">
        <v>170925</v>
      </c>
      <c r="AO82" s="31">
        <v>5223</v>
      </c>
      <c r="AP82" s="32">
        <v>8855</v>
      </c>
      <c r="AQ82" s="32">
        <v>502107</v>
      </c>
      <c r="AR82" s="33">
        <v>1129611</v>
      </c>
    </row>
    <row r="83" spans="2:44" x14ac:dyDescent="0.3">
      <c r="B83" s="22">
        <v>2024</v>
      </c>
      <c r="C83" s="15" t="s">
        <v>69</v>
      </c>
      <c r="D83" s="15" t="s">
        <v>70</v>
      </c>
      <c r="E83" s="31">
        <v>664</v>
      </c>
      <c r="F83" s="32">
        <v>682</v>
      </c>
      <c r="G83" s="32">
        <v>3080</v>
      </c>
      <c r="H83" s="33">
        <v>6762</v>
      </c>
      <c r="I83" s="29">
        <v>364</v>
      </c>
      <c r="J83" s="29">
        <v>470</v>
      </c>
      <c r="K83" s="29">
        <v>7026</v>
      </c>
      <c r="L83" s="29">
        <v>15307</v>
      </c>
      <c r="M83" s="31">
        <v>86</v>
      </c>
      <c r="N83" s="32">
        <v>266</v>
      </c>
      <c r="O83" s="32">
        <v>6905</v>
      </c>
      <c r="P83" s="33">
        <v>13578</v>
      </c>
      <c r="Q83" s="32">
        <v>44</v>
      </c>
      <c r="R83" s="32">
        <v>228</v>
      </c>
      <c r="S83" s="32">
        <v>8037</v>
      </c>
      <c r="T83" s="32">
        <v>15078</v>
      </c>
      <c r="U83" s="31">
        <v>23</v>
      </c>
      <c r="V83" s="32">
        <v>158</v>
      </c>
      <c r="W83" s="32">
        <v>6138</v>
      </c>
      <c r="X83" s="33">
        <v>14032</v>
      </c>
      <c r="Y83" s="32">
        <v>9</v>
      </c>
      <c r="Z83" s="32">
        <v>85</v>
      </c>
      <c r="AA83" s="32">
        <v>2931</v>
      </c>
      <c r="AB83" s="32">
        <v>7887</v>
      </c>
      <c r="AC83" s="28">
        <v>17</v>
      </c>
      <c r="AD83" s="29">
        <v>181</v>
      </c>
      <c r="AE83" s="29">
        <v>8807</v>
      </c>
      <c r="AF83" s="30">
        <v>23251</v>
      </c>
      <c r="AG83" s="32">
        <v>7</v>
      </c>
      <c r="AH83" s="32">
        <v>8</v>
      </c>
      <c r="AI83" s="32">
        <v>5868</v>
      </c>
      <c r="AJ83" s="32">
        <v>19749</v>
      </c>
      <c r="AK83" s="28">
        <v>2</v>
      </c>
      <c r="AL83" s="29">
        <v>2</v>
      </c>
      <c r="AM83" s="29">
        <v>63</v>
      </c>
      <c r="AN83" s="30">
        <v>13679</v>
      </c>
      <c r="AO83" s="31">
        <v>1216</v>
      </c>
      <c r="AP83" s="32">
        <v>2080</v>
      </c>
      <c r="AQ83" s="32">
        <v>48855</v>
      </c>
      <c r="AR83" s="33">
        <v>129323</v>
      </c>
    </row>
    <row r="84" spans="2:44" x14ac:dyDescent="0.3">
      <c r="B84" s="22">
        <v>2024</v>
      </c>
      <c r="C84" s="15" t="s">
        <v>71</v>
      </c>
      <c r="D84" s="15" t="s">
        <v>72</v>
      </c>
      <c r="E84" s="24">
        <v>31136</v>
      </c>
      <c r="F84" s="25">
        <v>33225</v>
      </c>
      <c r="G84" s="25">
        <v>162009</v>
      </c>
      <c r="H84" s="26">
        <v>335230</v>
      </c>
      <c r="I84" s="25">
        <v>63128</v>
      </c>
      <c r="J84" s="25">
        <v>86280</v>
      </c>
      <c r="K84" s="25">
        <v>1634549</v>
      </c>
      <c r="L84" s="25">
        <v>3342276</v>
      </c>
      <c r="M84" s="24">
        <v>40852</v>
      </c>
      <c r="N84" s="25">
        <v>69823</v>
      </c>
      <c r="O84" s="25">
        <v>3200726</v>
      </c>
      <c r="P84" s="26">
        <v>6659185</v>
      </c>
      <c r="Q84" s="25">
        <v>25366</v>
      </c>
      <c r="R84" s="25">
        <v>47515</v>
      </c>
      <c r="S84" s="25">
        <v>4143471</v>
      </c>
      <c r="T84" s="25">
        <v>8975621</v>
      </c>
      <c r="U84" s="24">
        <v>10190</v>
      </c>
      <c r="V84" s="25">
        <v>20646</v>
      </c>
      <c r="W84" s="25">
        <v>2725328</v>
      </c>
      <c r="X84" s="26">
        <v>6206402</v>
      </c>
      <c r="Y84" s="25">
        <v>5304</v>
      </c>
      <c r="Z84" s="25">
        <v>11028</v>
      </c>
      <c r="AA84" s="25">
        <v>1932575</v>
      </c>
      <c r="AB84" s="25">
        <v>4575560</v>
      </c>
      <c r="AC84" s="24">
        <v>7135</v>
      </c>
      <c r="AD84" s="25">
        <v>15777</v>
      </c>
      <c r="AE84" s="25">
        <v>3909422</v>
      </c>
      <c r="AF84" s="26">
        <v>9730604</v>
      </c>
      <c r="AG84" s="25">
        <v>2473</v>
      </c>
      <c r="AH84" s="25">
        <v>6117</v>
      </c>
      <c r="AI84" s="25">
        <v>2535782</v>
      </c>
      <c r="AJ84" s="25">
        <v>6623476</v>
      </c>
      <c r="AK84" s="24">
        <v>784</v>
      </c>
      <c r="AL84" s="25">
        <v>2056</v>
      </c>
      <c r="AM84" s="25">
        <v>1836287</v>
      </c>
      <c r="AN84" s="25">
        <v>5176555</v>
      </c>
      <c r="AO84" s="24">
        <v>186368</v>
      </c>
      <c r="AP84" s="25">
        <v>292467</v>
      </c>
      <c r="AQ84" s="25">
        <v>22080149</v>
      </c>
      <c r="AR84" s="26">
        <v>51624909</v>
      </c>
    </row>
    <row r="85" spans="2:44" x14ac:dyDescent="0.3">
      <c r="B85" s="22">
        <v>2025</v>
      </c>
      <c r="C85" s="15" t="s">
        <v>62</v>
      </c>
      <c r="D85" s="15" t="s">
        <v>63</v>
      </c>
      <c r="E85" s="34">
        <v>390</v>
      </c>
      <c r="F85" s="35">
        <v>428</v>
      </c>
      <c r="G85" s="35">
        <v>2088</v>
      </c>
      <c r="H85" s="36">
        <v>4168</v>
      </c>
      <c r="I85" s="34">
        <v>554</v>
      </c>
      <c r="J85" s="35">
        <v>1184</v>
      </c>
      <c r="K85" s="35">
        <v>13632</v>
      </c>
      <c r="L85" s="36">
        <v>27827</v>
      </c>
      <c r="M85" s="35">
        <v>235</v>
      </c>
      <c r="N85" s="35">
        <v>1191</v>
      </c>
      <c r="O85" s="35">
        <v>19938</v>
      </c>
      <c r="P85" s="35">
        <v>37678</v>
      </c>
      <c r="Q85" s="34">
        <v>79</v>
      </c>
      <c r="R85" s="35">
        <v>639</v>
      </c>
      <c r="S85" s="35">
        <v>13294</v>
      </c>
      <c r="T85" s="36">
        <v>27196</v>
      </c>
      <c r="U85" s="35">
        <v>29</v>
      </c>
      <c r="V85" s="35">
        <v>326</v>
      </c>
      <c r="W85" s="35">
        <v>7345</v>
      </c>
      <c r="X85" s="35">
        <v>17504</v>
      </c>
      <c r="Y85" s="34">
        <v>8</v>
      </c>
      <c r="Z85" s="35">
        <v>61</v>
      </c>
      <c r="AA85" s="35">
        <v>2771</v>
      </c>
      <c r="AB85" s="36">
        <v>6764</v>
      </c>
      <c r="AC85" s="35">
        <v>21</v>
      </c>
      <c r="AD85" s="35">
        <v>67</v>
      </c>
      <c r="AE85" s="35">
        <v>17355</v>
      </c>
      <c r="AF85" s="35">
        <v>30127</v>
      </c>
      <c r="AG85" s="34">
        <v>6</v>
      </c>
      <c r="AH85" s="35">
        <v>8</v>
      </c>
      <c r="AI85" s="35">
        <v>5750</v>
      </c>
      <c r="AJ85" s="36">
        <v>15873</v>
      </c>
      <c r="AK85" s="37">
        <v>1</v>
      </c>
      <c r="AL85" s="37">
        <v>2</v>
      </c>
      <c r="AM85" s="37">
        <v>53</v>
      </c>
      <c r="AN85" s="37">
        <v>6641</v>
      </c>
      <c r="AO85" s="34">
        <v>1323</v>
      </c>
      <c r="AP85" s="35">
        <v>3906</v>
      </c>
      <c r="AQ85" s="35">
        <v>82226</v>
      </c>
      <c r="AR85" s="36">
        <v>173778</v>
      </c>
    </row>
    <row r="86" spans="2:44" x14ac:dyDescent="0.3">
      <c r="B86" s="22">
        <v>2025</v>
      </c>
      <c r="C86" s="15" t="s">
        <v>64</v>
      </c>
      <c r="D86" s="15" t="s">
        <v>65</v>
      </c>
      <c r="E86" s="34">
        <v>438</v>
      </c>
      <c r="F86" s="35">
        <v>520</v>
      </c>
      <c r="G86" s="35">
        <v>2102</v>
      </c>
      <c r="H86" s="36">
        <v>4826</v>
      </c>
      <c r="I86" s="34">
        <v>506</v>
      </c>
      <c r="J86" s="35">
        <v>1249</v>
      </c>
      <c r="K86" s="35">
        <v>9814</v>
      </c>
      <c r="L86" s="36">
        <v>23011</v>
      </c>
      <c r="M86" s="35">
        <v>131</v>
      </c>
      <c r="N86" s="35">
        <v>892</v>
      </c>
      <c r="O86" s="35">
        <v>9173</v>
      </c>
      <c r="P86" s="35">
        <v>20180</v>
      </c>
      <c r="Q86" s="34">
        <v>33</v>
      </c>
      <c r="R86" s="35">
        <v>392</v>
      </c>
      <c r="S86" s="35">
        <v>4772</v>
      </c>
      <c r="T86" s="36">
        <v>11231</v>
      </c>
      <c r="U86" s="35">
        <v>12</v>
      </c>
      <c r="V86" s="35">
        <v>275</v>
      </c>
      <c r="W86" s="35">
        <v>3057</v>
      </c>
      <c r="X86" s="35">
        <v>7270</v>
      </c>
      <c r="Y86" s="34">
        <v>10</v>
      </c>
      <c r="Z86" s="35">
        <v>212</v>
      </c>
      <c r="AA86" s="35">
        <v>4214</v>
      </c>
      <c r="AB86" s="36">
        <v>8655</v>
      </c>
      <c r="AC86" s="35">
        <v>5</v>
      </c>
      <c r="AD86" s="35">
        <v>73</v>
      </c>
      <c r="AE86" s="35">
        <v>3004</v>
      </c>
      <c r="AF86" s="35">
        <v>7623</v>
      </c>
      <c r="AG86" s="34">
        <v>2</v>
      </c>
      <c r="AH86" s="35">
        <v>34</v>
      </c>
      <c r="AI86" s="35">
        <v>4645</v>
      </c>
      <c r="AJ86" s="36">
        <v>5828</v>
      </c>
      <c r="AK86" s="35"/>
      <c r="AL86" s="35"/>
      <c r="AM86" s="35"/>
      <c r="AN86" s="35"/>
      <c r="AO86" s="34">
        <v>1137</v>
      </c>
      <c r="AP86" s="35">
        <v>3647</v>
      </c>
      <c r="AQ86" s="35">
        <v>40781</v>
      </c>
      <c r="AR86" s="36">
        <v>88624</v>
      </c>
    </row>
    <row r="87" spans="2:44" x14ac:dyDescent="0.3">
      <c r="B87" s="22">
        <v>2025</v>
      </c>
      <c r="C87" s="15" t="s">
        <v>66</v>
      </c>
      <c r="D87" s="15" t="s">
        <v>67</v>
      </c>
      <c r="E87" s="34">
        <v>768</v>
      </c>
      <c r="F87" s="35">
        <v>849</v>
      </c>
      <c r="G87" s="35">
        <v>4034</v>
      </c>
      <c r="H87" s="36">
        <v>8576</v>
      </c>
      <c r="I87" s="34">
        <v>1651</v>
      </c>
      <c r="J87" s="35">
        <v>3049</v>
      </c>
      <c r="K87" s="35">
        <v>42135</v>
      </c>
      <c r="L87" s="36">
        <v>85747</v>
      </c>
      <c r="M87" s="35">
        <v>806</v>
      </c>
      <c r="N87" s="35">
        <v>3090</v>
      </c>
      <c r="O87" s="35">
        <v>61992</v>
      </c>
      <c r="P87" s="35">
        <v>127001</v>
      </c>
      <c r="Q87" s="34">
        <v>347</v>
      </c>
      <c r="R87" s="35">
        <v>1994</v>
      </c>
      <c r="S87" s="35">
        <v>61637</v>
      </c>
      <c r="T87" s="36">
        <v>120901</v>
      </c>
      <c r="U87" s="35">
        <v>105</v>
      </c>
      <c r="V87" s="35">
        <v>816</v>
      </c>
      <c r="W87" s="35">
        <v>33451</v>
      </c>
      <c r="X87" s="35">
        <v>63806</v>
      </c>
      <c r="Y87" s="34">
        <v>59</v>
      </c>
      <c r="Z87" s="35">
        <v>565</v>
      </c>
      <c r="AA87" s="35">
        <v>20659</v>
      </c>
      <c r="AB87" s="36">
        <v>51212</v>
      </c>
      <c r="AC87" s="35">
        <v>95</v>
      </c>
      <c r="AD87" s="35">
        <v>711</v>
      </c>
      <c r="AE87" s="35">
        <v>56699</v>
      </c>
      <c r="AF87" s="35">
        <v>139011</v>
      </c>
      <c r="AG87" s="34">
        <v>67</v>
      </c>
      <c r="AH87" s="35">
        <v>199</v>
      </c>
      <c r="AI87" s="35">
        <v>70168</v>
      </c>
      <c r="AJ87" s="36">
        <v>194757</v>
      </c>
      <c r="AK87" s="35">
        <v>34</v>
      </c>
      <c r="AL87" s="35">
        <v>60</v>
      </c>
      <c r="AM87" s="35">
        <v>73075</v>
      </c>
      <c r="AN87" s="35">
        <v>282521</v>
      </c>
      <c r="AO87" s="34">
        <v>3932</v>
      </c>
      <c r="AP87" s="35">
        <v>11333</v>
      </c>
      <c r="AQ87" s="35">
        <v>423850</v>
      </c>
      <c r="AR87" s="36">
        <v>1073532</v>
      </c>
    </row>
    <row r="88" spans="2:44" x14ac:dyDescent="0.3">
      <c r="B88" s="22">
        <v>2025</v>
      </c>
      <c r="C88" s="15" t="s">
        <v>0</v>
      </c>
      <c r="D88" s="15" t="s">
        <v>68</v>
      </c>
      <c r="E88" s="34">
        <v>1650</v>
      </c>
      <c r="F88" s="35">
        <v>1846</v>
      </c>
      <c r="G88" s="35">
        <v>8926</v>
      </c>
      <c r="H88" s="36">
        <v>17859</v>
      </c>
      <c r="I88" s="34">
        <v>1941</v>
      </c>
      <c r="J88" s="35">
        <v>3331</v>
      </c>
      <c r="K88" s="35">
        <v>47059</v>
      </c>
      <c r="L88" s="36">
        <v>93983</v>
      </c>
      <c r="M88" s="35">
        <v>739</v>
      </c>
      <c r="N88" s="35">
        <v>1740</v>
      </c>
      <c r="O88" s="35">
        <v>60615</v>
      </c>
      <c r="P88" s="35">
        <v>120626</v>
      </c>
      <c r="Q88" s="34">
        <v>468</v>
      </c>
      <c r="R88" s="35">
        <v>1097</v>
      </c>
      <c r="S88" s="35">
        <v>85737</v>
      </c>
      <c r="T88" s="36">
        <v>169206</v>
      </c>
      <c r="U88" s="35">
        <v>173</v>
      </c>
      <c r="V88" s="35">
        <v>379</v>
      </c>
      <c r="W88" s="35">
        <v>50933</v>
      </c>
      <c r="X88" s="35">
        <v>106804</v>
      </c>
      <c r="Y88" s="34">
        <v>83</v>
      </c>
      <c r="Z88" s="35">
        <v>168</v>
      </c>
      <c r="AA88" s="35">
        <v>32184</v>
      </c>
      <c r="AB88" s="36">
        <v>71279</v>
      </c>
      <c r="AC88" s="35">
        <v>149</v>
      </c>
      <c r="AD88" s="35">
        <v>263</v>
      </c>
      <c r="AE88" s="35">
        <v>92072</v>
      </c>
      <c r="AF88" s="35">
        <v>204611</v>
      </c>
      <c r="AG88" s="34">
        <v>54</v>
      </c>
      <c r="AH88" s="35">
        <v>87</v>
      </c>
      <c r="AI88" s="35">
        <v>57488</v>
      </c>
      <c r="AJ88" s="36">
        <v>150229</v>
      </c>
      <c r="AK88" s="35">
        <v>24</v>
      </c>
      <c r="AL88" s="35">
        <v>98</v>
      </c>
      <c r="AM88" s="35">
        <v>42766</v>
      </c>
      <c r="AN88" s="35">
        <v>148752</v>
      </c>
      <c r="AO88" s="34">
        <v>5281</v>
      </c>
      <c r="AP88" s="35">
        <v>9009</v>
      </c>
      <c r="AQ88" s="35">
        <v>477780</v>
      </c>
      <c r="AR88" s="36">
        <v>1083349</v>
      </c>
    </row>
    <row r="89" spans="2:44" x14ac:dyDescent="0.3">
      <c r="B89" s="22">
        <v>2025</v>
      </c>
      <c r="C89" s="15" t="s">
        <v>69</v>
      </c>
      <c r="D89" s="15" t="s">
        <v>70</v>
      </c>
      <c r="E89" s="34">
        <v>695</v>
      </c>
      <c r="F89" s="35">
        <v>714</v>
      </c>
      <c r="G89" s="35">
        <v>3243</v>
      </c>
      <c r="H89" s="36">
        <v>6924</v>
      </c>
      <c r="I89" s="34">
        <v>387</v>
      </c>
      <c r="J89" s="35">
        <v>511</v>
      </c>
      <c r="K89" s="35">
        <v>7374</v>
      </c>
      <c r="L89" s="36">
        <v>16101</v>
      </c>
      <c r="M89" s="35">
        <v>93</v>
      </c>
      <c r="N89" s="35">
        <v>282</v>
      </c>
      <c r="O89" s="35">
        <v>7508</v>
      </c>
      <c r="P89" s="35">
        <v>14927</v>
      </c>
      <c r="Q89" s="34">
        <v>45</v>
      </c>
      <c r="R89" s="35">
        <v>244</v>
      </c>
      <c r="S89" s="35">
        <v>7513</v>
      </c>
      <c r="T89" s="36">
        <v>15642</v>
      </c>
      <c r="U89" s="35">
        <v>17</v>
      </c>
      <c r="V89" s="35">
        <v>170</v>
      </c>
      <c r="W89" s="35">
        <v>4027</v>
      </c>
      <c r="X89" s="35">
        <v>10552</v>
      </c>
      <c r="Y89" s="34">
        <v>14</v>
      </c>
      <c r="Z89" s="35">
        <v>82</v>
      </c>
      <c r="AA89" s="35">
        <v>5112</v>
      </c>
      <c r="AB89" s="36">
        <v>11678</v>
      </c>
      <c r="AC89" s="35">
        <v>19</v>
      </c>
      <c r="AD89" s="35">
        <v>192</v>
      </c>
      <c r="AE89" s="35">
        <v>7969</v>
      </c>
      <c r="AF89" s="35">
        <v>27005</v>
      </c>
      <c r="AG89" s="34">
        <v>7</v>
      </c>
      <c r="AH89" s="35">
        <v>8</v>
      </c>
      <c r="AI89" s="35">
        <v>5040</v>
      </c>
      <c r="AJ89" s="36">
        <v>17346</v>
      </c>
      <c r="AK89" s="35">
        <v>4</v>
      </c>
      <c r="AL89" s="35">
        <v>4</v>
      </c>
      <c r="AM89" s="35">
        <v>3011</v>
      </c>
      <c r="AN89" s="35">
        <v>22858</v>
      </c>
      <c r="AO89" s="34">
        <v>1281</v>
      </c>
      <c r="AP89" s="35">
        <v>2207</v>
      </c>
      <c r="AQ89" s="35">
        <v>50797</v>
      </c>
      <c r="AR89" s="36">
        <v>143033</v>
      </c>
    </row>
    <row r="90" spans="2:44" x14ac:dyDescent="0.3">
      <c r="B90" s="22">
        <v>2025</v>
      </c>
      <c r="C90" s="15" t="s">
        <v>71</v>
      </c>
      <c r="D90" s="15" t="s">
        <v>72</v>
      </c>
      <c r="E90" s="34">
        <v>32815</v>
      </c>
      <c r="F90" s="35">
        <v>35156</v>
      </c>
      <c r="G90" s="35">
        <v>167512</v>
      </c>
      <c r="H90" s="36">
        <v>347639</v>
      </c>
      <c r="I90" s="34">
        <v>63040</v>
      </c>
      <c r="J90" s="35">
        <v>87469</v>
      </c>
      <c r="K90" s="35">
        <v>1624955</v>
      </c>
      <c r="L90" s="36">
        <v>3321641</v>
      </c>
      <c r="M90" s="35">
        <v>40277</v>
      </c>
      <c r="N90" s="35">
        <v>69968</v>
      </c>
      <c r="O90" s="35">
        <v>3145077</v>
      </c>
      <c r="P90" s="35">
        <v>6573725</v>
      </c>
      <c r="Q90" s="34">
        <v>24606</v>
      </c>
      <c r="R90" s="35">
        <v>46567</v>
      </c>
      <c r="S90" s="35">
        <v>4010937</v>
      </c>
      <c r="T90" s="36">
        <v>8722324</v>
      </c>
      <c r="U90" s="35">
        <v>10071</v>
      </c>
      <c r="V90" s="35">
        <v>20331</v>
      </c>
      <c r="W90" s="35">
        <v>2663462</v>
      </c>
      <c r="X90" s="35">
        <v>6137050</v>
      </c>
      <c r="Y90" s="34">
        <v>5183</v>
      </c>
      <c r="Z90" s="35">
        <v>10887</v>
      </c>
      <c r="AA90" s="35">
        <v>1856315</v>
      </c>
      <c r="AB90" s="36">
        <v>4467549</v>
      </c>
      <c r="AC90" s="35">
        <v>7138</v>
      </c>
      <c r="AD90" s="35">
        <v>15946</v>
      </c>
      <c r="AE90" s="35">
        <v>3902097</v>
      </c>
      <c r="AF90" s="35">
        <v>9749152</v>
      </c>
      <c r="AG90" s="34">
        <v>2402</v>
      </c>
      <c r="AH90" s="35">
        <v>5875</v>
      </c>
      <c r="AI90" s="35">
        <v>2441691</v>
      </c>
      <c r="AJ90" s="36">
        <v>6474500</v>
      </c>
      <c r="AK90" s="35">
        <v>769</v>
      </c>
      <c r="AL90" s="35">
        <v>1878</v>
      </c>
      <c r="AM90" s="35">
        <v>1747577</v>
      </c>
      <c r="AN90" s="35">
        <v>5127210</v>
      </c>
      <c r="AO90" s="34">
        <v>186301</v>
      </c>
      <c r="AP90" s="35">
        <v>294077</v>
      </c>
      <c r="AQ90" s="35">
        <v>21559623</v>
      </c>
      <c r="AR90" s="36">
        <v>50920790</v>
      </c>
    </row>
    <row r="91" spans="2:44" x14ac:dyDescent="0.3">
      <c r="AO91" s="38"/>
      <c r="AP91" s="38"/>
      <c r="AQ91" s="38"/>
      <c r="AR91" s="38"/>
    </row>
    <row r="92" spans="2:44" x14ac:dyDescent="0.3">
      <c r="B92" s="39" t="s">
        <v>73</v>
      </c>
    </row>
  </sheetData>
  <sheetProtection selectLockedCells="1" selectUnlockedCells="1"/>
  <mergeCells count="10">
    <mergeCell ref="AC3:AF3"/>
    <mergeCell ref="AG3:AJ3"/>
    <mergeCell ref="AK3:AN3"/>
    <mergeCell ref="AO3:AR3"/>
    <mergeCell ref="E3:H3"/>
    <mergeCell ref="I3:L3"/>
    <mergeCell ref="M3:P3"/>
    <mergeCell ref="Q3:T3"/>
    <mergeCell ref="U3:X3"/>
    <mergeCell ref="Y3:AB3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 An 01</vt:lpstr>
      <vt:lpstr>Data stock SDE</vt:lpstr>
      <vt:lpstr>Estratificación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2026-07-05T04:01:10Z</dcterms:created>
  <dcterms:modified xsi:type="dcterms:W3CDTF">2026-07-17T01:28:44Z</dcterms:modified>
</cp:coreProperties>
</file>